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mc:AlternateContent xmlns:mc="http://schemas.openxmlformats.org/markup-compatibility/2006">
    <mc:Choice Requires="x15">
      <x15ac:absPath xmlns:x15ac="http://schemas.microsoft.com/office/spreadsheetml/2010/11/ac" url="https://mysite.wellpoint.com/personal/am56005_ad_wellpoint_com/Documents/Documents/"/>
    </mc:Choice>
  </mc:AlternateContent>
  <xr:revisionPtr revIDLastSave="0" documentId="8_{8CEE91CE-D260-4536-BF2B-6CED86EE6FF0}" xr6:coauthVersionLast="47" xr6:coauthVersionMax="47" xr10:uidLastSave="{00000000-0000-0000-0000-000000000000}"/>
  <bookViews>
    <workbookView xWindow="-120" yWindow="-120" windowWidth="29040" windowHeight="15720" firstSheet="4" activeTab="4" xr2:uid="{6D004443-3C60-40C5-A6F8-95388A802BDC}"/>
  </bookViews>
  <sheets>
    <sheet name="Data" sheetId="4" r:id="rId1"/>
    <sheet name="Dashboard" sheetId="1" r:id="rId2"/>
    <sheet name="Update Here Please" sheetId="2" r:id="rId3"/>
    <sheet name="Sheet1" sheetId="6" r:id="rId4"/>
    <sheet name="RI Tracker Log here" sheetId="5" r:id="rId5"/>
  </sheets>
  <definedNames>
    <definedName name="_xlnm._FilterDatabase" localSheetId="4" hidden="1">'RI Tracker Log here'!$A$1:$J$1026</definedName>
    <definedName name="_xlnm._FilterDatabase" localSheetId="2" hidden="1">'Update Here Please'!#REF!</definedName>
    <definedName name="Slicer_Assigned_To">#N/A</definedName>
    <definedName name="Slicer_Manager">#N/A</definedName>
  </definedNames>
  <calcPr calcId="191028"/>
  <pivotCaches>
    <pivotCache cacheId="7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H3" i="2"/>
  <c r="H4" i="2"/>
  <c r="H5" i="2"/>
  <c r="H6" i="2"/>
  <c r="H7" i="2"/>
  <c r="H8" i="2"/>
  <c r="H9" i="2"/>
  <c r="H10" i="2"/>
  <c r="I5" i="4"/>
  <c r="F5" i="4"/>
  <c r="F12" i="4"/>
  <c r="I12" i="4"/>
  <c r="C12" i="4"/>
  <c r="C5" i="4"/>
  <c r="J12" i="4" l="1"/>
  <c r="J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Cabunyag, Jocelyn</author>
  </authors>
  <commentList>
    <comment ref="B4" authorId="0" shapeId="0" xr:uid="{C5679E32-53F1-426D-9057-98BD3BE4D59B}">
      <text>
        <r>
          <rPr>
            <sz val="11"/>
            <color theme="1"/>
            <rFont val="Aptos Narrow"/>
            <family val="2"/>
            <scheme val="minor"/>
          </rPr>
          <t xml:space="preserve">Cabunyag, Jocelyn:
</t>
        </r>
      </text>
    </comment>
  </commentList>
</comments>
</file>

<file path=xl/sharedStrings.xml><?xml version="1.0" encoding="utf-8"?>
<sst xmlns="http://schemas.openxmlformats.org/spreadsheetml/2006/main" count="36678" uniqueCount="10451">
  <si>
    <t>Category</t>
  </si>
  <si>
    <t>Ageing</t>
  </si>
  <si>
    <t>(All)</t>
  </si>
  <si>
    <t>Status</t>
  </si>
  <si>
    <t>Completed</t>
  </si>
  <si>
    <t>Pending</t>
  </si>
  <si>
    <t>(blank)</t>
  </si>
  <si>
    <t>Count of Inquiry number2</t>
  </si>
  <si>
    <t>Column Labels</t>
  </si>
  <si>
    <t>Row Labels</t>
  </si>
  <si>
    <t>With Status</t>
  </si>
  <si>
    <t>W/O Status</t>
  </si>
  <si>
    <t>Grand Total</t>
  </si>
  <si>
    <t>Brent Nido</t>
  </si>
  <si>
    <t>Pends</t>
  </si>
  <si>
    <t>Cash</t>
  </si>
  <si>
    <t>Chernobyl Publico</t>
  </si>
  <si>
    <t>Jennifer Rutor</t>
  </si>
  <si>
    <t>Mickee Vergara</t>
  </si>
  <si>
    <t>Ralfh Roger Bobiles</t>
  </si>
  <si>
    <t>Virgil Joseph L Domalaoco</t>
  </si>
  <si>
    <t>Ana Vanessa S Armada</t>
  </si>
  <si>
    <t>Carla Marie C Gulapa</t>
  </si>
  <si>
    <t>CI-72333600</t>
  </si>
  <si>
    <t>CI-74541109</t>
  </si>
  <si>
    <t>Christine P Gaviola</t>
  </si>
  <si>
    <t>CI-73886884</t>
  </si>
  <si>
    <t>CI-74667456</t>
  </si>
  <si>
    <t>Mark Ian D Ninas</t>
  </si>
  <si>
    <t>CI-76951530</t>
  </si>
  <si>
    <t>Bernardino Dizon Jr.</t>
  </si>
  <si>
    <t>Gerramae Salanguit</t>
  </si>
  <si>
    <t>Mary Elizabeth C Pedregoza</t>
  </si>
  <si>
    <t>CI-76834893</t>
  </si>
  <si>
    <t>Christine F Andayran</t>
  </si>
  <si>
    <t>CI-73192667</t>
  </si>
  <si>
    <t>CI-75261311</t>
  </si>
  <si>
    <t>Nesty Hope A Lagarto</t>
  </si>
  <si>
    <t>CI-76863791</t>
  </si>
  <si>
    <t>CI-75509288</t>
  </si>
  <si>
    <t>CI-76833575</t>
  </si>
  <si>
    <t>CI-77124024</t>
  </si>
  <si>
    <t>CI-76216103</t>
  </si>
  <si>
    <t>CI-77009302</t>
  </si>
  <si>
    <t>CI-74340488</t>
  </si>
  <si>
    <t>CI-75042496</t>
  </si>
  <si>
    <t>CI-76913485</t>
  </si>
  <si>
    <t>CI-77183849</t>
  </si>
  <si>
    <t>Kevin Carl D Jardiolin</t>
  </si>
  <si>
    <t>John Paul M Tuazon</t>
  </si>
  <si>
    <t>CI-74472929</t>
  </si>
  <si>
    <t>CI-75428545</t>
  </si>
  <si>
    <t>CI-77283179</t>
  </si>
  <si>
    <t>CI-76166717</t>
  </si>
  <si>
    <t>Kevin Michael M Santos</t>
  </si>
  <si>
    <t>Keano Richard Torre</t>
  </si>
  <si>
    <t>CI-75322097</t>
  </si>
  <si>
    <t>CI-77342193</t>
  </si>
  <si>
    <t>CI-74579006</t>
  </si>
  <si>
    <t>Marichu D Consad</t>
  </si>
  <si>
    <t>CI-76195236</t>
  </si>
  <si>
    <t>CI-74717111</t>
  </si>
  <si>
    <t>CI-74813377</t>
  </si>
  <si>
    <t>Mary Joy G Miranda</t>
  </si>
  <si>
    <t>CI-76880050</t>
  </si>
  <si>
    <t>CI-75509409</t>
  </si>
  <si>
    <t>RANDEL ABAYARI</t>
  </si>
  <si>
    <t>Angelica B Buan</t>
  </si>
  <si>
    <t>CI-77335937</t>
  </si>
  <si>
    <t>CI-74857711</t>
  </si>
  <si>
    <t>Alvin J Melgar</t>
  </si>
  <si>
    <t>Rizel A Payongayong</t>
  </si>
  <si>
    <t>CI-75886528</t>
  </si>
  <si>
    <t>CI-77569637</t>
  </si>
  <si>
    <t>CI-76046271</t>
  </si>
  <si>
    <t>Ryan E Asis</t>
  </si>
  <si>
    <t>CI-74947234</t>
  </si>
  <si>
    <t>CI-76949684</t>
  </si>
  <si>
    <t>CI-76033894</t>
  </si>
  <si>
    <t>CI-75188467</t>
  </si>
  <si>
    <t>CI-75385554</t>
  </si>
  <si>
    <t>CI-75760705</t>
  </si>
  <si>
    <t>Henrico P Tan</t>
  </si>
  <si>
    <t>CI-76139777</t>
  </si>
  <si>
    <t>CI-74039155</t>
  </si>
  <si>
    <t>CI-75305740</t>
  </si>
  <si>
    <t>CI-76075365</t>
  </si>
  <si>
    <t>Hilyn C Camilan</t>
  </si>
  <si>
    <t>Allyssa Joy C Javier</t>
  </si>
  <si>
    <t>CI-75453552</t>
  </si>
  <si>
    <t>CI-77775199</t>
  </si>
  <si>
    <t>Jayson Dave I Espinas</t>
  </si>
  <si>
    <t>CI-76314829</t>
  </si>
  <si>
    <t>Cedie C Abina</t>
  </si>
  <si>
    <t>CI-75442325</t>
  </si>
  <si>
    <t>CI-77768684</t>
  </si>
  <si>
    <t>CI-75364493</t>
  </si>
  <si>
    <t>CI-76366545</t>
  </si>
  <si>
    <t>CI-77833940</t>
  </si>
  <si>
    <t>CI-75419995</t>
  </si>
  <si>
    <t>CI-76423174</t>
  </si>
  <si>
    <t>CI-78068263</t>
  </si>
  <si>
    <t>Jennifer R Cahilig</t>
  </si>
  <si>
    <t>CI-77936446</t>
  </si>
  <si>
    <t>CI-71873217</t>
  </si>
  <si>
    <t>CI-76392373</t>
  </si>
  <si>
    <t>CI-77768712</t>
  </si>
  <si>
    <t>Jhon Calvin Idnay</t>
  </si>
  <si>
    <t>CI-76367384</t>
  </si>
  <si>
    <t>CI-78068088</t>
  </si>
  <si>
    <t>CI-75259664</t>
  </si>
  <si>
    <t>CI-77783124</t>
  </si>
  <si>
    <t>CI-76267703</t>
  </si>
  <si>
    <t>CI-77722719</t>
  </si>
  <si>
    <t>CI-75275205</t>
  </si>
  <si>
    <t>CI-75249124</t>
  </si>
  <si>
    <t>CI-77834104</t>
  </si>
  <si>
    <t>CI-75593913</t>
  </si>
  <si>
    <t>CI-75304956</t>
  </si>
  <si>
    <t>Ruby Rose U Tolentino</t>
  </si>
  <si>
    <t>CI-77678344</t>
  </si>
  <si>
    <t>CI-75257376</t>
  </si>
  <si>
    <t>CI-76408143</t>
  </si>
  <si>
    <t>CI-77628387</t>
  </si>
  <si>
    <t>CI-75429810</t>
  </si>
  <si>
    <t>CI-77760422</t>
  </si>
  <si>
    <t>CI-75429030</t>
  </si>
  <si>
    <t>CI-76342778</t>
  </si>
  <si>
    <t>Jalean G Mayo</t>
  </si>
  <si>
    <t>CI-75187323</t>
  </si>
  <si>
    <t>CI-76342727</t>
  </si>
  <si>
    <t>CI-78564981</t>
  </si>
  <si>
    <t>CI-75372898</t>
  </si>
  <si>
    <t>CI-76426945</t>
  </si>
  <si>
    <t>Rechelle C Berida</t>
  </si>
  <si>
    <t>CI-78489695</t>
  </si>
  <si>
    <t>CI-75257047</t>
  </si>
  <si>
    <t>CI-78454033</t>
  </si>
  <si>
    <t>Renier F Pajalla</t>
  </si>
  <si>
    <t>CI-76609239</t>
  </si>
  <si>
    <t>CI-78130324</t>
  </si>
  <si>
    <t>CI-75480088</t>
  </si>
  <si>
    <t>KRISTIANNA MARIE C LOPEZ</t>
  </si>
  <si>
    <t>Ronald Sydney D Alina</t>
  </si>
  <si>
    <t>CI-76743155</t>
  </si>
  <si>
    <t>CI-77739170</t>
  </si>
  <si>
    <t>CI-75319745</t>
  </si>
  <si>
    <t>CI-76760450</t>
  </si>
  <si>
    <t>CI-77740566</t>
  </si>
  <si>
    <t>Richard B Bacalso</t>
  </si>
  <si>
    <t>Maria Fe A Gacgacao</t>
  </si>
  <si>
    <t>CI-75288658</t>
  </si>
  <si>
    <t>CI-76684568</t>
  </si>
  <si>
    <t>CI-77781659</t>
  </si>
  <si>
    <t>Jolo M Lapitan</t>
  </si>
  <si>
    <t>CI-76700546</t>
  </si>
  <si>
    <t>CI-77755816</t>
  </si>
  <si>
    <t>CI-75515305</t>
  </si>
  <si>
    <t>CI-76784425</t>
  </si>
  <si>
    <t>Marvin M Niduaza</t>
  </si>
  <si>
    <t>CI-77786723</t>
  </si>
  <si>
    <t>CI-75515044</t>
  </si>
  <si>
    <t>CI-76833427</t>
  </si>
  <si>
    <t>CI-77636920</t>
  </si>
  <si>
    <t>Alvin F Fejer</t>
  </si>
  <si>
    <t>CI-77616077</t>
  </si>
  <si>
    <t>CI-75699843</t>
  </si>
  <si>
    <t>CI-77581215</t>
  </si>
  <si>
    <t>CI-77772081</t>
  </si>
  <si>
    <t>CI-77104868</t>
  </si>
  <si>
    <t>CI-75900201</t>
  </si>
  <si>
    <t>CI-77091605</t>
  </si>
  <si>
    <t>CI-78440208</t>
  </si>
  <si>
    <t>Dwena Joy D Sevilla</t>
  </si>
  <si>
    <t>CI-77434514</t>
  </si>
  <si>
    <t>CI-75807218</t>
  </si>
  <si>
    <t>CI-77337880</t>
  </si>
  <si>
    <t>CI-78358746</t>
  </si>
  <si>
    <t>CI-75808930</t>
  </si>
  <si>
    <t>CI-77127722</t>
  </si>
  <si>
    <t>Ricaflor M Anninon</t>
  </si>
  <si>
    <t>Eileen R Pasaraba</t>
  </si>
  <si>
    <t>CI-77848463</t>
  </si>
  <si>
    <t>CI-75486874</t>
  </si>
  <si>
    <t>CI-77463097</t>
  </si>
  <si>
    <t>CI-77983654</t>
  </si>
  <si>
    <t>CI-78486620</t>
  </si>
  <si>
    <t>CI-75819862</t>
  </si>
  <si>
    <t>CI-77135494</t>
  </si>
  <si>
    <t>CI-78191657</t>
  </si>
  <si>
    <t>CI-76900862</t>
  </si>
  <si>
    <t>CI-77772794</t>
  </si>
  <si>
    <t>CI-76075267</t>
  </si>
  <si>
    <t>CI-77474495</t>
  </si>
  <si>
    <t>CI-77668795</t>
  </si>
  <si>
    <t>CI-75148722</t>
  </si>
  <si>
    <t>CI-77109272</t>
  </si>
  <si>
    <t>CI-77671398</t>
  </si>
  <si>
    <t>CI-76056207</t>
  </si>
  <si>
    <t>CI-77342154</t>
  </si>
  <si>
    <t>CI-77661186</t>
  </si>
  <si>
    <t>Nora Karla G Dela pena</t>
  </si>
  <si>
    <t>CI-76992273</t>
  </si>
  <si>
    <t>CI-77661478</t>
  </si>
  <si>
    <t>CI-75904307</t>
  </si>
  <si>
    <t>CI-77008581</t>
  </si>
  <si>
    <t>Camille Pasco</t>
  </si>
  <si>
    <t>CI-77435126</t>
  </si>
  <si>
    <t>CI-77657836</t>
  </si>
  <si>
    <t>CI-74809411</t>
  </si>
  <si>
    <t>CI-77391852</t>
  </si>
  <si>
    <t>CI-77658150</t>
  </si>
  <si>
    <t>CI-77658286</t>
  </si>
  <si>
    <t>CI-74879535</t>
  </si>
  <si>
    <t>CI-77622082</t>
  </si>
  <si>
    <t>CI-77660235</t>
  </si>
  <si>
    <t>CI-77659529</t>
  </si>
  <si>
    <t>CI-77302742</t>
  </si>
  <si>
    <t>CI-77660331</t>
  </si>
  <si>
    <t>CI-76160836</t>
  </si>
  <si>
    <t>CI-77030119</t>
  </si>
  <si>
    <t>CI-77657685</t>
  </si>
  <si>
    <t>CI-77236028</t>
  </si>
  <si>
    <t>CI-77657905</t>
  </si>
  <si>
    <t>CI-76353090</t>
  </si>
  <si>
    <t>Mark Andre S Lipit</t>
  </si>
  <si>
    <t>CI-77115766</t>
  </si>
  <si>
    <t>CI-76147627</t>
  </si>
  <si>
    <t>CI-77461252</t>
  </si>
  <si>
    <t>CI-77571836</t>
  </si>
  <si>
    <t>CI-77117964</t>
  </si>
  <si>
    <t>CI-76830318</t>
  </si>
  <si>
    <t>CI-77144004</t>
  </si>
  <si>
    <t>CI-77448559</t>
  </si>
  <si>
    <t>CI-76678481</t>
  </si>
  <si>
    <t>CI-77544213</t>
  </si>
  <si>
    <t>CI-78048943</t>
  </si>
  <si>
    <t>CI-77589861</t>
  </si>
  <si>
    <t>Jayson M Castro</t>
  </si>
  <si>
    <t>CI-77113620</t>
  </si>
  <si>
    <t>CI-76814619</t>
  </si>
  <si>
    <t>Juana Marie Villamor</t>
  </si>
  <si>
    <t>CI-77573545</t>
  </si>
  <si>
    <t>CI-76618335</t>
  </si>
  <si>
    <t>CI-77577496</t>
  </si>
  <si>
    <t>CI-77275413</t>
  </si>
  <si>
    <t>CI-76738006</t>
  </si>
  <si>
    <t>Edwin Romeo V Sabarre</t>
  </si>
  <si>
    <t>CI-77596019</t>
  </si>
  <si>
    <t>CI-76600612</t>
  </si>
  <si>
    <t>CI-77212851</t>
  </si>
  <si>
    <t>CI-77596853</t>
  </si>
  <si>
    <t>CI-76714238</t>
  </si>
  <si>
    <t>CI-77595073</t>
  </si>
  <si>
    <t>CI-77367968</t>
  </si>
  <si>
    <t>CI-76789243</t>
  </si>
  <si>
    <t>CI-77595560</t>
  </si>
  <si>
    <t>CI-77617711</t>
  </si>
  <si>
    <t>CI-76706448</t>
  </si>
  <si>
    <t>CI-77627757</t>
  </si>
  <si>
    <t>CI-77554295</t>
  </si>
  <si>
    <t>CI-76724954</t>
  </si>
  <si>
    <t>CI-77213158</t>
  </si>
  <si>
    <t>CI-77601092</t>
  </si>
  <si>
    <t>CI-76699252</t>
  </si>
  <si>
    <t>CI-77613158</t>
  </si>
  <si>
    <t>CI-77290744</t>
  </si>
  <si>
    <t>Gerommel Marcelino</t>
  </si>
  <si>
    <t>CI-75512852</t>
  </si>
  <si>
    <t>CI-77497749</t>
  </si>
  <si>
    <t>CI-76065567</t>
  </si>
  <si>
    <t>CI-77210550</t>
  </si>
  <si>
    <t>CI-76806872</t>
  </si>
  <si>
    <t>CI-77210739</t>
  </si>
  <si>
    <t>CI-77028011</t>
  </si>
  <si>
    <t>CI-77211036</t>
  </si>
  <si>
    <t>CI-77291851</t>
  </si>
  <si>
    <t>CI-77212029</t>
  </si>
  <si>
    <t>CI-77292200</t>
  </si>
  <si>
    <t>CI-77293660</t>
  </si>
  <si>
    <t>CI-74552889</t>
  </si>
  <si>
    <t>CI-77111649</t>
  </si>
  <si>
    <t>CI-77372391</t>
  </si>
  <si>
    <t>CI-77572613</t>
  </si>
  <si>
    <t>CI-77220203</t>
  </si>
  <si>
    <t>CI-77600784</t>
  </si>
  <si>
    <t>CI-79101402</t>
  </si>
  <si>
    <t>CI-77371975</t>
  </si>
  <si>
    <t>CI-77467462</t>
  </si>
  <si>
    <t>CI-77181752</t>
  </si>
  <si>
    <t>Joan Marie C Dalida</t>
  </si>
  <si>
    <t>CI-74122663</t>
  </si>
  <si>
    <t>CI-77471677</t>
  </si>
  <si>
    <t>CI-77427950</t>
  </si>
  <si>
    <t>CI-77216035</t>
  </si>
  <si>
    <t>CI-77320900</t>
  </si>
  <si>
    <t>CI-77221174</t>
  </si>
  <si>
    <t>CI-77185642</t>
  </si>
  <si>
    <t>Justine Kevin B Umali</t>
  </si>
  <si>
    <t>CI-73636806</t>
  </si>
  <si>
    <t>CI-77237019</t>
  </si>
  <si>
    <t>CI-77350116</t>
  </si>
  <si>
    <t>CI-77318740</t>
  </si>
  <si>
    <t>CI-77488545</t>
  </si>
  <si>
    <t>CI-77350226</t>
  </si>
  <si>
    <t>CI-77267598</t>
  </si>
  <si>
    <t>CI-77392157</t>
  </si>
  <si>
    <t>CI-76946241</t>
  </si>
  <si>
    <t>CI-77395083</t>
  </si>
  <si>
    <t>CI-77332220</t>
  </si>
  <si>
    <t>CI-77326820</t>
  </si>
  <si>
    <t>CI-78890101</t>
  </si>
  <si>
    <t>CI-77234628</t>
  </si>
  <si>
    <t>CI-77419335</t>
  </si>
  <si>
    <t>CI-77531227</t>
  </si>
  <si>
    <t>CI-79082184</t>
  </si>
  <si>
    <t>CI-77561467</t>
  </si>
  <si>
    <t>CI-77070564</t>
  </si>
  <si>
    <t>MARK ANTHONY V CUATON</t>
  </si>
  <si>
    <t>CI-78206742</t>
  </si>
  <si>
    <t>CI-77413723</t>
  </si>
  <si>
    <t>CI-77282008</t>
  </si>
  <si>
    <t>CI-77129129</t>
  </si>
  <si>
    <t>CI-77377534</t>
  </si>
  <si>
    <t>CI-77315494</t>
  </si>
  <si>
    <t>CI-77574217</t>
  </si>
  <si>
    <t>CI-77582596</t>
  </si>
  <si>
    <t>CI-77155553</t>
  </si>
  <si>
    <t>CI-77539954</t>
  </si>
  <si>
    <t>CI-76785148</t>
  </si>
  <si>
    <t>CI-77558365</t>
  </si>
  <si>
    <t>CI-77263536</t>
  </si>
  <si>
    <t>CI-77295074</t>
  </si>
  <si>
    <t>CI-77249726</t>
  </si>
  <si>
    <t>CI-77530969</t>
  </si>
  <si>
    <t>CI-77300285</t>
  </si>
  <si>
    <t>CI-77187324</t>
  </si>
  <si>
    <t>CI-77276364</t>
  </si>
  <si>
    <t>CI-77539515</t>
  </si>
  <si>
    <t>CI-77511352</t>
  </si>
  <si>
    <t>CI-77570996</t>
  </si>
  <si>
    <t>Rafaelito Sarion</t>
  </si>
  <si>
    <t>CI-77074180</t>
  </si>
  <si>
    <t>CI-77376035</t>
  </si>
  <si>
    <t>CI-77471153</t>
  </si>
  <si>
    <t>CI-77400602</t>
  </si>
  <si>
    <t>CI-79079948</t>
  </si>
  <si>
    <t>CI-77492633</t>
  </si>
  <si>
    <t>CI-77650164</t>
  </si>
  <si>
    <t>CI-76645885</t>
  </si>
  <si>
    <t>CI-77407692</t>
  </si>
  <si>
    <t>CI-76991273</t>
  </si>
  <si>
    <t>CI-77591148</t>
  </si>
  <si>
    <t>CI-74104607</t>
  </si>
  <si>
    <t>CI-74753973</t>
  </si>
  <si>
    <t>CI-75599183</t>
  </si>
  <si>
    <t>CI-77338295</t>
  </si>
  <si>
    <t>CI-78861864</t>
  </si>
  <si>
    <t>CI-77575227</t>
  </si>
  <si>
    <t>CI-77389178</t>
  </si>
  <si>
    <t>CI-77131940</t>
  </si>
  <si>
    <t>CI-77133308</t>
  </si>
  <si>
    <t>CI-76918575</t>
  </si>
  <si>
    <t>CI-77315491</t>
  </si>
  <si>
    <t>CI-77314397</t>
  </si>
  <si>
    <t>CI-77313302</t>
  </si>
  <si>
    <t>Ruby Rose T Samson</t>
  </si>
  <si>
    <t>CI-77154739</t>
  </si>
  <si>
    <t>Count</t>
  </si>
  <si>
    <t>Pended</t>
  </si>
  <si>
    <t>No Status</t>
  </si>
  <si>
    <t>sample</t>
  </si>
  <si>
    <t>sample1</t>
  </si>
  <si>
    <t>Remarks</t>
  </si>
  <si>
    <t>Date</t>
  </si>
  <si>
    <t>Inquiry number2</t>
  </si>
  <si>
    <t>External Inquiry ID</t>
  </si>
  <si>
    <t>Urgency</t>
  </si>
  <si>
    <t>Total Age</t>
  </si>
  <si>
    <t>Age</t>
  </si>
  <si>
    <t>Receipt</t>
  </si>
  <si>
    <t>Domain</t>
  </si>
  <si>
    <t>Manager</t>
  </si>
  <si>
    <t>Pended Days</t>
  </si>
  <si>
    <t>Status2</t>
  </si>
  <si>
    <t>Sub-status</t>
  </si>
  <si>
    <t>HCID</t>
  </si>
  <si>
    <t>Class Code</t>
  </si>
  <si>
    <t>Source</t>
  </si>
  <si>
    <t>DCN</t>
  </si>
  <si>
    <t>Case number</t>
  </si>
  <si>
    <t>Pended Date</t>
  </si>
  <si>
    <t>Inquiry specialization skill</t>
  </si>
  <si>
    <t>Benefit type skill</t>
  </si>
  <si>
    <t>Restriction type skill</t>
  </si>
  <si>
    <t>Group specialization skill</t>
  </si>
  <si>
    <t>Region type skill</t>
  </si>
  <si>
    <t>Item type skill</t>
  </si>
  <si>
    <t>Group number</t>
  </si>
  <si>
    <t>Provider State</t>
  </si>
  <si>
    <t>Tax ID</t>
  </si>
  <si>
    <t>Billing NPI</t>
  </si>
  <si>
    <t>Rendering NPI</t>
  </si>
  <si>
    <t>SCCF Number</t>
  </si>
  <si>
    <t>Routed From</t>
  </si>
  <si>
    <t>Assigned To</t>
  </si>
  <si>
    <t>Workgroup</t>
  </si>
  <si>
    <t>Inquiry Create Date</t>
  </si>
  <si>
    <t>Billed Amount</t>
  </si>
  <si>
    <t>Host plan code</t>
  </si>
  <si>
    <t>Message Reason Code</t>
  </si>
  <si>
    <t>Prefix</t>
  </si>
  <si>
    <t>Attachment Indicator</t>
  </si>
  <si>
    <t>Days Since Last Touched In CIW</t>
  </si>
  <si>
    <t>Last Touched Date</t>
  </si>
  <si>
    <t>Last Updated Operator ID</t>
  </si>
  <si>
    <t>Last Note</t>
  </si>
  <si>
    <t>Ticket #</t>
  </si>
  <si>
    <t>Provider Name</t>
  </si>
  <si>
    <t>PDR Reason</t>
  </si>
  <si>
    <t>Dispute Level</t>
  </si>
  <si>
    <t>Due Date</t>
  </si>
  <si>
    <t>PDR Decision</t>
  </si>
  <si>
    <t>Resolved Date</t>
  </si>
  <si>
    <t>EXTERNAL ID</t>
  </si>
  <si>
    <t>Message Type</t>
  </si>
  <si>
    <t>Owner</t>
  </si>
  <si>
    <t>Home age</t>
  </si>
  <si>
    <t>Payor name</t>
  </si>
  <si>
    <t>Inquiry type</t>
  </si>
  <si>
    <t>Line of business</t>
  </si>
  <si>
    <t>Member ID</t>
  </si>
  <si>
    <t>Claim count</t>
  </si>
  <si>
    <t>Payor inquiry number</t>
  </si>
  <si>
    <t>Decision Outcome</t>
  </si>
  <si>
    <t>Intake Type</t>
  </si>
  <si>
    <t>Recovery Type</t>
  </si>
  <si>
    <t>Current Paid Amount</t>
  </si>
  <si>
    <t>Correct Paid Amount</t>
  </si>
  <si>
    <t>Recovery Amount</t>
  </si>
  <si>
    <t>ACRLetterDate</t>
  </si>
  <si>
    <t>AdjustedDate</t>
  </si>
  <si>
    <t>Disposition</t>
  </si>
  <si>
    <t>ReversalReason</t>
  </si>
  <si>
    <t>ReversalType</t>
  </si>
  <si>
    <t>RecoveryConceptID</t>
  </si>
  <si>
    <t>Workbasket received date</t>
  </si>
  <si>
    <t>Workbasket age</t>
  </si>
  <si>
    <t>OwnershipChangeDate</t>
  </si>
  <si>
    <t>Update Date</t>
  </si>
  <si>
    <t>Column1</t>
  </si>
  <si>
    <t>Inquiry number</t>
  </si>
  <si>
    <t>External Inquiry ID2</t>
  </si>
  <si>
    <t>Urgency3</t>
  </si>
  <si>
    <t>Total Age4</t>
  </si>
  <si>
    <t>Last Note5</t>
  </si>
  <si>
    <t>Owner6</t>
  </si>
  <si>
    <t>__PowerAppsId__</t>
  </si>
  <si>
    <t>Last PA follow up 09/03/2026</t>
  </si>
  <si>
    <t>2026141360123</t>
  </si>
  <si>
    <t>31-45 DAYS</t>
  </si>
  <si>
    <t>AL39630</t>
  </si>
  <si>
    <t>Pending-Investigation</t>
  </si>
  <si>
    <t>Funding Off Outreach</t>
  </si>
  <si>
    <t>126W19824</t>
  </si>
  <si>
    <t>IN</t>
  </si>
  <si>
    <t>P</t>
  </si>
  <si>
    <t>2025224BK9714</t>
  </si>
  <si>
    <t>06/09/2026 09:32 PM</t>
  </si>
  <si>
    <t>IS-Dispute</t>
  </si>
  <si>
    <t>BEN-Spider</t>
  </si>
  <si>
    <t>RES-Unrestricted</t>
  </si>
  <si>
    <t>GS-ACA</t>
  </si>
  <si>
    <t>REG-WI</t>
  </si>
  <si>
    <t>IT-Written</t>
  </si>
  <si>
    <t>81W000</t>
  </si>
  <si>
    <t>WI</t>
  </si>
  <si>
    <t>390806374</t>
  </si>
  <si>
    <t>1629056049</t>
  </si>
  <si>
    <t>1871077198</t>
  </si>
  <si>
    <t/>
  </si>
  <si>
    <t>Recovery_Disputes</t>
  </si>
  <si>
    <t>20260521T114536.000 GMT</t>
  </si>
  <si>
    <t>24789.6</t>
  </si>
  <si>
    <t>126</t>
  </si>
  <si>
    <t>Yes</t>
  </si>
  <si>
    <t>20260610T043215.000 GMT</t>
  </si>
  <si>
    <t>Inquiry is pending for a CCA response and High Dollar review.</t>
  </si>
  <si>
    <t>MORGAN, GRANT T</t>
  </si>
  <si>
    <t>32</t>
  </si>
  <si>
    <t>CS</t>
  </si>
  <si>
    <t>Local</t>
  </si>
  <si>
    <t>398686614</t>
  </si>
  <si>
    <t>3bbae80e-646c-4600-b5e0-ee6418e880f5</t>
  </si>
  <si>
    <t>Submit for process clarification
still no response from FAQ. 09/16</t>
  </si>
  <si>
    <t>2026140920445</t>
  </si>
  <si>
    <t>AG52852</t>
  </si>
  <si>
    <t>Additional Research</t>
  </si>
  <si>
    <t>601M57348</t>
  </si>
  <si>
    <t>2023107BH4994</t>
  </si>
  <si>
    <t>06/21/2026 08:46 PM</t>
  </si>
  <si>
    <t>REG-VA</t>
  </si>
  <si>
    <t>6RF100</t>
  </si>
  <si>
    <t>VA</t>
  </si>
  <si>
    <t>541761046</t>
  </si>
  <si>
    <t>1538100029</t>
  </si>
  <si>
    <t>20260521T002322.000 GMT</t>
  </si>
  <si>
    <t>1404</t>
  </si>
  <si>
    <t>601</t>
  </si>
  <si>
    <t>20260622T034627.000 GMT</t>
  </si>
  <si>
    <t>Hold for FAQ per SME</t>
  </si>
  <si>
    <t>LEWISGALE HOSPITAL ALLEGH</t>
  </si>
  <si>
    <t>33</t>
  </si>
  <si>
    <t>228276787</t>
  </si>
  <si>
    <t>2026-09-16T16:00:00.000Z</t>
  </si>
  <si>
    <t>3588c9c7-f06c-4c1a-82fb-f62946a514ee</t>
  </si>
  <si>
    <t>Email sent for PA Review and waiting for response</t>
  </si>
  <si>
    <t>2026142370115</t>
  </si>
  <si>
    <t>AG93888</t>
  </si>
  <si>
    <t>639M64318</t>
  </si>
  <si>
    <t>2025149EV2609</t>
  </si>
  <si>
    <t>W50077</t>
  </si>
  <si>
    <t>06/10/2026 08:59 PM</t>
  </si>
  <si>
    <t>GS-LocalFI</t>
  </si>
  <si>
    <t>REG-OH</t>
  </si>
  <si>
    <t>W50077M004</t>
  </si>
  <si>
    <t>OH</t>
  </si>
  <si>
    <t>314379519</t>
  </si>
  <si>
    <t>1568446755</t>
  </si>
  <si>
    <t>20260522T131724.000 GMT</t>
  </si>
  <si>
    <t>10833.13</t>
  </si>
  <si>
    <t>639</t>
  </si>
  <si>
    <t>20260611T040003.000 GMT</t>
  </si>
  <si>
    <t>waiting for PA response</t>
  </si>
  <si>
    <t>LICKING MEMORIAL HOSPITAL</t>
  </si>
  <si>
    <t>31</t>
  </si>
  <si>
    <t>270528200</t>
  </si>
  <si>
    <t>692b34fb-204f-4024-98c0-28810994bd23</t>
  </si>
  <si>
    <t>PENDING-INVESTIGATION – SIU/PPR Review</t>
  </si>
  <si>
    <t>2026139490089</t>
  </si>
  <si>
    <t>AG66028</t>
  </si>
  <si>
    <t>422W23069</t>
  </si>
  <si>
    <t>2025112CY5115</t>
  </si>
  <si>
    <t>06/22/2026 09:53 AM</t>
  </si>
  <si>
    <t>REG-GA</t>
  </si>
  <si>
    <t>8JGH00</t>
  </si>
  <si>
    <t>GA</t>
  </si>
  <si>
    <t>581954432</t>
  </si>
  <si>
    <t>1225050396</t>
  </si>
  <si>
    <t>20260608T162421.000 GMT</t>
  </si>
  <si>
    <t>190771</t>
  </si>
  <si>
    <t>422</t>
  </si>
  <si>
    <t>20260622T165356.000 GMT</t>
  </si>
  <si>
    <t>PEND - PA</t>
  </si>
  <si>
    <t>NORTHSIDE HOSPITAL INC</t>
  </si>
  <si>
    <t>14</t>
  </si>
  <si>
    <t>254274695</t>
  </si>
  <si>
    <t>30dab6dd-73a0-4315-9dd4-ca03ba91b678</t>
  </si>
  <si>
    <t>FOD waiting for the response from Nancy</t>
  </si>
  <si>
    <t>46-60 DAYS</t>
  </si>
  <si>
    <t>AL86940</t>
  </si>
  <si>
    <t>Pending-Review</t>
  </si>
  <si>
    <t>Awaiting Medical Review</t>
  </si>
  <si>
    <t>5002034AB</t>
  </si>
  <si>
    <t>AP</t>
  </si>
  <si>
    <t>2024152EL9455</t>
  </si>
  <si>
    <t>L02827</t>
  </si>
  <si>
    <t>06/21/2026 07:31 PM</t>
  </si>
  <si>
    <t>BEN-NonSpider</t>
  </si>
  <si>
    <t>GS-JAALocal</t>
  </si>
  <si>
    <t>REG-CA</t>
  </si>
  <si>
    <t>L02827M017</t>
  </si>
  <si>
    <t>CA</t>
  </si>
  <si>
    <t>522380476</t>
  </si>
  <si>
    <t>1003965328</t>
  </si>
  <si>
    <t>20260507T205047.000 GMT</t>
  </si>
  <si>
    <t>98835.71</t>
  </si>
  <si>
    <t>500</t>
  </si>
  <si>
    <t>20260622T023203.000 GMT</t>
  </si>
  <si>
    <t>Sent to PA for review.</t>
  </si>
  <si>
    <t>PACIFIC HEIGHTS SURGERY C</t>
  </si>
  <si>
    <t>48</t>
  </si>
  <si>
    <t>8e85846d-5890-4315-ad49-5e361fe35059</t>
  </si>
  <si>
    <t>Hold. For RI. Unable to finalized due to SE1 edit. SME sent email. Waiting for response from onshore. Sent ff with SME dated 08/04/2026. According to Nancy JIRA ticket was created CECR-5214 dated 08/14/2026. Received email from Nancy to update the info to ABS-610985 dated 08/24/2026.</t>
  </si>
  <si>
    <t>2026157830249</t>
  </si>
  <si>
    <t>AL64139</t>
  </si>
  <si>
    <t>753W11095</t>
  </si>
  <si>
    <t>2025336DY1436</t>
  </si>
  <si>
    <t>07/12/2026 04:45 PM</t>
  </si>
  <si>
    <t>BEN-SpiderHMO</t>
  </si>
  <si>
    <t>REG-CONV</t>
  </si>
  <si>
    <t>82LS00</t>
  </si>
  <si>
    <t>CO</t>
  </si>
  <si>
    <t>571231282</t>
  </si>
  <si>
    <t>1891745956</t>
  </si>
  <si>
    <t>20260606T203239.000 GMT</t>
  </si>
  <si>
    <t>106733</t>
  </si>
  <si>
    <t>753</t>
  </si>
  <si>
    <t>20260712T234513.000 GMT</t>
  </si>
  <si>
    <t>Hold. For RI review approval.</t>
  </si>
  <si>
    <t>NORTH METRO SURGERY CTR</t>
  </si>
  <si>
    <t>37</t>
  </si>
  <si>
    <t>524210189</t>
  </si>
  <si>
    <t>82e102e1-92aa-4316-af66-cb376bb8396f</t>
  </si>
  <si>
    <t>Hold. FOD edit waiting for AP check</t>
  </si>
  <si>
    <t>2026170020440</t>
  </si>
  <si>
    <t>Awaiting CCA Response</t>
  </si>
  <si>
    <t>970516389</t>
  </si>
  <si>
    <t>2025258ED4949</t>
  </si>
  <si>
    <t>363079</t>
  </si>
  <si>
    <t>07/19/2026 04:42 PM</t>
  </si>
  <si>
    <t>GS-HealthTrust</t>
  </si>
  <si>
    <t>REG-NH</t>
  </si>
  <si>
    <t>363079M020</t>
  </si>
  <si>
    <t>NH</t>
  </si>
  <si>
    <t>222594672</t>
  </si>
  <si>
    <t>1215988530</t>
  </si>
  <si>
    <t>20260620T024324.000 GMT</t>
  </si>
  <si>
    <t>217186.11</t>
  </si>
  <si>
    <t>970</t>
  </si>
  <si>
    <t>20260719T234250.000 GMT</t>
  </si>
  <si>
    <t>HOLD. Sent email to PA for medical records review. FDOC # 7143200461.</t>
  </si>
  <si>
    <t>CONCORD HOSPITAL</t>
  </si>
  <si>
    <t>173583107</t>
  </si>
  <si>
    <t>3557aa86-c21d-4f6f-a641-2a81f527bdef</t>
  </si>
  <si>
    <t>AL20320</t>
  </si>
  <si>
    <t>405A75243</t>
  </si>
  <si>
    <t>2025090CI2222</t>
  </si>
  <si>
    <t>GS-Local</t>
  </si>
  <si>
    <t>197155M004</t>
  </si>
  <si>
    <t>20260625T124700.000 GMT</t>
  </si>
  <si>
    <t>20260803T031617.000 GMT</t>
  </si>
  <si>
    <t>No Add Item for EVM access. Waiting for sme response.</t>
  </si>
  <si>
    <t>SCHMALZ, MELISSA A</t>
  </si>
  <si>
    <t>f20cbb35-4d9e-4897-a863-9daf300e050c</t>
  </si>
  <si>
    <t>349W13936</t>
  </si>
  <si>
    <t>2025224EQ2418</t>
  </si>
  <si>
    <t>GS-Raytheon</t>
  </si>
  <si>
    <t>REG-IN</t>
  </si>
  <si>
    <t>270213OFM7</t>
  </si>
  <si>
    <t>NY</t>
  </si>
  <si>
    <t>20260702T155721.000 GMT</t>
  </si>
  <si>
    <t>20260803T032020.000 GMT</t>
  </si>
  <si>
    <t>Awaiting for PA response.</t>
  </si>
  <si>
    <t>ZHAO, LEE C</t>
  </si>
  <si>
    <t>440de2b1-90e2-4361-811a-5f53f0a396ed</t>
  </si>
  <si>
    <t>CI-80202619</t>
  </si>
  <si>
    <t>8-15 DAYS</t>
  </si>
  <si>
    <t>AL43840</t>
  </si>
  <si>
    <t>2025043DZ7140</t>
  </si>
  <si>
    <t>VAITSH</t>
  </si>
  <si>
    <t>BEN-NoBenefit</t>
  </si>
  <si>
    <t>RES-UnrestrictedITS</t>
  </si>
  <si>
    <t>GS-Host</t>
  </si>
  <si>
    <t>ITSPPO425</t>
  </si>
  <si>
    <t>20260829T135652.000 GMT</t>
  </si>
  <si>
    <t>20260830T220838.000 GMT</t>
  </si>
  <si>
    <t>WINCHESTER MEDICAL CENTER</t>
  </si>
  <si>
    <t>BlueCard</t>
  </si>
  <si>
    <t>612050eb-cde8-4069-a69d-7e88a5cea147</t>
  </si>
  <si>
    <t>For follow up</t>
  </si>
  <si>
    <t>CI-80228461</t>
  </si>
  <si>
    <t>AH00180</t>
  </si>
  <si>
    <t>2025344CR9499</t>
  </si>
  <si>
    <t>NYITSH</t>
  </si>
  <si>
    <t>REG-NY</t>
  </si>
  <si>
    <t>ITSPPO254</t>
  </si>
  <si>
    <t>20260830T113259.000 GMT</t>
  </si>
  <si>
    <t>20260831T222617.000 GMT</t>
  </si>
  <si>
    <t>sent to PA</t>
  </si>
  <si>
    <t>CARPENTER, HANNAH N</t>
  </si>
  <si>
    <t>6ca4dc16-f099-446d-93dd-a3f20e14a9ea</t>
  </si>
  <si>
    <t xml:space="preserve">waiting for 9/20 to send out an update | Awaiting CCA Response
</t>
  </si>
  <si>
    <t>CI-80198679</t>
  </si>
  <si>
    <t>AG49226</t>
  </si>
  <si>
    <t>2025224FM7736</t>
  </si>
  <si>
    <t>20260829T094431.000 GMT</t>
  </si>
  <si>
    <t>20260831T085250.000 GMT</t>
  </si>
  <si>
    <t>Awaiting CCA Response its</t>
  </si>
  <si>
    <t>LABIAK, JOHN J</t>
  </si>
  <si>
    <t>dca3eeaf-13f0-4d69-833c-18d3593da08f</t>
  </si>
  <si>
    <t>CI-80104614</t>
  </si>
  <si>
    <t>AI02198</t>
  </si>
  <si>
    <t>2025329BN3848</t>
  </si>
  <si>
    <t>ITSPPO458</t>
  </si>
  <si>
    <t>20260827T145136.000 GMT</t>
  </si>
  <si>
    <t>20260828T101550.000 GMT</t>
  </si>
  <si>
    <t>-Email sent for PA Review and waiting for response</t>
  </si>
  <si>
    <t>AIKEN, JOHN J</t>
  </si>
  <si>
    <t>57291613-a49f-45a6-a184-40f5887a66cd</t>
  </si>
  <si>
    <t>CI-80078816</t>
  </si>
  <si>
    <t>AL87301</t>
  </si>
  <si>
    <t>2025331BX8263</t>
  </si>
  <si>
    <t>20260827T022937.000 GMT</t>
  </si>
  <si>
    <t>20260827T235146.000 GMT</t>
  </si>
  <si>
    <t>Sent provider audit review</t>
  </si>
  <si>
    <t>KEKKE, JOLYNN M</t>
  </si>
  <si>
    <t>b3fad965-1a40-4d54-9bb7-af17863caa00</t>
  </si>
  <si>
    <t xml:space="preserve">	
Email sent for PA Review and waiting for response</t>
  </si>
  <si>
    <t>CI-80022016</t>
  </si>
  <si>
    <t>AL13290</t>
  </si>
  <si>
    <t>2025322CZ0827</t>
  </si>
  <si>
    <t>20260826T043150.000 GMT</t>
  </si>
  <si>
    <t>20260827T091143.000 GMT</t>
  </si>
  <si>
    <t>KUCHLER, JOSEPH N</t>
  </si>
  <si>
    <t>9f59e123-788f-45d4-96ad-4d75c5800e29</t>
  </si>
  <si>
    <t>CI-79938463</t>
  </si>
  <si>
    <t>2025305CF5441</t>
  </si>
  <si>
    <t>20260824T174820.000 GMT</t>
  </si>
  <si>
    <t>20260826T090441.000 GMT</t>
  </si>
  <si>
    <t>KARADAGHY, AMIN A</t>
  </si>
  <si>
    <t>6db60b77-5445-4f3e-99ef-0ac8e572481d</t>
  </si>
  <si>
    <t>CI-79943184</t>
  </si>
  <si>
    <t>2025181BZ3820</t>
  </si>
  <si>
    <t>20260824T190605.000 GMT</t>
  </si>
  <si>
    <t>20260826T090242.000 GMT</t>
  </si>
  <si>
    <t>Sent to provider audit for further review.</t>
  </si>
  <si>
    <t>SIMIN  GOLESTANI</t>
  </si>
  <si>
    <t>401f6382-9d99-4194-a15e-df21cc09695a</t>
  </si>
  <si>
    <t>Follow up email sent by SME.</t>
  </si>
  <si>
    <t>CI-79938063</t>
  </si>
  <si>
    <t>AL39293</t>
  </si>
  <si>
    <t>2025353EQ1655</t>
  </si>
  <si>
    <t>20260824T174130.000 GMT</t>
  </si>
  <si>
    <t>20260826T090447.000 GMT</t>
  </si>
  <si>
    <t>Pend - Sent to Provider Audit</t>
  </si>
  <si>
    <t>SWOPE, BETHANY M</t>
  </si>
  <si>
    <t>440cc3f9-a87b-4c60-b50d-a90380f67ea2</t>
  </si>
  <si>
    <t>CI-80132263</t>
  </si>
  <si>
    <t>AL87275</t>
  </si>
  <si>
    <t>2025302EP1377</t>
  </si>
  <si>
    <t>REG-MO</t>
  </si>
  <si>
    <t>ITSPPO748</t>
  </si>
  <si>
    <t>MO</t>
  </si>
  <si>
    <t>20260827T230232.000 GMT</t>
  </si>
  <si>
    <t>20260828T000232.000 GMT</t>
  </si>
  <si>
    <t>email sent to provider audit for review</t>
  </si>
  <si>
    <t>MERCY HOSPITAL ST LOUIS-E</t>
  </si>
  <si>
    <t>b0afcd95-9248-48a8-8b21-5d03752ec7ed</t>
  </si>
  <si>
    <t xml:space="preserve">	
Awaiting CCA Response</t>
  </si>
  <si>
    <t>CI-79953321</t>
  </si>
  <si>
    <t>AG52464</t>
  </si>
  <si>
    <t>2025329FL6285</t>
  </si>
  <si>
    <t>ITSPPO131</t>
  </si>
  <si>
    <t>20260824T221104.000 GMT</t>
  </si>
  <si>
    <t>20260826T090257.000 GMT</t>
  </si>
  <si>
    <t>KULWIN, CHARLES G</t>
  </si>
  <si>
    <t>339f9cb8-dc1b-4611-aeea-a8611b7bc9cf</t>
  </si>
  <si>
    <t>CI-79911762</t>
  </si>
  <si>
    <t>2026043CL6134</t>
  </si>
  <si>
    <t>20260824T071655.000 GMT</t>
  </si>
  <si>
    <t>20260826T090235.000 GMT</t>
  </si>
  <si>
    <t>WILSON, TARA M</t>
  </si>
  <si>
    <t>876dd546-5ee9-4329-8ec6-6c5b69245ded</t>
  </si>
  <si>
    <t>Follow up email sent by SME 09/15/2026.</t>
  </si>
  <si>
    <t>CI-80028426</t>
  </si>
  <si>
    <t>2025080EM8651</t>
  </si>
  <si>
    <t>ITSPPO330</t>
  </si>
  <si>
    <t>20260826T084634.000 GMT</t>
  </si>
  <si>
    <t>20260826T094634.000 GMT</t>
  </si>
  <si>
    <t>FULTZ, KATIE J</t>
  </si>
  <si>
    <t>14cc6412-f54a-45ad-b2ae-ebde797502cb</t>
  </si>
  <si>
    <t>CI-80119668</t>
  </si>
  <si>
    <t>2025233DC2780</t>
  </si>
  <si>
    <t>20260827T190054.000 GMT</t>
  </si>
  <si>
    <t>20260831T064518.000 GMT</t>
  </si>
  <si>
    <t>Sent provider audit review.</t>
  </si>
  <si>
    <t>RODRIGUEZ, KENNETH D</t>
  </si>
  <si>
    <t>e4af0098-7dce-47b5-8cef-12e9829dd96e</t>
  </si>
  <si>
    <t>FOD</t>
  </si>
  <si>
    <t>CI-80222758</t>
  </si>
  <si>
    <t>AH00185</t>
  </si>
  <si>
    <t>1005116LA</t>
  </si>
  <si>
    <t>2024129DR8813</t>
  </si>
  <si>
    <t>281234M001</t>
  </si>
  <si>
    <t>20260830T030410.000 GMT</t>
  </si>
  <si>
    <t>20260831T022414.000 GMT</t>
  </si>
  <si>
    <t>FOD edit</t>
  </si>
  <si>
    <t>BEACH CITIES ORTHOPEDICS</t>
  </si>
  <si>
    <t>ccb09cc0-8484-4b2b-823e-19e9b3a50848</t>
  </si>
  <si>
    <t>no response yet from PA, will follow up after 15 business days (9/23)</t>
  </si>
  <si>
    <t>CI-79940186</t>
  </si>
  <si>
    <t>AH84390</t>
  </si>
  <si>
    <t>6051886AB</t>
  </si>
  <si>
    <t>2025331BT5046</t>
  </si>
  <si>
    <t>212116M3AA</t>
  </si>
  <si>
    <t>Ma. Chona Descallar</t>
  </si>
  <si>
    <t>20260824T181846.000 GMT</t>
  </si>
  <si>
    <t>20260825T233420.000 GMT</t>
  </si>
  <si>
    <t>Sent email to Provider Audit for medical records review due to denial on revenue code 0450 as duplicate. Waiting for response.</t>
  </si>
  <si>
    <t>EL CAMINO HOSPITAL</t>
  </si>
  <si>
    <t>AmeriBen</t>
  </si>
  <si>
    <t>2026-09-16T04:00:00.000Z</t>
  </si>
  <si>
    <t>1029c200-06be-4ff4-a839-f8f96c854011</t>
  </si>
  <si>
    <t>Waiting for PA response.</t>
  </si>
  <si>
    <t>CI-80103865</t>
  </si>
  <si>
    <t>AH35620</t>
  </si>
  <si>
    <t>5361059AB</t>
  </si>
  <si>
    <t>2025351FR5620</t>
  </si>
  <si>
    <t>JNT200</t>
  </si>
  <si>
    <t>JNT200M006</t>
  </si>
  <si>
    <t>Jizelle N Lacostales</t>
  </si>
  <si>
    <t>20260827T143945.000 GMT</t>
  </si>
  <si>
    <t>20260828T080800.000 GMT</t>
  </si>
  <si>
    <t>GNS310</t>
  </si>
  <si>
    <t>ONDEMAND LETTER-INQ:  2026240420573,P-74</t>
  </si>
  <si>
    <t>BOYD, TRAVIS G</t>
  </si>
  <si>
    <t>c9ef0fe2-2682-4067-ad16-8ea0c4a91c33</t>
  </si>
  <si>
    <t>CI-79333136</t>
  </si>
  <si>
    <t>16-30 DAYS</t>
  </si>
  <si>
    <t>AH17430</t>
  </si>
  <si>
    <t>2025269DI2449</t>
  </si>
  <si>
    <t>20260811T182520.000 GMT</t>
  </si>
  <si>
    <t>20260812T104956.000 GMT</t>
  </si>
  <si>
    <t>Sent to PA</t>
  </si>
  <si>
    <t>RAGSDALE, TYLER D</t>
  </si>
  <si>
    <t>8f3806c9-0253-41bb-8c96-c8b65e17d191</t>
  </si>
  <si>
    <t>CI-79861043</t>
  </si>
  <si>
    <t>2025301DY8921</t>
  </si>
  <si>
    <t>20260822T111324.000 GMT</t>
  </si>
  <si>
    <t>20260824T084931.000 GMT</t>
  </si>
  <si>
    <t>WU, VICTOR J</t>
  </si>
  <si>
    <t>564d5394-d045-4629-9f44-bf923b7d2cff</t>
  </si>
  <si>
    <t>CI-79763671</t>
  </si>
  <si>
    <t>ZZ7283939</t>
  </si>
  <si>
    <t>2025195DS4784</t>
  </si>
  <si>
    <t>20260820T135414.000 GMT</t>
  </si>
  <si>
    <t>ZZ7</t>
  </si>
  <si>
    <t>20260822T090817.000 GMT</t>
  </si>
  <si>
    <t>SPEISER, ALLISSA I</t>
  </si>
  <si>
    <t>698d9d7a-a691-4cf6-97b3-182ca04e66b0</t>
  </si>
  <si>
    <t>CI-79868141</t>
  </si>
  <si>
    <t>2025195DY6135</t>
  </si>
  <si>
    <t>20260822T134510.000 GMT</t>
  </si>
  <si>
    <t>20260824T083942.000 GMT</t>
  </si>
  <si>
    <t>Waiting for provider audit response</t>
  </si>
  <si>
    <t>HIRAI, KELSI K</t>
  </si>
  <si>
    <t>093f1bec-589e-4c1f-a881-694605768415</t>
  </si>
  <si>
    <t>CI-79625450</t>
  </si>
  <si>
    <t>AL13268</t>
  </si>
  <si>
    <t>2026002CH0752</t>
  </si>
  <si>
    <t>20260818T063543.000 GMT</t>
  </si>
  <si>
    <t>20260824T055413.000 GMT</t>
  </si>
  <si>
    <t>No response from Provider Audit for review.</t>
  </si>
  <si>
    <t>SSM HEALTH SAINT LOUIS UN</t>
  </si>
  <si>
    <t>1a21a126-657d-471d-a4ea-d675513e129f</t>
  </si>
  <si>
    <t xml:space="preserve">F/U sent 9/11
</t>
  </si>
  <si>
    <t>CI-79690190</t>
  </si>
  <si>
    <t>2025344DS2234</t>
  </si>
  <si>
    <t>20260819T091859.000 GMT</t>
  </si>
  <si>
    <t>20260821T091041.000 GMT</t>
  </si>
  <si>
    <t>O'BRIEN, MATTHEW C</t>
  </si>
  <si>
    <t>10b0342b-77dc-4577-85ac-a557767b431b</t>
  </si>
  <si>
    <t>CI-79663913</t>
  </si>
  <si>
    <t>AH89266</t>
  </si>
  <si>
    <t>2025329DJ3117</t>
  </si>
  <si>
    <t>ITS458</t>
  </si>
  <si>
    <t>20260818T191301.000 GMT</t>
  </si>
  <si>
    <t>20260820T091520.000 GMT</t>
  </si>
  <si>
    <t>Sent to provider audit review and waiting for response.</t>
  </si>
  <si>
    <t>BODETTE, KAITLYN A</t>
  </si>
  <si>
    <t>9a7c7d1f-f837-41f5-85a5-8347421b8790</t>
  </si>
  <si>
    <t>CI-79861384</t>
  </si>
  <si>
    <t>2025325DN0551</t>
  </si>
  <si>
    <t>20260822T112204.000 GMT</t>
  </si>
  <si>
    <t>20260823T104026.000 GMT</t>
  </si>
  <si>
    <t>HERMSDORF, SARAH T</t>
  </si>
  <si>
    <t>8cd741b1-3fb8-4884-814b-4a84c828b6ff</t>
  </si>
  <si>
    <t xml:space="preserve">F/U sent 9/4
</t>
  </si>
  <si>
    <t>CI-79861057</t>
  </si>
  <si>
    <t>2025343DT9520</t>
  </si>
  <si>
    <t>20260822T111404.000 GMT</t>
  </si>
  <si>
    <t>20260823T103443.000 GMT</t>
  </si>
  <si>
    <t>HORRAS, SARA J</t>
  </si>
  <si>
    <t>ddec03bb-c0cf-44d3-b841-2cd12ace4241</t>
  </si>
  <si>
    <t>CI-79585384</t>
  </si>
  <si>
    <t>2025258CQ3319</t>
  </si>
  <si>
    <t>20260817T135728.000 GMT</t>
  </si>
  <si>
    <t>20260819T090156.000 GMT</t>
  </si>
  <si>
    <t>DEMARAIS, DEAN M</t>
  </si>
  <si>
    <t>ee09ed6d-ce59-4563-87da-ab46517d401d</t>
  </si>
  <si>
    <t>CI-79863779</t>
  </si>
  <si>
    <t>2025211DJ3166</t>
  </si>
  <si>
    <t>ITSBAC748</t>
  </si>
  <si>
    <t>20260822T121319.000 GMT</t>
  </si>
  <si>
    <t>20260824T084329.000 GMT</t>
  </si>
  <si>
    <t>O'BOYNICK, CHRISTOPHE P</t>
  </si>
  <si>
    <t>870750ac-e0ec-494e-acad-f22c603f5ed5</t>
  </si>
  <si>
    <t>CI-79419812</t>
  </si>
  <si>
    <t>2025317CN8573</t>
  </si>
  <si>
    <t>20260813T075617.000 GMT</t>
  </si>
  <si>
    <t>20260816T095523.000 GMT</t>
  </si>
  <si>
    <t>SANCHEZ, LUIS A</t>
  </si>
  <si>
    <t>3ae8a105-bd3b-4d89-a974-e15155f78944</t>
  </si>
  <si>
    <t>CI-79736449</t>
  </si>
  <si>
    <t>AL20338</t>
  </si>
  <si>
    <t>2025277BH2929</t>
  </si>
  <si>
    <t>20260819T234559.000 GMT</t>
  </si>
  <si>
    <t>20260824T051634.000 GMT</t>
  </si>
  <si>
    <t>Still Waiting for Response from Provider Audit</t>
  </si>
  <si>
    <t>JONES, ANTHONY A</t>
  </si>
  <si>
    <t>1bb45ef5-484c-4332-b09e-24573cc001ce</t>
  </si>
  <si>
    <t xml:space="preserve">Sent follow up email. Waiting for response. </t>
  </si>
  <si>
    <t>CI-79616670</t>
  </si>
  <si>
    <t>116A55422</t>
  </si>
  <si>
    <t>2026062EV5119</t>
  </si>
  <si>
    <t>REG-CANorth</t>
  </si>
  <si>
    <t>280525M405</t>
  </si>
  <si>
    <t>20260817T232452.000 GMT</t>
  </si>
  <si>
    <t>20260819T090344.000 GMT</t>
  </si>
  <si>
    <t>ONDEMAND LETTER-INQ:  2026230550645,P-74</t>
  </si>
  <si>
    <t>Zenith Bridgeway</t>
  </si>
  <si>
    <t>6210b0de-9cca-41ec-85ab-f9457e41580a</t>
  </si>
  <si>
    <t>Sent follow up email. waiting for PA response.</t>
  </si>
  <si>
    <t>CI-79616562</t>
  </si>
  <si>
    <t>2025259EH6009</t>
  </si>
  <si>
    <t>20260817T232002.000 GMT</t>
  </si>
  <si>
    <t>20260818T081000.000 GMT</t>
  </si>
  <si>
    <t>ONDEMAND LETTER-INQ:  2026230570652,P-74</t>
  </si>
  <si>
    <t>5aa5301e-aa27-4244-92b4-72fcfe165c02</t>
  </si>
  <si>
    <t>CI-79621018</t>
  </si>
  <si>
    <t>2025262DY8195</t>
  </si>
  <si>
    <t>20260818T014814.000 GMT</t>
  </si>
  <si>
    <t>20260819T010201.000 GMT</t>
  </si>
  <si>
    <t>Send email to PA for medical records review as the provider submitted a medical record to support payment on procedure code S9375. MLH#2026229RM0292. Waiting for response. Thank You.</t>
  </si>
  <si>
    <t>c2a37e26-0604-45dd-8c19-37aa9d198e3a</t>
  </si>
  <si>
    <t>CI-79471666</t>
  </si>
  <si>
    <t>2025309FQ5206</t>
  </si>
  <si>
    <t>GAITSH</t>
  </si>
  <si>
    <t>ITSPPO102</t>
  </si>
  <si>
    <t>20260814T083047.000 GMT</t>
  </si>
  <si>
    <t>20260816T101112.000 GMT</t>
  </si>
  <si>
    <t>ELIZABETH M WOLFE</t>
  </si>
  <si>
    <t>c5fec69d-20ac-44b5-af84-115c188c4d64</t>
  </si>
  <si>
    <t>CI-79737190</t>
  </si>
  <si>
    <t>2025340BO5577</t>
  </si>
  <si>
    <t>20260820T000010.000 GMT</t>
  </si>
  <si>
    <t>20260824T051852.000 GMT</t>
  </si>
  <si>
    <t>still waiting for response from provider audit</t>
  </si>
  <si>
    <t>MOYO, MUTINHIMA R</t>
  </si>
  <si>
    <t>1c9d7b80-e982-428c-8d48-74811aea8544</t>
  </si>
  <si>
    <t>Sent follow up email. waiting for PA response</t>
  </si>
  <si>
    <t>CI-79791509</t>
  </si>
  <si>
    <t>0000296BO</t>
  </si>
  <si>
    <t>2025346BJ8678</t>
  </si>
  <si>
    <t>JWI048</t>
  </si>
  <si>
    <t>JWI048M001</t>
  </si>
  <si>
    <t>20260820T220649.000 GMT</t>
  </si>
  <si>
    <t>20260830T080900.000 GMT</t>
  </si>
  <si>
    <t>P-100WGSWI   WGS Provider 10 Day LETTER REQUESTED</t>
  </si>
  <si>
    <t>ZWAGERMAN, NATHAN T</t>
  </si>
  <si>
    <t>Benefits Management Group Inc</t>
  </si>
  <si>
    <t>6fb79bb2-1339-4136-b92e-42caea704d63</t>
  </si>
  <si>
    <t>CI-78714843</t>
  </si>
  <si>
    <t>2025357EG5658</t>
  </si>
  <si>
    <t>20260730T004304.000 GMT</t>
  </si>
  <si>
    <t>20260824T052053.000 GMT</t>
  </si>
  <si>
    <t>BROADDUS, WILLIAM C</t>
  </si>
  <si>
    <t>17c17f92-d5fa-4138-9343-34134ceb57bf</t>
  </si>
  <si>
    <t>CI-78756453</t>
  </si>
  <si>
    <t>AL87802</t>
  </si>
  <si>
    <t>PG</t>
  </si>
  <si>
    <t>2025325ER7231</t>
  </si>
  <si>
    <t>ITS425</t>
  </si>
  <si>
    <t>20260730T185716.000 GMT</t>
  </si>
  <si>
    <t>20260824T035242.000 GMT</t>
  </si>
  <si>
    <t>Email sent to Provider Audit for review.</t>
  </si>
  <si>
    <t>PODOLSKY, ROBERT S</t>
  </si>
  <si>
    <t>ad41042a-ef3d-417c-a244-14ae608affef</t>
  </si>
  <si>
    <t>Email sent for PA Review and waiting for response. FDOC # 7219765754. Sent email ff with SME dated 09/16/2026</t>
  </si>
  <si>
    <t>CI-79039284</t>
  </si>
  <si>
    <t>2025318DZ1598</t>
  </si>
  <si>
    <t>20260805T154408.000 GMT</t>
  </si>
  <si>
    <t>20260828T000022.000 GMT</t>
  </si>
  <si>
    <t>Email sent for PA Review and waiting for response. FDOC # 7219765754.</t>
  </si>
  <si>
    <t>0762816f-9743-412d-a072-db70e342e6b1</t>
  </si>
  <si>
    <t>Email sent for PA Review and waiting for response.</t>
  </si>
  <si>
    <t>CI-79128885</t>
  </si>
  <si>
    <t>2025325ER7337</t>
  </si>
  <si>
    <t>20260807T011643.000 GMT</t>
  </si>
  <si>
    <t>20260831T025405.000 GMT</t>
  </si>
  <si>
    <t>644d3328-4931-43f0-93d8-f5d78104c95d</t>
  </si>
  <si>
    <t>CI-78809174</t>
  </si>
  <si>
    <t>AL02716</t>
  </si>
  <si>
    <t>772A68062</t>
  </si>
  <si>
    <t>2025247CC6363</t>
  </si>
  <si>
    <t>SP2553</t>
  </si>
  <si>
    <t>SP2553M001</t>
  </si>
  <si>
    <t>20260731T182513.000 GMT</t>
  </si>
  <si>
    <t>20260826T093033.000 GMT</t>
  </si>
  <si>
    <t>MUHAMMAD S ALI, MUHAMMAD S</t>
  </si>
  <si>
    <t>b61ac400-1645-4671-a7cd-720c5a13de47</t>
  </si>
  <si>
    <t>Follow up email sent by SME</t>
  </si>
  <si>
    <t>CI-78530798</t>
  </si>
  <si>
    <t>AG71384</t>
  </si>
  <si>
    <t>2025251CD3350</t>
  </si>
  <si>
    <t>20260726T163222.000 GMT</t>
  </si>
  <si>
    <t>20260819T043000.000 GMT</t>
  </si>
  <si>
    <t>Sent Email to PA</t>
  </si>
  <si>
    <t>SWITZER, ERIN F</t>
  </si>
  <si>
    <t>74ee0a09-40a8-4046-9500-4f99343256fc</t>
  </si>
  <si>
    <t>CI-78955201</t>
  </si>
  <si>
    <t>040W11572</t>
  </si>
  <si>
    <t>2025259FC7071</t>
  </si>
  <si>
    <t>SN0022</t>
  </si>
  <si>
    <t>SN0022M002</t>
  </si>
  <si>
    <t>20260804T081336.000 GMT</t>
  </si>
  <si>
    <t>20260826T132126.000 GMT</t>
  </si>
  <si>
    <t>ALLEN, STEVEN R</t>
  </si>
  <si>
    <t>0339ea31-f3db-4fd5-8c91-d2c89ea583c9</t>
  </si>
  <si>
    <t xml:space="preserve">Follow up email sent by SME
</t>
  </si>
  <si>
    <t>CI-78849065</t>
  </si>
  <si>
    <t>424M98123</t>
  </si>
  <si>
    <t>2025262DQ5256</t>
  </si>
  <si>
    <t>SI1660</t>
  </si>
  <si>
    <t>SI1660M001</t>
  </si>
  <si>
    <t>20260801T160234.000 GMT</t>
  </si>
  <si>
    <t>20260825T052715.000 GMT</t>
  </si>
  <si>
    <t>MANTRAVADI, AVINASH V</t>
  </si>
  <si>
    <t>a50a4637-4a12-404c-8318-1fc45fe27490</t>
  </si>
  <si>
    <t>CI-78734113</t>
  </si>
  <si>
    <t>850M61288</t>
  </si>
  <si>
    <t>2025358DN2733</t>
  </si>
  <si>
    <t>SGD41228</t>
  </si>
  <si>
    <t>8KNR00</t>
  </si>
  <si>
    <t>20260730T121158.000 GMT</t>
  </si>
  <si>
    <t>20260824T004821.000 GMT</t>
  </si>
  <si>
    <t>BEARDSLEY, CHRISTOPHE J</t>
  </si>
  <si>
    <t>eee26a00-38ac-42f3-9775-37a8fe5d6a45</t>
  </si>
  <si>
    <t>CI-78872711</t>
  </si>
  <si>
    <t>393W18842</t>
  </si>
  <si>
    <t>2025149BH3876</t>
  </si>
  <si>
    <t>SGD39091</t>
  </si>
  <si>
    <t>8KN300</t>
  </si>
  <si>
    <t>20260802T134008.000 GMT</t>
  </si>
  <si>
    <t>20260825T171026.000 GMT</t>
  </si>
  <si>
    <t>ANDREWS, KELLY A</t>
  </si>
  <si>
    <t>ae0081a2-c42e-4c5f-97ff-56529fbf01d7</t>
  </si>
  <si>
    <t>Email sent for PA review and waiting for response</t>
  </si>
  <si>
    <t>CI-78773373</t>
  </si>
  <si>
    <t>AL55790</t>
  </si>
  <si>
    <t>394M58354</t>
  </si>
  <si>
    <t>2025265BI2794</t>
  </si>
  <si>
    <t>SGD37301</t>
  </si>
  <si>
    <t>9KHB00</t>
  </si>
  <si>
    <t>20260731T012434.000 GMT</t>
  </si>
  <si>
    <t>20260827T012346.000 GMT</t>
  </si>
  <si>
    <t>Sent email to PA for medical records review</t>
  </si>
  <si>
    <t>ROBERT S PODOLSKY, ROBERT S</t>
  </si>
  <si>
    <t>11e8d7a9-cb96-44d3-94ed-79f42d449e91</t>
  </si>
  <si>
    <t>Still waiting for email response</t>
  </si>
  <si>
    <t>CI-78982125</t>
  </si>
  <si>
    <t>CL-37668350</t>
  </si>
  <si>
    <t>AH00092</t>
  </si>
  <si>
    <t>X4X 336A52323</t>
  </si>
  <si>
    <t>Standard</t>
  </si>
  <si>
    <t>Provider</t>
  </si>
  <si>
    <t>2025259BZ1261</t>
  </si>
  <si>
    <t>R13373</t>
  </si>
  <si>
    <t>IT-ASPEN</t>
  </si>
  <si>
    <t>C13373M004</t>
  </si>
  <si>
    <t>20260804T163908.000 GMT</t>
  </si>
  <si>
    <t>X4X</t>
  </si>
  <si>
    <t>No</t>
  </si>
  <si>
    <t>20260826T234303.000 GMT</t>
  </si>
  <si>
    <t>MICHAEL  BALLARD</t>
  </si>
  <si>
    <t>CL-37667980</t>
  </si>
  <si>
    <t>Claim Adjustment</t>
  </si>
  <si>
    <t>43472e90-29e8-45cc-a5be-f79dbc0187de</t>
  </si>
  <si>
    <t>CI-78487438</t>
  </si>
  <si>
    <t>AG89688</t>
  </si>
  <si>
    <t>875W16919</t>
  </si>
  <si>
    <t>2025223DE9822</t>
  </si>
  <si>
    <t>R04665</t>
  </si>
  <si>
    <t>GS-CHEIBA</t>
  </si>
  <si>
    <t>C04665M002</t>
  </si>
  <si>
    <t>Melody D La Pena</t>
  </si>
  <si>
    <t>20260725T001824.000 GMT</t>
  </si>
  <si>
    <t>20260830T224535.000 GMT</t>
  </si>
  <si>
    <t>Waiting for response.</t>
  </si>
  <si>
    <t>PATTON, LAURA M</t>
  </si>
  <si>
    <t>8c544bdb-1956-4655-9172-a3c045e75b30</t>
  </si>
  <si>
    <t>CI-78795470</t>
  </si>
  <si>
    <t>AH22811</t>
  </si>
  <si>
    <t>804M50945</t>
  </si>
  <si>
    <t>2025191CC5920</t>
  </si>
  <si>
    <t>R04646</t>
  </si>
  <si>
    <t>C04646P001</t>
  </si>
  <si>
    <t>20260731T134924.000 GMT</t>
  </si>
  <si>
    <t>20260825T011424.000 GMT</t>
  </si>
  <si>
    <t>PA review Requested</t>
  </si>
  <si>
    <t>a9e7e46f-9edb-44db-bec3-635a963c6679</t>
  </si>
  <si>
    <t>CI-78817078</t>
  </si>
  <si>
    <t>607M92845</t>
  </si>
  <si>
    <t>2025346BZ3681</t>
  </si>
  <si>
    <t>OH2001</t>
  </si>
  <si>
    <t>OH2001M016</t>
  </si>
  <si>
    <t>20260731T211016.000 GMT</t>
  </si>
  <si>
    <t>20260824T072959.000 GMT</t>
  </si>
  <si>
    <t>IMRAN  ARIF, IMRAN</t>
  </si>
  <si>
    <t>725c7bf9-75fd-48ed-88df-60a807513c95</t>
  </si>
  <si>
    <t>CI-78482219</t>
  </si>
  <si>
    <t>2025059BL6053</t>
  </si>
  <si>
    <t>20260724T214857.000 GMT</t>
  </si>
  <si>
    <t>20260818T232113.000 GMT</t>
  </si>
  <si>
    <t>KUTLER, DAVID I</t>
  </si>
  <si>
    <t>804f13b2-9512-4d9a-b342-e36dc10b5c84</t>
  </si>
  <si>
    <t>awaiting PA response</t>
  </si>
  <si>
    <t>CI-79091149</t>
  </si>
  <si>
    <t>AM40216</t>
  </si>
  <si>
    <t>2025255BP2435</t>
  </si>
  <si>
    <t>20260806T132246.000 GMT</t>
  </si>
  <si>
    <t>20260830T233924.000 GMT</t>
  </si>
  <si>
    <t>LOULMET, DIDIER F</t>
  </si>
  <si>
    <t>d4643988-4551-4f04-baf4-308d78262e9d</t>
  </si>
  <si>
    <t>CI-79031499</t>
  </si>
  <si>
    <t>2025329ET4607</t>
  </si>
  <si>
    <t>20260805T133343.000 GMT</t>
  </si>
  <si>
    <t>20260827T224332.000 GMT</t>
  </si>
  <si>
    <t>Sent to PA for review</t>
  </si>
  <si>
    <t>BLUEBOND-LANGNE, RACHEL O</t>
  </si>
  <si>
    <t>597ebffe-1842-4a49-8609-e1fef42eb7f0</t>
  </si>
  <si>
    <t>CI-79032451</t>
  </si>
  <si>
    <t>2025273EF4886</t>
  </si>
  <si>
    <t>ITSANO254</t>
  </si>
  <si>
    <t>20260805T135052.000 GMT</t>
  </si>
  <si>
    <t>20260827T230054.000 GMT</t>
  </si>
  <si>
    <t>JOHNSON, RICHARD W</t>
  </si>
  <si>
    <t>ec9389c8-ded8-48df-bf24-65d02af5434e</t>
  </si>
  <si>
    <t>CI-79010623</t>
  </si>
  <si>
    <t>3HZN86448</t>
  </si>
  <si>
    <t>2025228BS1823</t>
  </si>
  <si>
    <t>20260805T015053.000 GMT</t>
  </si>
  <si>
    <t>3HZ</t>
  </si>
  <si>
    <t>20260827T052229.000 GMT</t>
  </si>
  <si>
    <t>Email sent to provider audit for review.</t>
  </si>
  <si>
    <t>MADISON  HECHT</t>
  </si>
  <si>
    <t>a0332243-c38b-49d7-b6f1-2d43421f05a2</t>
  </si>
  <si>
    <t>CI-78776637</t>
  </si>
  <si>
    <t>2024248CE9542</t>
  </si>
  <si>
    <t>20260731T025410.000 GMT</t>
  </si>
  <si>
    <t>20260824T063900.000 GMT</t>
  </si>
  <si>
    <t>Awaiting for PA review.</t>
  </si>
  <si>
    <t>CENTER FOR ADVANCED AMBUL</t>
  </si>
  <si>
    <t>0a1591ea-c0f7-4b3a-8d36-04b84e324fc3</t>
  </si>
  <si>
    <t>CI-78776597</t>
  </si>
  <si>
    <t>3HZN57085</t>
  </si>
  <si>
    <t>2025297BM9169</t>
  </si>
  <si>
    <t>20260731T025044.000 GMT</t>
  </si>
  <si>
    <t>20260824T064236.000 GMT</t>
  </si>
  <si>
    <t>PINHEIRO NETO, CARLOS D</t>
  </si>
  <si>
    <t>Appeal/Request Denied</t>
  </si>
  <si>
    <t>394101f6-47ed-4d9e-995c-2f44fe33428c</t>
  </si>
  <si>
    <t>Follow up email sent by SME on 09/15/2026.</t>
  </si>
  <si>
    <t>CI-78999273</t>
  </si>
  <si>
    <t>2025223DE9520</t>
  </si>
  <si>
    <t>20260804T211251.000 GMT</t>
  </si>
  <si>
    <t>20260827T025636.000 GMT</t>
  </si>
  <si>
    <t>10604f81-031c-44fd-82a1-acc87235b0cb</t>
  </si>
  <si>
    <t>CI-78784062</t>
  </si>
  <si>
    <t>2025344CN5534</t>
  </si>
  <si>
    <t>20260731T093228.000 GMT</t>
  </si>
  <si>
    <t>20260824T074950.000 GMT</t>
  </si>
  <si>
    <t>JOINER, EVAN F</t>
  </si>
  <si>
    <t>61dc2252-0bcc-4032-ac49-9eba740f03c7</t>
  </si>
  <si>
    <t>CI-78819173</t>
  </si>
  <si>
    <t>2025330CQ9078</t>
  </si>
  <si>
    <t>20260731T215755.000 GMT</t>
  </si>
  <si>
    <t>20260825T013838.000 GMT</t>
  </si>
  <si>
    <t>Sent to Provider Audit for review.</t>
  </si>
  <si>
    <t>DOWDELL, JAMES E</t>
  </si>
  <si>
    <t>d52a09fb-9ad9-4a25-9f0f-7a02e015c6eb</t>
  </si>
  <si>
    <t>CI-78765267</t>
  </si>
  <si>
    <t>2025276CL6528</t>
  </si>
  <si>
    <t>ITSANA254</t>
  </si>
  <si>
    <t>20260730T214558.000 GMT</t>
  </si>
  <si>
    <t>20260826T085353.000 GMT</t>
  </si>
  <si>
    <t>CATHERINE  DE-STIO</t>
  </si>
  <si>
    <t>f0bb9c1c-9b24-44e0-a79d-7d4b1f1b7f79</t>
  </si>
  <si>
    <t xml:space="preserve">Email sent for PA review and waiting for response
</t>
  </si>
  <si>
    <t>CI-78529226</t>
  </si>
  <si>
    <t>2025344CN4839</t>
  </si>
  <si>
    <t>20260726T152512.000 GMT</t>
  </si>
  <si>
    <t>20260827T004713.000 GMT</t>
  </si>
  <si>
    <t>PETERSON, KYLE V</t>
  </si>
  <si>
    <t>e23d7d5f-8332-4e57-b96a-cc2f88498a78</t>
  </si>
  <si>
    <t>CI-79000329</t>
  </si>
  <si>
    <t>2025287ED9151</t>
  </si>
  <si>
    <t>20260804T213039.000 GMT</t>
  </si>
  <si>
    <t>20260827T031509.000 GMT</t>
  </si>
  <si>
    <t>O'BOYLE, BRENDAN M</t>
  </si>
  <si>
    <t>05993e14-e6f3-4527-8b22-c15a85667d63</t>
  </si>
  <si>
    <t>CI-78605366</t>
  </si>
  <si>
    <t>I</t>
  </si>
  <si>
    <t>2025262ED5830</t>
  </si>
  <si>
    <t>20260728T074153.000 GMT</t>
  </si>
  <si>
    <t>20260830T222814.000 GMT</t>
  </si>
  <si>
    <t>RODRIGUEZ, JUAN C</t>
  </si>
  <si>
    <t>ad7e3782-e1c3-469f-8bda-db162aaef508</t>
  </si>
  <si>
    <t>Sent a follow up</t>
  </si>
  <si>
    <t>CI-78995707</t>
  </si>
  <si>
    <t>AL66317</t>
  </si>
  <si>
    <t>3HZN25330</t>
  </si>
  <si>
    <t>2025235BZ6761</t>
  </si>
  <si>
    <t>20260804T201650.000 GMT</t>
  </si>
  <si>
    <t>20260827T050507.000 GMT</t>
  </si>
  <si>
    <t>Sent email to PA for medical records review. FDOC#:  7217830266</t>
  </si>
  <si>
    <t>ALVARADO, STEPHANIE L</t>
  </si>
  <si>
    <t>5da0b80d-eeac-4aab-b70a-a003585f7091</t>
  </si>
  <si>
    <t>CI-78744237</t>
  </si>
  <si>
    <t>3HZN95422</t>
  </si>
  <si>
    <t>2025327BI8771</t>
  </si>
  <si>
    <t>20260730T152514.000 GMT</t>
  </si>
  <si>
    <t>20260824T020641.000 GMT</t>
  </si>
  <si>
    <t>PA review requested</t>
  </si>
  <si>
    <t>LALONDE, MICHAEL R</t>
  </si>
  <si>
    <t>dd11e8ba-3389-4768-a736-f53b9c91efb2</t>
  </si>
  <si>
    <t>CI-78992890</t>
  </si>
  <si>
    <t>2025274EF5375</t>
  </si>
  <si>
    <t>20260804T192952.000 GMT</t>
  </si>
  <si>
    <t>20260827T013255.000 GMT</t>
  </si>
  <si>
    <t>GRASSI, DANIELLE M</t>
  </si>
  <si>
    <t>d5eeb41d-1b90-4d1b-a6c7-d79f9784ab76</t>
  </si>
  <si>
    <t>CI-79103292</t>
  </si>
  <si>
    <t>H17436341</t>
  </si>
  <si>
    <t>2025316CT2094</t>
  </si>
  <si>
    <t>20260806T165314.000 GMT</t>
  </si>
  <si>
    <t>H17</t>
  </si>
  <si>
    <t>20260831T003502.000 GMT</t>
  </si>
  <si>
    <t>HUYNH, JEANNETTE H</t>
  </si>
  <si>
    <t>77fb7603-ac91-4e8e-899d-499cf9aa4b27</t>
  </si>
  <si>
    <t>CI-78866490</t>
  </si>
  <si>
    <t>2025319BP3662</t>
  </si>
  <si>
    <t>20260802T022636.000 GMT</t>
  </si>
  <si>
    <t>20260825T074555.000 GMT</t>
  </si>
  <si>
    <t>LEONARDO  LIBERMAN</t>
  </si>
  <si>
    <t>15ba5a02-f876-4816-abc5-e69c8c3090b0</t>
  </si>
  <si>
    <t>CI-78662855</t>
  </si>
  <si>
    <t>2025319BQ8112</t>
  </si>
  <si>
    <t>20260729T024807.000 GMT</t>
  </si>
  <si>
    <t>20260820T231109.000 GMT</t>
  </si>
  <si>
    <t>Email sent to provider for review</t>
  </si>
  <si>
    <t>PARISA  FALLAHI</t>
  </si>
  <si>
    <t>eb9cdc5a-4e78-4385-9303-79071ef3d577</t>
  </si>
  <si>
    <t>CI-78481275</t>
  </si>
  <si>
    <t>2024276DY8376</t>
  </si>
  <si>
    <t>20260724T211947.000 GMT</t>
  </si>
  <si>
    <t>20260818T230657.000 GMT</t>
  </si>
  <si>
    <t>sent to PA review</t>
  </si>
  <si>
    <t>40c044f7-83b7-42b6-976a-3194a0619170</t>
  </si>
  <si>
    <t>FOLLOW UP</t>
  </si>
  <si>
    <t>CI-79103077</t>
  </si>
  <si>
    <t>AM38611</t>
  </si>
  <si>
    <t>2025197DG8487</t>
  </si>
  <si>
    <t>20260806T165039.000 GMT</t>
  </si>
  <si>
    <t>20260831T003430.000 GMT</t>
  </si>
  <si>
    <t>ROCHELLE  WANG</t>
  </si>
  <si>
    <t>c78a1401-f5db-4f56-ad85-eec9b27d5aee</t>
  </si>
  <si>
    <t>NO RESPONSE YET</t>
  </si>
  <si>
    <t>CI-79044590</t>
  </si>
  <si>
    <t>AH84838</t>
  </si>
  <si>
    <t>2025069FF0083</t>
  </si>
  <si>
    <t>NRHITS</t>
  </si>
  <si>
    <t>GS-NEHPHost</t>
  </si>
  <si>
    <t>ITSNEA271</t>
  </si>
  <si>
    <t>20260805T171115.000 GMT</t>
  </si>
  <si>
    <t>20260828T053726.000 GMT</t>
  </si>
  <si>
    <t>NIGRINY, JOHN F</t>
  </si>
  <si>
    <t>145d848e-b1ef-4ade-8ac0-fee56db5c614</t>
  </si>
  <si>
    <t>CI-78791080</t>
  </si>
  <si>
    <t>709W18832</t>
  </si>
  <si>
    <t>2025257BT9917</t>
  </si>
  <si>
    <t>L09889</t>
  </si>
  <si>
    <t>L09889M001</t>
  </si>
  <si>
    <t>20260731T121850.000 GMT</t>
  </si>
  <si>
    <t>20260827T012107.000 GMT</t>
  </si>
  <si>
    <t>Send to Provider Audit for review.</t>
  </si>
  <si>
    <t>TUAN L BUI, TUAN L</t>
  </si>
  <si>
    <t>0d959ee8-91ef-442b-89fc-47bd5e98505a</t>
  </si>
  <si>
    <t>CI-78579420</t>
  </si>
  <si>
    <t>977M61013</t>
  </si>
  <si>
    <t>2025225DD0179</t>
  </si>
  <si>
    <t>L09124</t>
  </si>
  <si>
    <t>L09124M003</t>
  </si>
  <si>
    <t>20260727T175520.000 GMT</t>
  </si>
  <si>
    <t>20260819T223219.000 GMT</t>
  </si>
  <si>
    <t>WRIDE, NOAH L</t>
  </si>
  <si>
    <t>7e3b059f-a0cb-455a-91cd-9a642e9f1f20</t>
  </si>
  <si>
    <t>CI-78960674</t>
  </si>
  <si>
    <t>319M63558</t>
  </si>
  <si>
    <t>2025212BD5219</t>
  </si>
  <si>
    <t>L09091</t>
  </si>
  <si>
    <t>REG-KY</t>
  </si>
  <si>
    <t>L09091M001</t>
  </si>
  <si>
    <t>KY</t>
  </si>
  <si>
    <t>20260804T101512.000 GMT</t>
  </si>
  <si>
    <t>20260826T171349.000 GMT</t>
  </si>
  <si>
    <t>MOHAN J BRAR</t>
  </si>
  <si>
    <t>bdb76bca-bde6-4e4c-ac06-5ff72399bb06</t>
  </si>
  <si>
    <t>CI-78490945</t>
  </si>
  <si>
    <t>2025211FN3946</t>
  </si>
  <si>
    <t>20260725T022144.000 GMT</t>
  </si>
  <si>
    <t>20260819T003133.000 GMT</t>
  </si>
  <si>
    <t>KASTEN, MICHAEL W</t>
  </si>
  <si>
    <t>c527b22a-d2c9-490d-a291-972d48eb7952</t>
  </si>
  <si>
    <t>CI-78518747</t>
  </si>
  <si>
    <t>984A21595</t>
  </si>
  <si>
    <t>2025239EE4256</t>
  </si>
  <si>
    <t>L08920</t>
  </si>
  <si>
    <t>L08920M003</t>
  </si>
  <si>
    <t>20260725T193341.000 GMT</t>
  </si>
  <si>
    <t>20260820T070704.000 GMT</t>
  </si>
  <si>
    <t>TUSKOWSKI, JUSTIN J</t>
  </si>
  <si>
    <t>1f75518c-3926-4f12-a335-9bb31aced217</t>
  </si>
  <si>
    <t>CI-79079683</t>
  </si>
  <si>
    <t>505W23535</t>
  </si>
  <si>
    <t>2025314DC4066</t>
  </si>
  <si>
    <t>L08845</t>
  </si>
  <si>
    <t>L08845M007</t>
  </si>
  <si>
    <t>20260806T084914.000 GMT</t>
  </si>
  <si>
    <t>20260830T195606.000 GMT</t>
  </si>
  <si>
    <t>GIBIAN, JOSEPH T</t>
  </si>
  <si>
    <t>40be3867-a7c3-4c49-8616-566c412fc49c</t>
  </si>
  <si>
    <t>CI-78845996</t>
  </si>
  <si>
    <t>1944869SE</t>
  </si>
  <si>
    <t>2026028CU8384</t>
  </si>
  <si>
    <t>L08754</t>
  </si>
  <si>
    <t>GS-UFCWLOCAL2013BF</t>
  </si>
  <si>
    <t>L08754M008</t>
  </si>
  <si>
    <t>20260801T141435.000 GMT</t>
  </si>
  <si>
    <t>20260825T051537.000 GMT</t>
  </si>
  <si>
    <t>WORKU, BERHANE M</t>
  </si>
  <si>
    <t>dc782b4c-235e-410e-bf5a-4d3c0665499b</t>
  </si>
  <si>
    <t>CI-79252559</t>
  </si>
  <si>
    <t>CL-37731511</t>
  </si>
  <si>
    <t>AZL 973584304</t>
  </si>
  <si>
    <t>2025177DL7146</t>
  </si>
  <si>
    <t>L08002</t>
  </si>
  <si>
    <t>REG-CT</t>
  </si>
  <si>
    <t>L08002M060</t>
  </si>
  <si>
    <t>20260810T121903.000 GMT</t>
  </si>
  <si>
    <t>AZL</t>
  </si>
  <si>
    <t>20260830T163130.000 GMT</t>
  </si>
  <si>
    <t>CHANDRANAT  SEN</t>
  </si>
  <si>
    <t>CL-37730932</t>
  </si>
  <si>
    <t>d9558393-da89-4b28-a374-ed91d46ec432</t>
  </si>
  <si>
    <t>No response from PA yet | Notify RR foe follow up | per RR 15 days will on 09/23</t>
  </si>
  <si>
    <t>CI-79082075</t>
  </si>
  <si>
    <t>AL20349</t>
  </si>
  <si>
    <t>498W15162</t>
  </si>
  <si>
    <t>Internal Request</t>
  </si>
  <si>
    <t>2025317FF1336</t>
  </si>
  <si>
    <t>L06282</t>
  </si>
  <si>
    <t>GS-Bunzl</t>
  </si>
  <si>
    <t>IT-Internal</t>
  </si>
  <si>
    <t>L06282M029</t>
  </si>
  <si>
    <t>20260806T094329.000 GMT</t>
  </si>
  <si>
    <t>20260831T023158.000 GMT</t>
  </si>
  <si>
    <t>COHEN, DORIAN</t>
  </si>
  <si>
    <t>6f2f4950-bafc-46df-b3c0-65140dea68e6</t>
  </si>
  <si>
    <t>CI-78954308</t>
  </si>
  <si>
    <t>410W17898</t>
  </si>
  <si>
    <t>2025280FF4677</t>
  </si>
  <si>
    <t>L04035</t>
  </si>
  <si>
    <t>L04035M001</t>
  </si>
  <si>
    <t>20260804T074840.000 GMT</t>
  </si>
  <si>
    <t>20260826T084056.000 GMT</t>
  </si>
  <si>
    <t>BUSTER, BRYAN E</t>
  </si>
  <si>
    <t>0320ecbf-45de-4377-8dc5-4fd1daddf4f8</t>
  </si>
  <si>
    <t>Awaiting response since 8/28/26</t>
  </si>
  <si>
    <t>CI-78962050</t>
  </si>
  <si>
    <t>AH89140</t>
  </si>
  <si>
    <t>417M59280</t>
  </si>
  <si>
    <t>2025192DR7634</t>
  </si>
  <si>
    <t>L03885</t>
  </si>
  <si>
    <t>L03885M018</t>
  </si>
  <si>
    <t>20260804T105032.000 GMT</t>
  </si>
  <si>
    <t>20260826T055021.000 GMT</t>
  </si>
  <si>
    <t>MICHAEL C KACHMANN, MICHAEL C</t>
  </si>
  <si>
    <t>e4f92c64-ef05-4c59-ade2-200e001d5127</t>
  </si>
  <si>
    <t>CI-78747589</t>
  </si>
  <si>
    <t>743M55081</t>
  </si>
  <si>
    <t>2025217CM1669</t>
  </si>
  <si>
    <t>L03885M017</t>
  </si>
  <si>
    <t>20260730T162214.000 GMT</t>
  </si>
  <si>
    <t>20260824T023319.000 GMT</t>
  </si>
  <si>
    <t>Sent to provider audit appeals for medical review.</t>
  </si>
  <si>
    <t>MERLE, THOMAS J</t>
  </si>
  <si>
    <t>081e6125-e598-4a53-9fdc-0615845742e6</t>
  </si>
  <si>
    <t>CI-79128379</t>
  </si>
  <si>
    <t>575W07495</t>
  </si>
  <si>
    <t>2025269BI4829</t>
  </si>
  <si>
    <t>L01523</t>
  </si>
  <si>
    <t>L01523M001</t>
  </si>
  <si>
    <t>20260807T005012.000 GMT</t>
  </si>
  <si>
    <t>20260831T025234.000 GMT</t>
  </si>
  <si>
    <t>DEPTA, JEREMIAH P</t>
  </si>
  <si>
    <t>8c959f7a-cf26-447e-9005-66922888832b</t>
  </si>
  <si>
    <t>CI-78673239</t>
  </si>
  <si>
    <t>833W07385</t>
  </si>
  <si>
    <t>2025262EJ7670</t>
  </si>
  <si>
    <t>L01388</t>
  </si>
  <si>
    <t>L01388M003</t>
  </si>
  <si>
    <t>20260729T110722.000 GMT</t>
  </si>
  <si>
    <t>20260819T005918.000 GMT</t>
  </si>
  <si>
    <t>HANSON, CYNTHIA J</t>
  </si>
  <si>
    <t>0ea0f87d-b507-4e8b-bc1d-d6b7ee0f6421</t>
  </si>
  <si>
    <t>CI-78946509</t>
  </si>
  <si>
    <t>300M56467</t>
  </si>
  <si>
    <t>2025256BE6615</t>
  </si>
  <si>
    <t>L01161</t>
  </si>
  <si>
    <t>L01161M002</t>
  </si>
  <si>
    <t>20260804T031652.000 GMT</t>
  </si>
  <si>
    <t>20260826T043958.000 GMT</t>
  </si>
  <si>
    <t>NORTON WOMENS AND CHILDRE</t>
  </si>
  <si>
    <t>6d7f72fc-fb7a-45bd-b82f-ece7d8ba984f</t>
  </si>
  <si>
    <t>CI-78680793</t>
  </si>
  <si>
    <t>2025257BG4634</t>
  </si>
  <si>
    <t>L01094</t>
  </si>
  <si>
    <t>L01094M006</t>
  </si>
  <si>
    <t>20260729T134430.000 GMT</t>
  </si>
  <si>
    <t>20260821T012713.000 GMT</t>
  </si>
  <si>
    <t>TANNOUS, HENRY J</t>
  </si>
  <si>
    <t>c922967e-b81f-465f-b221-67996113b347</t>
  </si>
  <si>
    <t>CI-78993922</t>
  </si>
  <si>
    <t>NE5910660</t>
  </si>
  <si>
    <t>2025217CJ9171</t>
  </si>
  <si>
    <t>L00750</t>
  </si>
  <si>
    <t>L00750M007</t>
  </si>
  <si>
    <t>CT</t>
  </si>
  <si>
    <t>20260804T194726.000 GMT</t>
  </si>
  <si>
    <t>NE5</t>
  </si>
  <si>
    <t>20260830T222412.000 GMT</t>
  </si>
  <si>
    <t>BAUMAN, JOEL A</t>
  </si>
  <si>
    <t>a3cad54f-3f1e-4f28-8b03-f5eec686d0ac</t>
  </si>
  <si>
    <t>CI-78993916</t>
  </si>
  <si>
    <t>AL13293</t>
  </si>
  <si>
    <t>2025217CJ1614</t>
  </si>
  <si>
    <t>20260804T194713.000 GMT</t>
  </si>
  <si>
    <t>20260827T014110.000 GMT</t>
  </si>
  <si>
    <t>SHAH, PARTH S</t>
  </si>
  <si>
    <t>9b6c7f7c-ad4f-4a09-8e9c-227142ea2b3a</t>
  </si>
  <si>
    <t>No response from PA yet  | Follow up email sent 09/21/2026</t>
  </si>
  <si>
    <t>CI-79027443</t>
  </si>
  <si>
    <t>330M60170</t>
  </si>
  <si>
    <t>2025239CY7240</t>
  </si>
  <si>
    <t>KY2247</t>
  </si>
  <si>
    <t>KY2247M003</t>
  </si>
  <si>
    <t>20260805T122051.000 GMT</t>
  </si>
  <si>
    <t>20260828T100801.000 GMT</t>
  </si>
  <si>
    <t>ABHISHEK  RAY</t>
  </si>
  <si>
    <t>8cde2cd7-506f-49a1-b73d-4d1c4668264c</t>
  </si>
  <si>
    <t>CI-78938168</t>
  </si>
  <si>
    <t>388M82852</t>
  </si>
  <si>
    <t>2025315EK1843</t>
  </si>
  <si>
    <t>K11320</t>
  </si>
  <si>
    <t>K12086</t>
  </si>
  <si>
    <t>20260803T233827.000 GMT</t>
  </si>
  <si>
    <t>20260826T031148.000 GMT</t>
  </si>
  <si>
    <t>VAIL CLINIC, INC.</t>
  </si>
  <si>
    <t>959ef3b0-17fb-460b-8356-beb17b7c52f9</t>
  </si>
  <si>
    <t>CI-78731773</t>
  </si>
  <si>
    <t>2025257BC3736</t>
  </si>
  <si>
    <t>INDIVIDUAL</t>
  </si>
  <si>
    <t>817T00</t>
  </si>
  <si>
    <t>20260730T110203.000 GMT</t>
  </si>
  <si>
    <t>20260824T052255.000 GMT</t>
  </si>
  <si>
    <t>PAUL J SCHWARTZ, PAUL J</t>
  </si>
  <si>
    <t>f44b55aa-4cb3-4b47-8dbe-ee0edbee80a3</t>
  </si>
  <si>
    <t>CI-78920303</t>
  </si>
  <si>
    <t>899A66717</t>
  </si>
  <si>
    <t>2025225DE5089</t>
  </si>
  <si>
    <t>6YY800</t>
  </si>
  <si>
    <t>20260803T175254.000 GMT</t>
  </si>
  <si>
    <t>20260826T014601.000 GMT</t>
  </si>
  <si>
    <t>DARNELL, ROBERT E</t>
  </si>
  <si>
    <t>96048761-32b6-4aa0-b30c-9e0a37a8644f</t>
  </si>
  <si>
    <t>No response from PA yet | Email follow up 09/17</t>
  </si>
  <si>
    <t>CI-78472978</t>
  </si>
  <si>
    <t>431W11452</t>
  </si>
  <si>
    <t>2025329BK1841</t>
  </si>
  <si>
    <t>86PK00</t>
  </si>
  <si>
    <t>20260724T174300.000 GMT</t>
  </si>
  <si>
    <t>20260819T005349.000 GMT</t>
  </si>
  <si>
    <t>Sent email to provider audit.</t>
  </si>
  <si>
    <t>fa981384-e22b-4f99-b3a3-e5695b16dcf1</t>
  </si>
  <si>
    <t>Awaiting response since 8/22 - Will send follow up today</t>
  </si>
  <si>
    <t>CI-78702478</t>
  </si>
  <si>
    <t>798M83405</t>
  </si>
  <si>
    <t>2025318BY0449</t>
  </si>
  <si>
    <t>825F00</t>
  </si>
  <si>
    <t>20260729T202713.000 GMT</t>
  </si>
  <si>
    <t>20260820T235630.000 GMT</t>
  </si>
  <si>
    <t>Sent to PA for review. Thanks</t>
  </si>
  <si>
    <t>GREGORY M OETTING</t>
  </si>
  <si>
    <t>08d89028-aa63-402a-afb4-e02a9a63e24c</t>
  </si>
  <si>
    <t>CI-78680750</t>
  </si>
  <si>
    <t>548A56573</t>
  </si>
  <si>
    <t>2025325ER2176</t>
  </si>
  <si>
    <t>81FV00</t>
  </si>
  <si>
    <t>20260729T134342.000 GMT</t>
  </si>
  <si>
    <t>20260826T075415.000 GMT</t>
  </si>
  <si>
    <t>TRUS, THADEUS L</t>
  </si>
  <si>
    <t>fda063fd-6011-4c1e-ac41-3a0c6731ad65</t>
  </si>
  <si>
    <t>CI-79035686</t>
  </si>
  <si>
    <t>466W21262</t>
  </si>
  <si>
    <t>2025295DM5488</t>
  </si>
  <si>
    <t>20260805T144826.000 GMT</t>
  </si>
  <si>
    <t>20260827T061819.000 GMT</t>
  </si>
  <si>
    <t>BRADEN J PASSIAS, BRADEN J</t>
  </si>
  <si>
    <t>12a62869-0b80-4673-b07a-ca0c41845baa</t>
  </si>
  <si>
    <t>CI-78595088</t>
  </si>
  <si>
    <t>AG57476</t>
  </si>
  <si>
    <t>923M88163</t>
  </si>
  <si>
    <t>2026044CL3631</t>
  </si>
  <si>
    <t>97X100</t>
  </si>
  <si>
    <t>20260727T231422.000 GMT</t>
  </si>
  <si>
    <t>20260820T025231.000 GMT</t>
  </si>
  <si>
    <t>Send email to PROVIDER AUDIT APPEALS for review.</t>
  </si>
  <si>
    <t>BLACK, MICHAEL V</t>
  </si>
  <si>
    <t>61c775f7-738a-41a8-85df-d09d631e741a</t>
  </si>
  <si>
    <t>CI-78965432</t>
  </si>
  <si>
    <t>617A80177</t>
  </si>
  <si>
    <t>2024312EF2039</t>
  </si>
  <si>
    <t>9G4B00</t>
  </si>
  <si>
    <t>20260804T120032.000 GMT</t>
  </si>
  <si>
    <t>20260826T212017.000 GMT</t>
  </si>
  <si>
    <t>For Provider Audit as per concept Z400IA0425 with Medical Records with MLH
2026213A70202</t>
  </si>
  <si>
    <t>SSM HEALTH ST MARYS HOSPI</t>
  </si>
  <si>
    <t>e9b6a68b-ba55-4c9c-ab21-547f7f4cd328</t>
  </si>
  <si>
    <t>CI-78754351</t>
  </si>
  <si>
    <t>210M94978</t>
  </si>
  <si>
    <t>2025177CM6178</t>
  </si>
  <si>
    <t>20260730T182040.000 GMT</t>
  </si>
  <si>
    <t>20260824T053307.000 GMT</t>
  </si>
  <si>
    <t>SOUTHWEST CONNECTICUT SUR</t>
  </si>
  <si>
    <t>28a55cb2-d14f-4c2f-9e08-6e2a003c7047</t>
  </si>
  <si>
    <t>CI-78748040</t>
  </si>
  <si>
    <t>881M97824</t>
  </si>
  <si>
    <t>2025315DC6092</t>
  </si>
  <si>
    <t>817S00</t>
  </si>
  <si>
    <t>20260730T163016.000 GMT</t>
  </si>
  <si>
    <t>20260824T052656.000 GMT</t>
  </si>
  <si>
    <t>MATTHEW  AUSTIN</t>
  </si>
  <si>
    <t>3794ba54-c289-4709-a6cd-9d9250839fb7</t>
  </si>
  <si>
    <t>CI-78816790</t>
  </si>
  <si>
    <t>310M77114</t>
  </si>
  <si>
    <t>2025206DP1596</t>
  </si>
  <si>
    <t>82UB00</t>
  </si>
  <si>
    <t>20260731T210332.000 GMT</t>
  </si>
  <si>
    <t>20260825T032442.000 GMT</t>
  </si>
  <si>
    <t>MR Automation: Not eligible for MR automation due to the presense of  ,PAM edit. Please review and process as per the guidelines.</t>
  </si>
  <si>
    <t>5d207357-4835-46e9-9b7f-de646f810647</t>
  </si>
  <si>
    <t xml:space="preserve">PA follow-up sent on 09/18/2026. Awaiting response.
</t>
  </si>
  <si>
    <t>CI-78939418</t>
  </si>
  <si>
    <t>AH22793</t>
  </si>
  <si>
    <t>303M58429</t>
  </si>
  <si>
    <t>2025276DW2073</t>
  </si>
  <si>
    <t>838T00</t>
  </si>
  <si>
    <t>20260804T000748.000 GMT</t>
  </si>
  <si>
    <t>20260826T033807.000 GMT</t>
  </si>
  <si>
    <t>e3b23161-7761-4c86-bc62-6f8e2890c651</t>
  </si>
  <si>
    <t>CI-78993808</t>
  </si>
  <si>
    <t>213W23923</t>
  </si>
  <si>
    <t>2025257BC2440</t>
  </si>
  <si>
    <t>20260804T194550.000 GMT</t>
  </si>
  <si>
    <t>20260827T013315.000 GMT</t>
  </si>
  <si>
    <t>TESSEMA, BELACHEW</t>
  </si>
  <si>
    <t>e5bbc53d-1827-40ff-8ace-9efd7e6f2287</t>
  </si>
  <si>
    <t xml:space="preserve">	- Follow up email sent by SME.
</t>
  </si>
  <si>
    <t>CI-78641604</t>
  </si>
  <si>
    <t>717W23986</t>
  </si>
  <si>
    <t>2025203ED7147</t>
  </si>
  <si>
    <t>81VQ00</t>
  </si>
  <si>
    <t>20260728T190137.000 GMT</t>
  </si>
  <si>
    <t>20260820T064302.000 GMT</t>
  </si>
  <si>
    <t>03e52e1c-d96e-4ece-9267-1ba6f7ce4e5b</t>
  </si>
  <si>
    <t>CI-78515803</t>
  </si>
  <si>
    <t>660W15443</t>
  </si>
  <si>
    <t>2025310BQ3213</t>
  </si>
  <si>
    <t>817U00</t>
  </si>
  <si>
    <t>20260725T174033.000 GMT</t>
  </si>
  <si>
    <t>20260819T024359.000 GMT</t>
  </si>
  <si>
    <t>HANBING  ZHOU</t>
  </si>
  <si>
    <t>98f13f30-dd38-44b4-bc5f-61eadaf0c24d</t>
  </si>
  <si>
    <t>CI-78719675</t>
  </si>
  <si>
    <t>800W15341</t>
  </si>
  <si>
    <t>2025363ED0831</t>
  </si>
  <si>
    <t>836L00</t>
  </si>
  <si>
    <t>20260730T032710.000 GMT</t>
  </si>
  <si>
    <t>20260821T151058.000 GMT</t>
  </si>
  <si>
    <t>ELMORE, JULIUS B</t>
  </si>
  <si>
    <t>b23c9a67-982c-4a3f-a643-ad9eee8d6d4d</t>
  </si>
  <si>
    <t>CI-78781155</t>
  </si>
  <si>
    <t>006W19840</t>
  </si>
  <si>
    <t>2025135CM9890</t>
  </si>
  <si>
    <t>81VN00</t>
  </si>
  <si>
    <t>20260731T082435.000 GMT</t>
  </si>
  <si>
    <t>20260820T060901.000 GMT</t>
  </si>
  <si>
    <t>MIDWEST ORTHOPEDIC SPECIA</t>
  </si>
  <si>
    <t>09ae1fff-a320-487b-9e82-40302b5cedca</t>
  </si>
  <si>
    <t>CI-78861727</t>
  </si>
  <si>
    <t>699W21030</t>
  </si>
  <si>
    <t>2024317EA9948</t>
  </si>
  <si>
    <t>9G4500</t>
  </si>
  <si>
    <t>20260802T003243.000 GMT</t>
  </si>
  <si>
    <t>20260828T003550.000 GMT</t>
  </si>
  <si>
    <t>SSM HEALTH CARE ST. LOUIS</t>
  </si>
  <si>
    <t>59d83a2a-ef69-482f-9480-68c14a378699</t>
  </si>
  <si>
    <t>CI-78691054</t>
  </si>
  <si>
    <t>086W22680</t>
  </si>
  <si>
    <t>2025333BF4621</t>
  </si>
  <si>
    <t>81WH00</t>
  </si>
  <si>
    <t>20260729T165631.000 GMT</t>
  </si>
  <si>
    <t>20260826T080123.000 GMT</t>
  </si>
  <si>
    <t>AURORA BAYCARE MEDICAL CE</t>
  </si>
  <si>
    <t>8bd943ea-f0bc-4626-ae97-f5594fb1de75</t>
  </si>
  <si>
    <t>CI-78754585</t>
  </si>
  <si>
    <t>740M82962</t>
  </si>
  <si>
    <t>2025248CI7024</t>
  </si>
  <si>
    <t>82L600</t>
  </si>
  <si>
    <t>20260730T182453.000 GMT</t>
  </si>
  <si>
    <t>20260824T033243.000 GMT</t>
  </si>
  <si>
    <t>VAIL VALLEY SURGERY CENTE</t>
  </si>
  <si>
    <t>4e251ca3-3019-45cd-9928-58a982c36169</t>
  </si>
  <si>
    <t>CI-78698389</t>
  </si>
  <si>
    <t>175M56720</t>
  </si>
  <si>
    <t>2025297CI4869</t>
  </si>
  <si>
    <t>846A00</t>
  </si>
  <si>
    <t>20260729T191250.000 GMT</t>
  </si>
  <si>
    <t>20260821T042032.000 GMT</t>
  </si>
  <si>
    <t>GORDON, STEVEN A</t>
  </si>
  <si>
    <t>b3a354de-a895-4c6a-a29b-5314d17b30a5</t>
  </si>
  <si>
    <t>CI-79072159</t>
  </si>
  <si>
    <t>105W03845</t>
  </si>
  <si>
    <t>2025302EN9357</t>
  </si>
  <si>
    <t>REG-ME</t>
  </si>
  <si>
    <t>81D200</t>
  </si>
  <si>
    <t>ME</t>
  </si>
  <si>
    <t>20260806T031441.000 GMT</t>
  </si>
  <si>
    <t>20260829T033320.000 GMT</t>
  </si>
  <si>
    <t>AMBER  ANDERSON</t>
  </si>
  <si>
    <t>c82d7779-970a-4876-b394-4e61a2b1eb2d</t>
  </si>
  <si>
    <t>HOLD. Sent email to PA for medical records review. FDOC # 7213225759. Sent email ff with SME dated 09/16/2026.</t>
  </si>
  <si>
    <t>CI-78862828</t>
  </si>
  <si>
    <t>2025092EZ3269</t>
  </si>
  <si>
    <t>20260802T010656.000 GMT</t>
  </si>
  <si>
    <t>20260825T064845.000 GMT</t>
  </si>
  <si>
    <t>HOLD. Sent email to PA for medical records review. FDOC # 7213225759.</t>
  </si>
  <si>
    <t>ANDREW  REISNER</t>
  </si>
  <si>
    <t>dcc88358-5ca4-4d59-b0d3-f8ff7fd9de8d</t>
  </si>
  <si>
    <t>CI-79149450</t>
  </si>
  <si>
    <t>04440443W</t>
  </si>
  <si>
    <t>2025307DP3450</t>
  </si>
  <si>
    <t>ITSANO102</t>
  </si>
  <si>
    <t>20260807T123259.000 GMT</t>
  </si>
  <si>
    <t>20260831T073924.000 GMT</t>
  </si>
  <si>
    <t>LAL, SUNIL K</t>
  </si>
  <si>
    <t>f5af750f-71be-4d5f-83d0-a36cd3db9732</t>
  </si>
  <si>
    <t>CI-78456376</t>
  </si>
  <si>
    <t>CL-37335101</t>
  </si>
  <si>
    <t>2025232BY8298</t>
  </si>
  <si>
    <t>20260724T121528.000 GMT</t>
  </si>
  <si>
    <t>20260820T122638.000 GMT</t>
  </si>
  <si>
    <t>GOODRICH, JACOB A</t>
  </si>
  <si>
    <t>20260818T070000.000 GMT</t>
  </si>
  <si>
    <t>6d896b0a-c097-4496-a2fd-ca07967b02eb</t>
  </si>
  <si>
    <t>CI-79076225</t>
  </si>
  <si>
    <t>2025255CE0557</t>
  </si>
  <si>
    <t>20260806T074102.000 GMT</t>
  </si>
  <si>
    <t>20260830T174104.000 GMT</t>
  </si>
  <si>
    <t>ROSS, CHARLES B</t>
  </si>
  <si>
    <t>69f83702-28ba-4a1e-b127-2d081042b73c</t>
  </si>
  <si>
    <t>CI-78917075</t>
  </si>
  <si>
    <t>2025344CA5150</t>
  </si>
  <si>
    <t>20260803T170402.000 GMT</t>
  </si>
  <si>
    <t>20260826T014606.000 GMT</t>
  </si>
  <si>
    <t>EYAL  BENARIE</t>
  </si>
  <si>
    <t>d4020ef8-5ea9-40d4-b7eb-798d9e402efc</t>
  </si>
  <si>
    <t>CI-78570188</t>
  </si>
  <si>
    <t>2025268EY0839</t>
  </si>
  <si>
    <t>20260727T151518.000 GMT</t>
  </si>
  <si>
    <t>20260827T005645.000 GMT</t>
  </si>
  <si>
    <t>BRUCE JR., ROBERT W</t>
  </si>
  <si>
    <t>f79388ef-edc4-4cda-874a-268230106920</t>
  </si>
  <si>
    <t>CI-78770582</t>
  </si>
  <si>
    <t>616M96779</t>
  </si>
  <si>
    <t>2025276BS6945</t>
  </si>
  <si>
    <t>GA9430</t>
  </si>
  <si>
    <t>GA9430M005</t>
  </si>
  <si>
    <t>20260730T234343.000 GMT</t>
  </si>
  <si>
    <t>20260825T162015.000 GMT</t>
  </si>
  <si>
    <t>SCOTT Y RAHIMI, SCOTT Y</t>
  </si>
  <si>
    <t>966fb2b1-2ddd-4ae6-ac0b-f7ebc54ab9d7</t>
  </si>
  <si>
    <t>CI-78531229</t>
  </si>
  <si>
    <t>2025279BY9594</t>
  </si>
  <si>
    <t>20260726T164819.000 GMT</t>
  </si>
  <si>
    <t>20260819T043825.000 GMT</t>
  </si>
  <si>
    <t>BYRD, JAMES K</t>
  </si>
  <si>
    <t>67bb0c2f-2f69-4951-a72c-0df3a092cd61</t>
  </si>
  <si>
    <t>CI-78518692</t>
  </si>
  <si>
    <t>715W08211</t>
  </si>
  <si>
    <t>2026187BT3188</t>
  </si>
  <si>
    <t>GA6196</t>
  </si>
  <si>
    <t>BEN-NonSpiderHMO</t>
  </si>
  <si>
    <t>GA6196HR06</t>
  </si>
  <si>
    <t>20260725T193152.000 GMT</t>
  </si>
  <si>
    <t>20260819T032047.000 GMT</t>
  </si>
  <si>
    <t>pending clarif</t>
  </si>
  <si>
    <t>WELLSTAR DOUGLAS HOSPITAL</t>
  </si>
  <si>
    <t>4940c897-f1a8-478b-a0df-68d8659abe5b</t>
  </si>
  <si>
    <t>CI-78487291</t>
  </si>
  <si>
    <t>2026048ER6352</t>
  </si>
  <si>
    <t>DD3086</t>
  </si>
  <si>
    <t>DD3086M014</t>
  </si>
  <si>
    <t>20260724T235818.000 GMT</t>
  </si>
  <si>
    <t>20260830T224406.000 GMT</t>
  </si>
  <si>
    <t>MARY E TRACEY, MARY E</t>
  </si>
  <si>
    <t>e919d33e-ae5a-4e83-b5e9-93098066cd64</t>
  </si>
  <si>
    <t>still receiving FT1 during adjustment</t>
  </si>
  <si>
    <t>CI-79081346</t>
  </si>
  <si>
    <t>512A22752</t>
  </si>
  <si>
    <t>2026020DG7591</t>
  </si>
  <si>
    <t>C22681</t>
  </si>
  <si>
    <t>GS-National</t>
  </si>
  <si>
    <t>C22681M1A1</t>
  </si>
  <si>
    <t>20260806T092930.000 GMT</t>
  </si>
  <si>
    <t>20260830T224133.000 GMT</t>
  </si>
  <si>
    <t>sent to pa</t>
  </si>
  <si>
    <t>SCRIPPS HEALTH SCRIPPS GR</t>
  </si>
  <si>
    <t>379a8451-1515-4c1c-b7e2-0f0c33f45de9</t>
  </si>
  <si>
    <t>CI-78646111</t>
  </si>
  <si>
    <t>604A55186</t>
  </si>
  <si>
    <t>2025226DR3339</t>
  </si>
  <si>
    <t>C00244</t>
  </si>
  <si>
    <t>GS-CAValueTrust</t>
  </si>
  <si>
    <t>13929C</t>
  </si>
  <si>
    <t>20260728T201046.000 GMT</t>
  </si>
  <si>
    <t>20260820T072133.000 GMT</t>
  </si>
  <si>
    <t>KARUNYAN  ARULANANTHAM</t>
  </si>
  <si>
    <t>33648737-4dff-4c32-8e7f-1da2fdf4229e</t>
  </si>
  <si>
    <t>CI-78854721</t>
  </si>
  <si>
    <t>955M88656</t>
  </si>
  <si>
    <t>2025228BY5341</t>
  </si>
  <si>
    <t>720847BTE0</t>
  </si>
  <si>
    <t>20260801T190542.000 GMT</t>
  </si>
  <si>
    <t>20260825T060106.000 GMT</t>
  </si>
  <si>
    <t>EISEN, LEON K</t>
  </si>
  <si>
    <t>7809c38d-5e4b-4e49-a0f9-37b5e1502251</t>
  </si>
  <si>
    <t>CI-78727211</t>
  </si>
  <si>
    <t>097W04655</t>
  </si>
  <si>
    <t>2025219FC6777</t>
  </si>
  <si>
    <t>BEN-CS90Kernel</t>
  </si>
  <si>
    <t>720258A11M</t>
  </si>
  <si>
    <t>20260730T092424.000 GMT</t>
  </si>
  <si>
    <t>20260823T130121.000 GMT</t>
  </si>
  <si>
    <t>DAVID  FRIEDMANN</t>
  </si>
  <si>
    <t>b40f0909-1a61-4586-8700-6f333478d9c7</t>
  </si>
  <si>
    <t>CI-79131274</t>
  </si>
  <si>
    <t>AL69203</t>
  </si>
  <si>
    <t>Clarissa Alfonso</t>
  </si>
  <si>
    <t>657W05703</t>
  </si>
  <si>
    <t>2024304BO2258</t>
  </si>
  <si>
    <t>376334000M</t>
  </si>
  <si>
    <t>Fatima P Cruz</t>
  </si>
  <si>
    <t>20260807T021634.000 GMT</t>
  </si>
  <si>
    <t>20260831T034838.000 GMT</t>
  </si>
  <si>
    <t>Sent PA Review.</t>
  </si>
  <si>
    <t>RAPHAEL  DAVIS</t>
  </si>
  <si>
    <t>92a49aca-d78f-4d32-8c82-490ca163ebc9</t>
  </si>
  <si>
    <t>CI-79009436</t>
  </si>
  <si>
    <t>2025322EW2776</t>
  </si>
  <si>
    <t>360678M049</t>
  </si>
  <si>
    <t>20260805T012544.000 GMT</t>
  </si>
  <si>
    <t>20260827T051049.000 GMT</t>
  </si>
  <si>
    <t>REZAEE, MICHAEL E</t>
  </si>
  <si>
    <t>bcf08eab-3723-46ec-a605-b4ea11c7fcd6</t>
  </si>
  <si>
    <t>Sent follow up email to PA today 09/16/2026</t>
  </si>
  <si>
    <t>CI-78736157</t>
  </si>
  <si>
    <t>AL20356</t>
  </si>
  <si>
    <t>2025338CT0409</t>
  </si>
  <si>
    <t>342883M078</t>
  </si>
  <si>
    <t>20260730T125005.000 GMT</t>
  </si>
  <si>
    <t>20260827T023815.000 GMT</t>
  </si>
  <si>
    <t>CLARK, ASHLEIGH L</t>
  </si>
  <si>
    <t>f3fdfcc2-8634-47ca-83f7-5b6cde1938b1</t>
  </si>
  <si>
    <t>CI-78872002</t>
  </si>
  <si>
    <t>568W23669</t>
  </si>
  <si>
    <t>2025176DU6090</t>
  </si>
  <si>
    <t>300676M014</t>
  </si>
  <si>
    <t>20260802T112619.000 GMT</t>
  </si>
  <si>
    <t>20260825T170424.000 GMT</t>
  </si>
  <si>
    <t>JENNIFER  YU</t>
  </si>
  <si>
    <t>7423a50a-f653-4b69-82f6-fa38f8e7d337</t>
  </si>
  <si>
    <t>CI-78687010</t>
  </si>
  <si>
    <t>834W09676</t>
  </si>
  <si>
    <t>2025223CX2010</t>
  </si>
  <si>
    <t>300601A081</t>
  </si>
  <si>
    <t>Preethi. R</t>
  </si>
  <si>
    <t>20260729T154508.000 GMT</t>
  </si>
  <si>
    <t>20260826T194019.000 GMT</t>
  </si>
  <si>
    <t>For Provider Audit as per concept COD1MODAS with Medical Records with MLH
2026210B80670</t>
  </si>
  <si>
    <t>760cc22b-9825-4321-95d4-ebfa3d43cd84</t>
  </si>
  <si>
    <t>CI-78813514</t>
  </si>
  <si>
    <t>332W00988</t>
  </si>
  <si>
    <t>2025324EI1971</t>
  </si>
  <si>
    <t>300308M001</t>
  </si>
  <si>
    <t>20260731T195207.000 GMT</t>
  </si>
  <si>
    <t>20260826T094728.000 GMT</t>
  </si>
  <si>
    <t>PEAKPOINT MIDTOWN WEST SU</t>
  </si>
  <si>
    <t>b8dceec5-38af-4b25-8d1f-e65daf214369</t>
  </si>
  <si>
    <t>JAA Claim</t>
  </si>
  <si>
    <t>CI-78728525</t>
  </si>
  <si>
    <t>AL86932</t>
  </si>
  <si>
    <t>30417250Q</t>
  </si>
  <si>
    <t>2021011BU0158</t>
  </si>
  <si>
    <t>277163M202</t>
  </si>
  <si>
    <t>20260730T094907.000 GMT</t>
  </si>
  <si>
    <t>20260825T215621.000 GMT</t>
  </si>
  <si>
    <t>transfer assignment</t>
  </si>
  <si>
    <t>Motion Picture Industry Health Plan</t>
  </si>
  <si>
    <t>24eb5adc-ccff-4f31-92d9-d4a56734a7be</t>
  </si>
  <si>
    <t>Resolved</t>
  </si>
  <si>
    <t>CI-78806020</t>
  </si>
  <si>
    <t>AL20316</t>
  </si>
  <si>
    <t>AN8828331</t>
  </si>
  <si>
    <t>2025350BZ6013</t>
  </si>
  <si>
    <t>270213OHW1</t>
  </si>
  <si>
    <t>20260731T171807.000 GMT</t>
  </si>
  <si>
    <t>AN8</t>
  </si>
  <si>
    <t>20260825T043416.000 GMT</t>
  </si>
  <si>
    <t>Sent email to PA for medical records review.</t>
  </si>
  <si>
    <t>RECKER, JOSEPH R</t>
  </si>
  <si>
    <t>1a00b232-050d-4dbd-8f32-c0732b393927</t>
  </si>
  <si>
    <t>Email sent for PA follow up.</t>
  </si>
  <si>
    <t>CI-79086396</t>
  </si>
  <si>
    <t>631A76636</t>
  </si>
  <si>
    <t>2025360DD0743</t>
  </si>
  <si>
    <t>270138PUCA</t>
  </si>
  <si>
    <t>20260806T113412.000 GMT</t>
  </si>
  <si>
    <t>20260830T231116.000 GMT</t>
  </si>
  <si>
    <t>ROBINSON JR., JOE S</t>
  </si>
  <si>
    <t>f8b6c19b-9d5c-4edd-9a39-bacd3ec10090</t>
  </si>
  <si>
    <t>CI-79002642</t>
  </si>
  <si>
    <t>376A51392</t>
  </si>
  <si>
    <t>2025237BU8463</t>
  </si>
  <si>
    <t>270130MSA8</t>
  </si>
  <si>
    <t>20260804T222515.000 GMT</t>
  </si>
  <si>
    <t>20260827T032716.000 GMT</t>
  </si>
  <si>
    <t>8955052f-0d55-44cb-9558-b097f155d90f</t>
  </si>
  <si>
    <t>CI-78906840</t>
  </si>
  <si>
    <t>CL-37614940</t>
  </si>
  <si>
    <t>BFX AN6637257</t>
  </si>
  <si>
    <t>2024191DZ4781</t>
  </si>
  <si>
    <t>270105M2OA</t>
  </si>
  <si>
    <t>20260803T141934.000 GMT</t>
  </si>
  <si>
    <t>BFX</t>
  </si>
  <si>
    <t>20260826T002455.000 GMT</t>
  </si>
  <si>
    <t>STANILOAE, CEZAR S</t>
  </si>
  <si>
    <t>CL-37614001</t>
  </si>
  <si>
    <t>6a3c7423-d851-49b6-bd14-ba59626942f3</t>
  </si>
  <si>
    <t>Sent email request to move claim in active CPR status</t>
  </si>
  <si>
    <t>CI-78819083</t>
  </si>
  <si>
    <t>950W06249</t>
  </si>
  <si>
    <t>2026071ML2147</t>
  </si>
  <si>
    <t>GS-Colgate</t>
  </si>
  <si>
    <t>270095MA3U</t>
  </si>
  <si>
    <t>NJ</t>
  </si>
  <si>
    <t>20260731T215653.000 GMT</t>
  </si>
  <si>
    <t>20260828T012243.000 GMT</t>
  </si>
  <si>
    <t>NEUROPHYSIOLOGIC INTERPRE</t>
  </si>
  <si>
    <t>c3d2bbfb-dd21-4eb7-9fde-5307ab4f51ca</t>
  </si>
  <si>
    <t>Under 15 days for PA follow up</t>
  </si>
  <si>
    <t>CI-78530222</t>
  </si>
  <si>
    <t>AH87327</t>
  </si>
  <si>
    <t>420W14895</t>
  </si>
  <si>
    <t>2025364CZ2341</t>
  </si>
  <si>
    <t>230041W11A</t>
  </si>
  <si>
    <t>20260726T161214.000 GMT</t>
  </si>
  <si>
    <t>20260819T061937.000 GMT</t>
  </si>
  <si>
    <t>Email sent to Provider Audit. Awaiting response.</t>
  </si>
  <si>
    <t>CAITLIN M WAGNER</t>
  </si>
  <si>
    <t>485a54b2-f5be-4df8-9a85-c1b0515501b1</t>
  </si>
  <si>
    <t>CI-78768527</t>
  </si>
  <si>
    <t>AM21390</t>
  </si>
  <si>
    <t>972W11244</t>
  </si>
  <si>
    <t>2025358DI9924</t>
  </si>
  <si>
    <t>GS-Toyota</t>
  </si>
  <si>
    <t>214021M1VA</t>
  </si>
  <si>
    <t>20260730T225906.000 GMT</t>
  </si>
  <si>
    <t>20260824T055501.000 GMT</t>
  </si>
  <si>
    <t>Sent email to Provider audit for medical records review. FDOC#7211006787</t>
  </si>
  <si>
    <t>BRIAN A KUHN, BRIAN A</t>
  </si>
  <si>
    <t>0a1f976d-8298-419c-8f13-971d3e444544</t>
  </si>
  <si>
    <t>CI-78771792</t>
  </si>
  <si>
    <t>188A77917</t>
  </si>
  <si>
    <t>2025322BP9323</t>
  </si>
  <si>
    <t>213013MCSP</t>
  </si>
  <si>
    <t>20260731T002800.000 GMT</t>
  </si>
  <si>
    <t>20260824T062222.000 GMT</t>
  </si>
  <si>
    <t>EPHRAIM MCDOWELL REGIONAL</t>
  </si>
  <si>
    <t>fa9f4ba6-8d05-4e56-9afd-5d11510aa338</t>
  </si>
  <si>
    <t>CI-78920434</t>
  </si>
  <si>
    <t>694M82903</t>
  </si>
  <si>
    <t>2025349CG8842</t>
  </si>
  <si>
    <t>210041A2AR</t>
  </si>
  <si>
    <t>20260803T175449.000 GMT</t>
  </si>
  <si>
    <t>20260826T015906.000 GMT</t>
  </si>
  <si>
    <t>Email sent for PA Review and waiting for response. FDOC#7215387422</t>
  </si>
  <si>
    <t>WILLENBRING, MOLLY E</t>
  </si>
  <si>
    <t>14a24668-18b3-4776-b0da-2f9e81dfcf6b</t>
  </si>
  <si>
    <t>Upheld on 09/15</t>
  </si>
  <si>
    <t>CI-78798297</t>
  </si>
  <si>
    <t>331W22407</t>
  </si>
  <si>
    <t>2025127BM3730</t>
  </si>
  <si>
    <t>210040WUWU</t>
  </si>
  <si>
    <t>20260731T144335.000 GMT</t>
  </si>
  <si>
    <t>20260825T114321.000 GMT</t>
  </si>
  <si>
    <t>CHAUHAN, PRAKASH V</t>
  </si>
  <si>
    <t>faaa4238-f0ed-4dc6-ae25-b7fd43b7c9f2</t>
  </si>
  <si>
    <t>CI-78581307</t>
  </si>
  <si>
    <t>359A79284</t>
  </si>
  <si>
    <t>2025316CH1773</t>
  </si>
  <si>
    <t>201110W4AA</t>
  </si>
  <si>
    <t>20260727T182712.000 GMT</t>
  </si>
  <si>
    <t>20260819T224506.000 GMT</t>
  </si>
  <si>
    <t>EDWARD T LEBLANC, EDWARD T</t>
  </si>
  <si>
    <t>610690ec-3e49-4e55-95e8-0c57c93465a6</t>
  </si>
  <si>
    <t>CI-78530071</t>
  </si>
  <si>
    <t>272W03251</t>
  </si>
  <si>
    <t>2026079BC2879</t>
  </si>
  <si>
    <t>197184M005</t>
  </si>
  <si>
    <t>NV</t>
  </si>
  <si>
    <t>20260726T160719.000 GMT</t>
  </si>
  <si>
    <t>20260821T021828.000 GMT</t>
  </si>
  <si>
    <t>DEMERS, CHRISTOPHE P</t>
  </si>
  <si>
    <t>4e03d23e-d8c2-4273-8500-211fbc761492</t>
  </si>
  <si>
    <t>CI-79099647</t>
  </si>
  <si>
    <t>895W03249</t>
  </si>
  <si>
    <t>2026148BL4830</t>
  </si>
  <si>
    <t>197184M008</t>
  </si>
  <si>
    <t>20260806T154701.000 GMT</t>
  </si>
  <si>
    <t>20260831T003439.000 GMT</t>
  </si>
  <si>
    <t>Awaiting CCA response</t>
  </si>
  <si>
    <t>MORGAN, JAY K</t>
  </si>
  <si>
    <t>e47aa4c9-f7c2-4394-84de-0c221c8a1926</t>
  </si>
  <si>
    <t>CI-78735048</t>
  </si>
  <si>
    <t>942M77390</t>
  </si>
  <si>
    <t>2025339BI7156</t>
  </si>
  <si>
    <t>GS-ColoradoUniversity</t>
  </si>
  <si>
    <t>195610D011</t>
  </si>
  <si>
    <t>20260730T122923.000 GMT</t>
  </si>
  <si>
    <t>20260824T055057.000 GMT</t>
  </si>
  <si>
    <t>Email sent to provider audit for review</t>
  </si>
  <si>
    <t>ANDORSKY, DAVID J</t>
  </si>
  <si>
    <t>CUB265425</t>
  </si>
  <si>
    <t>c86fe80e-bcf0-4b5f-89d7-208aca1db8d2</t>
  </si>
  <si>
    <t>CI-78886486</t>
  </si>
  <si>
    <t>374M77847</t>
  </si>
  <si>
    <t>2025227CS9169</t>
  </si>
  <si>
    <t>195610X011</t>
  </si>
  <si>
    <t>20260802T222815.000 GMT</t>
  </si>
  <si>
    <t>20260825T183538.000 GMT</t>
  </si>
  <si>
    <t>LAUDER, TRAVIS B</t>
  </si>
  <si>
    <t>CUB270193</t>
  </si>
  <si>
    <t>2a183a76-0914-4c50-bffe-36385fe6f855</t>
  </si>
  <si>
    <t>Under 15 days for another PA follow up</t>
  </si>
  <si>
    <t>CI-78523286</t>
  </si>
  <si>
    <t>958W19980</t>
  </si>
  <si>
    <t>2025239CX0463</t>
  </si>
  <si>
    <t>174661M219</t>
  </si>
  <si>
    <t>20260725T233040.000 GMT</t>
  </si>
  <si>
    <t>20260819T042947.000 GMT</t>
  </si>
  <si>
    <t>TRAVIS B LAUDER, TRAVIS B</t>
  </si>
  <si>
    <t>8181ab84-b32a-441a-b699-a5b1e78572af</t>
  </si>
  <si>
    <t>CI-78530616</t>
  </si>
  <si>
    <t>793W18578</t>
  </si>
  <si>
    <t>2025324CM7794</t>
  </si>
  <si>
    <t>174656M21A</t>
  </si>
  <si>
    <t>20260726T162421.000 GMT</t>
  </si>
  <si>
    <t>20260819T043016.000 GMT</t>
  </si>
  <si>
    <t>be97ba90-4558-4b56-9d8e-51fae91580f6</t>
  </si>
  <si>
    <t>CI-78857810</t>
  </si>
  <si>
    <t>834W15834</t>
  </si>
  <si>
    <t>2025268EL3340</t>
  </si>
  <si>
    <t>GS-HomeDepot</t>
  </si>
  <si>
    <t>174577MBHA</t>
  </si>
  <si>
    <t>20260801T205116.000 GMT</t>
  </si>
  <si>
    <t>20260825T062854.000 GMT</t>
  </si>
  <si>
    <t>PROVIDENCE LITTLE COMPANY</t>
  </si>
  <si>
    <t>7339f813-9188-46bc-a74e-20b2e2ae4d1f</t>
  </si>
  <si>
    <t>CI-79070069</t>
  </si>
  <si>
    <t>786W15034</t>
  </si>
  <si>
    <t>2026023DG5964</t>
  </si>
  <si>
    <t>174570A9A2</t>
  </si>
  <si>
    <t>20260806T022352.000 GMT</t>
  </si>
  <si>
    <t>20260831T055251.000 GMT</t>
  </si>
  <si>
    <t>SHAHID  SHEKHANI</t>
  </si>
  <si>
    <t>a5bbb11a-a581-4376-ab7a-c9c83ef9ff88</t>
  </si>
  <si>
    <t>Sent email for PA follow up.</t>
  </si>
  <si>
    <t>CI-78686508</t>
  </si>
  <si>
    <t>177A51260</t>
  </si>
  <si>
    <t>2025212DL2336</t>
  </si>
  <si>
    <t>174566WGA2</t>
  </si>
  <si>
    <t>20260729T153527.000 GMT</t>
  </si>
  <si>
    <t>20260821T061412.000 GMT</t>
  </si>
  <si>
    <t>MARCZAK, SHAUN T</t>
  </si>
  <si>
    <t>28b465e4-d279-43f7-9d19-505f3adc3fa4</t>
  </si>
  <si>
    <t>CI-78806048</t>
  </si>
  <si>
    <t>307M98233</t>
  </si>
  <si>
    <t>2025323BM7050</t>
  </si>
  <si>
    <t>174565WGA1</t>
  </si>
  <si>
    <t>20260731T171832.000 GMT</t>
  </si>
  <si>
    <t>20260825T004344.000 GMT</t>
  </si>
  <si>
    <t>IRENE  KIM</t>
  </si>
  <si>
    <t>5862d889-9160-461b-8d12-d7f0f61214c4</t>
  </si>
  <si>
    <t>CI-79244426</t>
  </si>
  <si>
    <t>403A22840</t>
  </si>
  <si>
    <t>2025197DD8445</t>
  </si>
  <si>
    <t>1745067AAK</t>
  </si>
  <si>
    <t>20260810T063617.000 GMT</t>
  </si>
  <si>
    <t>20260830T162926.000 GMT</t>
  </si>
  <si>
    <t>TANNER MED CTR VILLA RICA</t>
  </si>
  <si>
    <t>1026c1ac-2a25-4ac0-aba6-4b7f1c72e532</t>
  </si>
  <si>
    <t>CI-78896461</t>
  </si>
  <si>
    <t>791W23630</t>
  </si>
  <si>
    <t>2025314EQ7805</t>
  </si>
  <si>
    <t>174331M1A2</t>
  </si>
  <si>
    <t>20260803T084936.000 GMT</t>
  </si>
  <si>
    <t>20260825T161618.000 GMT</t>
  </si>
  <si>
    <t>DUNN, BRIANNA R</t>
  </si>
  <si>
    <t>0bea178e-5f21-41af-90ff-14df109338c3</t>
  </si>
  <si>
    <t>CI-78661097</t>
  </si>
  <si>
    <t>543W17564</t>
  </si>
  <si>
    <t>2025281BI3050</t>
  </si>
  <si>
    <t>174232W1A1</t>
  </si>
  <si>
    <t>20260729T021028.000 GMT</t>
  </si>
  <si>
    <t>20260820T225402.000 GMT</t>
  </si>
  <si>
    <t>AHMED A CHEEMA, AHMED A</t>
  </si>
  <si>
    <t>2f19c71f-fb2c-4a86-87b7-5ce69478a942</t>
  </si>
  <si>
    <t>CI-78756631</t>
  </si>
  <si>
    <t>742W14050</t>
  </si>
  <si>
    <t>2024339R72364</t>
  </si>
  <si>
    <t>174232M2A1</t>
  </si>
  <si>
    <t>20260730T185949.000 GMT</t>
  </si>
  <si>
    <t>20260824T053548.000 GMT</t>
  </si>
  <si>
    <t>QIMING  WANG</t>
  </si>
  <si>
    <t>ec9cb582-98ad-4674-9262-46e2eef111a9</t>
  </si>
  <si>
    <t>CI-78518705</t>
  </si>
  <si>
    <t>725W18861</t>
  </si>
  <si>
    <t>2025029EF0288</t>
  </si>
  <si>
    <t>174205M6A9</t>
  </si>
  <si>
    <t>20260725T193226.000 GMT</t>
  </si>
  <si>
    <t>20260819T031819.000 GMT</t>
  </si>
  <si>
    <t>NORTHSIDE HOSPITAL FORSYT</t>
  </si>
  <si>
    <t>5cb3698e-4aad-44e3-8729-e5ae8797207a</t>
  </si>
  <si>
    <t>CI-78920669</t>
  </si>
  <si>
    <t>328A74268</t>
  </si>
  <si>
    <t>2025106EN8822</t>
  </si>
  <si>
    <t>174064M1AB</t>
  </si>
  <si>
    <t>20260803T175844.000 GMT</t>
  </si>
  <si>
    <t>20260826T040929.000 GMT</t>
  </si>
  <si>
    <t>0f1d060e-d343-453a-8fbd-f5f38d7c9d6a</t>
  </si>
  <si>
    <t>CI-78515336</t>
  </si>
  <si>
    <t>2025289DF4406</t>
  </si>
  <si>
    <t>ITSPPO161</t>
  </si>
  <si>
    <t>20260725T172730.000 GMT</t>
  </si>
  <si>
    <t>20260727T085917.000 GMT</t>
  </si>
  <si>
    <t>Logged to 5020 error tracker.</t>
  </si>
  <si>
    <t>ST ELIZABETH HEALTHCARE-E</t>
  </si>
  <si>
    <t>7311ea02-c3b1-43e2-a246-036634408f58</t>
  </si>
  <si>
    <t>CI-78570253</t>
  </si>
  <si>
    <t>2024275EP1932</t>
  </si>
  <si>
    <t>20260727T151610.000 GMT</t>
  </si>
  <si>
    <t>20260827T010121.000 GMT</t>
  </si>
  <si>
    <t>METRO SPECIALTY SURGERY C</t>
  </si>
  <si>
    <t>fe1e8d3d-3776-4da4-b1e4-839fbdf9d298</t>
  </si>
  <si>
    <t>Hold. Email sent for PA Review and waiting for response. FDOC # 7217487287.</t>
  </si>
  <si>
    <t>CI-78982216</t>
  </si>
  <si>
    <t>06905361W</t>
  </si>
  <si>
    <t>2025352FA9856</t>
  </si>
  <si>
    <t>20260804T164037.000 GMT</t>
  </si>
  <si>
    <t>20260826T235027.000 GMT</t>
  </si>
  <si>
    <t>EZEQUIE  MUNOZ-GONZALEZ</t>
  </si>
  <si>
    <t>b851e84a-6106-4e6a-b039-65ba30c3427d</t>
  </si>
  <si>
    <t>CI-78732850</t>
  </si>
  <si>
    <t>M61306771</t>
  </si>
  <si>
    <t>2026029BD8358</t>
  </si>
  <si>
    <t>20260730T114128.000 GMT</t>
  </si>
  <si>
    <t>M61</t>
  </si>
  <si>
    <t>20260824T003545.000 GMT</t>
  </si>
  <si>
    <t>SRINIVAS  VALLAPURI</t>
  </si>
  <si>
    <t>956462a8-978e-4265-a67e-cbcb7bf84d6a</t>
  </si>
  <si>
    <t>Nonworkable. CA claim.</t>
  </si>
  <si>
    <t>CI-78984540</t>
  </si>
  <si>
    <t>2025120DF7292</t>
  </si>
  <si>
    <t>20260804T171834.000 GMT</t>
  </si>
  <si>
    <t>20260827T000730.000 GMT</t>
  </si>
  <si>
    <t>CHANG, THOMAS</t>
  </si>
  <si>
    <t>d6e09ff1-5b2c-429a-a6af-bc5db86cda25</t>
  </si>
  <si>
    <t>CI-78687756</t>
  </si>
  <si>
    <t>2026059CD1667</t>
  </si>
  <si>
    <t>20260729T155852.000 GMT</t>
  </si>
  <si>
    <t>20260821T023326.000 GMT</t>
  </si>
  <si>
    <t>MOAINIE, SINA L</t>
  </si>
  <si>
    <t>ac554808-53d0-4609-9e85-7fa83c89e999</t>
  </si>
  <si>
    <t>CI-79095234</t>
  </si>
  <si>
    <t>2024123CU8996</t>
  </si>
  <si>
    <t>20260806T142756.000 GMT</t>
  </si>
  <si>
    <t>20260808T093132.000 GMT</t>
  </si>
  <si>
    <t>RANJIT  GANGULY</t>
  </si>
  <si>
    <t>787fd8a0-3a16-4523-b6a3-4c364f72bbee</t>
  </si>
  <si>
    <t xml:space="preserve">Follow up email sent by SME.
</t>
  </si>
  <si>
    <t>CI-78953273</t>
  </si>
  <si>
    <t>EB0059793</t>
  </si>
  <si>
    <t>2025214BR8911</t>
  </si>
  <si>
    <t>20260804T071812.000 GMT</t>
  </si>
  <si>
    <t>EB0</t>
  </si>
  <si>
    <t>20260806T223730.000 GMT</t>
  </si>
  <si>
    <t>WANG, HOWARD D</t>
  </si>
  <si>
    <t>70a92a3f-fadc-428b-b3da-7c0ce51e81e0</t>
  </si>
  <si>
    <t>CI-78934143</t>
  </si>
  <si>
    <t>2025286CG4517</t>
  </si>
  <si>
    <t>20260803T213641.000 GMT</t>
  </si>
  <si>
    <t>20260826T025246.000 GMT</t>
  </si>
  <si>
    <t>BONIFAS, ERIK J</t>
  </si>
  <si>
    <t>aa0b63ae-d8da-4607-aff2-c919725ce0bb</t>
  </si>
  <si>
    <t>CI-78934713</t>
  </si>
  <si>
    <t>2025310CL6239</t>
  </si>
  <si>
    <t>ITSBPF458</t>
  </si>
  <si>
    <t>20260803T220128.000 GMT</t>
  </si>
  <si>
    <t>20260826T024704.000 GMT</t>
  </si>
  <si>
    <t>LEBLANC, EDWARD T</t>
  </si>
  <si>
    <t>cc8f167d-cb28-47db-a094-6202818dbc72</t>
  </si>
  <si>
    <t>Email sent for PA Review and waiting for response. FDOC # 7217831085. Email ff sent by SME dated 09/15/2026</t>
  </si>
  <si>
    <t>CI-79010740</t>
  </si>
  <si>
    <t>2025295CO1500</t>
  </si>
  <si>
    <t>20260805T015311.000 GMT</t>
  </si>
  <si>
    <t>20260827T051548.000 GMT</t>
  </si>
  <si>
    <t>Email sent for PA Review and waiting for response. FDOC # 7217831085.</t>
  </si>
  <si>
    <t>BAKER, DARA R</t>
  </si>
  <si>
    <t>8159ede5-cc5c-4ec0-85a7-8185e76676c3</t>
  </si>
  <si>
    <t xml:space="preserve">Sent a follow up
</t>
  </si>
  <si>
    <t>CI-78819951</t>
  </si>
  <si>
    <t>2025182BN1936</t>
  </si>
  <si>
    <t>20260731T221433.000 GMT</t>
  </si>
  <si>
    <t>20260826T051623.000 GMT</t>
  </si>
  <si>
    <t>Duplicate Inquiry CI-80021429 received,Documents added to Attachment tab,refer to Related inquiries tab/Attachment tab</t>
  </si>
  <si>
    <t>MOUSTAFA, GIANNIS A</t>
  </si>
  <si>
    <t>4f3656ea-e596-476a-8e6b-e665258d9bc9</t>
  </si>
  <si>
    <t>CI-79002451</t>
  </si>
  <si>
    <t>W01855116</t>
  </si>
  <si>
    <t>2025268CK8038</t>
  </si>
  <si>
    <t>20260804T222106.000 GMT</t>
  </si>
  <si>
    <t>W01</t>
  </si>
  <si>
    <t>20260827T032721.000 GMT</t>
  </si>
  <si>
    <t>RIZVI, SAJJAD H</t>
  </si>
  <si>
    <t>51d5e2c3-5419-48d9-aa99-4d39975ccdfe</t>
  </si>
  <si>
    <t>CI-79000689</t>
  </si>
  <si>
    <t>W02069866</t>
  </si>
  <si>
    <t>2025337EI1219</t>
  </si>
  <si>
    <t>20260804T213700.000 GMT</t>
  </si>
  <si>
    <t>W02</t>
  </si>
  <si>
    <t>20260827T032118.000 GMT</t>
  </si>
  <si>
    <t>RUDIE, CHAD A</t>
  </si>
  <si>
    <t>6b787b0b-6463-4038-827c-e9c3030582a4</t>
  </si>
  <si>
    <t>Email sent for PA Review and waiting for response - Follow up email sent by SME.</t>
  </si>
  <si>
    <t>CI-78577195</t>
  </si>
  <si>
    <t>AM38938</t>
  </si>
  <si>
    <t>2025336EE7676</t>
  </si>
  <si>
    <t>20260727T171625.000 GMT</t>
  </si>
  <si>
    <t>20260819T221239.000 GMT</t>
  </si>
  <si>
    <t>sent to Provider Audit Appeals for review</t>
  </si>
  <si>
    <t>SSM HEALTH DEAN MEDICAL G</t>
  </si>
  <si>
    <t>1670925a-8390-4c81-84a6-b18031493cef</t>
  </si>
  <si>
    <t>CI-79017963</t>
  </si>
  <si>
    <t>2025330RH1094</t>
  </si>
  <si>
    <t>20260805T081827.000 GMT</t>
  </si>
  <si>
    <t>20260827T072708.000 GMT</t>
  </si>
  <si>
    <t>POTOCKI, JASON J</t>
  </si>
  <si>
    <t>81cdfbfc-8360-4db4-a1dc-bd93a289c595</t>
  </si>
  <si>
    <t>CI-79128659</t>
  </si>
  <si>
    <t>2026043BO0134</t>
  </si>
  <si>
    <t>20260807T011107.000 GMT</t>
  </si>
  <si>
    <t>20260808T092154.000 GMT</t>
  </si>
  <si>
    <t>BATTISTON, ADRIAN J</t>
  </si>
  <si>
    <t>53ecdd70-47c0-4b74-a6c3-7da55ed07693</t>
  </si>
  <si>
    <t>CI-79130444</t>
  </si>
  <si>
    <t>2025333BD3576</t>
  </si>
  <si>
    <t>20260807T015527.000 GMT</t>
  </si>
  <si>
    <t>20260831T032406.000 GMT</t>
  </si>
  <si>
    <t>AUDRA  REITER</t>
  </si>
  <si>
    <t>45985a3c-ae92-4281-9380-8dc81fea9849</t>
  </si>
  <si>
    <t>CI-78939736</t>
  </si>
  <si>
    <t>2025287CY2034</t>
  </si>
  <si>
    <t>20260804T001451.000 GMT</t>
  </si>
  <si>
    <t>20260811T075029.000 GMT</t>
  </si>
  <si>
    <t>DAVID  MELNICK</t>
  </si>
  <si>
    <t>4f1c1715-f49a-4255-9e2f-760c7ed1b40d</t>
  </si>
  <si>
    <t>CI-78744855</t>
  </si>
  <si>
    <t>2025267DH4711</t>
  </si>
  <si>
    <t>IT-Internet</t>
  </si>
  <si>
    <t>20260730T153544.000 GMT</t>
  </si>
  <si>
    <t>20260824T020439.000 GMT</t>
  </si>
  <si>
    <t>MURPHY, REBECCA L</t>
  </si>
  <si>
    <t>43c20bb5-0669-4f17-8a34-90269981b369</t>
  </si>
  <si>
    <t>CI-78939234</t>
  </si>
  <si>
    <t>2025332CC3629</t>
  </si>
  <si>
    <t>20260804T000422.000 GMT</t>
  </si>
  <si>
    <t>20260806T223354.000 GMT</t>
  </si>
  <si>
    <t>WIELAND, AARON M</t>
  </si>
  <si>
    <t>d8e1c320-0950-42f8-aebe-d18ad3fd3235</t>
  </si>
  <si>
    <t>CI-79158279</t>
  </si>
  <si>
    <t>20252327A0327</t>
  </si>
  <si>
    <t>20260807T150539.000 GMT</t>
  </si>
  <si>
    <t>20260831T111251.000 GMT</t>
  </si>
  <si>
    <t>ORNER, CAITLIN A</t>
  </si>
  <si>
    <t>ce825e62-c019-496c-a372-e1faf073e0d1</t>
  </si>
  <si>
    <t>CI-78759717</t>
  </si>
  <si>
    <t>2025305CF5291</t>
  </si>
  <si>
    <t>20260730T195538.000 GMT</t>
  </si>
  <si>
    <t>20260824T041245.000 GMT</t>
  </si>
  <si>
    <t>sent to PA for review.</t>
  </si>
  <si>
    <t>KENNEDY, ANDREW C</t>
  </si>
  <si>
    <t>2ece2f24-d64a-48bf-92c5-829018bc1382</t>
  </si>
  <si>
    <t>CI-78932488</t>
  </si>
  <si>
    <t>2025296CN7773</t>
  </si>
  <si>
    <t>20260803T211140.000 GMT</t>
  </si>
  <si>
    <t>20260826T023538.000 GMT</t>
  </si>
  <si>
    <t>ETHERIDGE, TYLER J</t>
  </si>
  <si>
    <t>841cb6d2-8813-4db5-9868-291e6ef0d7c9</t>
  </si>
  <si>
    <t>CI-78930843</t>
  </si>
  <si>
    <t>2025296CN9349</t>
  </si>
  <si>
    <t>20260803T204333.000 GMT</t>
  </si>
  <si>
    <t>20260805T090851.000 GMT</t>
  </si>
  <si>
    <t>LEYS, CHARLES M</t>
  </si>
  <si>
    <t>1d161dae-cd9c-4e62-9314-d64f1581ed24</t>
  </si>
  <si>
    <t>CI-79073968</t>
  </si>
  <si>
    <t>2025350BW9592</t>
  </si>
  <si>
    <t>20260806T052207.000 GMT</t>
  </si>
  <si>
    <t>20260829T121751.000 GMT</t>
  </si>
  <si>
    <t>da167f19-8094-4862-a7f3-0ba1003e7b94</t>
  </si>
  <si>
    <t>CI-78854770</t>
  </si>
  <si>
    <t>2026008CT8662</t>
  </si>
  <si>
    <t>20260801T191116.000 GMT</t>
  </si>
  <si>
    <t>20260825T055931.000 GMT</t>
  </si>
  <si>
    <t>MCHS SW WISCONSIN</t>
  </si>
  <si>
    <t>bfa3ace6-403c-4a60-9e42-e375307cb35b</t>
  </si>
  <si>
    <t>CI-79073818</t>
  </si>
  <si>
    <t>2025310BK4444</t>
  </si>
  <si>
    <t>20260806T051646.000 GMT</t>
  </si>
  <si>
    <t>20260806T074819.000 GMT</t>
  </si>
  <si>
    <t>PA review sent</t>
  </si>
  <si>
    <t>1690091f-9d86-4774-b60c-ddd1149a052b</t>
  </si>
  <si>
    <t>CI-78690306</t>
  </si>
  <si>
    <t>W02273271</t>
  </si>
  <si>
    <t>2025189DR0829</t>
  </si>
  <si>
    <t>ITSHXP458</t>
  </si>
  <si>
    <t>20260729T164242.000 GMT</t>
  </si>
  <si>
    <t>20260821T024216.000 GMT</t>
  </si>
  <si>
    <t>NATALIA B HENDRICKSON, NATALIA B</t>
  </si>
  <si>
    <t>e538fa99-bc4a-4db7-bb32-a00b052abaab</t>
  </si>
  <si>
    <t>CI-79073939</t>
  </si>
  <si>
    <t>W01630733</t>
  </si>
  <si>
    <t>2025337EH6786</t>
  </si>
  <si>
    <t>20260806T052034.000 GMT</t>
  </si>
  <si>
    <t>20260829T121500.000 GMT</t>
  </si>
  <si>
    <t>KARO, AARON P</t>
  </si>
  <si>
    <t>87a73a74-7833-4387-b60f-221b3fefdd7b</t>
  </si>
  <si>
    <t>CI-78923139</t>
  </si>
  <si>
    <t>AH60028</t>
  </si>
  <si>
    <t>2025283CR0879</t>
  </si>
  <si>
    <t>20260803T183955.000 GMT</t>
  </si>
  <si>
    <t>20260826T015806.000 GMT</t>
  </si>
  <si>
    <t>3b659bcf-e5de-429e-944b-a34bdb8d8dec</t>
  </si>
  <si>
    <t>CI-78822371</t>
  </si>
  <si>
    <t>2025196DP5570</t>
  </si>
  <si>
    <t>20260731T233135.000 GMT</t>
  </si>
  <si>
    <t>20260825T023249.000 GMT</t>
  </si>
  <si>
    <t>ST LOUIS SPINE AND ORTHOP</t>
  </si>
  <si>
    <t>4904bb26-58ea-4770-90df-c1dbfff10173</t>
  </si>
  <si>
    <t>CI-79130718</t>
  </si>
  <si>
    <t>2025058DL4057</t>
  </si>
  <si>
    <t>20260807T020009.000 GMT</t>
  </si>
  <si>
    <t>20260831T032944.000 GMT</t>
  </si>
  <si>
    <t>CIW 5020 error message</t>
  </si>
  <si>
    <t>GUERRA, OMAR M</t>
  </si>
  <si>
    <t>43ee626b-0e31-4cae-af67-12ea476301f3</t>
  </si>
  <si>
    <t>CI-78489824</t>
  </si>
  <si>
    <t>2025062DY1694</t>
  </si>
  <si>
    <t>20260725T014512.000 GMT</t>
  </si>
  <si>
    <t>20260825T162442.000 GMT</t>
  </si>
  <si>
    <t>follow up email has been sent</t>
  </si>
  <si>
    <t>OHMAN, JOHN W</t>
  </si>
  <si>
    <t>a67edb48-05e7-4ea0-ad5b-b55b9022fabc</t>
  </si>
  <si>
    <t>CI-78737699</t>
  </si>
  <si>
    <t>2025304DL1415</t>
  </si>
  <si>
    <t>20260730T131609.000 GMT</t>
  </si>
  <si>
    <t>20260826T081201.000 GMT</t>
  </si>
  <si>
    <t>FARRELL, NYSSA F</t>
  </si>
  <si>
    <t>dab7ffba-f2aa-4139-85e7-e7080c33d122</t>
  </si>
  <si>
    <t>CI-78694090</t>
  </si>
  <si>
    <t>2025143DY8333</t>
  </si>
  <si>
    <t>ITSPPO051</t>
  </si>
  <si>
    <t>20260729T175145.000 GMT</t>
  </si>
  <si>
    <t>20260821T033116.000 GMT</t>
  </si>
  <si>
    <t>Awaiting for PA Response.</t>
  </si>
  <si>
    <t>CHILDRENS HOSPITAL COLORA</t>
  </si>
  <si>
    <t>2f953f07-9143-46ca-8d6a-b579d3affbda</t>
  </si>
  <si>
    <t>CI-78872783</t>
  </si>
  <si>
    <t>2025098DE5454</t>
  </si>
  <si>
    <t>20260802T134132.000 GMT</t>
  </si>
  <si>
    <t>20260825T171137.000 GMT</t>
  </si>
  <si>
    <t>GILL, SANJITPAL S</t>
  </si>
  <si>
    <t>e4e3f767-7094-4fed-8688-034708d0564d</t>
  </si>
  <si>
    <t>CI-79032968</t>
  </si>
  <si>
    <t>147M72280</t>
  </si>
  <si>
    <t>2025213DW8473</t>
  </si>
  <si>
    <t>0A2V6Y</t>
  </si>
  <si>
    <t>00D815R533</t>
  </si>
  <si>
    <t>20260805T140045.000 GMT</t>
  </si>
  <si>
    <t>20260827T231102.000 GMT</t>
  </si>
  <si>
    <t>Email sent for PA Review and waiting for response. FDOC#7219634790</t>
  </si>
  <si>
    <t>MCPETERS, CAITLYN E</t>
  </si>
  <si>
    <t>ee900b83-f24e-4043-82bd-d64ca80d5b8e</t>
  </si>
  <si>
    <t>CI-78515770</t>
  </si>
  <si>
    <t>2025302EN3973</t>
  </si>
  <si>
    <t>004715M037</t>
  </si>
  <si>
    <t>20260725T173922.000 GMT</t>
  </si>
  <si>
    <t>20260819T024841.000 GMT</t>
  </si>
  <si>
    <t>NICHOLAS J EDGERTON, NICHOLAS J</t>
  </si>
  <si>
    <t>844811ef-7885-4443-9cb4-f842312fa2fe</t>
  </si>
  <si>
    <t>CI-78844241</t>
  </si>
  <si>
    <t>2025203EL1045</t>
  </si>
  <si>
    <t>002088M002</t>
  </si>
  <si>
    <t>20260801T132025.000 GMT</t>
  </si>
  <si>
    <t>20260826T070423.000 GMT</t>
  </si>
  <si>
    <t>JIE  YANG</t>
  </si>
  <si>
    <t>608475c5-4a50-4c6e-acf5-822510092cfb</t>
  </si>
  <si>
    <t>CI-79011326</t>
  </si>
  <si>
    <t>2025034CB0221</t>
  </si>
  <si>
    <t>001159M086</t>
  </si>
  <si>
    <t>20260805T020437.000 GMT</t>
  </si>
  <si>
    <t>20260827T133734.000 GMT</t>
  </si>
  <si>
    <t>HARTFORD SURGERY CENTER L</t>
  </si>
  <si>
    <t>c45c1f94-35c2-4563-8dfe-5bf98b86afd5</t>
  </si>
  <si>
    <t>CI-77801773</t>
  </si>
  <si>
    <t>AN6072644</t>
  </si>
  <si>
    <t>2025303CH9253</t>
  </si>
  <si>
    <t>W51072</t>
  </si>
  <si>
    <t>W51072M022</t>
  </si>
  <si>
    <t>20260710T172412.000 GMT</t>
  </si>
  <si>
    <t>AN6</t>
  </si>
  <si>
    <t>20260818T231801.000 GMT</t>
  </si>
  <si>
    <t>waiting for response</t>
  </si>
  <si>
    <t>KILARU, SASIDHAR P</t>
  </si>
  <si>
    <t>6f211d70-fb92-4877-acd8-8a2034b1cb18</t>
  </si>
  <si>
    <t>CI-78179799</t>
  </si>
  <si>
    <t>AN1517804</t>
  </si>
  <si>
    <t>2025308EX7987</t>
  </si>
  <si>
    <t>W51015</t>
  </si>
  <si>
    <t>W51015M001</t>
  </si>
  <si>
    <t>20260719T100819.000 GMT</t>
  </si>
  <si>
    <t>AN1</t>
  </si>
  <si>
    <t>20260812T154805.000 GMT</t>
  </si>
  <si>
    <t>ANNA K WRIGHT, ANNA K</t>
  </si>
  <si>
    <t>d88d2543-c9f8-48fa-b66f-e961f765f1ae</t>
  </si>
  <si>
    <t xml:space="preserve">	
Still under PA Review.</t>
  </si>
  <si>
    <t>CI-78308701</t>
  </si>
  <si>
    <t>AL20303</t>
  </si>
  <si>
    <t>791W09637</t>
  </si>
  <si>
    <t>2025196FB3461</t>
  </si>
  <si>
    <t>W40298</t>
  </si>
  <si>
    <t>W40298M002</t>
  </si>
  <si>
    <t>20260721T201108.000 GMT</t>
  </si>
  <si>
    <t>20260814T084639.000 GMT</t>
  </si>
  <si>
    <t>Sent to Provider Audit Appeals.</t>
  </si>
  <si>
    <t>LINDSAY  GALCHICK</t>
  </si>
  <si>
    <t>e5d867f8-d317-47be-a0c9-6ec8ce40f49e</t>
  </si>
  <si>
    <t>Completed on 09/16/2026</t>
  </si>
  <si>
    <t>CI-78243598</t>
  </si>
  <si>
    <t>293M70459</t>
  </si>
  <si>
    <t>2024205BD3736</t>
  </si>
  <si>
    <t>W31606</t>
  </si>
  <si>
    <t>W31606M001</t>
  </si>
  <si>
    <t>20260720T175227.000 GMT</t>
  </si>
  <si>
    <t>20260823T071016.000 GMT</t>
  </si>
  <si>
    <t>Awaiting QA response</t>
  </si>
  <si>
    <t>COOK, SAMIR I</t>
  </si>
  <si>
    <t>25113569-e873-4c03-9763-4bc00aa3da5d</t>
  </si>
  <si>
    <t xml:space="preserve">PA follow-up sent on 09/10/2026. Awaiting response.
</t>
  </si>
  <si>
    <t>CI-78415010</t>
  </si>
  <si>
    <t>2026006CA7061</t>
  </si>
  <si>
    <t>20260723T162122.000 GMT</t>
  </si>
  <si>
    <t>20260818T012312.000 GMT</t>
  </si>
  <si>
    <t>Sent for PA review</t>
  </si>
  <si>
    <t>MICHAEL  RAGOSTA</t>
  </si>
  <si>
    <t>ea7de21b-f538-4464-a960-7c017efa800e</t>
  </si>
  <si>
    <t>CI-78166273</t>
  </si>
  <si>
    <t>140W09092</t>
  </si>
  <si>
    <t>2025238EB1915</t>
  </si>
  <si>
    <t>SN0974</t>
  </si>
  <si>
    <t>SN0974M002</t>
  </si>
  <si>
    <t>20260718T225439.000 GMT</t>
  </si>
  <si>
    <t>20260812T060943.000 GMT</t>
  </si>
  <si>
    <t>TYLER J JENKINS, TYLER J</t>
  </si>
  <si>
    <t>8a68e7bd-ba99-449e-ab9e-f4d3e6e60d7e</t>
  </si>
  <si>
    <t>CI-78088332</t>
  </si>
  <si>
    <t>465W19494</t>
  </si>
  <si>
    <t>2025365BJ7557</t>
  </si>
  <si>
    <t>SGD41391</t>
  </si>
  <si>
    <t>8KN800</t>
  </si>
  <si>
    <t>20260717T072018.000 GMT</t>
  </si>
  <si>
    <t>20260812T015241.000 GMT</t>
  </si>
  <si>
    <t>LONG, CHRISTOPHE M</t>
  </si>
  <si>
    <t>c3bbaf40-2686-43d5-9b1a-97daf22d2efb</t>
  </si>
  <si>
    <t>CI-78367171</t>
  </si>
  <si>
    <t>905W23728</t>
  </si>
  <si>
    <t>2025360BU5347</t>
  </si>
  <si>
    <t>SGD08345</t>
  </si>
  <si>
    <t>8KMT00</t>
  </si>
  <si>
    <t>20260722T193901.000 GMT</t>
  </si>
  <si>
    <t>20260817T063158.000 GMT</t>
  </si>
  <si>
    <t>JOSHUA J STACY, JOSHUA J</t>
  </si>
  <si>
    <t>c8d652e0-1cb0-4f55-aac8-9cc1a26b3ea3</t>
  </si>
  <si>
    <t>CI-77811209</t>
  </si>
  <si>
    <t>064M60608</t>
  </si>
  <si>
    <t>2025260CS3227</t>
  </si>
  <si>
    <t>SGA70934</t>
  </si>
  <si>
    <t>8P9L00</t>
  </si>
  <si>
    <t>20260710T200841.000 GMT</t>
  </si>
  <si>
    <t>20260806T063544.000 GMT</t>
  </si>
  <si>
    <t>ERIN T GRUENEBERG, ERIN T</t>
  </si>
  <si>
    <t>3d21c11d-a729-4681-9161-dbba56d388c1</t>
  </si>
  <si>
    <t>CI-78319904</t>
  </si>
  <si>
    <t>2025301EE4166</t>
  </si>
  <si>
    <t>20260721T234914.000 GMT</t>
  </si>
  <si>
    <t>20260817T005523.000 GMT</t>
  </si>
  <si>
    <t>BOTT, MATTHEW J</t>
  </si>
  <si>
    <t>ff8d8be1-6d08-47c1-a533-cdebd772cc00</t>
  </si>
  <si>
    <t>CI-78320340</t>
  </si>
  <si>
    <t>2025024DQ5874</t>
  </si>
  <si>
    <t>20260722T001029.000 GMT</t>
  </si>
  <si>
    <t>20260817T002810.000 GMT</t>
  </si>
  <si>
    <t>ALEXANDER  FRANGAS</t>
  </si>
  <si>
    <t>2193fdbd-aab3-4e6c-b4f7-c9aaee2ea186</t>
  </si>
  <si>
    <t>CI-78436794</t>
  </si>
  <si>
    <t>2025347BH2743</t>
  </si>
  <si>
    <t>20260723T234304.000 GMT</t>
  </si>
  <si>
    <t>20260820T004746.000 GMT</t>
  </si>
  <si>
    <t>7f93b424-d8d4-4f8c-ba8b-3b63f20b230f</t>
  </si>
  <si>
    <t>CI-78282900</t>
  </si>
  <si>
    <t>2025346CM1280</t>
  </si>
  <si>
    <t>20260721T123031.000 GMT</t>
  </si>
  <si>
    <t>20260818T083934.000 GMT</t>
  </si>
  <si>
    <t>b7296d31-cff2-4ed7-b9f0-22cfad633d6a</t>
  </si>
  <si>
    <t>CI-78208043</t>
  </si>
  <si>
    <t>2025265DN2110</t>
  </si>
  <si>
    <t>20260720T072653.000 GMT</t>
  </si>
  <si>
    <t>20260813T031413.000 GMT</t>
  </si>
  <si>
    <t>a542cbcb-d8d1-4cd7-9685-76463c371ebf</t>
  </si>
  <si>
    <t>CI-78378637</t>
  </si>
  <si>
    <t>2025046CD4286</t>
  </si>
  <si>
    <t>20260722T232629.000 GMT</t>
  </si>
  <si>
    <t>20260817T161008.000 GMT</t>
  </si>
  <si>
    <t>GARNET HEALTH MEDICAL CEN</t>
  </si>
  <si>
    <t>dadced10-c36a-46b8-85dc-5b279992aa1c</t>
  </si>
  <si>
    <t>CI-77764685</t>
  </si>
  <si>
    <t>2025262CJ0056</t>
  </si>
  <si>
    <t>20260710T004853.000 GMT</t>
  </si>
  <si>
    <t>20260806T043120.000 GMT</t>
  </si>
  <si>
    <t>SIMHON, MATTHEW E</t>
  </si>
  <si>
    <t>9553023f-e049-4ee8-8499-0d08fc24fb23</t>
  </si>
  <si>
    <t>CI-78346360</t>
  </si>
  <si>
    <t>2025352EQ1754</t>
  </si>
  <si>
    <t>20260722T132717.000 GMT</t>
  </si>
  <si>
    <t>20260818T085953.000 GMT</t>
  </si>
  <si>
    <t>PLACANTONAKIS, DIMITRIS G</t>
  </si>
  <si>
    <t>945a4140-65ba-43b5-a2a3-5b7b5a3613db</t>
  </si>
  <si>
    <t>CI-77930128</t>
  </si>
  <si>
    <t>2025249BU9358</t>
  </si>
  <si>
    <t>20260714T032213.000 GMT</t>
  </si>
  <si>
    <t>20260810T010814.000 GMT</t>
  </si>
  <si>
    <t>LANG, MONIQUE E</t>
  </si>
  <si>
    <t>5800b690-b417-4ec6-9bec-fbe58821ec9b</t>
  </si>
  <si>
    <t>CI-77733448</t>
  </si>
  <si>
    <t>CL-36830339</t>
  </si>
  <si>
    <t>TJV 909321133</t>
  </si>
  <si>
    <t>2025231CI4706</t>
  </si>
  <si>
    <t>20260709T143723.000 GMT</t>
  </si>
  <si>
    <t>TJV</t>
  </si>
  <si>
    <t>20260806T002240.000 GMT</t>
  </si>
  <si>
    <t>PA review sent.</t>
  </si>
  <si>
    <t>KAYLA  MOREAU</t>
  </si>
  <si>
    <t>CL-36828328</t>
  </si>
  <si>
    <t>499beb53-6000-4e52-8212-7c88abc6d4a9</t>
  </si>
  <si>
    <t>CI-78085885</t>
  </si>
  <si>
    <t>2025261CV7943</t>
  </si>
  <si>
    <t>20260717T052024.000 GMT</t>
  </si>
  <si>
    <t>20260812T052447.000 GMT</t>
  </si>
  <si>
    <t>WOLFGANG, CHRISTOPHE L</t>
  </si>
  <si>
    <t>a7a50224-06c8-4351-a0cb-85d77d955a55</t>
  </si>
  <si>
    <t>CI-78114770</t>
  </si>
  <si>
    <t>2025333BE8985</t>
  </si>
  <si>
    <t>20260717T161158.000 GMT</t>
  </si>
  <si>
    <t>20260828T200127.000 GMT</t>
  </si>
  <si>
    <t>System</t>
  </si>
  <si>
    <t>Duplicate Inquiry CI-80179866 received,Documents added to Attachment tab,refer to Related inquiries tab/Attachment tab</t>
  </si>
  <si>
    <t>ISAAC  GEORGE</t>
  </si>
  <si>
    <t>5401aad7-e8b4-47d0-9d03-769d1d38f182</t>
  </si>
  <si>
    <t>CI-78399159</t>
  </si>
  <si>
    <t>2025276DM2312</t>
  </si>
  <si>
    <t>20260723T111453.000 GMT</t>
  </si>
  <si>
    <t>20260818T052052.000 GMT</t>
  </si>
  <si>
    <t>Sent email to PA for medical records review. FDOC#: 7199313206</t>
  </si>
  <si>
    <t>DARRYL  LAU</t>
  </si>
  <si>
    <t>89bfd313-fc1a-4084-98be-239d052123f1</t>
  </si>
  <si>
    <t>PA follow up sent 9/9/2026</t>
  </si>
  <si>
    <t>CI-77932698</t>
  </si>
  <si>
    <t>2025338CO3080</t>
  </si>
  <si>
    <t>20260714T051931.000 GMT</t>
  </si>
  <si>
    <t>20260810T011933.000 GMT</t>
  </si>
  <si>
    <t>DEMOS, NICOLE C</t>
  </si>
  <si>
    <t>07604f37-acd2-41dd-b37f-e9b42b09729c</t>
  </si>
  <si>
    <t>CI-78434978</t>
  </si>
  <si>
    <t>3HZN25292</t>
  </si>
  <si>
    <t>2025310DP1792</t>
  </si>
  <si>
    <t>20260723T223919.000 GMT</t>
  </si>
  <si>
    <t>20260824T010152.000 GMT</t>
  </si>
  <si>
    <t>GUDIS, DAVID A</t>
  </si>
  <si>
    <t>574b4947-d2a8-4d86-bcc2-7dd9aaa80302</t>
  </si>
  <si>
    <t>CI-78038191</t>
  </si>
  <si>
    <t>2025280R75494</t>
  </si>
  <si>
    <t>20260716T074530.000 GMT</t>
  </si>
  <si>
    <t>20260811T055648.000 GMT</t>
  </si>
  <si>
    <t>TORRES, CHRISTOPHE R</t>
  </si>
  <si>
    <t>7f5d47ae-dfa7-4f81-a9ce-5a1710bdb6a1</t>
  </si>
  <si>
    <t>CI-78294072</t>
  </si>
  <si>
    <t>3HZN84422</t>
  </si>
  <si>
    <t>2025107DN2336</t>
  </si>
  <si>
    <t>20260721T154757.000 GMT</t>
  </si>
  <si>
    <t>20260830T222236.000 GMT</t>
  </si>
  <si>
    <t>COURY, JOSEPHINE R</t>
  </si>
  <si>
    <t>4aeb4562-e003-4106-b68c-fdd26cc44b91</t>
  </si>
  <si>
    <t>CI-78472853</t>
  </si>
  <si>
    <t>306W06267</t>
  </si>
  <si>
    <t>2026047CP3239</t>
  </si>
  <si>
    <t>L15758</t>
  </si>
  <si>
    <t>L15758M001</t>
  </si>
  <si>
    <t>20260724T174118.000 GMT</t>
  </si>
  <si>
    <t>20260820T071306.000 GMT</t>
  </si>
  <si>
    <t>DAVID D WANG, DAVID D</t>
  </si>
  <si>
    <t>e8e1de3e-a40d-4308-8481-cbfd2de1eea8</t>
  </si>
  <si>
    <t>CI-78085252</t>
  </si>
  <si>
    <t>905W22996</t>
  </si>
  <si>
    <t>2025308DX7357</t>
  </si>
  <si>
    <t>L08981</t>
  </si>
  <si>
    <t>L08981M001</t>
  </si>
  <si>
    <t>20260717T041450.000 GMT</t>
  </si>
  <si>
    <t>20260813T021621.000 GMT</t>
  </si>
  <si>
    <t>awaiting CCA resposnse.</t>
  </si>
  <si>
    <t>REYNOLDS, AMBER B</t>
  </si>
  <si>
    <t>9bf8e9f8-33a1-4716-a819-2de057fa2239</t>
  </si>
  <si>
    <t>CI-78124941</t>
  </si>
  <si>
    <t>856M91270</t>
  </si>
  <si>
    <t>2024037BT5174</t>
  </si>
  <si>
    <t>L08501</t>
  </si>
  <si>
    <t>L08501M001</t>
  </si>
  <si>
    <t>20260717T191147.000 GMT</t>
  </si>
  <si>
    <t>20260812T155457.000 GMT</t>
  </si>
  <si>
    <t>METROHEALTH SYSTEM MEDICA</t>
  </si>
  <si>
    <t>992538c1-24e7-461a-88b4-8eba5f6994cb</t>
  </si>
  <si>
    <t>FOD edit waiting for AP check</t>
  </si>
  <si>
    <t>CI-78260005</t>
  </si>
  <si>
    <t>CL-37006847</t>
  </si>
  <si>
    <t>SIU/PPR Review</t>
  </si>
  <si>
    <t>ANW 314M68484</t>
  </si>
  <si>
    <t>2024240EA7788</t>
  </si>
  <si>
    <t>L07425</t>
  </si>
  <si>
    <t>L07425M001</t>
  </si>
  <si>
    <t>20260720T225041.000 GMT</t>
  </si>
  <si>
    <t>ANW</t>
  </si>
  <si>
    <t>20260826T225703.000 GMT</t>
  </si>
  <si>
    <t>FOD Edit upon live adjustment. AP Check needed.</t>
  </si>
  <si>
    <t>CL-37006224</t>
  </si>
  <si>
    <t>Claim Appeal</t>
  </si>
  <si>
    <t>460d4b2c-9667-4edc-b3d0-1077cb9b40fa</t>
  </si>
  <si>
    <t>CI-78202351</t>
  </si>
  <si>
    <t>877A51554</t>
  </si>
  <si>
    <t>2025325EK8100</t>
  </si>
  <si>
    <t>L07098</t>
  </si>
  <si>
    <t>L07098M003</t>
  </si>
  <si>
    <t>20260720T011054.000 GMT</t>
  </si>
  <si>
    <t>20260830T222013.000 GMT</t>
  </si>
  <si>
    <t>SILICON VALLEY SURGERY CT</t>
  </si>
  <si>
    <t>ea693765-694b-4ced-998b-11669f6da899</t>
  </si>
  <si>
    <t>CI-78494314</t>
  </si>
  <si>
    <t>845W15025</t>
  </si>
  <si>
    <t>2025211FN9226</t>
  </si>
  <si>
    <t>L06213</t>
  </si>
  <si>
    <t>L06213M002</t>
  </si>
  <si>
    <t>20260725T083124.000 GMT</t>
  </si>
  <si>
    <t>20260818T113937.000 GMT</t>
  </si>
  <si>
    <t>RACHEL O BLUEBOND-LANGNE, RACHEL O</t>
  </si>
  <si>
    <t>92b94e11-58a6-4438-b5fc-ac3589a681e5</t>
  </si>
  <si>
    <t>CI-78305781</t>
  </si>
  <si>
    <t>696W15168</t>
  </si>
  <si>
    <t>2025349CP9227</t>
  </si>
  <si>
    <t>L05996</t>
  </si>
  <si>
    <t>L05996B003</t>
  </si>
  <si>
    <t>20260721T191956.000 GMT</t>
  </si>
  <si>
    <t>20260814T085155.000 GMT</t>
  </si>
  <si>
    <t>RENE, AGLAE G</t>
  </si>
  <si>
    <t>6aa8a928-880f-4706-a23d-00f7fb28bff5</t>
  </si>
  <si>
    <t>Claim is on HDC hold</t>
  </si>
  <si>
    <t>CI-78319168</t>
  </si>
  <si>
    <t>072W12225</t>
  </si>
  <si>
    <t>2025094BJ9884</t>
  </si>
  <si>
    <t>L05511</t>
  </si>
  <si>
    <t>L05511M001</t>
  </si>
  <si>
    <t>20260721T233614.000 GMT</t>
  </si>
  <si>
    <t>20260831T215050.000 GMT</t>
  </si>
  <si>
    <t>Claim is pending HD adjustment approval.</t>
  </si>
  <si>
    <t>ASPEN VALLEY HOSPITAL</t>
  </si>
  <si>
    <t>ada93ec1-d673-4a83-ae46-6c17e9f25510</t>
  </si>
  <si>
    <t>HOLD. Sent email to PA for medical records review. FDOC # 7200094186. Sent FF dated 09/07/2026.</t>
  </si>
  <si>
    <t>CI-78508372</t>
  </si>
  <si>
    <t>160A68687</t>
  </si>
  <si>
    <t>2025283DC7674</t>
  </si>
  <si>
    <t>L05116</t>
  </si>
  <si>
    <t>L05116M013</t>
  </si>
  <si>
    <t>20260725T142237.000 GMT</t>
  </si>
  <si>
    <t>20260818T130411.000 GMT</t>
  </si>
  <si>
    <t>HOLD. Sent email to PA for medical records review. FDOC # 7200094186.</t>
  </si>
  <si>
    <t>ALEX K MILLER, ALEX K</t>
  </si>
  <si>
    <t>143adec7-c251-4865-bfe6-43b76b940982</t>
  </si>
  <si>
    <t>Upheld</t>
  </si>
  <si>
    <t>CI-78318595</t>
  </si>
  <si>
    <t>2025306BL0698</t>
  </si>
  <si>
    <t>L03618</t>
  </si>
  <si>
    <t>L03618M014</t>
  </si>
  <si>
    <t>20260721T231836.000 GMT</t>
  </si>
  <si>
    <t>20260814T063226.000 GMT</t>
  </si>
  <si>
    <t>AUSTIN W HOLT, AUSTIN W</t>
  </si>
  <si>
    <t>e9cb8ad5-2680-4a90-86d9-8722e527872e</t>
  </si>
  <si>
    <t>Sent PA Follow-up 09/08</t>
  </si>
  <si>
    <t>CI-78438604</t>
  </si>
  <si>
    <t>AG66056</t>
  </si>
  <si>
    <t>942M60607</t>
  </si>
  <si>
    <t>2025269DY2029</t>
  </si>
  <si>
    <t>L01309</t>
  </si>
  <si>
    <t>L01309M003</t>
  </si>
  <si>
    <t>20260724T004729.000 GMT</t>
  </si>
  <si>
    <t>20260818T073435.000 GMT</t>
  </si>
  <si>
    <t>Sent to provider audit for review.</t>
  </si>
  <si>
    <t>VANDERBILT, TIMOTHY P</t>
  </si>
  <si>
    <t>6ecd282f-bfcf-42f7-94dc-3d1a789ed706</t>
  </si>
  <si>
    <t>CI-78082905</t>
  </si>
  <si>
    <t>2025257BG5467</t>
  </si>
  <si>
    <t>20260717T021838.000 GMT</t>
  </si>
  <si>
    <t>20260812T002922.000 GMT</t>
  </si>
  <si>
    <t>YOUNG, MICHAEL N</t>
  </si>
  <si>
    <t>c6c95f17-2713-4633-8ff6-0404955abd7c</t>
  </si>
  <si>
    <t>2115395BY</t>
  </si>
  <si>
    <t>2025189DL7444</t>
  </si>
  <si>
    <t>JMQ031</t>
  </si>
  <si>
    <t>JMQ031M004</t>
  </si>
  <si>
    <t>20260727T134114.000 GMT</t>
  </si>
  <si>
    <t>20260831T084853.000 GMT</t>
  </si>
  <si>
    <t>Sent follow-up email to SME and PA</t>
  </si>
  <si>
    <t>HERZOG, JACQUES A</t>
  </si>
  <si>
    <t>Benesys</t>
  </si>
  <si>
    <t>014c99fe-33df-4d1b-8b82-c2df84e857c9</t>
  </si>
  <si>
    <t>CI-78315613</t>
  </si>
  <si>
    <t>635M87927</t>
  </si>
  <si>
    <t>2025297BQ7243</t>
  </si>
  <si>
    <t>818W00</t>
  </si>
  <si>
    <t>20260721T221353.000 GMT</t>
  </si>
  <si>
    <t>20260817T004502.000 GMT</t>
  </si>
  <si>
    <t>DENATALE, RALPH W</t>
  </si>
  <si>
    <t>4b629c87-ccc0-4457-ac19-5d188b4a1d01</t>
  </si>
  <si>
    <t>CI-78284790</t>
  </si>
  <si>
    <t>656M99014</t>
  </si>
  <si>
    <t>2025267CX5352</t>
  </si>
  <si>
    <t>81WB00</t>
  </si>
  <si>
    <t>20260721T130421.000 GMT</t>
  </si>
  <si>
    <t>20260814T012147.000 GMT</t>
  </si>
  <si>
    <t>NOVAK, LINDSAY S</t>
  </si>
  <si>
    <t>62f7315e-9cd1-42e0-9226-41ba73c0c82b</t>
  </si>
  <si>
    <t>High Dollar Review</t>
  </si>
  <si>
    <t>CI-77989814</t>
  </si>
  <si>
    <t>522M83209</t>
  </si>
  <si>
    <t>2025318BK6729</t>
  </si>
  <si>
    <t>82NH00</t>
  </si>
  <si>
    <t>20260715T072557.000 GMT</t>
  </si>
  <si>
    <t>20260826T055453.000 GMT</t>
  </si>
  <si>
    <t>pended adjustment- need High dollar approval</t>
  </si>
  <si>
    <t>e34bd613-fd89-4f7e-ab54-90b6c1fe5767</t>
  </si>
  <si>
    <t>CI-77853338</t>
  </si>
  <si>
    <t>962W18485</t>
  </si>
  <si>
    <t>2025304BL4503</t>
  </si>
  <si>
    <t>81TM00</t>
  </si>
  <si>
    <t>20260711T202840.000 GMT</t>
  </si>
  <si>
    <t>20260807T020949.000 GMT</t>
  </si>
  <si>
    <t>sent to pa for review</t>
  </si>
  <si>
    <t>KELLY A BOYLE, KELLY A</t>
  </si>
  <si>
    <t>43b1e5ff-dc6b-4926-af36-0b674c4e1121</t>
  </si>
  <si>
    <t>CI-78506983</t>
  </si>
  <si>
    <t>425A65926</t>
  </si>
  <si>
    <t>2025319BB6209</t>
  </si>
  <si>
    <t>82SR00</t>
  </si>
  <si>
    <t>20260725T134317.000 GMT</t>
  </si>
  <si>
    <t>20260824T051008.000 GMT</t>
  </si>
  <si>
    <t>Still waiting for response from Provider Audit</t>
  </si>
  <si>
    <t>CURATORS OF THE UNIVERSIT</t>
  </si>
  <si>
    <t>d6986a95-4be2-4dc5-8b59-1fdea5f2b9c4</t>
  </si>
  <si>
    <t>CI-78169696</t>
  </si>
  <si>
    <t>788W16304</t>
  </si>
  <si>
    <t>2025231DV3246</t>
  </si>
  <si>
    <t>20260719T012831.000 GMT</t>
  </si>
  <si>
    <t>20260813T015721.000 GMT</t>
  </si>
  <si>
    <t>Email sent to provider audit for reveiw</t>
  </si>
  <si>
    <t>bcddfa28-f629-438f-86bc-8ff0b3ca132a</t>
  </si>
  <si>
    <t>CI-78372158</t>
  </si>
  <si>
    <t>2025325EQ8771</t>
  </si>
  <si>
    <t>20260722T210847.000 GMT</t>
  </si>
  <si>
    <t>20260817T091259.000 GMT</t>
  </si>
  <si>
    <t>JACOB  LEPARD</t>
  </si>
  <si>
    <t>3fa301ba-9163-4329-bbdc-0982ec857a5c</t>
  </si>
  <si>
    <t>PA now on research</t>
  </si>
  <si>
    <t>CI-78371181</t>
  </si>
  <si>
    <t>AG39737</t>
  </si>
  <si>
    <t>2025241CH7603</t>
  </si>
  <si>
    <t>Arianne Grace A Dinglas</t>
  </si>
  <si>
    <t>20260722T205141.000 GMT</t>
  </si>
  <si>
    <t>20260825T035031.000 GMT</t>
  </si>
  <si>
    <t>Provider dispute - Need medical review claim 2025241CH7603</t>
  </si>
  <si>
    <t>HALBROOKS, LOREN H</t>
  </si>
  <si>
    <t>9747a2fe-f355-4a46-b34c-ad85b0659ff6</t>
  </si>
  <si>
    <t>CI-78343569</t>
  </si>
  <si>
    <t>2025014CS1790</t>
  </si>
  <si>
    <t>20260722T123312.000 GMT</t>
  </si>
  <si>
    <t>20260824T004452.000 GMT</t>
  </si>
  <si>
    <t>EMORY UNIVERSITY HOSP MID</t>
  </si>
  <si>
    <t>6f710644-abc7-45ef-8848-09694b61990d</t>
  </si>
  <si>
    <t>SME already sent a follow up email</t>
  </si>
  <si>
    <t>CI-78429275</t>
  </si>
  <si>
    <t>2025276CD1240</t>
  </si>
  <si>
    <t>20260723T202239.000 GMT</t>
  </si>
  <si>
    <t>20260818T052631.000 GMT</t>
  </si>
  <si>
    <t>Awaiting medical review from PA</t>
  </si>
  <si>
    <t>RICHARD  LEE</t>
  </si>
  <si>
    <t>baf52e41-d08b-432a-aacc-ceabf6d7d5b9</t>
  </si>
  <si>
    <t>CI-78035059</t>
  </si>
  <si>
    <t>2024219DJ2374</t>
  </si>
  <si>
    <t>20260716T052643.000 GMT</t>
  </si>
  <si>
    <t>20260811T040359.000 GMT</t>
  </si>
  <si>
    <t>EMORY UNIVERSITY HOSPITAL</t>
  </si>
  <si>
    <t>7c78456e-4386-4118-9b9f-68e778ed076c</t>
  </si>
  <si>
    <t>CI-78284937</t>
  </si>
  <si>
    <t>619M92057</t>
  </si>
  <si>
    <t>2025314DO4413</t>
  </si>
  <si>
    <t>GA6140</t>
  </si>
  <si>
    <t>GA6140M407</t>
  </si>
  <si>
    <t>20260721T130708.000 GMT</t>
  </si>
  <si>
    <t>20260814T013459.000 GMT</t>
  </si>
  <si>
    <t>REEVES, JAMES G</t>
  </si>
  <si>
    <t>8553cc15-a0ef-414c-b8f3-36e73276ce45</t>
  </si>
  <si>
    <t xml:space="preserve">Email sent for PA Review and waiting for response
</t>
  </si>
  <si>
    <t>CI-78203803</t>
  </si>
  <si>
    <t>2025317CH4441</t>
  </si>
  <si>
    <t>CTITSH</t>
  </si>
  <si>
    <t>ITSPPO062</t>
  </si>
  <si>
    <t>20260720T014822.000 GMT</t>
  </si>
  <si>
    <t>20260813T024743.000 GMT</t>
  </si>
  <si>
    <t>KILLEN, ANDREW B</t>
  </si>
  <si>
    <t>3492d57c-26df-495f-a533-ae0f4beee9ce</t>
  </si>
  <si>
    <t>CI-78199567</t>
  </si>
  <si>
    <t>2025352BS6300</t>
  </si>
  <si>
    <t>20260719T224414.000 GMT</t>
  </si>
  <si>
    <t>20260813T052604.000 GMT</t>
  </si>
  <si>
    <t>Sent email to PA for medical records review. FDOC#: 7189782899</t>
  </si>
  <si>
    <t>f36c2acd-4c20-41df-a4c1-9d47df4684e3</t>
  </si>
  <si>
    <t>CI-78341127</t>
  </si>
  <si>
    <t>2025239BT4438</t>
  </si>
  <si>
    <t>20260722T114029.000 GMT</t>
  </si>
  <si>
    <t>20260817T031215.000 GMT</t>
  </si>
  <si>
    <t>BELACHEW  TESSEMA</t>
  </si>
  <si>
    <t>ed078c7b-45e4-4c08-9219-073afcf26ef6</t>
  </si>
  <si>
    <t>CI-77993307</t>
  </si>
  <si>
    <t>256A71924</t>
  </si>
  <si>
    <t>2025308BY4083</t>
  </si>
  <si>
    <t>C20879</t>
  </si>
  <si>
    <t>C20879A6A1</t>
  </si>
  <si>
    <t>20260715T101108.000 GMT</t>
  </si>
  <si>
    <t>20260824T054837.000 GMT</t>
  </si>
  <si>
    <t>TYLER J KENNING, TYLER J</t>
  </si>
  <si>
    <t>32ef2e1a-4cdd-4077-a520-d3363e5bc46b</t>
  </si>
  <si>
    <t>Logged on RI tracker on 09/15 | No adjustment approval yet</t>
  </si>
  <si>
    <t>CI-78002401</t>
  </si>
  <si>
    <t>581M89902</t>
  </si>
  <si>
    <t>2025321CL7829</t>
  </si>
  <si>
    <t>98092511LM</t>
  </si>
  <si>
    <t>20260715T140246.000 GMT</t>
  </si>
  <si>
    <t>20260811T000412.000 GMT</t>
  </si>
  <si>
    <t>Sent email to provider audit appeals.</t>
  </si>
  <si>
    <t>MICHAEL J LACKNER, MICHAEL J</t>
  </si>
  <si>
    <t>4a24e66a-70c0-4566-ba84-c67a5e510904</t>
  </si>
  <si>
    <t>CI-78237670</t>
  </si>
  <si>
    <t>159W09672</t>
  </si>
  <si>
    <t>2025192BA9844</t>
  </si>
  <si>
    <t>300601A055</t>
  </si>
  <si>
    <t>20260720T161714.000 GMT</t>
  </si>
  <si>
    <t>20260814T025702.000 GMT</t>
  </si>
  <si>
    <t>SUSSMAN, SHAWN J</t>
  </si>
  <si>
    <t>e02de2b6-6a82-4898-8da7-8d207f236fb1</t>
  </si>
  <si>
    <t>CI-78036284</t>
  </si>
  <si>
    <t>401W18366</t>
  </si>
  <si>
    <t>2024316RH8351</t>
  </si>
  <si>
    <t>270057S7DO</t>
  </si>
  <si>
    <t>20260716T064327.000 GMT</t>
  </si>
  <si>
    <t>20260811T023547.000 GMT</t>
  </si>
  <si>
    <t>KENSINGER, SHANNON L</t>
  </si>
  <si>
    <t>efa79e50-fa98-4474-9aaa-5fa34795a9f4</t>
  </si>
  <si>
    <t>CI-78192803</t>
  </si>
  <si>
    <t>406M81027</t>
  </si>
  <si>
    <t>2024113ET7480</t>
  </si>
  <si>
    <t>GS-WIPROFlexAccounts</t>
  </si>
  <si>
    <t>230032A9A2</t>
  </si>
  <si>
    <t>20260719T173741.000 GMT</t>
  </si>
  <si>
    <t>20260813T012550.000 GMT</t>
  </si>
  <si>
    <t>SSM HEALTH ST CLARE HOSPI</t>
  </si>
  <si>
    <t>1c9df265-d946-40ae-8020-0127a1713e6c</t>
  </si>
  <si>
    <t>Still under PA Review.</t>
  </si>
  <si>
    <t>CI-78358443</t>
  </si>
  <si>
    <t>AN2295171</t>
  </si>
  <si>
    <t>2025220DR0092</t>
  </si>
  <si>
    <t>214024M1D2</t>
  </si>
  <si>
    <t>20260722T170450.000 GMT</t>
  </si>
  <si>
    <t>AN2</t>
  </si>
  <si>
    <t>20260817T083833.000 GMT</t>
  </si>
  <si>
    <t>LEIBOLD, THOMAS M</t>
  </si>
  <si>
    <t>42881c03-f990-459d-860e-aa00571be18d</t>
  </si>
  <si>
    <t>CI-77798724</t>
  </si>
  <si>
    <t>821M98265</t>
  </si>
  <si>
    <t>2025268EK2026</t>
  </si>
  <si>
    <t>214013B1A1</t>
  </si>
  <si>
    <t>20260710T163120.000 GMT</t>
  </si>
  <si>
    <t>20260806T062525.000 GMT</t>
  </si>
  <si>
    <t>PHYSICIANS MEDICAL CENTER</t>
  </si>
  <si>
    <t>09f9602e-c5b0-4796-99b0-5435b2b865ab</t>
  </si>
  <si>
    <t>CI-78505427</t>
  </si>
  <si>
    <t>AN9088092</t>
  </si>
  <si>
    <t>2025043FB9030</t>
  </si>
  <si>
    <t>212083MACA</t>
  </si>
  <si>
    <t>20260725T130815.000 GMT</t>
  </si>
  <si>
    <t>AN9</t>
  </si>
  <si>
    <t>20260824T050738.000 GMT</t>
  </si>
  <si>
    <t>Still waiting for response from provider audit</t>
  </si>
  <si>
    <t>ADVANCED REGIONAL SURGERY</t>
  </si>
  <si>
    <t>2a560e13-80d1-4d93-8587-4584e4e1b70d</t>
  </si>
  <si>
    <t>CI-77837288</t>
  </si>
  <si>
    <t>376W13812</t>
  </si>
  <si>
    <t>2025219DK4830</t>
  </si>
  <si>
    <t>212053M8AY</t>
  </si>
  <si>
    <t>20260711T111259.000 GMT</t>
  </si>
  <si>
    <t>20260827T013814.000 GMT</t>
  </si>
  <si>
    <t>Sent follow-up request to SME for PA response</t>
  </si>
  <si>
    <t>MIR F FAISAL, MIR F</t>
  </si>
  <si>
    <t>0a9d75a8-9084-4728-8818-c7418382991d</t>
  </si>
  <si>
    <t>CI-78034102</t>
  </si>
  <si>
    <t>AL87020</t>
  </si>
  <si>
    <t>364M82358</t>
  </si>
  <si>
    <t>2025181CK8303</t>
  </si>
  <si>
    <t>174285M3A2</t>
  </si>
  <si>
    <t>20260716T035510.000 GMT</t>
  </si>
  <si>
    <t>20260813T014407.000 GMT</t>
  </si>
  <si>
    <t>PAZ, ANTONIO J</t>
  </si>
  <si>
    <t>1a3f3a3b-1b72-40aa-a614-911748c56ee0</t>
  </si>
  <si>
    <t>CI-78425005</t>
  </si>
  <si>
    <t>301W02713</t>
  </si>
  <si>
    <t>2025309CL5383</t>
  </si>
  <si>
    <t>GS-NationalMHAP</t>
  </si>
  <si>
    <t>174219M5AA</t>
  </si>
  <si>
    <t>20260723T191247.000 GMT</t>
  </si>
  <si>
    <t>20260818T054829.000 GMT</t>
  </si>
  <si>
    <t>DHANANSAYAN, LAURA B</t>
  </si>
  <si>
    <t>5fd54e93-962c-40b0-bd01-87a10a5284f5</t>
  </si>
  <si>
    <t>CI-78234349</t>
  </si>
  <si>
    <t>308M78330</t>
  </si>
  <si>
    <t>2025251CL7688</t>
  </si>
  <si>
    <t>174168MA18</t>
  </si>
  <si>
    <t>20260720T153647.000 GMT</t>
  </si>
  <si>
    <t>20260817T042227.000 GMT</t>
  </si>
  <si>
    <t>HERMSEN, JOSHUA L</t>
  </si>
  <si>
    <t>a2750269-bb1c-4603-98ee-e041a5425746</t>
  </si>
  <si>
    <t>completed</t>
  </si>
  <si>
    <t>CI-78332011</t>
  </si>
  <si>
    <t>M62480511</t>
  </si>
  <si>
    <t>2025358CW3733</t>
  </si>
  <si>
    <t>20260722T075308.000 GMT</t>
  </si>
  <si>
    <t>M62</t>
  </si>
  <si>
    <t>20260817T054143.000 GMT</t>
  </si>
  <si>
    <t>Sent email to PA for medical records review. FDOC#: 7196759272</t>
  </si>
  <si>
    <t>HUSSAIN, SAJJAD M</t>
  </si>
  <si>
    <t>1b09a5e7-e496-494b-ad63-528ec677717f</t>
  </si>
  <si>
    <t>CI-78370452</t>
  </si>
  <si>
    <t>2025294EM0604</t>
  </si>
  <si>
    <t>20260722T203817.000 GMT</t>
  </si>
  <si>
    <t>20260817T071817.000 GMT</t>
  </si>
  <si>
    <t>BLANCHARD VALLEY HOSPITAL</t>
  </si>
  <si>
    <t>38ad8103-7fcc-46bb-bcb3-2b528d77a4b6</t>
  </si>
  <si>
    <t>CI-77899732</t>
  </si>
  <si>
    <t>2025335CQ5466</t>
  </si>
  <si>
    <t>20260713T163736.000 GMT</t>
  </si>
  <si>
    <t>20260810T235004.000 GMT</t>
  </si>
  <si>
    <t>Sent t o PA for Review</t>
  </si>
  <si>
    <t>62ec811f-ed97-4b90-a505-c9ebd4f34eba</t>
  </si>
  <si>
    <t>CI-78181728</t>
  </si>
  <si>
    <t>2025041DN4876</t>
  </si>
  <si>
    <t>20260719T110140.000 GMT</t>
  </si>
  <si>
    <t>20260824T071209.000 GMT</t>
  </si>
  <si>
    <t>SPRINGFIELD REGIONAL MEDI</t>
  </si>
  <si>
    <t>e46f93d4-ff7c-4b83-aa75-5ff30a7334f3</t>
  </si>
  <si>
    <t>CI-77836162</t>
  </si>
  <si>
    <t>M00493116</t>
  </si>
  <si>
    <t>2025324CR4986</t>
  </si>
  <si>
    <t>20260711T104124.000 GMT</t>
  </si>
  <si>
    <t>M00</t>
  </si>
  <si>
    <t>20260807T032707.000 GMT</t>
  </si>
  <si>
    <t>Sent email to PA for medical records review. FDOC#:  7178486937</t>
  </si>
  <si>
    <t>cf8913e0-6ced-4c58-af4c-cb04ee513f28</t>
  </si>
  <si>
    <t>CI-78427530</t>
  </si>
  <si>
    <t>20252597A1769</t>
  </si>
  <si>
    <t>20260723T195240.000 GMT</t>
  </si>
  <si>
    <t>20260820T003955.000 GMT</t>
  </si>
  <si>
    <t>PARKVIEW BRYAN HOSPITAL</t>
  </si>
  <si>
    <t>44f6d049-4286-424f-acc8-2876c06947b5</t>
  </si>
  <si>
    <t>Refund is valid due to CPT 29888 with Modifier AS. Modifier AS is not supported by submitted appeal documentation. Documentation lacks detail on specific surgical contributions, failing to justify Modifier AS per coding guidelines. Provider audit response FDOC#7244704565. Sent letter. LTR ID 20564268</t>
  </si>
  <si>
    <t>CI-78241556</t>
  </si>
  <si>
    <t>2025323CY7237</t>
  </si>
  <si>
    <t>20260720T172755.000 GMT</t>
  </si>
  <si>
    <t>20260816T223313.000 GMT</t>
  </si>
  <si>
    <t>HASSEMER, PATRICK J</t>
  </si>
  <si>
    <t>e466d7e4-10af-4adc-a711-278251c4466a</t>
  </si>
  <si>
    <t>CI-78190455</t>
  </si>
  <si>
    <t>2025275DT5641</t>
  </si>
  <si>
    <t>20260719T154819.000 GMT</t>
  </si>
  <si>
    <t>20260813T043944.000 GMT</t>
  </si>
  <si>
    <t>2f3a1d36-aa62-4092-a2f0-1eb7de634050</t>
  </si>
  <si>
    <t>CI-78234975</t>
  </si>
  <si>
    <t>2025344DB0638</t>
  </si>
  <si>
    <t>20260720T154402.000 GMT</t>
  </si>
  <si>
    <t>20260813T095046.000 GMT</t>
  </si>
  <si>
    <t>CENTER, JENNIFER L</t>
  </si>
  <si>
    <t>75ab0486-6dd5-4e4f-95da-2b4ac0146949</t>
  </si>
  <si>
    <t>CI-78427725</t>
  </si>
  <si>
    <t>2025365EN3603</t>
  </si>
  <si>
    <t>20260723T195618.000 GMT</t>
  </si>
  <si>
    <t>20260818T053041.000 GMT</t>
  </si>
  <si>
    <t>Sent for PA review.</t>
  </si>
  <si>
    <t>PARSONS, WILLIAM S</t>
  </si>
  <si>
    <t>1654e815-90d5-40d5-a982-c3a7b9c9e367</t>
  </si>
  <si>
    <t>CI-77852232</t>
  </si>
  <si>
    <t>2025344DS1885</t>
  </si>
  <si>
    <t>20260711T195103.000 GMT</t>
  </si>
  <si>
    <t>20260807T015734.000 GMT</t>
  </si>
  <si>
    <t>FLOERKE, BAILEY C</t>
  </si>
  <si>
    <t>c66147dd-bbc8-4afb-b957-6d93c01802e1</t>
  </si>
  <si>
    <t>CI-78315369</t>
  </si>
  <si>
    <t>2025045DP6929</t>
  </si>
  <si>
    <t>20260721T220942.000 GMT</t>
  </si>
  <si>
    <t>20260816T232508.000 GMT</t>
  </si>
  <si>
    <t>STRAHLE, JENNIFER M</t>
  </si>
  <si>
    <t>4fad3e7b-4890-4da5-a961-080146cbe881</t>
  </si>
  <si>
    <t>CI-77989636</t>
  </si>
  <si>
    <t>2025232DQ9867</t>
  </si>
  <si>
    <t>20260715T072038.000 GMT</t>
  </si>
  <si>
    <t>20260830T222254.000 GMT</t>
  </si>
  <si>
    <t>MERCY HOSPITAL CARTHAGE</t>
  </si>
  <si>
    <t>fe05e54f-7c22-4104-9965-664f8d0f5222</t>
  </si>
  <si>
    <t>CI-78245162</t>
  </si>
  <si>
    <t>2025318DV6759</t>
  </si>
  <si>
    <t>20260720T181251.000 GMT</t>
  </si>
  <si>
    <t>20260813T053734.000 GMT</t>
  </si>
  <si>
    <t>JOHN  OGUNLADE</t>
  </si>
  <si>
    <t>3ad89d77-194b-4fcf-8240-01ed89b26e06</t>
  </si>
  <si>
    <t>CI-78377666</t>
  </si>
  <si>
    <t>2025120EI4172</t>
  </si>
  <si>
    <t>20260722T231008.000 GMT</t>
  </si>
  <si>
    <t>20260817T160328.000 GMT</t>
  </si>
  <si>
    <t>4af94820-2ff0-4a1e-ae35-6b04dd99cfa0</t>
  </si>
  <si>
    <t>CI-77758405</t>
  </si>
  <si>
    <t>CL-36860775</t>
  </si>
  <si>
    <t>QIK W00451302</t>
  </si>
  <si>
    <t>2025239BO2181</t>
  </si>
  <si>
    <t>20260709T214504.000 GMT</t>
  </si>
  <si>
    <t>QIK</t>
  </si>
  <si>
    <t>20260806T033200.000 GMT</t>
  </si>
  <si>
    <t>BERTOCCHI, MICHAEL E</t>
  </si>
  <si>
    <t>CL-36860411</t>
  </si>
  <si>
    <t>W00451302</t>
  </si>
  <si>
    <t>676beb25-22c2-40ba-998c-65a27ab9673e</t>
  </si>
  <si>
    <t>CI-78147451</t>
  </si>
  <si>
    <t>348A76519</t>
  </si>
  <si>
    <t>2025345CK9453</t>
  </si>
  <si>
    <t>170208M095</t>
  </si>
  <si>
    <t>20260718T133623.000 GMT</t>
  </si>
  <si>
    <t>20260827T155922.000 GMT</t>
  </si>
  <si>
    <t>JONES, CHRISTINA D</t>
  </si>
  <si>
    <t>1d3cd837-8331-4036-a5a7-a7457e1fbc34</t>
  </si>
  <si>
    <t>CI-78436330</t>
  </si>
  <si>
    <t>2025197BT9974</t>
  </si>
  <si>
    <t>005709M249</t>
  </si>
  <si>
    <t>20260723T233241.000 GMT</t>
  </si>
  <si>
    <t>20260818T054301.000 GMT</t>
  </si>
  <si>
    <t>BLATTMAN, SETH B</t>
  </si>
  <si>
    <t>84efd701-46cc-4fdb-a4e8-cff6017300dd</t>
  </si>
  <si>
    <t>61-90 DAYS</t>
  </si>
  <si>
    <t>569W21423</t>
  </si>
  <si>
    <t>2025301BC0320</t>
  </si>
  <si>
    <t>L04380</t>
  </si>
  <si>
    <t>L04380M036</t>
  </si>
  <si>
    <t>20260612T015918.000 GMT</t>
  </si>
  <si>
    <t>20260820T022755.000 GMT</t>
  </si>
  <si>
    <t>a955740c-97fd-47ef-aa55-a48dd97d1a44</t>
  </si>
  <si>
    <t>675W12876</t>
  </si>
  <si>
    <t>2024095DT7806</t>
  </si>
  <si>
    <t>L03869</t>
  </si>
  <si>
    <t>L03869M001</t>
  </si>
  <si>
    <t>20260701T194905.000 GMT</t>
  </si>
  <si>
    <t>20260814T085109.000 GMT</t>
  </si>
  <si>
    <t>SENT TO ACMS FOR PSSCR REVIEW</t>
  </si>
  <si>
    <t>2b6dc6ef-ec15-41c1-bac9-93ef84e3e85c</t>
  </si>
  <si>
    <t>279W09879</t>
  </si>
  <si>
    <t>2025113BM0164</t>
  </si>
  <si>
    <t>L03657</t>
  </si>
  <si>
    <t>L03657M003</t>
  </si>
  <si>
    <t>20260706T195931.000 GMT</t>
  </si>
  <si>
    <t>20260814T074455.000 GMT</t>
  </si>
  <si>
    <t>Still Waiting for Response from Provider AUdit</t>
  </si>
  <si>
    <t>MALLORY L HUNT, MALLORY L</t>
  </si>
  <si>
    <t>a17a5792-d119-439b-9a7f-a03b97818dc9</t>
  </si>
  <si>
    <t>3007814SF</t>
  </si>
  <si>
    <t>2024102EK3246</t>
  </si>
  <si>
    <t>JIN019</t>
  </si>
  <si>
    <t>JIN019M012</t>
  </si>
  <si>
    <t>20260609T131938.000 GMT</t>
  </si>
  <si>
    <t>20260810T013744.000 GMT</t>
  </si>
  <si>
    <t>238b7d64-6ad8-4bf3-b67b-5bfd66c2f81a</t>
  </si>
  <si>
    <t>CI-77391354</t>
  </si>
  <si>
    <t>2025317FF0749</t>
  </si>
  <si>
    <t>20260701T202430.000 GMT</t>
  </si>
  <si>
    <t>20260830T152743.000 GMT</t>
  </si>
  <si>
    <t>follow up sent | still waiting for CCA response</t>
  </si>
  <si>
    <t>DORIAN  COHEN</t>
  </si>
  <si>
    <t>bf6591bd-7b70-4a73-b217-9ad99f2b3514</t>
  </si>
  <si>
    <t>CI-77391722</t>
  </si>
  <si>
    <t>2025343FK3307</t>
  </si>
  <si>
    <t>20260701T203112.000 GMT</t>
  </si>
  <si>
    <t>20260830T152851.000 GMT</t>
  </si>
  <si>
    <t>follow up sent | Awaiting CCA Response its</t>
  </si>
  <si>
    <t>WILLIAMS, JOSEPH K</t>
  </si>
  <si>
    <t>4be43a6c-fe59-425e-b29f-72a13ae49de8</t>
  </si>
  <si>
    <t>CI-77656295</t>
  </si>
  <si>
    <t>231A65514</t>
  </si>
  <si>
    <t>2025291DD2042</t>
  </si>
  <si>
    <t>GA6194</t>
  </si>
  <si>
    <t>COBBEPO005</t>
  </si>
  <si>
    <t>20260708T083841.000 GMT</t>
  </si>
  <si>
    <t>20260811T075727.000 GMT</t>
  </si>
  <si>
    <t>ALI  MORTAZAVI</t>
  </si>
  <si>
    <t>559977ed-572d-4bc3-8219-23ea20b73a35</t>
  </si>
  <si>
    <t>Follow up email was sent on 09/16. Waiting for onshore response</t>
  </si>
  <si>
    <t>CI-77599554</t>
  </si>
  <si>
    <t>449A77001</t>
  </si>
  <si>
    <t>2025181CJ9035</t>
  </si>
  <si>
    <t>E02407</t>
  </si>
  <si>
    <t>E024070003</t>
  </si>
  <si>
    <t>20260707T100824.000 GMT</t>
  </si>
  <si>
    <t>20260826T022351.000 GMT</t>
  </si>
  <si>
    <t>Follow up email was sent by SME asking for an update.</t>
  </si>
  <si>
    <t>SAINT JOSEPH HEALTH SYSTE</t>
  </si>
  <si>
    <t>25d6e44a-a089-4aca-a838-d194d12f3bd2</t>
  </si>
  <si>
    <t>CI-77433482</t>
  </si>
  <si>
    <t>2025340BL4055</t>
  </si>
  <si>
    <t>20260702T153543.000 GMT</t>
  </si>
  <si>
    <t>20260831T010335.000 GMT</t>
  </si>
  <si>
    <t>*</t>
  </si>
  <si>
    <t>JOSHUA  STERLING</t>
  </si>
  <si>
    <t>4c03ba83-983c-40fd-a6c2-dba69a8516b7</t>
  </si>
  <si>
    <t>CI-77695973</t>
  </si>
  <si>
    <t>561A72518</t>
  </si>
  <si>
    <t>2025251CP7524</t>
  </si>
  <si>
    <t>C17828</t>
  </si>
  <si>
    <t>1849DV</t>
  </si>
  <si>
    <t>20260708T204811.000 GMT</t>
  </si>
  <si>
    <t>20260814T075720.000 GMT</t>
  </si>
  <si>
    <t>SANSUM CLINIC</t>
  </si>
  <si>
    <t>73ca84c1-884d-4eaf-a518-a928c43a17a7</t>
  </si>
  <si>
    <t>518W05918</t>
  </si>
  <si>
    <t>2025016FD9921</t>
  </si>
  <si>
    <t>720097A00M</t>
  </si>
  <si>
    <t>20260610T090242.000 GMT</t>
  </si>
  <si>
    <t>20260806T000753.000 GMT</t>
  </si>
  <si>
    <t>4396d26b-f3da-41bd-9fd4-752799afb19d</t>
  </si>
  <si>
    <t>919W14918</t>
  </si>
  <si>
    <t>2025217EJ3109</t>
  </si>
  <si>
    <t>20260703T144632.000 GMT</t>
  </si>
  <si>
    <t>20260801T064938.000 GMT</t>
  </si>
  <si>
    <t>ESTHER  SON</t>
  </si>
  <si>
    <t>189c1c72-d8bb-4578-812b-56e6c0eec5ef</t>
  </si>
  <si>
    <t>CCA Overturned | Reversed.</t>
  </si>
  <si>
    <t>313W08489</t>
  </si>
  <si>
    <t>2025228CW8717</t>
  </si>
  <si>
    <t>376415C77S</t>
  </si>
  <si>
    <t>20260630T073753.000 GMT</t>
  </si>
  <si>
    <t>20260831T093539.000 GMT</t>
  </si>
  <si>
    <t>MR Automation: Not eligible for MR automation due to the presense of  ,QT1 edit. Please review and process as per the guidelines.</t>
  </si>
  <si>
    <t>OLIVIA  SCIOLETTI</t>
  </si>
  <si>
    <t>565bba52-e052-4fac-850b-1b9ffa710275</t>
  </si>
  <si>
    <t>305M66991</t>
  </si>
  <si>
    <t>2025191BB8639</t>
  </si>
  <si>
    <t>W61759</t>
  </si>
  <si>
    <t>W61759M086</t>
  </si>
  <si>
    <t>20260628T002253.000 GMT</t>
  </si>
  <si>
    <t>20260827T220844.000 GMT</t>
  </si>
  <si>
    <t>PATRIK  PIPKORN</t>
  </si>
  <si>
    <t>86eede65-fc45-4006-b852-97565634d5bb</t>
  </si>
  <si>
    <t>AN8562077</t>
  </si>
  <si>
    <t>2026001CF5349</t>
  </si>
  <si>
    <t>W33025</t>
  </si>
  <si>
    <t>W33025M011</t>
  </si>
  <si>
    <t>20260617T102318.000 GMT</t>
  </si>
  <si>
    <t>20260714T062601.000 GMT</t>
  </si>
  <si>
    <t>RETIRED CONCEPT B265</t>
  </si>
  <si>
    <t>JAMIL T ELFARRA, JAMIL T</t>
  </si>
  <si>
    <t>38da80ef-f8c3-4662-b58d-2a2eadf93706</t>
  </si>
  <si>
    <t>CI-76999803</t>
  </si>
  <si>
    <t>2025037DQ8909</t>
  </si>
  <si>
    <t>20260623T204309.000 GMT</t>
  </si>
  <si>
    <t>20260722T071838.000 GMT</t>
  </si>
  <si>
    <t>WAITING FOR PA RESPONSE.</t>
  </si>
  <si>
    <t>FAIRFAX RADIOLOGICAL CONS</t>
  </si>
  <si>
    <t>5590f386-ec80-44c9-8e9d-5feb3efeee3b</t>
  </si>
  <si>
    <t>Prepay initiated reversal on 9/14/26 but claim is on HDC hold</t>
  </si>
  <si>
    <t>CI-77442895</t>
  </si>
  <si>
    <t>194M70740</t>
  </si>
  <si>
    <t>2026065FK8087</t>
  </si>
  <si>
    <t>SGA39602</t>
  </si>
  <si>
    <t>84Y500</t>
  </si>
  <si>
    <t>20260702T182403.000 GMT</t>
  </si>
  <si>
    <t>20260826T010117.000 GMT</t>
  </si>
  <si>
    <t>FAIRFIELD MEDICAL CENTER-</t>
  </si>
  <si>
    <t>bc760f15-dcd2-487d-b379-2555ba2cbbad</t>
  </si>
  <si>
    <t>CI-77671889</t>
  </si>
  <si>
    <t>CL-36781362</t>
  </si>
  <si>
    <t>OXB 137570075</t>
  </si>
  <si>
    <t>2025286CW4833</t>
  </si>
  <si>
    <t>20260708T140433.000 GMT</t>
  </si>
  <si>
    <t>OXB</t>
  </si>
  <si>
    <t>20260805T022050.000 GMT</t>
  </si>
  <si>
    <t>CL-36780496</t>
  </si>
  <si>
    <t>75227207-f06a-49d9-a85a-dd6d86c62feb</t>
  </si>
  <si>
    <t>185M98586</t>
  </si>
  <si>
    <t>2025037EM0724</t>
  </si>
  <si>
    <t>174249M1AB</t>
  </si>
  <si>
    <t>20260610T172204.000 GMT</t>
  </si>
  <si>
    <t>20260814T035945.000 GMT</t>
  </si>
  <si>
    <t>PROVIDENCE SAINT JOHN'S H</t>
  </si>
  <si>
    <t>4cacf1d3-7db7-4cd9-944e-71a6936fa239</t>
  </si>
  <si>
    <t>281M87255</t>
  </si>
  <si>
    <t>2025300CJ4002</t>
  </si>
  <si>
    <t>GS-WoodWard</t>
  </si>
  <si>
    <t>174208M7AE</t>
  </si>
  <si>
    <t>20260629T203255.000 GMT</t>
  </si>
  <si>
    <t>20260831T205849.000 GMT</t>
  </si>
  <si>
    <t>BRIAN J HALLIS, BRIAN J</t>
  </si>
  <si>
    <t>9c28857a-e551-42bb-ba27-20e5d6be4c56</t>
  </si>
  <si>
    <t>CI-76498784</t>
  </si>
  <si>
    <t>12447649W</t>
  </si>
  <si>
    <t>2025294FC6815</t>
  </si>
  <si>
    <t>20260613T185015.000 GMT</t>
  </si>
  <si>
    <t>20260810T001950.000 GMT</t>
  </si>
  <si>
    <t>Pending PROVIDER AUDIT APPEALS for review.</t>
  </si>
  <si>
    <t>68dfee51-8e5d-405c-b05e-7834892c3813</t>
  </si>
  <si>
    <t>CI-77643138</t>
  </si>
  <si>
    <t>2025209BW5227</t>
  </si>
  <si>
    <t>20260707T235542.000 GMT</t>
  </si>
  <si>
    <t>20260806T224544.000 GMT</t>
  </si>
  <si>
    <t>e99cb39b-b050-46aa-8d53-fad0a9eced3f</t>
  </si>
  <si>
    <t>CI-77696588</t>
  </si>
  <si>
    <t>2025265CZ4529</t>
  </si>
  <si>
    <t>20260708T210039.000 GMT</t>
  </si>
  <si>
    <t>20260811T081211.000 GMT</t>
  </si>
  <si>
    <t>GALLAGHER, RYAN P</t>
  </si>
  <si>
    <t>051b9fb2-536e-43c7-b16c-2fe72fcd27d7</t>
  </si>
  <si>
    <t>CI-77690868</t>
  </si>
  <si>
    <t>2025057CQ9748</t>
  </si>
  <si>
    <t>20260708T190641.000 GMT</t>
  </si>
  <si>
    <t>20260805T051938.000 GMT</t>
  </si>
  <si>
    <t>PA Review</t>
  </si>
  <si>
    <t>UW HEALTH UNIVERSITY HOSP</t>
  </si>
  <si>
    <t>a4b29280-10c0-4a65-9899-a48ebf142c84</t>
  </si>
  <si>
    <t>CI-76670721</t>
  </si>
  <si>
    <t>2025315BK3629</t>
  </si>
  <si>
    <t>20260617T053712.000 GMT</t>
  </si>
  <si>
    <t>20260814T032508.000 GMT</t>
  </si>
  <si>
    <t>ADRIAN J BATTISTON, ADRIAN J</t>
  </si>
  <si>
    <t>e3bfcc0e-a44e-4df8-953c-57529bbfd733</t>
  </si>
  <si>
    <t>CI-76702908</t>
  </si>
  <si>
    <t>2025256CA2041</t>
  </si>
  <si>
    <t>20260617T181215.000 GMT</t>
  </si>
  <si>
    <t>20260715T045555.000 GMT</t>
  </si>
  <si>
    <t>WAITING FOR PA RESPONSE</t>
  </si>
  <si>
    <t>HOLY FAMILY MEMORIAL INC</t>
  </si>
  <si>
    <t>3f6bcbf3-b973-4368-b857-c166863c63a9</t>
  </si>
  <si>
    <t>CI-76369977</t>
  </si>
  <si>
    <t>2026115CM5225</t>
  </si>
  <si>
    <t>20260611T054414.000 GMT</t>
  </si>
  <si>
    <t>20260710T004739.000 GMT</t>
  </si>
  <si>
    <t>Sent to FAQs. Waiting for update.</t>
  </si>
  <si>
    <t>MISSOURI BAPTIST MEDICAL</t>
  </si>
  <si>
    <t>6ba69f43-f488-406f-9aec-6e261cc8688d</t>
  </si>
  <si>
    <t>409A23875</t>
  </si>
  <si>
    <t>2024346ER4151</t>
  </si>
  <si>
    <t>170208M099</t>
  </si>
  <si>
    <t>20260610T172306.000 GMT</t>
  </si>
  <si>
    <t>20260814T040002.000 GMT</t>
  </si>
  <si>
    <t>59c89fd5-e8bd-4d68-8701-80951c67d908</t>
  </si>
  <si>
    <t>CI-77628671</t>
  </si>
  <si>
    <t>2025154R75649</t>
  </si>
  <si>
    <t>20260707T185747.000 GMT</t>
  </si>
  <si>
    <t>20260804T033909.000 GMT</t>
  </si>
  <si>
    <t>MICHAELS, BRIAN C</t>
  </si>
  <si>
    <t>92edb6a8-aac0-4d73-a26a-af1d4e6f2c08</t>
  </si>
  <si>
    <t>213M89911</t>
  </si>
  <si>
    <t>2026023EP6512</t>
  </si>
  <si>
    <t>L13511</t>
  </si>
  <si>
    <t>L13511R009</t>
  </si>
  <si>
    <t>20260626T022239.000 GMT</t>
  </si>
  <si>
    <t>20260828T130811.000 GMT</t>
  </si>
  <si>
    <t>af1c03d2-471f-466c-b05b-456ce697fad3</t>
  </si>
  <si>
    <t>472W22662</t>
  </si>
  <si>
    <t>2025250BC9083</t>
  </si>
  <si>
    <t>L11361</t>
  </si>
  <si>
    <t>IT-UnknownCorr</t>
  </si>
  <si>
    <t>L11361M001</t>
  </si>
  <si>
    <t>20260626T011958.000 GMT</t>
  </si>
  <si>
    <t>20260828T130744.000 GMT</t>
  </si>
  <si>
    <t>SMH-ENCINITAS</t>
  </si>
  <si>
    <t>46b44fb6-a75b-4c00-8d71-421b73bc4e46</t>
  </si>
  <si>
    <t>Claim is On HDC hold</t>
  </si>
  <si>
    <t>CL-36629616</t>
  </si>
  <si>
    <t>X9P 582W18090</t>
  </si>
  <si>
    <t>Urgent Management Request</t>
  </si>
  <si>
    <t>2024123BX6672</t>
  </si>
  <si>
    <t>IS-DisputeEscalations</t>
  </si>
  <si>
    <t>755M00</t>
  </si>
  <si>
    <t>20260706T221448.000 GMT</t>
  </si>
  <si>
    <t>X9P</t>
  </si>
  <si>
    <t>20260826T005612.000 GMT</t>
  </si>
  <si>
    <t>AURORA ST LUKES MEDICAL C</t>
  </si>
  <si>
    <t>CL-36627845</t>
  </si>
  <si>
    <t>c8a38b9e-265e-4755-aa37-7cf46ef7fc86</t>
  </si>
  <si>
    <t>CI-76117211</t>
  </si>
  <si>
    <t>91-120 DAYS</t>
  </si>
  <si>
    <t>22943510W</t>
  </si>
  <si>
    <t>2026009EO7081</t>
  </si>
  <si>
    <t>20260605T184437.000 GMT</t>
  </si>
  <si>
    <t>20260817T023907.000 GMT</t>
  </si>
  <si>
    <t>Waiting for PA response. Already made a follow up</t>
  </si>
  <si>
    <t>FIRELANDS REGIONAL MEDICA</t>
  </si>
  <si>
    <t>519f2348-6878-4445-8c71-88f565c3588e</t>
  </si>
  <si>
    <t>CI-75480745</t>
  </si>
  <si>
    <t>2025153DV8870</t>
  </si>
  <si>
    <t>20260523T000526.000 GMT</t>
  </si>
  <si>
    <t>20260826T235844.000 GMT</t>
  </si>
  <si>
    <t>Sent follow-up before but no update from PA team, sent request to SME for assistance</t>
  </si>
  <si>
    <t>EMNOTT, LYDIA R</t>
  </si>
  <si>
    <t>a085de4f-1dd4-4b11-acdb-1735b740933d</t>
  </si>
  <si>
    <t>CI-76192745</t>
  </si>
  <si>
    <t>2025233BC4515</t>
  </si>
  <si>
    <t>ITSPPO266</t>
  </si>
  <si>
    <t>20260608T040651.000 GMT</t>
  </si>
  <si>
    <t>20260831T001839.000 GMT</t>
  </si>
  <si>
    <t>UNIVERSITY MEDICAL CTR OF</t>
  </si>
  <si>
    <t>cae8ec8a-b556-4673-ad2b-b42f8baa1523</t>
  </si>
  <si>
    <t>CI-75083785</t>
  </si>
  <si>
    <t>2025057DF6169</t>
  </si>
  <si>
    <t>20260515T064553.000 GMT</t>
  </si>
  <si>
    <t>20260825T080720.000 GMT</t>
  </si>
  <si>
    <t>awaiting CCA response.</t>
  </si>
  <si>
    <t>DAY OP CTR OF LONG ISLAND</t>
  </si>
  <si>
    <t>acdd4896-0d6c-4534-9df3-c2bd7239548c</t>
  </si>
  <si>
    <t>CI-79997511</t>
  </si>
  <si>
    <t>120+ DAYS</t>
  </si>
  <si>
    <t>710W16893</t>
  </si>
  <si>
    <t>2024113EF6823</t>
  </si>
  <si>
    <t>201075MAHH</t>
  </si>
  <si>
    <t>20260825T172944.000 GMT</t>
  </si>
  <si>
    <t>20260826T085813.000 GMT</t>
  </si>
  <si>
    <t>f67d8723-0328-40d8-ba97-2312e3ff4927</t>
  </si>
  <si>
    <t>sent follow up</t>
  </si>
  <si>
    <t>1000579LA</t>
  </si>
  <si>
    <t>2025100EJ0099</t>
  </si>
  <si>
    <t>20260509T201914.000 GMT</t>
  </si>
  <si>
    <t>20260809T223655.000 GMT</t>
  </si>
  <si>
    <t>sent follow up email-08/09/2026</t>
  </si>
  <si>
    <t>KECK HOSPITAL OF USC</t>
  </si>
  <si>
    <t>9ad6abf0-5d1f-42c1-866b-d884f03b3108</t>
  </si>
  <si>
    <t>CI-78673234</t>
  </si>
  <si>
    <t>284M92642</t>
  </si>
  <si>
    <t>2025259DZ6187</t>
  </si>
  <si>
    <t>WI2000</t>
  </si>
  <si>
    <t>WI2000M002</t>
  </si>
  <si>
    <t>20260729T110720.000 GMT</t>
  </si>
  <si>
    <t>20260903T013342.000 GMT</t>
  </si>
  <si>
    <t>WALSH, HELEN A</t>
  </si>
  <si>
    <t>94ee9dd3-a464-4061-985d-938d88f4b3fd</t>
  </si>
  <si>
    <t>CI-78729808</t>
  </si>
  <si>
    <t>AN7454647</t>
  </si>
  <si>
    <t>2025309EN0871</t>
  </si>
  <si>
    <t>W91004</t>
  </si>
  <si>
    <t>W91004M001</t>
  </si>
  <si>
    <t>20260730T101819.000 GMT</t>
  </si>
  <si>
    <t>AN7</t>
  </si>
  <si>
    <t>20260907T160408.000 GMT</t>
  </si>
  <si>
    <t>Email sent for PA Review and waiting for response. PA assigned 8/28</t>
  </si>
  <si>
    <t>MABIS, CALEB J</t>
  </si>
  <si>
    <t>d8aa031d-6e38-47f0-a653-4abbf8487066</t>
  </si>
  <si>
    <t xml:space="preserve">No response from PA yet
</t>
  </si>
  <si>
    <t>CI-78957047</t>
  </si>
  <si>
    <t>310M86725</t>
  </si>
  <si>
    <t>2026027BW4568</t>
  </si>
  <si>
    <t>W80122</t>
  </si>
  <si>
    <t>W80122M001</t>
  </si>
  <si>
    <t>20260804T084636.000 GMT</t>
  </si>
  <si>
    <t>20260826T134717.000 GMT</t>
  </si>
  <si>
    <t>MR Automation: Batch Automation Process - Claim is Finalized in past 2 days.</t>
  </si>
  <si>
    <t>DAVID J SCHULTZ, DAVID J</t>
  </si>
  <si>
    <t>feb201d3-5bec-4538-b745-4c86d0d1310a</t>
  </si>
  <si>
    <t>Email sent for PA Review and waiting for response. FDOC # 7225372055. Sent email ff with SME dated 09/16/2026</t>
  </si>
  <si>
    <t>CI-79175137</t>
  </si>
  <si>
    <t>AN7293305</t>
  </si>
  <si>
    <t>2025212DT1890</t>
  </si>
  <si>
    <t>W71120</t>
  </si>
  <si>
    <t>W71120M003</t>
  </si>
  <si>
    <t>20260807T195932.000 GMT</t>
  </si>
  <si>
    <t>20260831T233959.000 GMT</t>
  </si>
  <si>
    <t>Email sent for PA Review and waiting for response. FDOC # 7225372055.</t>
  </si>
  <si>
    <t>47b03a0c-533a-4dee-bf49-fe56d2d0318d</t>
  </si>
  <si>
    <t>CI-79074206</t>
  </si>
  <si>
    <t>AN7739475</t>
  </si>
  <si>
    <t>2025272DK4908</t>
  </si>
  <si>
    <t>W71114</t>
  </si>
  <si>
    <t>W71114M003</t>
  </si>
  <si>
    <t>20260806T054330.000 GMT</t>
  </si>
  <si>
    <t>20260904T031026.000 GMT</t>
  </si>
  <si>
    <t>Will adjust, PA respond to partially overturn.</t>
  </si>
  <si>
    <t>OLD TESSON SURGERY CENTER</t>
  </si>
  <si>
    <t>c17060cb-c28e-48b5-bad0-f4ebcafaf8c8</t>
  </si>
  <si>
    <t>no response yet</t>
  </si>
  <si>
    <t>CI-78819369</t>
  </si>
  <si>
    <t>719A68677</t>
  </si>
  <si>
    <t>2025008CU3623</t>
  </si>
  <si>
    <t>W61759M004</t>
  </si>
  <si>
    <t>20260731T220136.000 GMT</t>
  </si>
  <si>
    <t>20260901T055348.000 GMT</t>
  </si>
  <si>
    <t>NO PA RESPONSE YET</t>
  </si>
  <si>
    <t>ENGLISH, DENNIS I</t>
  </si>
  <si>
    <t>a1f5d8e9-521d-430f-9d22-d88d27a2acbc</t>
  </si>
  <si>
    <t>sent with wrong ci CI-79027595 but claim detail is correct</t>
  </si>
  <si>
    <t>CI-79179898</t>
  </si>
  <si>
    <t>108M77751</t>
  </si>
  <si>
    <t>2025296EA5570</t>
  </si>
  <si>
    <t>W61706</t>
  </si>
  <si>
    <t>W61706M007</t>
  </si>
  <si>
    <t>20260807T214116.000 GMT</t>
  </si>
  <si>
    <t>20260903T103318.000 GMT</t>
  </si>
  <si>
    <t>MANCHESTER SURGERY CENTER</t>
  </si>
  <si>
    <t>5e420de7-16f4-413f-8a31-bd50be888e1d</t>
  </si>
  <si>
    <t>CI-78829453</t>
  </si>
  <si>
    <t>796A66036</t>
  </si>
  <si>
    <t>2025288DH9175</t>
  </si>
  <si>
    <t>W61063</t>
  </si>
  <si>
    <t>W61063M009</t>
  </si>
  <si>
    <t>20260801T062707.000 GMT</t>
  </si>
  <si>
    <t>20260825T025819.000 GMT</t>
  </si>
  <si>
    <t>a3528f7e-f644-4f90-ab60-c892196ddb53</t>
  </si>
  <si>
    <t>CI-78519967</t>
  </si>
  <si>
    <t>975W13737</t>
  </si>
  <si>
    <t>2025325CM4289</t>
  </si>
  <si>
    <t>W51064</t>
  </si>
  <si>
    <t>W51064M012</t>
  </si>
  <si>
    <t>20260725T203710.000 GMT</t>
  </si>
  <si>
    <t>20260820T063813.000 GMT</t>
  </si>
  <si>
    <t>LAUREN R OSTLING, LAUREN R</t>
  </si>
  <si>
    <t>0b6810e7-1333-4900-9935-c92d6023cbcf</t>
  </si>
  <si>
    <t>CI-78510842</t>
  </si>
  <si>
    <t>AN9057293</t>
  </si>
  <si>
    <t>2025257BZ2456</t>
  </si>
  <si>
    <t>W51015M006</t>
  </si>
  <si>
    <t>20260725T154027.000 GMT</t>
  </si>
  <si>
    <t>20260824T054929.000 GMT</t>
  </si>
  <si>
    <t>c3308b90-9112-4709-9781-25e53b2aa94e</t>
  </si>
  <si>
    <t>CI-78995129</t>
  </si>
  <si>
    <t>AN7889765</t>
  </si>
  <si>
    <t>2025083DE1747</t>
  </si>
  <si>
    <t>W33023</t>
  </si>
  <si>
    <t>W33023M013</t>
  </si>
  <si>
    <t>20260804T200730.000 GMT</t>
  </si>
  <si>
    <t>20260827T015936.000 GMT</t>
  </si>
  <si>
    <t>SHAWN W ADAMS, SHAWN W</t>
  </si>
  <si>
    <t>3e253456-007d-4020-bc68-a8d726bd3861</t>
  </si>
  <si>
    <t>CI-79204423</t>
  </si>
  <si>
    <t>AM37442</t>
  </si>
  <si>
    <t>955M56431</t>
  </si>
  <si>
    <t>2025311BO2464</t>
  </si>
  <si>
    <t>W32162</t>
  </si>
  <si>
    <t>W32162M001</t>
  </si>
  <si>
    <t>Maria Eleonor R Crispino</t>
  </si>
  <si>
    <t>20260808T172054.000 GMT</t>
  </si>
  <si>
    <t>20260904T010428.000 GMT</t>
  </si>
  <si>
    <t>.</t>
  </si>
  <si>
    <t>THE MEDICAL CENTER AT BOW</t>
  </si>
  <si>
    <t>aa8ad8d5-5335-45cc-a3d8-1b8ed12a8fd3</t>
  </si>
  <si>
    <t>CI-78892369</t>
  </si>
  <si>
    <t>728M92683</t>
  </si>
  <si>
    <t>2022339EA9319</t>
  </si>
  <si>
    <t>W29865</t>
  </si>
  <si>
    <t>W29865M003</t>
  </si>
  <si>
    <t>20260803T044329.000 GMT</t>
  </si>
  <si>
    <t>20260902T220354.000 GMT</t>
  </si>
  <si>
    <t>CLARK REGIONAL MEDICAL CE</t>
  </si>
  <si>
    <t>a91f5b41-73cd-4135-b6ed-adf167d23a5f</t>
  </si>
  <si>
    <t>CI-79186280</t>
  </si>
  <si>
    <t>895M60805</t>
  </si>
  <si>
    <t>2026065BM6333</t>
  </si>
  <si>
    <t>W26610</t>
  </si>
  <si>
    <t>W26610M014</t>
  </si>
  <si>
    <t>20260808T004702.000 GMT</t>
  </si>
  <si>
    <t>20260831T235133.000 GMT</t>
  </si>
  <si>
    <t>XREF Claim sent for restoration.</t>
  </si>
  <si>
    <t>STORY, CARLA S</t>
  </si>
  <si>
    <t>1272b521-0b5b-41bf-ba44-55b1d94811d3</t>
  </si>
  <si>
    <t>CI-78568645</t>
  </si>
  <si>
    <t>572M89786</t>
  </si>
  <si>
    <t>2024053CH3361</t>
  </si>
  <si>
    <t>W26610M020</t>
  </si>
  <si>
    <t>20260727T145340.000 GMT</t>
  </si>
  <si>
    <t>20260820T123613.000 GMT</t>
  </si>
  <si>
    <t>PATRICK E MUCK, PATRICK E</t>
  </si>
  <si>
    <t>49e59939-9f9f-4567-8631-290cd2f73d5d</t>
  </si>
  <si>
    <t>CI-78749088</t>
  </si>
  <si>
    <t>AN6774298</t>
  </si>
  <si>
    <t>2025199DI3496</t>
  </si>
  <si>
    <t>W24174</t>
  </si>
  <si>
    <t>GS-StateOfIN</t>
  </si>
  <si>
    <t>W24174M151</t>
  </si>
  <si>
    <t>20260730T164601.000 GMT</t>
  </si>
  <si>
    <t>20260824T030815.000 GMT</t>
  </si>
  <si>
    <t>ROLSTON, LINDSEY R</t>
  </si>
  <si>
    <t>2018aeff-9a69-41bb-9fea-399c6bf1c583</t>
  </si>
  <si>
    <t>CI-78953361</t>
  </si>
  <si>
    <t>077M81738</t>
  </si>
  <si>
    <t>2025212DY1092</t>
  </si>
  <si>
    <t>W11519</t>
  </si>
  <si>
    <t>W11519M002</t>
  </si>
  <si>
    <t>20260804T072013.000 GMT</t>
  </si>
  <si>
    <t>20260902T084425.000 GMT</t>
  </si>
  <si>
    <t>SCIFRES, AARON M</t>
  </si>
  <si>
    <t>242047a2-c00d-4dcd-8b65-fda3032f6e39</t>
  </si>
  <si>
    <t>CI-80432156</t>
  </si>
  <si>
    <t>0-7 DAYS</t>
  </si>
  <si>
    <t>2025255CL4985</t>
  </si>
  <si>
    <t>20260903T071733.000 GMT</t>
  </si>
  <si>
    <t>20260903T081733.000 GMT</t>
  </si>
  <si>
    <t>ECONSIDERATION (LEVEL 1). FIRST ATTEMPT.</t>
  </si>
  <si>
    <t>FINN, CAITLIN B</t>
  </si>
  <si>
    <t>d20d70a2-6eaa-4e69-b09c-3d8cb3b7a0a4</t>
  </si>
  <si>
    <t>CI-80436793</t>
  </si>
  <si>
    <t>2025303DX5033</t>
  </si>
  <si>
    <t>20260903T090018.000 GMT</t>
  </si>
  <si>
    <t>20260903T100018.000 GMT</t>
  </si>
  <si>
    <t>3afc1352-0ca8-4f31-9f44-81f4153de0ea</t>
  </si>
  <si>
    <t>CI-80313090</t>
  </si>
  <si>
    <t>2025329EZ1647</t>
  </si>
  <si>
    <t>20260901T080456.000 GMT</t>
  </si>
  <si>
    <t>20260903T092602.000 GMT</t>
  </si>
  <si>
    <t>For Provider Audit as per concept  Z400IA0490 with Medical Records with MLH
2026243RU0092</t>
  </si>
  <si>
    <t>MARIETTA MEMORIAL HOSPITA</t>
  </si>
  <si>
    <t>1b27e08e-3115-41b2-b096-72d8808e682f</t>
  </si>
  <si>
    <t xml:space="preserve">Email sent for PA Review and waiting for response.
</t>
  </si>
  <si>
    <t>CI-80359011</t>
  </si>
  <si>
    <t>2025338DC3925</t>
  </si>
  <si>
    <t>20260901T224138.000 GMT</t>
  </si>
  <si>
    <t>20260903T094051.000 GMT</t>
  </si>
  <si>
    <t>ARNESON, JESSICA M</t>
  </si>
  <si>
    <t>ed7bd473-b36e-476a-acf1-9357ea634452</t>
  </si>
  <si>
    <t>CI-80424082</t>
  </si>
  <si>
    <t>2025307CS3963</t>
  </si>
  <si>
    <t>20260903T000207.000 GMT</t>
  </si>
  <si>
    <t>20260903T080600.000 GMT</t>
  </si>
  <si>
    <t>KELLY, KAITLYN J</t>
  </si>
  <si>
    <t>864928b6-38a3-4159-aca5-109a10cfd4ed</t>
  </si>
  <si>
    <t>CI-80297891</t>
  </si>
  <si>
    <t>2025266CN8363</t>
  </si>
  <si>
    <t>20260831T211837.000 GMT</t>
  </si>
  <si>
    <t>20260901T081430.000 GMT</t>
  </si>
  <si>
    <t>WHELAN, HANNAH E</t>
  </si>
  <si>
    <t>7450b601-77ce-495e-8ff4-c3da82b83ab1</t>
  </si>
  <si>
    <t>CI-80392829</t>
  </si>
  <si>
    <t>2025246BD8113</t>
  </si>
  <si>
    <t>20260902T143644.000 GMT</t>
  </si>
  <si>
    <t>20260903T043716.000 GMT</t>
  </si>
  <si>
    <t>EMORY SAINT JOSEPHS HOSPI</t>
  </si>
  <si>
    <t>72557886-beb9-4d97-946d-b27e543fd73b</t>
  </si>
  <si>
    <t>no response yet from PA, will follow up after 15 business days (9/28)</t>
  </si>
  <si>
    <t>CI-80363344</t>
  </si>
  <si>
    <t>1651087AB</t>
  </si>
  <si>
    <t>2025325DJ0643</t>
  </si>
  <si>
    <t>281992M006</t>
  </si>
  <si>
    <t>20260902T005709.000 GMT</t>
  </si>
  <si>
    <t>20260903T230740.000 GMT</t>
  </si>
  <si>
    <t>NGMC LUMPKIN, LLC</t>
  </si>
  <si>
    <t>172fd71d-c727-4c83-9ece-603fd5aa2350</t>
  </si>
  <si>
    <t>Email sent for PA Review and waiting for response. FDOC # 7230442135. Sent email ff with SME dated 09/16/2026</t>
  </si>
  <si>
    <t>CI-79358884</t>
  </si>
  <si>
    <t>922W13216</t>
  </si>
  <si>
    <t>2025352FJ3248</t>
  </si>
  <si>
    <t>W91004M104</t>
  </si>
  <si>
    <t>20260812T073022.000 GMT</t>
  </si>
  <si>
    <t>20260903T004205.000 GMT</t>
  </si>
  <si>
    <t>Email sent for PA Review and waiting for response. FDOC # 7230442135.</t>
  </si>
  <si>
    <t>BARTZEN, MICHELLE J</t>
  </si>
  <si>
    <t>5ba048c1-6428-4f33-ad3b-cef643fe757c</t>
  </si>
  <si>
    <t>CI-79392524</t>
  </si>
  <si>
    <t>862W14888</t>
  </si>
  <si>
    <t>2025231DJ1773</t>
  </si>
  <si>
    <t>20260812T181325.000 GMT</t>
  </si>
  <si>
    <t>20260903T064723.000 GMT</t>
  </si>
  <si>
    <t>GRAHAM, KEVIN A</t>
  </si>
  <si>
    <t>0caa7436-d0f4-499a-ba02-ef5c80aa9013</t>
  </si>
  <si>
    <t xml:space="preserve">Waiting for reversal approval.
</t>
  </si>
  <si>
    <t>CI-79302478</t>
  </si>
  <si>
    <t>028M56126</t>
  </si>
  <si>
    <t>2025289DX4606</t>
  </si>
  <si>
    <t>W28093</t>
  </si>
  <si>
    <t>W28093M001</t>
  </si>
  <si>
    <t>20260811T085952.000 GMT</t>
  </si>
  <si>
    <t>20260902T010309.000 GMT</t>
  </si>
  <si>
    <t>43f8093a-2c8b-4104-843a-de15810e255c</t>
  </si>
  <si>
    <t>CI-79310326</t>
  </si>
  <si>
    <t>383W17434</t>
  </si>
  <si>
    <t>2025113DG1331</t>
  </si>
  <si>
    <t>W27917</t>
  </si>
  <si>
    <t>W27917M002</t>
  </si>
  <si>
    <t>20260811T115940.000 GMT</t>
  </si>
  <si>
    <t>20260902T012933.000 GMT</t>
  </si>
  <si>
    <t>1fb3231c-aebf-43c1-9f82-955714b91c5e</t>
  </si>
  <si>
    <t>CI-79379228</t>
  </si>
  <si>
    <t>502M72256</t>
  </si>
  <si>
    <t>2025210BQ2633</t>
  </si>
  <si>
    <t>W24174M488</t>
  </si>
  <si>
    <t>20260812T143307.000 GMT</t>
  </si>
  <si>
    <t>20260903T044751.000 GMT</t>
  </si>
  <si>
    <t>f2bbf1c8-550f-448c-b960-1ac7601dd6d2</t>
  </si>
  <si>
    <t>Completed on 09/11/2026</t>
  </si>
  <si>
    <t>CI-79467188</t>
  </si>
  <si>
    <t>650A15981</t>
  </si>
  <si>
    <t>2025309EM7412</t>
  </si>
  <si>
    <t>SP3141</t>
  </si>
  <si>
    <t>SP3141M001</t>
  </si>
  <si>
    <t>20260814T032621.000 GMT</t>
  </si>
  <si>
    <t>20260903T043051.000 GMT</t>
  </si>
  <si>
    <t>c1b5130e-3110-49dc-8e14-f4a4b2faa040</t>
  </si>
  <si>
    <t>Email sent for PA Review and waiting for response. Less than 15 days.</t>
  </si>
  <si>
    <t>CI-79355086</t>
  </si>
  <si>
    <t>2025305CD0857</t>
  </si>
  <si>
    <t>SGD39499</t>
  </si>
  <si>
    <t>8GQH00</t>
  </si>
  <si>
    <t>MA</t>
  </si>
  <si>
    <t>20260812T024509.000 GMT</t>
  </si>
  <si>
    <t>20260902T233354.000 GMT</t>
  </si>
  <si>
    <t>Email sent for PA Review and waiting for response. FDOC#7230356624</t>
  </si>
  <si>
    <t>JONATHAN R PACE, JONATHAN R</t>
  </si>
  <si>
    <t>3aae2324-6eb0-448c-9f00-e32d5145d59a</t>
  </si>
  <si>
    <t>CI-79346377</t>
  </si>
  <si>
    <t>741M72111</t>
  </si>
  <si>
    <t>2025357DE8264</t>
  </si>
  <si>
    <t>SGD10534</t>
  </si>
  <si>
    <t>8BJ600</t>
  </si>
  <si>
    <t>20260811T220959.000 GMT</t>
  </si>
  <si>
    <t>20260902T080624.000 GMT</t>
  </si>
  <si>
    <t>NORTON CHILDRENS HOSPITAL</t>
  </si>
  <si>
    <t>2f7f3752-04e9-444f-896d-bd19ec8584aa</t>
  </si>
  <si>
    <t xml:space="preserve">Email sent for PA Review and waiting for response
</t>
  </si>
  <si>
    <t>CI-79348800</t>
  </si>
  <si>
    <t>2025363BL8091</t>
  </si>
  <si>
    <t>20260811T231931.000 GMT</t>
  </si>
  <si>
    <t>20260902T143829.000 GMT</t>
  </si>
  <si>
    <t>COLUMBIA MEMORIAL HOSPITA</t>
  </si>
  <si>
    <t>869c53fd-f2a8-4ccd-b403-68eda0a9717c</t>
  </si>
  <si>
    <t>CI-79343672</t>
  </si>
  <si>
    <t>2024366CC4360</t>
  </si>
  <si>
    <t>20260811T212058.000 GMT</t>
  </si>
  <si>
    <t>20260902T062936.000 GMT</t>
  </si>
  <si>
    <t>PATEL, VIRENDRA I</t>
  </si>
  <si>
    <t>50d5d98e-8cb8-49e8-bbf3-77f2be64b19a</t>
  </si>
  <si>
    <t>CI-79303174</t>
  </si>
  <si>
    <t>2025224DL2096</t>
  </si>
  <si>
    <t>20260811T091200.000 GMT</t>
  </si>
  <si>
    <t>20260902T011242.000 GMT</t>
  </si>
  <si>
    <t>EMILY  ROMERO</t>
  </si>
  <si>
    <t>85893a3d-7981-4a79-8e7c-52720b382efb</t>
  </si>
  <si>
    <t>CI-79302807</t>
  </si>
  <si>
    <t>AH18656</t>
  </si>
  <si>
    <t>2025310DO6848</t>
  </si>
  <si>
    <t>Teresa R Simpson</t>
  </si>
  <si>
    <t>20260811T090516.000 GMT</t>
  </si>
  <si>
    <t>20260902T010555.000 GMT</t>
  </si>
  <si>
    <t>Work fell off of Aanalyst worklist, moving to have work allocated to correct Analyst.</t>
  </si>
  <si>
    <t>CLARK, EMILY L</t>
  </si>
  <si>
    <t>09e5bf6e-5034-4121-b7fd-c600457a2308</t>
  </si>
  <si>
    <t>CI-79317641</t>
  </si>
  <si>
    <t>03492537C</t>
  </si>
  <si>
    <t>2025276DO4424</t>
  </si>
  <si>
    <t>20260811T141225.000 GMT</t>
  </si>
  <si>
    <t>20260902T022609.000 GMT</t>
  </si>
  <si>
    <t>589e9730-eabf-43ba-9702-37e0cd06d6bf</t>
  </si>
  <si>
    <t>CI-79738963</t>
  </si>
  <si>
    <t>465M72692</t>
  </si>
  <si>
    <t>2026048EC5416</t>
  </si>
  <si>
    <t>MO5122</t>
  </si>
  <si>
    <t>MO5122M002</t>
  </si>
  <si>
    <t>20260820T010005.000 GMT</t>
  </si>
  <si>
    <t>20260822T163658.000 GMT</t>
  </si>
  <si>
    <t>AL96935</t>
  </si>
  <si>
    <t>FAQ</t>
  </si>
  <si>
    <t>320e11dd-95e6-4b72-9a1a-9daf4d3d0b5e</t>
  </si>
  <si>
    <t>CI-79356109</t>
  </si>
  <si>
    <t>927W18700</t>
  </si>
  <si>
    <t>2025357BP9189</t>
  </si>
  <si>
    <t>L08745</t>
  </si>
  <si>
    <t>L08745M007</t>
  </si>
  <si>
    <t>20260812T033948.000 GMT</t>
  </si>
  <si>
    <t>20260902T235032.000 GMT</t>
  </si>
  <si>
    <t>CHILDRENS HOSPITAL MEDICA</t>
  </si>
  <si>
    <t>8162e542-ffa5-454f-874c-335232b0e816</t>
  </si>
  <si>
    <t>Completed on 09/17/2026</t>
  </si>
  <si>
    <t>CI-79488085</t>
  </si>
  <si>
    <t>510M70972</t>
  </si>
  <si>
    <t>2025311DX6341</t>
  </si>
  <si>
    <t>L08354</t>
  </si>
  <si>
    <t>L08354M001</t>
  </si>
  <si>
    <t>20260814T161648.000 GMT</t>
  </si>
  <si>
    <t>20260903T050355.000 GMT</t>
  </si>
  <si>
    <t>2c9fad29-9433-4678-a021-2d4b10443044</t>
  </si>
  <si>
    <t>CI-79331289</t>
  </si>
  <si>
    <t>948M56241</t>
  </si>
  <si>
    <t>2025122EL9161</t>
  </si>
  <si>
    <t>L02191</t>
  </si>
  <si>
    <t>L02191M001</t>
  </si>
  <si>
    <t>20260811T180052.000 GMT</t>
  </si>
  <si>
    <t>20260902T040143.000 GMT</t>
  </si>
  <si>
    <t>17d0e7d5-e38e-4f58-9570-58f3bbf4af80</t>
  </si>
  <si>
    <t>CI-79340081</t>
  </si>
  <si>
    <t>311W05527</t>
  </si>
  <si>
    <t>2025362BA0536</t>
  </si>
  <si>
    <t>L00211</t>
  </si>
  <si>
    <t>L00211M007</t>
  </si>
  <si>
    <t>20260811T202301.000 GMT</t>
  </si>
  <si>
    <t>20260902T054229.000 GMT</t>
  </si>
  <si>
    <t>BRIAN J HENNINGER, BRIAN J</t>
  </si>
  <si>
    <t>fad21556-a864-42d6-a9ce-b30aea41dc62</t>
  </si>
  <si>
    <t>CI-79392693</t>
  </si>
  <si>
    <t>2025351FD6091</t>
  </si>
  <si>
    <t>20260812T181603.000 GMT</t>
  </si>
  <si>
    <t>20260903T064938.000 GMT</t>
  </si>
  <si>
    <t>401b50eb-a584-486b-a0a0-401aa71eee16</t>
  </si>
  <si>
    <t>CI-79355221</t>
  </si>
  <si>
    <t>213W19141</t>
  </si>
  <si>
    <t>2025238BY0050</t>
  </si>
  <si>
    <t>817H00</t>
  </si>
  <si>
    <t>20260812T024841.000 GMT</t>
  </si>
  <si>
    <t>20260902T075427.000 GMT</t>
  </si>
  <si>
    <t>GIFFORD, EDWARD D</t>
  </si>
  <si>
    <t>74836516-b7f5-40d5-aed4-bf0ac7c62067</t>
  </si>
  <si>
    <t>CI-79344305</t>
  </si>
  <si>
    <t>S00372425</t>
  </si>
  <si>
    <t>2025184CD2975</t>
  </si>
  <si>
    <t>20260811T213129.000 GMT</t>
  </si>
  <si>
    <t>S00</t>
  </si>
  <si>
    <t>20260902T063855.000 GMT</t>
  </si>
  <si>
    <t>FLOYD HEALTHCARE MANAGEME</t>
  </si>
  <si>
    <t>6c61b218-5442-49ba-bdae-39335c5b9c00</t>
  </si>
  <si>
    <t>CI-79342099</t>
  </si>
  <si>
    <t>2025328BD6297</t>
  </si>
  <si>
    <t>20260811T205144.000 GMT</t>
  </si>
  <si>
    <t>20260902T060715.000 GMT</t>
  </si>
  <si>
    <t>2605f0a6-ea8a-473a-88e1-1040446c56b8</t>
  </si>
  <si>
    <t>CI-79353964</t>
  </si>
  <si>
    <t>2025087BF0181</t>
  </si>
  <si>
    <t>20260812T015521.000 GMT</t>
  </si>
  <si>
    <t>20260903T002344.000 GMT</t>
  </si>
  <si>
    <t>86ce7456-db30-4f61-965c-ccece7d03a7a</t>
  </si>
  <si>
    <t xml:space="preserve">Email sent for PA review and awaiting response.
</t>
  </si>
  <si>
    <t>CI-79340653</t>
  </si>
  <si>
    <t>2025362BI3733</t>
  </si>
  <si>
    <t>20260811T203112.000 GMT</t>
  </si>
  <si>
    <t>20260902T085340.000 GMT</t>
  </si>
  <si>
    <t>HENNINGER, BRIAN J</t>
  </si>
  <si>
    <t>712eca26-bdc0-44bb-9493-d2f3f979bc6d</t>
  </si>
  <si>
    <t>CI-79360955</t>
  </si>
  <si>
    <t>277M89901</t>
  </si>
  <si>
    <t>2024259BW6940</t>
  </si>
  <si>
    <t>98092595LM</t>
  </si>
  <si>
    <t>20260812T081336.000 GMT</t>
  </si>
  <si>
    <t>20260903T014432.000 GMT</t>
  </si>
  <si>
    <t>89aa5932-85ab-4e40-a0a0-41473b726456</t>
  </si>
  <si>
    <t>CI-79313790</t>
  </si>
  <si>
    <t>988W16584</t>
  </si>
  <si>
    <t>2025321CT1459</t>
  </si>
  <si>
    <t>721330003M</t>
  </si>
  <si>
    <t>20260811T131107.000 GMT</t>
  </si>
  <si>
    <t>20260902T015716.000 GMT</t>
  </si>
  <si>
    <t>RANGADHAMA, JYOTHI H</t>
  </si>
  <si>
    <t>d93939d5-a69a-46d2-bd88-d4357bed7466</t>
  </si>
  <si>
    <t>CI-79361530</t>
  </si>
  <si>
    <t>710M98191</t>
  </si>
  <si>
    <t>2025204BM2553</t>
  </si>
  <si>
    <t>720858003M</t>
  </si>
  <si>
    <t>20260812T084653.000 GMT</t>
  </si>
  <si>
    <t>20260903T013122.000 GMT</t>
  </si>
  <si>
    <t>MAURER, TIFFANY R</t>
  </si>
  <si>
    <t>d38fd14e-ef53-4d46-8d11-cb9963657b76</t>
  </si>
  <si>
    <t>CI-79380066</t>
  </si>
  <si>
    <t>605W02601</t>
  </si>
  <si>
    <t>2025216EW9363</t>
  </si>
  <si>
    <t>3776504STM</t>
  </si>
  <si>
    <t>20260812T144624.000 GMT</t>
  </si>
  <si>
    <t>20260903T044337.000 GMT</t>
  </si>
  <si>
    <t>SUNIL  DHUPER</t>
  </si>
  <si>
    <t>eecbf0e6-9285-41f4-85c1-9311e4ca750c</t>
  </si>
  <si>
    <t>CI-79378530</t>
  </si>
  <si>
    <t>2025174CU4786</t>
  </si>
  <si>
    <t>20260812T142005.000 GMT</t>
  </si>
  <si>
    <t>20260903T040438.000 GMT</t>
  </si>
  <si>
    <t>fe81df21-7916-4d5b-9ef0-eb86a6d50f70</t>
  </si>
  <si>
    <t>CI-79378853</t>
  </si>
  <si>
    <t>645W02572</t>
  </si>
  <si>
    <t>2025258CZ9460</t>
  </si>
  <si>
    <t>3776508ECM</t>
  </si>
  <si>
    <t>20260812T142619.000 GMT</t>
  </si>
  <si>
    <t>20260903T051248.000 GMT</t>
  </si>
  <si>
    <t>404095e7-3f8e-445e-a1fa-253080f1e6a9</t>
  </si>
  <si>
    <t>CI-79378884</t>
  </si>
  <si>
    <t>2025279DC2685</t>
  </si>
  <si>
    <t>20260812T142702.000 GMT</t>
  </si>
  <si>
    <t>20260903T041602.000 GMT</t>
  </si>
  <si>
    <t>31a436e7-b4a6-4889-8550-4023552dfeaf</t>
  </si>
  <si>
    <t>CI-79378387</t>
  </si>
  <si>
    <t>222W02581</t>
  </si>
  <si>
    <t>2025251DM5638</t>
  </si>
  <si>
    <t>20260812T141722.000 GMT</t>
  </si>
  <si>
    <t>20260903T040811.000 GMT</t>
  </si>
  <si>
    <t>a1aa813a-d655-4104-911b-ec63cb92337a</t>
  </si>
  <si>
    <t>CI-79378343</t>
  </si>
  <si>
    <t>591W17991</t>
  </si>
  <si>
    <t>2025251CW4123</t>
  </si>
  <si>
    <t>37765005CM</t>
  </si>
  <si>
    <t>20260812T141626.000 GMT</t>
  </si>
  <si>
    <t>20260903T084858.000 GMT</t>
  </si>
  <si>
    <t>c18b4ca5-df4d-49f7-b385-e9e57791d128</t>
  </si>
  <si>
    <t xml:space="preserve">Dispute overturned as per provider audit, claim can be allowed at contracted rate. PA response FDOC  7260265205
</t>
  </si>
  <si>
    <t>CI-79379823</t>
  </si>
  <si>
    <t>2025258CY4509</t>
  </si>
  <si>
    <t>20260812T144228.000 GMT</t>
  </si>
  <si>
    <t>20260903T044130.000 GMT</t>
  </si>
  <si>
    <t>1663ec20-d59f-4d37-bcff-f8f6a2e99bdd</t>
  </si>
  <si>
    <t>CI-79379151</t>
  </si>
  <si>
    <t>759W05017</t>
  </si>
  <si>
    <t>2025210BJ2198</t>
  </si>
  <si>
    <t>37765004CM</t>
  </si>
  <si>
    <t>20260812T143156.000 GMT</t>
  </si>
  <si>
    <t>20260903T042437.000 GMT</t>
  </si>
  <si>
    <t>a6989409-d6bb-4dbd-8120-164f0cb364af</t>
  </si>
  <si>
    <t>CI-79378317</t>
  </si>
  <si>
    <t>665W02637</t>
  </si>
  <si>
    <t>2025181DK4386</t>
  </si>
  <si>
    <t>37765010CM</t>
  </si>
  <si>
    <t>20260812T141550.000 GMT</t>
  </si>
  <si>
    <t>20260903T053605.000 GMT</t>
  </si>
  <si>
    <t>9b309cfa-acaf-4915-9606-743328385ad9</t>
  </si>
  <si>
    <t>Awaiting PA response since 9/4/2026</t>
  </si>
  <si>
    <t>CI-79357063</t>
  </si>
  <si>
    <t>903W11175</t>
  </si>
  <si>
    <t>2025203CB4930</t>
  </si>
  <si>
    <t>300664006M</t>
  </si>
  <si>
    <t>20260812T053907.000 GMT</t>
  </si>
  <si>
    <t>20260902T235103.000 GMT</t>
  </si>
  <si>
    <t>IBRAHIM  HUSSAIN</t>
  </si>
  <si>
    <t>b985ebe9-c5fc-489f-b310-635b443b15a6</t>
  </si>
  <si>
    <t>CI-79362852</t>
  </si>
  <si>
    <t>946W15049</t>
  </si>
  <si>
    <t>2025336DY7518</t>
  </si>
  <si>
    <t>270233L3AA</t>
  </si>
  <si>
    <t>20260812T091412.000 GMT</t>
  </si>
  <si>
    <t>20260903T014642.000 GMT</t>
  </si>
  <si>
    <t>CHI-TSAI  TANG</t>
  </si>
  <si>
    <t>6857a934-d92c-4212-8fd0-c2753651c3c1</t>
  </si>
  <si>
    <t xml:space="preserve">	
**ADJ PENDED/RESEARCHED ** claim open less than 15 days waiting to finalize.</t>
  </si>
  <si>
    <t>CI-79392331</t>
  </si>
  <si>
    <t>CL-37944794</t>
  </si>
  <si>
    <t>AIM Pending Review</t>
  </si>
  <si>
    <t>B9Y 356W15121</t>
  </si>
  <si>
    <t>2026204EG4558</t>
  </si>
  <si>
    <t>GS-BNYMellon</t>
  </si>
  <si>
    <t>270183MI22</t>
  </si>
  <si>
    <t>20260812T181017.000 GMT</t>
  </si>
  <si>
    <t>B9Y</t>
  </si>
  <si>
    <t>20260903T064541.000 GMT</t>
  </si>
  <si>
    <t>**ADJ PENDED/RESEARCHED ** claim open less than 15 days waiting to finalize.</t>
  </si>
  <si>
    <t>BOCCIO, ASHLEY K</t>
  </si>
  <si>
    <t>CL-37942746</t>
  </si>
  <si>
    <t>0003face-9009-4ba6-bd34-3aaf98a4f05e</t>
  </si>
  <si>
    <t>CI-79302881</t>
  </si>
  <si>
    <t>AN5320975</t>
  </si>
  <si>
    <t>2025224EI9373</t>
  </si>
  <si>
    <t>230028MA3A</t>
  </si>
  <si>
    <t>20260811T090705.000 GMT</t>
  </si>
  <si>
    <t>AN5</t>
  </si>
  <si>
    <t>20260902T010732.000 GMT</t>
  </si>
  <si>
    <t>JOHN R MULLINS</t>
  </si>
  <si>
    <t>c6c58906-08c0-44d4-81bf-deb5ce49b261</t>
  </si>
  <si>
    <t>CI-79354443</t>
  </si>
  <si>
    <t>986M98169</t>
  </si>
  <si>
    <t>2025166BI7326</t>
  </si>
  <si>
    <t>210022AQH3</t>
  </si>
  <si>
    <t>20260812T021639.000 GMT</t>
  </si>
  <si>
    <t>20260903T051843.000 GMT</t>
  </si>
  <si>
    <t>MR Automation: Not eligible for MR automation due to the presense of  ,LPS edit. Please review and process as per the guidelines.</t>
  </si>
  <si>
    <t>MERCY HOSPITAL</t>
  </si>
  <si>
    <t>0400eb73-70f0-4262-9af8-e421cf2c55f0</t>
  </si>
  <si>
    <t>CI-79377147</t>
  </si>
  <si>
    <t>388A56327</t>
  </si>
  <si>
    <t>2025083CI1720</t>
  </si>
  <si>
    <t>GS-GroupSvcsPrism</t>
  </si>
  <si>
    <t>175075Q115</t>
  </si>
  <si>
    <t>20260812T135047.000 GMT</t>
  </si>
  <si>
    <t>20260903T033200.000 GMT</t>
  </si>
  <si>
    <t>Reassigned non sutter account</t>
  </si>
  <si>
    <t>STANFORD MEDICAL CENTER</t>
  </si>
  <si>
    <t>fe98c950-55da-4c92-b8c1-8377881717d2</t>
  </si>
  <si>
    <t>Claim pending High Dollar adjustment approval.</t>
  </si>
  <si>
    <t>CI-79430650</t>
  </si>
  <si>
    <t>CL-37888053</t>
  </si>
  <si>
    <t>DOM 148W18385</t>
  </si>
  <si>
    <t>2025241EK1060</t>
  </si>
  <si>
    <t>174577MMHA</t>
  </si>
  <si>
    <t>20260813T131852.000 GMT</t>
  </si>
  <si>
    <t>DOM</t>
  </si>
  <si>
    <t>20260903T025212.000 GMT</t>
  </si>
  <si>
    <t>JAMAICA HOSPITAL MEDICAL</t>
  </si>
  <si>
    <t>CL-37887824</t>
  </si>
  <si>
    <t>98904b72-8ff4-443b-a070-ab1d9947d0b1</t>
  </si>
  <si>
    <t>CI-79398510</t>
  </si>
  <si>
    <t>583W23479</t>
  </si>
  <si>
    <t>2025308CV6030</t>
  </si>
  <si>
    <t>174303W1AA</t>
  </si>
  <si>
    <t>20260812T200125.000 GMT</t>
  </si>
  <si>
    <t>20260903T153147.000 GMT</t>
  </si>
  <si>
    <t>MACASKILL, MICAH L</t>
  </si>
  <si>
    <t>372a0359-867a-4c26-9120-e99da0ebc487</t>
  </si>
  <si>
    <t>CI-79409832</t>
  </si>
  <si>
    <t>499M77299</t>
  </si>
  <si>
    <t>2024049CE0485</t>
  </si>
  <si>
    <t>174232M1A1</t>
  </si>
  <si>
    <t>20260812T235826.000 GMT</t>
  </si>
  <si>
    <t>20260903T011228.000 GMT</t>
  </si>
  <si>
    <t>RECOVERY DISPUTES UNIT REVIEW:
DMO S B7936 NON-PATIENT LABORATORY SERVICES. THE HEALTH PLAN DOES NOT ALL
OW REIMBURSEMENT FOR NON PATIENT LABORATORY SERVICES WHEN REPORTED ON A U
B-04 WITH TYPE OF BILL 014X. LOAD NAME CCERT_85672 08112025 RAC AD84145
DRG CD KEYED ==&gt; DRG CD PRICED ==&gt;
***
ACR LTR ID: 18975227 DP DATE: 10/03/2025 ACR COMMENT: FL DATE 08/12/2025
***
NEXTGEN COMMENTS or PROVIDER COMMENT:
Not a valid appeal. No PDR form or formal appeal letter.
***
THE DECISION IS UPHELD
Refund is valid. The Health Plan does not allow reimbursement for non-patient laboratory services when reported on a UB-04 with type of bill 014X.</t>
  </si>
  <si>
    <t>PROVIDENCE ST JUDE MEDICA</t>
  </si>
  <si>
    <t>d05c29d0-9941-4bd4-9bee-176ff4434926</t>
  </si>
  <si>
    <t>CI-79324336</t>
  </si>
  <si>
    <t>576M90636</t>
  </si>
  <si>
    <t>2025255CK4232</t>
  </si>
  <si>
    <t>174208M8AE</t>
  </si>
  <si>
    <t>20260811T155500.000 GMT</t>
  </si>
  <si>
    <t>20260902T030017.000 GMT</t>
  </si>
  <si>
    <t>CARESSA  CHEN</t>
  </si>
  <si>
    <t>f8e9f3d6-2583-4ba2-99aa-8b058298e039</t>
  </si>
  <si>
    <t>CI-79366561</t>
  </si>
  <si>
    <t>2025039CC6525</t>
  </si>
  <si>
    <t>GS-WIPRONational</t>
  </si>
  <si>
    <t>174190M2A1</t>
  </si>
  <si>
    <t>20260812T103745.000 GMT</t>
  </si>
  <si>
    <t>20260903T023540.000 GMT</t>
  </si>
  <si>
    <t>Restore claim number 25039CC6525</t>
  </si>
  <si>
    <t>RIVERSIDE REGIONAL MEDICA</t>
  </si>
  <si>
    <t>25b5a685-5071-4586-b4b8-4d4cfb39bbb5</t>
  </si>
  <si>
    <t>CI-79738833</t>
  </si>
  <si>
    <t>2024268FE5879</t>
  </si>
  <si>
    <t>20260820T005826.000 GMT</t>
  </si>
  <si>
    <t>20260820T005840.000 GMT</t>
  </si>
  <si>
    <t>b2042858-43bf-479c-8cfe-7c7e9a6060b5</t>
  </si>
  <si>
    <t>CI-79358392</t>
  </si>
  <si>
    <t>2025360DF9249</t>
  </si>
  <si>
    <t>20260812T071812.000 GMT</t>
  </si>
  <si>
    <t>20260903T022530.000 GMT</t>
  </si>
  <si>
    <t>KASPER-LOGAN, JESSICA M</t>
  </si>
  <si>
    <t>63f6048e-6013-434c-b1d1-b22bc0758e76</t>
  </si>
  <si>
    <t>Email sent for PA Review and waiting 
for response</t>
  </si>
  <si>
    <t>CI-79354284</t>
  </si>
  <si>
    <t>AM37439</t>
  </si>
  <si>
    <t>2025347BS6072</t>
  </si>
  <si>
    <t>Wilfreda A Conje</t>
  </si>
  <si>
    <t>20260812T021233.000 GMT</t>
  </si>
  <si>
    <t>20260902T231505.000 GMT</t>
  </si>
  <si>
    <t>awaiting for CCA review</t>
  </si>
  <si>
    <t>LARSON, JENNIFER R</t>
  </si>
  <si>
    <t>b7ea1d77-0c86-4afd-bc83-a222b59a3017</t>
  </si>
  <si>
    <t>CI-79348682</t>
  </si>
  <si>
    <t>2025352EF3240</t>
  </si>
  <si>
    <t>20260811T231633.000 GMT</t>
  </si>
  <si>
    <t>20260902T081208.000 GMT</t>
  </si>
  <si>
    <t>For Provider Audit as per concept  Z050TD0015 with Medical Records with MLH
2026223A21150</t>
  </si>
  <si>
    <t>f929fbfb-9dd7-4ffc-a1b2-e841f7e75739</t>
  </si>
  <si>
    <t>CI-79319436</t>
  </si>
  <si>
    <t>2025273DV4898</t>
  </si>
  <si>
    <t>20260811T144629.000 GMT</t>
  </si>
  <si>
    <t>20260902T023206.000 GMT</t>
  </si>
  <si>
    <t>KEMP, JOANNA M</t>
  </si>
  <si>
    <t>ebd1e0ed-3f2e-4e88-8a9f-b787911bea60</t>
  </si>
  <si>
    <t>CI-79332268</t>
  </si>
  <si>
    <t>2025275ER9379</t>
  </si>
  <si>
    <t>20260811T181349.000 GMT</t>
  </si>
  <si>
    <t>20260902T034354.000 GMT</t>
  </si>
  <si>
    <t>5d428cac-6050-470c-ba5f-0c88caccd008</t>
  </si>
  <si>
    <t>CI-79378641</t>
  </si>
  <si>
    <t>2025191RL1178</t>
  </si>
  <si>
    <t>20260812T142226.000 GMT</t>
  </si>
  <si>
    <t>20260903T040814.000 GMT</t>
  </si>
  <si>
    <t>JOHNSON, DANIEL J</t>
  </si>
  <si>
    <t>68bd6049-04e4-4941-b303-871bfd6564b0</t>
  </si>
  <si>
    <t xml:space="preserve">
Created by	
Created date	
Notes details	
System
9/10/2026
Claim Processed
AM23775
9/10/2026
Decision : Overturn
Additional Comments : PER PROVIDER AUDIT SHOULD BE OVERTURN, ALLOW CONTRACTED RATE. FDOC 7239623290</t>
  </si>
  <si>
    <t>CI-79314507</t>
  </si>
  <si>
    <t>AM23775</t>
  </si>
  <si>
    <t>638M79387</t>
  </si>
  <si>
    <t>2025203DO1817</t>
  </si>
  <si>
    <t>005916M068</t>
  </si>
  <si>
    <t>Hana Zyla T Barcillano</t>
  </si>
  <si>
    <t>20260811T132215.000 GMT</t>
  </si>
  <si>
    <t>20260902T021723.000 GMT</t>
  </si>
  <si>
    <t>Waiting for CCA response.</t>
  </si>
  <si>
    <t>GREEN-RHODEN, ROSALIND G</t>
  </si>
  <si>
    <t>0a17491d-e910-4c9f-a7c8-15f049b87ac4</t>
  </si>
  <si>
    <t>CI-79393688</t>
  </si>
  <si>
    <t>2025351FE4103</t>
  </si>
  <si>
    <t>001016M127</t>
  </si>
  <si>
    <t>20260812T183024.000 GMT</t>
  </si>
  <si>
    <t>20260903T071301.000 GMT</t>
  </si>
  <si>
    <t>9029b409-f450-49fe-90d3-401c65d7a6fe</t>
  </si>
  <si>
    <t>CI-79391285</t>
  </si>
  <si>
    <t>2025351FD5420</t>
  </si>
  <si>
    <t>20260812T175522.000 GMT</t>
  </si>
  <si>
    <t>20260903T063336.000 GMT</t>
  </si>
  <si>
    <t>5bcd195e-cfcd-4fa6-ade5-699d83f1be82</t>
  </si>
  <si>
    <t>CI-79355666</t>
  </si>
  <si>
    <t>AM37428</t>
  </si>
  <si>
    <t>2025087CL8737</t>
  </si>
  <si>
    <t>061755M107</t>
  </si>
  <si>
    <t>Gynette Mica P Cabatic</t>
  </si>
  <si>
    <t>20260812T030754.000 GMT</t>
  </si>
  <si>
    <t>20260903T003705.000 GMT</t>
  </si>
  <si>
    <t>HOSPITAL OF CENTRAL CONNE</t>
  </si>
  <si>
    <t>14e43d0c-cc17-416b-8448-3fd24d2078bd</t>
  </si>
  <si>
    <t>Email sent for PA Review and waiting  for response</t>
  </si>
  <si>
    <t>CI-79293716</t>
  </si>
  <si>
    <t>392W14226</t>
  </si>
  <si>
    <t>2025268R10084</t>
  </si>
  <si>
    <t>047259M003</t>
  </si>
  <si>
    <t>20260811T025821.000 GMT</t>
  </si>
  <si>
    <t>20260902T045049.000 GMT</t>
  </si>
  <si>
    <t>Awaiting for CCA review</t>
  </si>
  <si>
    <t>MCKENZIE, CHAD M</t>
  </si>
  <si>
    <t>52a55511-be92-46fd-9987-4785fd341431</t>
  </si>
  <si>
    <t>CI-79261991</t>
  </si>
  <si>
    <t>787W06473</t>
  </si>
  <si>
    <t>2025360CO9969</t>
  </si>
  <si>
    <t>005873M014</t>
  </si>
  <si>
    <t>20260810T151639.000 GMT</t>
  </si>
  <si>
    <t>20260901T053043.000 GMT</t>
  </si>
  <si>
    <t>KANDIAH, JONATHAN</t>
  </si>
  <si>
    <t>baa255d9-d8a0-4979-a8bb-035ff44b671b</t>
  </si>
  <si>
    <t>CI-79253300</t>
  </si>
  <si>
    <t>2025310BU6095</t>
  </si>
  <si>
    <t>001116MM05</t>
  </si>
  <si>
    <t>20260810T123829.000 GMT</t>
  </si>
  <si>
    <t>20260901T035919.000 GMT</t>
  </si>
  <si>
    <t>RYAN  RIMMER</t>
  </si>
  <si>
    <t>bdbc5951-cbf8-4828-a041-6e88a0dd146c</t>
  </si>
  <si>
    <t>CI-79195703</t>
  </si>
  <si>
    <t>2025252ER6645</t>
  </si>
  <si>
    <t>20260808T130631.000 GMT</t>
  </si>
  <si>
    <t>20260901T014234.000 GMT</t>
  </si>
  <si>
    <t>HAAS, ANNA E</t>
  </si>
  <si>
    <t>5b8b1e71-6f5c-457a-a221-d5a210064994</t>
  </si>
  <si>
    <t>CI-79257833</t>
  </si>
  <si>
    <t>2025261CV7696</t>
  </si>
  <si>
    <t>20260810T140710.000 GMT</t>
  </si>
  <si>
    <t>20260901T043955.000 GMT</t>
  </si>
  <si>
    <t>SAINT, LINDSEY L</t>
  </si>
  <si>
    <t>91995139-572a-4d0f-9ea1-276ae5c80951</t>
  </si>
  <si>
    <t xml:space="preserve">Email sent for PA Review and waiting for response </t>
  </si>
  <si>
    <t>CI-79204322</t>
  </si>
  <si>
    <t>2025196DK6403</t>
  </si>
  <si>
    <t>20260808T171905.000 GMT</t>
  </si>
  <si>
    <t>20260901T012241.000 GMT</t>
  </si>
  <si>
    <t>ZAAZOUE, MOHAMED A</t>
  </si>
  <si>
    <t>994f0aa3-65fa-4e88-8325-1209f82dbc64</t>
  </si>
  <si>
    <t>CI-79203059</t>
  </si>
  <si>
    <t>2025259EK6477</t>
  </si>
  <si>
    <t>20260808T165238.000 GMT</t>
  </si>
  <si>
    <t>20260901T011730.000 GMT</t>
  </si>
  <si>
    <t>UTTARA  NAG</t>
  </si>
  <si>
    <t>de422610-c2e2-49a1-b448-a467906b7e74</t>
  </si>
  <si>
    <t xml:space="preserve">Awaiting CCA Response
</t>
  </si>
  <si>
    <t>CI-79152436</t>
  </si>
  <si>
    <t>3HZN66302</t>
  </si>
  <si>
    <t>2025298CL9541</t>
  </si>
  <si>
    <t>20260807T132250.000 GMT</t>
  </si>
  <si>
    <t>20260901T030858.000 GMT</t>
  </si>
  <si>
    <t>DOROTHY  NEWMARK</t>
  </si>
  <si>
    <t>061fb621-2446-4941-9d59-7441dd1b6de7</t>
  </si>
  <si>
    <t>CI-79274150</t>
  </si>
  <si>
    <t>2025272CO8936</t>
  </si>
  <si>
    <t>20260810T184521.000 GMT</t>
  </si>
  <si>
    <t>20260901T063907.000 GMT</t>
  </si>
  <si>
    <t>Provider dispute - Need medical review claim 2025272CO8936</t>
  </si>
  <si>
    <t>WEBER, HUNTER A</t>
  </si>
  <si>
    <t>0a8d53d8-98e7-4c40-9fee-a6d59d00f80a</t>
  </si>
  <si>
    <t>CI-78939372</t>
  </si>
  <si>
    <t>2025342CF9679</t>
  </si>
  <si>
    <t>20260804T000701.000 GMT</t>
  </si>
  <si>
    <t>20260901T100737.000 GMT</t>
  </si>
  <si>
    <t>7d1bd713-db6c-43cf-99e8-7dde35008cbb</t>
  </si>
  <si>
    <t>CI-79193207</t>
  </si>
  <si>
    <t>2025343BI9323</t>
  </si>
  <si>
    <t>20260808T121441.000 GMT</t>
  </si>
  <si>
    <t>20260901T004325.000 GMT</t>
  </si>
  <si>
    <t>KRUEGER, RACHEL M</t>
  </si>
  <si>
    <t>e51fcbd5-d9f1-4b90-bc76-5d5a072316a4</t>
  </si>
  <si>
    <t>CI-79126988</t>
  </si>
  <si>
    <t>2025354BQ3954</t>
  </si>
  <si>
    <t>20260807T002051.000 GMT</t>
  </si>
  <si>
    <t>20260901T033704.000 GMT</t>
  </si>
  <si>
    <t>5d0b06ef-a775-4ed0-8737-f9f0ea5b6306</t>
  </si>
  <si>
    <t>CI-78854629</t>
  </si>
  <si>
    <t>2025246BN2834</t>
  </si>
  <si>
    <t>20260801T190344.000 GMT</t>
  </si>
  <si>
    <t>20260902T215411.000 GMT</t>
  </si>
  <si>
    <t>EMH REGIONAL MEDICAL CENT</t>
  </si>
  <si>
    <t>e19fd3de-568e-4505-822a-dd0473370533</t>
  </si>
  <si>
    <t>CI-79213139</t>
  </si>
  <si>
    <t>2025338CJ5504</t>
  </si>
  <si>
    <t>20260808T213955.000 GMT</t>
  </si>
  <si>
    <t>20260901T021620.000 GMT</t>
  </si>
  <si>
    <t>FROEDTERT HEALTH HOME INF</t>
  </si>
  <si>
    <t>fbda8ae0-5aa4-4e49-8be2-c28073634d1c</t>
  </si>
  <si>
    <t>for follow up</t>
  </si>
  <si>
    <t>CI-79214077</t>
  </si>
  <si>
    <t>103A68058</t>
  </si>
  <si>
    <t>2025301DN6770</t>
  </si>
  <si>
    <t>174311M3AA</t>
  </si>
  <si>
    <t>20260808T221932.000 GMT</t>
  </si>
  <si>
    <t>20260901T022549.000 GMT</t>
  </si>
  <si>
    <t>WHITNEY, BROOKS A</t>
  </si>
  <si>
    <t>760c26d9-0a96-41a3-b8a5-063eb6faa95b</t>
  </si>
  <si>
    <t>CI-79148669</t>
  </si>
  <si>
    <t>AN1636475</t>
  </si>
  <si>
    <t>2024240DV2396</t>
  </si>
  <si>
    <t>213059M2SS</t>
  </si>
  <si>
    <t>20260807T121842.000 GMT</t>
  </si>
  <si>
    <t>20260901T032929.000 GMT</t>
  </si>
  <si>
    <t>eb59838b-badc-4d11-9276-5f7d065f0cdb</t>
  </si>
  <si>
    <t>CI-79205716</t>
  </si>
  <si>
    <t>590W11076</t>
  </si>
  <si>
    <t>2024153CF9329</t>
  </si>
  <si>
    <t>213028M1A7</t>
  </si>
  <si>
    <t>20260808T181054.000 GMT</t>
  </si>
  <si>
    <t>20260901T044725.000 GMT</t>
  </si>
  <si>
    <t>PROVIDENCE SAINT JOSEPH M</t>
  </si>
  <si>
    <t>cf4770fc-8e2c-4960-99fb-fb0854322cc3</t>
  </si>
  <si>
    <t>CI-78671986</t>
  </si>
  <si>
    <t>914W13949</t>
  </si>
  <si>
    <t>2025247BW5955</t>
  </si>
  <si>
    <t>210020M6AV</t>
  </si>
  <si>
    <t>20260729T103632.000 GMT</t>
  </si>
  <si>
    <t>20260903T013256.000 GMT</t>
  </si>
  <si>
    <t>GARRISON, AARON P</t>
  </si>
  <si>
    <t>89dbb75c-f0ce-45a1-ad45-d631ec2faab2</t>
  </si>
  <si>
    <t>CI-79149554</t>
  </si>
  <si>
    <t>488M88394</t>
  </si>
  <si>
    <t>2025217CA9328</t>
  </si>
  <si>
    <t>197248D084</t>
  </si>
  <si>
    <t>20260807T123450.000 GMT</t>
  </si>
  <si>
    <t>20260901T032321.000 GMT</t>
  </si>
  <si>
    <t>LOOK, NICOLE E</t>
  </si>
  <si>
    <t>UCH057500</t>
  </si>
  <si>
    <t>1a78d9df-5c86-4567-a4a7-70b0f5743255</t>
  </si>
  <si>
    <t>for reversal approval</t>
  </si>
  <si>
    <t>CI-79292386</t>
  </si>
  <si>
    <t>149M99265</t>
  </si>
  <si>
    <t>2025310BA8533</t>
  </si>
  <si>
    <t>174318M2A1</t>
  </si>
  <si>
    <t>20260811T021127.000 GMT</t>
  </si>
  <si>
    <t>20260901T233510.000 GMT</t>
  </si>
  <si>
    <t>NEJAT, ALBERT A</t>
  </si>
  <si>
    <t>cc414d24-84d5-48bc-a210-98a3e9c13f53</t>
  </si>
  <si>
    <t>CI-79020620</t>
  </si>
  <si>
    <t>991W16225</t>
  </si>
  <si>
    <t>2026049EE5191</t>
  </si>
  <si>
    <t>3776507STM</t>
  </si>
  <si>
    <t>20260805T092601.000 GMT</t>
  </si>
  <si>
    <t>20260903T074132.000 GMT</t>
  </si>
  <si>
    <t>Logged on the RI tracker</t>
  </si>
  <si>
    <t>NYU LANGONE HOSPITAL LONG</t>
  </si>
  <si>
    <t>08c0b50b-0b2a-4a19-bc46-e311bddc46ca</t>
  </si>
  <si>
    <t>CI-79047836</t>
  </si>
  <si>
    <t>CL-37716611</t>
  </si>
  <si>
    <t>P9T 196W26388</t>
  </si>
  <si>
    <t>2026147DU0819</t>
  </si>
  <si>
    <t>376415Y62S</t>
  </si>
  <si>
    <t>20260805T180252.000 GMT</t>
  </si>
  <si>
    <t>P9T</t>
  </si>
  <si>
    <t>20260901T041117.000 GMT</t>
  </si>
  <si>
    <t>Pending due to need to restore xref claim.</t>
  </si>
  <si>
    <t>GREGORY  SPISAK</t>
  </si>
  <si>
    <t>CL-37716200</t>
  </si>
  <si>
    <t>f175ef93-2be3-45b8-ab57-d1d8173db199</t>
  </si>
  <si>
    <t>CI-78921619</t>
  </si>
  <si>
    <t>0077U1078</t>
  </si>
  <si>
    <t>2025257BY4240</t>
  </si>
  <si>
    <t>37461000AM</t>
  </si>
  <si>
    <t>20260803T181506.000 GMT</t>
  </si>
  <si>
    <t>20260903T011157.000 GMT</t>
  </si>
  <si>
    <t>Re-Email sent for PA Review and waiting for response.</t>
  </si>
  <si>
    <t>THERESA  COSTIGAN</t>
  </si>
  <si>
    <t>6cc17835-530d-4f18-8afc-57dc10eecdc9</t>
  </si>
  <si>
    <t>CI-78957204</t>
  </si>
  <si>
    <t>335A76718</t>
  </si>
  <si>
    <t>2025275DP8501</t>
  </si>
  <si>
    <t>GS-WIPROWest</t>
  </si>
  <si>
    <t>276800M001</t>
  </si>
  <si>
    <t>20260804T085045.000 GMT</t>
  </si>
  <si>
    <t>20260903T131628.000 GMT</t>
  </si>
  <si>
    <t>Will adjust, PA responded to overturn.</t>
  </si>
  <si>
    <t>LAVIAN, DANA</t>
  </si>
  <si>
    <t>02437c41-92d8-4d05-8d31-6ad035b91108</t>
  </si>
  <si>
    <t>CI-79284946</t>
  </si>
  <si>
    <t>815W11921</t>
  </si>
  <si>
    <t>2026005CF6279</t>
  </si>
  <si>
    <t>270213OHF1</t>
  </si>
  <si>
    <t>20260810T222153.000 GMT</t>
  </si>
  <si>
    <t>20260901T141454.000 GMT</t>
  </si>
  <si>
    <t>CONNECTICUT ORTHOPAEDIC S</t>
  </si>
  <si>
    <t>29568166-4008-49f7-aa12-2485081766d4</t>
  </si>
  <si>
    <t>CI-79259261</t>
  </si>
  <si>
    <t>501W20055</t>
  </si>
  <si>
    <t>2025122EC6802</t>
  </si>
  <si>
    <t>20260810T144117.000 GMT</t>
  </si>
  <si>
    <t>20260902T093018.000 GMT</t>
  </si>
  <si>
    <t>08c73c78-decc-4b60-a186-92b419bcbc9b</t>
  </si>
  <si>
    <t>CI-79244363</t>
  </si>
  <si>
    <t>506A20493</t>
  </si>
  <si>
    <t>2025113ED9600</t>
  </si>
  <si>
    <t>230027M1A1</t>
  </si>
  <si>
    <t>20260810T062739.000 GMT</t>
  </si>
  <si>
    <t>20260901T031528.000 GMT</t>
  </si>
  <si>
    <t>WOODALL III, CHARLES E</t>
  </si>
  <si>
    <t>d052834d-907b-4e63-a8e3-3bd578a8b57d</t>
  </si>
  <si>
    <t>CI-79286210</t>
  </si>
  <si>
    <t>597W01929</t>
  </si>
  <si>
    <t>2024041BZ3713</t>
  </si>
  <si>
    <t>214025M2IN</t>
  </si>
  <si>
    <t>20260810T224230.000 GMT</t>
  </si>
  <si>
    <t>20260901T232801.000 GMT</t>
  </si>
  <si>
    <t>SHELDON J BOND, SHELDON J</t>
  </si>
  <si>
    <t>8e5b66ad-20b7-43e7-9b67-fae1e4ec17c5</t>
  </si>
  <si>
    <t>CI-79256480</t>
  </si>
  <si>
    <t>2025253BP1843</t>
  </si>
  <si>
    <t>E03488</t>
  </si>
  <si>
    <t>E034880005</t>
  </si>
  <si>
    <t>20260810T134209.000 GMT</t>
  </si>
  <si>
    <t>20260902T011930.000 GMT</t>
  </si>
  <si>
    <t>AVANTI  VERMA</t>
  </si>
  <si>
    <t>c14257e9-448f-4be0-a878-86e1fd56668a</t>
  </si>
  <si>
    <t>CI-79213849</t>
  </si>
  <si>
    <t>2025351FS5853</t>
  </si>
  <si>
    <t>20260808T221417.000 GMT</t>
  </si>
  <si>
    <t>20260903T233559.000 GMT</t>
  </si>
  <si>
    <t>06d586a2-b19b-496b-91ee-a74f74b3e13f</t>
  </si>
  <si>
    <t>CI-79080503</t>
  </si>
  <si>
    <t>2025295DY7353</t>
  </si>
  <si>
    <t>20260806T091424.000 GMT</t>
  </si>
  <si>
    <t>20260901T034424.000 GMT</t>
  </si>
  <si>
    <t>PARZYNSKI, TATIANA Z</t>
  </si>
  <si>
    <t>e58533a2-d453-4e47-a476-3c6c56595f09</t>
  </si>
  <si>
    <t>already in April D Newell queue</t>
  </si>
  <si>
    <t>CI-79255714</t>
  </si>
  <si>
    <t>843A79197</t>
  </si>
  <si>
    <t>2024337BK0693</t>
  </si>
  <si>
    <t>C21598</t>
  </si>
  <si>
    <t>C21598D5GA</t>
  </si>
  <si>
    <t>20260810T132328.000 GMT</t>
  </si>
  <si>
    <t>20260901T003007.000 GMT</t>
  </si>
  <si>
    <t>EMERSON ROAD SURGERY CENT</t>
  </si>
  <si>
    <t>139998b7-3a11-4b8e-a731-6d8b85ea6e3a</t>
  </si>
  <si>
    <t>CI-79278298</t>
  </si>
  <si>
    <t>2025091EK1976</t>
  </si>
  <si>
    <t>C11770</t>
  </si>
  <si>
    <t>ITSPPO</t>
  </si>
  <si>
    <t>20260810T195910.000 GMT</t>
  </si>
  <si>
    <t>20260901T065642.000 GMT</t>
  </si>
  <si>
    <t>b56387d5-c777-415e-8b69-b0d8a77f885b</t>
  </si>
  <si>
    <t>CI-79098127</t>
  </si>
  <si>
    <t>819A51554</t>
  </si>
  <si>
    <t>2025253EA2319</t>
  </si>
  <si>
    <t>13931R</t>
  </si>
  <si>
    <t>20260806T152538.000 GMT</t>
  </si>
  <si>
    <t>20260903T050307.000 GMT</t>
  </si>
  <si>
    <t>Pending due to need for e2e approval.</t>
  </si>
  <si>
    <t>DANA  LAVIAN</t>
  </si>
  <si>
    <t>0f40118d-4735-4279-a4b8-a6ac7c37f079</t>
  </si>
  <si>
    <t>CI-79270499</t>
  </si>
  <si>
    <t>2025311CQ8272</t>
  </si>
  <si>
    <t>20260810T174639.000 GMT</t>
  </si>
  <si>
    <t>20260901T062511.000 GMT</t>
  </si>
  <si>
    <t>GOINS, MAURICE L</t>
  </si>
  <si>
    <t>49c68ead-7df1-47c2-9da2-f0326e3c8bc7</t>
  </si>
  <si>
    <t>CI-79217027</t>
  </si>
  <si>
    <t>2025349CD0494</t>
  </si>
  <si>
    <t>20260809T001830.000 GMT</t>
  </si>
  <si>
    <t>20260901T025723.000 GMT</t>
  </si>
  <si>
    <t>LINDLEY JR., JAMES G</t>
  </si>
  <si>
    <t>504e04a7-3a0e-401e-aaf0-a5f4f2c8aad7</t>
  </si>
  <si>
    <t>CI-78975862</t>
  </si>
  <si>
    <t>336M85612</t>
  </si>
  <si>
    <t>2025322BQ1642</t>
  </si>
  <si>
    <t>20260804T145530.000 GMT</t>
  </si>
  <si>
    <t>20260902T025645.000 GMT</t>
  </si>
  <si>
    <t>MR Automation: Batch Automation Process - Claim in Open status</t>
  </si>
  <si>
    <t>SOUTH GEORGIA MEDICAL CEN</t>
  </si>
  <si>
    <t>3313b8cf-ca10-4d09-8c60-b656b97bc5ac</t>
  </si>
  <si>
    <t>CI-79275295</t>
  </si>
  <si>
    <t>048W21469</t>
  </si>
  <si>
    <t>2024327DJ1430</t>
  </si>
  <si>
    <t>9KUE00</t>
  </si>
  <si>
    <t>20260810T190105.000 GMT</t>
  </si>
  <si>
    <t>20260901T064134.000 GMT</t>
  </si>
  <si>
    <t>WILLIAM  ABOUHASSAN JR.</t>
  </si>
  <si>
    <t>c7e2bca6-608d-431c-a3bd-c73052ace49f</t>
  </si>
  <si>
    <t>Awaiting PA response since 9/2/26</t>
  </si>
  <si>
    <t>CI-79198053</t>
  </si>
  <si>
    <t>079W22806</t>
  </si>
  <si>
    <t>2025304CQ4251</t>
  </si>
  <si>
    <t>81VB00</t>
  </si>
  <si>
    <t>20260808T141556.000 GMT</t>
  </si>
  <si>
    <t>20260901T010527.000 GMT</t>
  </si>
  <si>
    <t>623a3da5-c0d5-4f66-95c2-4e837c242cc1</t>
  </si>
  <si>
    <t>CI-79198382</t>
  </si>
  <si>
    <t>620W23184</t>
  </si>
  <si>
    <t>2025311BR8198</t>
  </si>
  <si>
    <t>20260808T142318.000 GMT</t>
  </si>
  <si>
    <t>20260901T010652.000 GMT</t>
  </si>
  <si>
    <t>CHRISTISON-LAGA, EMILY R</t>
  </si>
  <si>
    <t>622b86ca-3b84-44a1-90ee-51f6d9817854</t>
  </si>
  <si>
    <t>CI-79023155</t>
  </si>
  <si>
    <t>478M60395</t>
  </si>
  <si>
    <t>2025205EA2540</t>
  </si>
  <si>
    <t>837V00</t>
  </si>
  <si>
    <t>20260805T105421.000 GMT</t>
  </si>
  <si>
    <t>20260901T080229.000 GMT</t>
  </si>
  <si>
    <t>RITENOUR, DEANNA M</t>
  </si>
  <si>
    <t>56aa5621-3541-41c2-9a44-4953d44b50eb</t>
  </si>
  <si>
    <t xml:space="preserve">Reversal was completed on 09/20/2026 and EOB is the response. 
</t>
  </si>
  <si>
    <t>CI-80303244</t>
  </si>
  <si>
    <t>270A71795</t>
  </si>
  <si>
    <t>2025328DJ9764</t>
  </si>
  <si>
    <t>829G00</t>
  </si>
  <si>
    <t>20260831T235018.000 GMT</t>
  </si>
  <si>
    <t>20260901T053816.000 GMT</t>
  </si>
  <si>
    <t>3a2b90b3-4a6e-436d-9e20-44dccfa74580</t>
  </si>
  <si>
    <t>CI-79297209</t>
  </si>
  <si>
    <t>066M56530</t>
  </si>
  <si>
    <t>2025272BP6694</t>
  </si>
  <si>
    <t>6ZA100</t>
  </si>
  <si>
    <t>20260811T050626.000 GMT</t>
  </si>
  <si>
    <t>20260902T001015.000 GMT</t>
  </si>
  <si>
    <t>BURCKARDT, ELIZABETH S</t>
  </si>
  <si>
    <t>09b0f019-8111-4227-ac30-8996873c5d1e</t>
  </si>
  <si>
    <t>Awaiting PA response since 9/2/2026</t>
  </si>
  <si>
    <t>CI-79214463</t>
  </si>
  <si>
    <t>2025204EO7176</t>
  </si>
  <si>
    <t>20260808T222907.000 GMT</t>
  </si>
  <si>
    <t>20260901T002826.000 GMT</t>
  </si>
  <si>
    <t>LEE C ZHAO, LEE C</t>
  </si>
  <si>
    <t>f16c2ed5-205a-4d09-af7c-347e27a22aed</t>
  </si>
  <si>
    <t>CI-79292336</t>
  </si>
  <si>
    <t>245W11125</t>
  </si>
  <si>
    <t>L04035M002</t>
  </si>
  <si>
    <t>20260811T021016.000 GMT</t>
  </si>
  <si>
    <t>20260901T225019.000 GMT</t>
  </si>
  <si>
    <t>MARK L WULKAN, MARK L</t>
  </si>
  <si>
    <t>15ec3f54-5c1f-4f81-9b0c-44c0d0f09033</t>
  </si>
  <si>
    <t>Follow up email sent by SME. 9-17-2026</t>
  </si>
  <si>
    <t>CI-79192807</t>
  </si>
  <si>
    <t>777A22762</t>
  </si>
  <si>
    <t>2025232CW7647</t>
  </si>
  <si>
    <t>L04025</t>
  </si>
  <si>
    <t>L04025M011</t>
  </si>
  <si>
    <t>20260808T114800.000 GMT</t>
  </si>
  <si>
    <t>20260901T004217.000 GMT</t>
  </si>
  <si>
    <t>WAH  HTUN</t>
  </si>
  <si>
    <t>0edadbb0-ed05-4f66-aaf8-8a52bea73c31</t>
  </si>
  <si>
    <t>CI-79129530</t>
  </si>
  <si>
    <t>2025270CT3010</t>
  </si>
  <si>
    <t>20260807T013500.000 GMT</t>
  </si>
  <si>
    <t>20260901T034032.000 GMT</t>
  </si>
  <si>
    <t>c6d27c6e-20ad-4ba1-917a-4ebf6695e457</t>
  </si>
  <si>
    <t>CI-79265707</t>
  </si>
  <si>
    <t>2025262CS5761</t>
  </si>
  <si>
    <t>20260810T162326.000 GMT</t>
  </si>
  <si>
    <t>20260901T055624.000 GMT</t>
  </si>
  <si>
    <t>KULUBYA JR., EDWIN S</t>
  </si>
  <si>
    <t>d7f33719-0377-4378-8be7-0701edd20b14</t>
  </si>
  <si>
    <t>CI-79214105</t>
  </si>
  <si>
    <t>W70062359</t>
  </si>
  <si>
    <t>2025202EU9435</t>
  </si>
  <si>
    <t>20260808T222019.000 GMT</t>
  </si>
  <si>
    <t>W70</t>
  </si>
  <si>
    <t>20260901T022018.000 GMT</t>
  </si>
  <si>
    <t>bf0b2529-b98c-49d7-86f8-b6c688586d7d</t>
  </si>
  <si>
    <t>CI-78867135</t>
  </si>
  <si>
    <t>2025189BN8868</t>
  </si>
  <si>
    <t>20260802T024706.000 GMT</t>
  </si>
  <si>
    <t>20260902T141601.000 GMT</t>
  </si>
  <si>
    <t>ROGER  HARTL</t>
  </si>
  <si>
    <t>b68297f2-ee6d-47c3-8edf-86b1b30e79e3</t>
  </si>
  <si>
    <t>CI-78954075</t>
  </si>
  <si>
    <t>2026030FG0458</t>
  </si>
  <si>
    <t>NHITSH</t>
  </si>
  <si>
    <t>ITSPPO271</t>
  </si>
  <si>
    <t>20260804T074255.000 GMT</t>
  </si>
  <si>
    <t>20260901T040259.000 GMT</t>
  </si>
  <si>
    <t>LOEHRER, ANDREW P</t>
  </si>
  <si>
    <t>f31ad0eb-a88b-4b78-881c-79fc7fe0622f</t>
  </si>
  <si>
    <t>CI-79024424</t>
  </si>
  <si>
    <t>2026069EW2129</t>
  </si>
  <si>
    <t>L14634</t>
  </si>
  <si>
    <t>L14634M01H</t>
  </si>
  <si>
    <t>20260805T112038.000 GMT</t>
  </si>
  <si>
    <t>20260902T223520.000 GMT</t>
  </si>
  <si>
    <t>Waiting for Reversal approval</t>
  </si>
  <si>
    <t>CARY MEDICAL CENTER</t>
  </si>
  <si>
    <t>0ee52861-872c-415b-aa2e-36ccf30afcbd</t>
  </si>
  <si>
    <t>CI-79215578</t>
  </si>
  <si>
    <t>2025347BH4761</t>
  </si>
  <si>
    <t>20260808T232130.000 GMT</t>
  </si>
  <si>
    <t>20260901T025725.000 GMT</t>
  </si>
  <si>
    <t>80e175df-0871-4555-859d-a5fc9e19e62c</t>
  </si>
  <si>
    <t>Follow up sent VIA sme</t>
  </si>
  <si>
    <t>CI-78996993</t>
  </si>
  <si>
    <t>2025319BK2789</t>
  </si>
  <si>
    <t>20260804T203828.000 GMT</t>
  </si>
  <si>
    <t>20260903T012407.000 GMT</t>
  </si>
  <si>
    <t>GABRIELLA  MANGINO</t>
  </si>
  <si>
    <t>7a13b762-a53b-415b-8ea3-89530e2830d6</t>
  </si>
  <si>
    <t>CI-79215113</t>
  </si>
  <si>
    <t>121A73739</t>
  </si>
  <si>
    <t>2025336BC1424</t>
  </si>
  <si>
    <t>SP5239</t>
  </si>
  <si>
    <t>SP5239M003</t>
  </si>
  <si>
    <t>20260808T231012.000 GMT</t>
  </si>
  <si>
    <t>20260901T023358.000 GMT</t>
  </si>
  <si>
    <t>REAMES, DAVIS L</t>
  </si>
  <si>
    <t>e0c36f3d-6bed-4aed-baa6-d0b425feed93</t>
  </si>
  <si>
    <t>CI-79255781</t>
  </si>
  <si>
    <t>580W16235</t>
  </si>
  <si>
    <t>2025305DR7486</t>
  </si>
  <si>
    <t>SP4239</t>
  </si>
  <si>
    <t>SP4239M001</t>
  </si>
  <si>
    <t>20260810T132538.000 GMT</t>
  </si>
  <si>
    <t>20260901T041949.000 GMT</t>
  </si>
  <si>
    <t>HENDRICKSON, RICHARD J</t>
  </si>
  <si>
    <t>77152fb8-ad16-4129-a0c3-85f63fdb460a</t>
  </si>
  <si>
    <t>CI-79243535</t>
  </si>
  <si>
    <t>518W21597</t>
  </si>
  <si>
    <t>2025128FN5656</t>
  </si>
  <si>
    <t>SM1501</t>
  </si>
  <si>
    <t>SM1501M001</t>
  </si>
  <si>
    <t>20260810T025929.000 GMT</t>
  </si>
  <si>
    <t>20260901T003551.000 GMT</t>
  </si>
  <si>
    <t>DAVID  GILLEY</t>
  </si>
  <si>
    <t>4b50a839-4188-444c-81c8-b0272df314b2</t>
  </si>
  <si>
    <t>CI-79214762</t>
  </si>
  <si>
    <t>029W15928</t>
  </si>
  <si>
    <t>2025225EK8207</t>
  </si>
  <si>
    <t>SGD28392</t>
  </si>
  <si>
    <t>9Y7E00</t>
  </si>
  <si>
    <t>20260808T223934.000 GMT</t>
  </si>
  <si>
    <t>20260901T001946.000 GMT</t>
  </si>
  <si>
    <t>fb94fc6d-e807-404d-9e44-0cf8d5119297</t>
  </si>
  <si>
    <t>WAITING FOR CCA REVIEW.</t>
  </si>
  <si>
    <t>CI-79261607</t>
  </si>
  <si>
    <t>AN5341734</t>
  </si>
  <si>
    <t>2025213DM7167</t>
  </si>
  <si>
    <t>W51064M007</t>
  </si>
  <si>
    <t>20260810T151133.000 GMT</t>
  </si>
  <si>
    <t>20260901T054843.000 GMT</t>
  </si>
  <si>
    <t>COOKE, KAYLEE A</t>
  </si>
  <si>
    <t>54a99cbe-186f-409c-9031-de96e7c869b2</t>
  </si>
  <si>
    <t>No response from PA yet</t>
  </si>
  <si>
    <t>CI-79291572</t>
  </si>
  <si>
    <t>049M55518</t>
  </si>
  <si>
    <t>2025308EE7688</t>
  </si>
  <si>
    <t>W51059</t>
  </si>
  <si>
    <t>W51059P369</t>
  </si>
  <si>
    <t>20260811T014022.000 GMT</t>
  </si>
  <si>
    <t>20260902T021440.000 GMT</t>
  </si>
  <si>
    <t>JEFFREY S HOSKINS, JEFFREY S</t>
  </si>
  <si>
    <t>c5a7ecbc-03ae-4866-a944-587e816e0d6a</t>
  </si>
  <si>
    <t>CI-79285508</t>
  </si>
  <si>
    <t>AN5398347</t>
  </si>
  <si>
    <t>2025347BB5957</t>
  </si>
  <si>
    <t>W51059P010</t>
  </si>
  <si>
    <t>20260810T223126.000 GMT</t>
  </si>
  <si>
    <t>20260902T074747.000 GMT</t>
  </si>
  <si>
    <t>NATIONWIDE CHILDREN'S HOS</t>
  </si>
  <si>
    <t>6dd842d5-571c-445b-822c-ee4608be29fd</t>
  </si>
  <si>
    <t>CI-79243279</t>
  </si>
  <si>
    <t>AN6783799</t>
  </si>
  <si>
    <t>2025247CC1265</t>
  </si>
  <si>
    <t>W51000</t>
  </si>
  <si>
    <t>W51000M019</t>
  </si>
  <si>
    <t>20260810T013856.000 GMT</t>
  </si>
  <si>
    <t>20260901T031908.000 GMT</t>
  </si>
  <si>
    <t>PATEL, NIRALI F</t>
  </si>
  <si>
    <t>eccb75ab-35d8-4206-9145-2a863964fd23</t>
  </si>
  <si>
    <t>CI-78031269</t>
  </si>
  <si>
    <t>352W07722</t>
  </si>
  <si>
    <t>2024290DM6793</t>
  </si>
  <si>
    <t>20260716T015207.000 GMT</t>
  </si>
  <si>
    <t>20260902T141500.000 GMT</t>
  </si>
  <si>
    <t>Waiting for e2e approval</t>
  </si>
  <si>
    <t>SSM HEALTH CARDINAL GLENN</t>
  </si>
  <si>
    <t>e55b2971-a70e-4207-9624-3e9128dfefab</t>
  </si>
  <si>
    <t>CI-78443393</t>
  </si>
  <si>
    <t>940A56203</t>
  </si>
  <si>
    <t>2025330BC2171</t>
  </si>
  <si>
    <t>174327M21A</t>
  </si>
  <si>
    <t>20260724T065618.000 GMT</t>
  </si>
  <si>
    <t>20260901T075951.000 GMT</t>
  </si>
  <si>
    <t>SCRIPPS HEALTH DBA SCRIPP</t>
  </si>
  <si>
    <t>50fab11b-01f1-441c-8d12-0ea15f48126f</t>
  </si>
  <si>
    <t>CI-78116675</t>
  </si>
  <si>
    <t>195W14368</t>
  </si>
  <si>
    <t>174326M2A1</t>
  </si>
  <si>
    <t>20260717T164629.000 GMT</t>
  </si>
  <si>
    <t>20260902T141535.000 GMT</t>
  </si>
  <si>
    <t>BRIAN D VICUNA, BRIAN D</t>
  </si>
  <si>
    <t>023c0052-4584-4cb7-af4e-8bfc01457ef0</t>
  </si>
  <si>
    <t>CI-78245305</t>
  </si>
  <si>
    <t>242W08758</t>
  </si>
  <si>
    <t>2025290BV8143</t>
  </si>
  <si>
    <t>GA6765</t>
  </si>
  <si>
    <t>GA6765M4A1</t>
  </si>
  <si>
    <t>20260720T181426.000 GMT</t>
  </si>
  <si>
    <t>20260903T234439.000 GMT</t>
  </si>
  <si>
    <t>follow up sent 09/04/26</t>
  </si>
  <si>
    <t>TRAVIS G BOYD, TRAVIS G</t>
  </si>
  <si>
    <t>45aa6d1b-1354-4cad-af34-c0356c7ecee1</t>
  </si>
  <si>
    <t>CI-78203951</t>
  </si>
  <si>
    <t>2025233BC2344</t>
  </si>
  <si>
    <t>20260720T015214.000 GMT</t>
  </si>
  <si>
    <t>20260901T035244.000 GMT</t>
  </si>
  <si>
    <t>c544c526-cb73-40a5-abe0-39543e36fefe</t>
  </si>
  <si>
    <t>Email sent for PA follow up</t>
  </si>
  <si>
    <t>CI-78485744</t>
  </si>
  <si>
    <t>2026005DN3080</t>
  </si>
  <si>
    <t>800006M004</t>
  </si>
  <si>
    <t>20260724T232252.000 GMT</t>
  </si>
  <si>
    <t>20260903T002528.000 GMT</t>
  </si>
  <si>
    <t>Still waiting for PA review.</t>
  </si>
  <si>
    <t>240d35db-ac0e-4636-9a90-ca77e3bccc5b</t>
  </si>
  <si>
    <t>Follow up email request sent to sme last 6/16</t>
  </si>
  <si>
    <t>CI-78096519</t>
  </si>
  <si>
    <t>022W05918</t>
  </si>
  <si>
    <t>2025031CM6835</t>
  </si>
  <si>
    <t>20260717T102155.000 GMT</t>
  </si>
  <si>
    <t>20260901T055008.000 GMT</t>
  </si>
  <si>
    <t>MORGAN  CHEN</t>
  </si>
  <si>
    <t>d0c16452-f660-40b8-aaf4-b68287216dc6</t>
  </si>
  <si>
    <t>CI-78105830</t>
  </si>
  <si>
    <t>2025345FT3119</t>
  </si>
  <si>
    <t>20260717T134024.000 GMT</t>
  </si>
  <si>
    <t>20260903T232642.000 GMT</t>
  </si>
  <si>
    <t>Sent email to PA for medical records review. FDOC#: 7232549065</t>
  </si>
  <si>
    <t>d0e13972-b5e8-4460-88cc-d5e569800aed</t>
  </si>
  <si>
    <t>CI-78368151</t>
  </si>
  <si>
    <t>2025266CK4542</t>
  </si>
  <si>
    <t>20260722T195634.000 GMT</t>
  </si>
  <si>
    <t>20260903T014305.000 GMT</t>
  </si>
  <si>
    <t>GRIGORIAN, ARTHUR A</t>
  </si>
  <si>
    <t>4db1ef29-1e99-47bd-a042-9e8adce647f6</t>
  </si>
  <si>
    <t>CI-78269799</t>
  </si>
  <si>
    <t>2025273EX2182</t>
  </si>
  <si>
    <t>20260721T060709.000 GMT</t>
  </si>
  <si>
    <t>20260901T035044.000 GMT</t>
  </si>
  <si>
    <t>Sent for PA follow up.</t>
  </si>
  <si>
    <t>6b49a8a8-1dfd-4e8f-8309-c2b6b177f659</t>
  </si>
  <si>
    <t>Email sent for PA review</t>
  </si>
  <si>
    <t>CI-78429380</t>
  </si>
  <si>
    <t>724M94599</t>
  </si>
  <si>
    <t>2026103DZ4287</t>
  </si>
  <si>
    <t>97WA00</t>
  </si>
  <si>
    <t>20260723T202423.000 GMT</t>
  </si>
  <si>
    <t>20260903T010957.000 GMT</t>
  </si>
  <si>
    <t>Re- Email sent for PA review</t>
  </si>
  <si>
    <t>SISKA, ROBERT C</t>
  </si>
  <si>
    <t>673c3cef-14fb-415b-bb4a-dbc1edfe9c54</t>
  </si>
  <si>
    <t>CI-78319930</t>
  </si>
  <si>
    <t>180W05617</t>
  </si>
  <si>
    <t>2025331BZ5265</t>
  </si>
  <si>
    <t>818L00</t>
  </si>
  <si>
    <t>20260721T235125.000 GMT</t>
  </si>
  <si>
    <t>20260901T055310.000 GMT</t>
  </si>
  <si>
    <t>ESTHER S SON, ESTHER S</t>
  </si>
  <si>
    <t>f030c188-4ac2-4345-abdf-b55d6376a8b7</t>
  </si>
  <si>
    <t>CI-78096348</t>
  </si>
  <si>
    <t>202W22445</t>
  </si>
  <si>
    <t>2025200CM2569</t>
  </si>
  <si>
    <t>L12749</t>
  </si>
  <si>
    <t>L12749M004</t>
  </si>
  <si>
    <t>20260717T101711.000 GMT</t>
  </si>
  <si>
    <t>20260901T055233.000 GMT</t>
  </si>
  <si>
    <t>ROBERT D JAQUISS, ROBERT D</t>
  </si>
  <si>
    <t>2b5e12ed-cc9a-4f3b-8500-1da44dd470a3</t>
  </si>
  <si>
    <t>CI-78135660</t>
  </si>
  <si>
    <t>891W21952</t>
  </si>
  <si>
    <t>2025339CU2575</t>
  </si>
  <si>
    <t>L11962</t>
  </si>
  <si>
    <t>L11962M001</t>
  </si>
  <si>
    <t>20260717T225711.000 GMT</t>
  </si>
  <si>
    <t>20260903T002236.000 GMT</t>
  </si>
  <si>
    <t>MUNGER, KRISTIN J</t>
  </si>
  <si>
    <t>2c4e729e-9d4a-4d36-946f-3f3aef31de2c</t>
  </si>
  <si>
    <t>HOLD. Sent email to PA for medical records review. FDOC # 7186819977. Sent email ff with SME dated 09/20/2026</t>
  </si>
  <si>
    <t>CI-78096118</t>
  </si>
  <si>
    <t>2025345DC6148</t>
  </si>
  <si>
    <t>20260717T101143.000 GMT</t>
  </si>
  <si>
    <t>20260902T225242.000 GMT</t>
  </si>
  <si>
    <t>HOLD. Sent email to PA for medical records review. FDOC # 7186819977. Sent email ff with SME dated 09/02/2026</t>
  </si>
  <si>
    <t>NIKHIL  WAINGANKAR</t>
  </si>
  <si>
    <t>0335391a-9b65-4a79-9361-ec5768a50981</t>
  </si>
  <si>
    <t>CI-78344108</t>
  </si>
  <si>
    <t>2025220CF8941</t>
  </si>
  <si>
    <t>20260722T124413.000 GMT</t>
  </si>
  <si>
    <t>20260901T035025.000 GMT</t>
  </si>
  <si>
    <t>RAMIREZ, CHRISTINA A</t>
  </si>
  <si>
    <t>7783973a-ba09-4b2c-ad98-f2714bc54f77</t>
  </si>
  <si>
    <t>for Reversal-SME  Approval</t>
  </si>
  <si>
    <t>CI-78229777</t>
  </si>
  <si>
    <t>280W11410</t>
  </si>
  <si>
    <t>2025304BL3365</t>
  </si>
  <si>
    <t>W80494</t>
  </si>
  <si>
    <t>W80494M005</t>
  </si>
  <si>
    <t>20260720T144045.000 GMT</t>
  </si>
  <si>
    <t>20260901T071011.000 GMT</t>
  </si>
  <si>
    <t>Sent PA follow-up 08/31</t>
  </si>
  <si>
    <t>87922c5a-960c-4fb4-bed8-2ca8d6faf4ee</t>
  </si>
  <si>
    <t xml:space="preserve">Claim is pending HD adjustment approval. Claim was already sent to high dollar </t>
  </si>
  <si>
    <t>CI-78305888</t>
  </si>
  <si>
    <t>AM38939</t>
  </si>
  <si>
    <t>520W22616</t>
  </si>
  <si>
    <t>2025319CT9010</t>
  </si>
  <si>
    <t>L11920</t>
  </si>
  <si>
    <t>L11920M009</t>
  </si>
  <si>
    <t>20260721T192147.000 GMT</t>
  </si>
  <si>
    <t>20260903T012130.000 GMT</t>
  </si>
  <si>
    <t>Claim is pending HD adjustment approval. Claim was already sent to high dollar team for review.</t>
  </si>
  <si>
    <t>INDIANA UNIVERSITY HEALTH</t>
  </si>
  <si>
    <t>0d6533fc-bbe7-4c08-99e8-9aa502ac18cf</t>
  </si>
  <si>
    <t>CI-77802775</t>
  </si>
  <si>
    <t>046W21807</t>
  </si>
  <si>
    <t>2025314BP4179</t>
  </si>
  <si>
    <t>844K00</t>
  </si>
  <si>
    <t>20260710T174123.000 GMT</t>
  </si>
  <si>
    <t>20260903T002135.000 GMT</t>
  </si>
  <si>
    <t>SMITH, JOHN M</t>
  </si>
  <si>
    <t>2a36145c-a46b-47dd-bd27-31e45a0a1c43</t>
  </si>
  <si>
    <t>CI-77724919</t>
  </si>
  <si>
    <t>095W07552</t>
  </si>
  <si>
    <t>2025251FK0946</t>
  </si>
  <si>
    <t>82HC00</t>
  </si>
  <si>
    <t>20260709T120225.000 GMT</t>
  </si>
  <si>
    <t>20260903T002015.000 GMT</t>
  </si>
  <si>
    <t>FISHER, SCOTT W</t>
  </si>
  <si>
    <t>9e07420d-a526-4255-8daa-f36ed32a4cea</t>
  </si>
  <si>
    <t>CI-77617092</t>
  </si>
  <si>
    <t>2025326BP7919</t>
  </si>
  <si>
    <t>20260707T154118.000 GMT</t>
  </si>
  <si>
    <t>20260903T223543.000 GMT</t>
  </si>
  <si>
    <t>EITAN  KEIZMAN</t>
  </si>
  <si>
    <t>9078e089-8905-4562-bcd3-f1b285720c34</t>
  </si>
  <si>
    <t xml:space="preserve">
Still waiting for CCA response</t>
  </si>
  <si>
    <t>CI-77641959</t>
  </si>
  <si>
    <t>2025202EV0642</t>
  </si>
  <si>
    <t>20260707T232114.000 GMT</t>
  </si>
  <si>
    <t>20260903T222258.000 GMT</t>
  </si>
  <si>
    <t>0b073f12-c56a-4729-9cbf-07dca9fce23d</t>
  </si>
  <si>
    <t>Will send PA follow up today</t>
  </si>
  <si>
    <t>CI-77640711</t>
  </si>
  <si>
    <t>2025213EV6086</t>
  </si>
  <si>
    <t>20260707T225111.000 GMT</t>
  </si>
  <si>
    <t>20260903T221647.000 GMT</t>
  </si>
  <si>
    <t>0e62c430-c1bc-406a-bdc2-6c9b4e3618b0</t>
  </si>
  <si>
    <t>Email follow up sent on 9/4/2026</t>
  </si>
  <si>
    <t>CI-77458692</t>
  </si>
  <si>
    <t>2025200BX1919</t>
  </si>
  <si>
    <t>20260702T232633.000 GMT</t>
  </si>
  <si>
    <t>20260903T013854.000 GMT</t>
  </si>
  <si>
    <t>LEE, JUNGHUN</t>
  </si>
  <si>
    <t>747b9217-b25b-4530-8f65-87a3265e4bac</t>
  </si>
  <si>
    <t>CI-77767352</t>
  </si>
  <si>
    <t>761M65296</t>
  </si>
  <si>
    <t>2025203EF2345</t>
  </si>
  <si>
    <t>W10955</t>
  </si>
  <si>
    <t>W10955M041</t>
  </si>
  <si>
    <t>20260710T023147.000 GMT</t>
  </si>
  <si>
    <t>20260901T040216.000 GMT</t>
  </si>
  <si>
    <t>MR Automation: Not eligible for MR automation due to the presense of  ,QT1,PAM edit. Please review and process as per the guidelines.</t>
  </si>
  <si>
    <t>a3b75151-6b7d-48a2-b793-12edd7c3f0cf</t>
  </si>
  <si>
    <t>CI-77724815</t>
  </si>
  <si>
    <t>2025265DI4865</t>
  </si>
  <si>
    <t>20260709T120013.000 GMT</t>
  </si>
  <si>
    <t>20260903T001552.000 GMT</t>
  </si>
  <si>
    <t>3f2624a1-c175-4446-b97f-837996be4ce7</t>
  </si>
  <si>
    <t xml:space="preserve">completed
</t>
  </si>
  <si>
    <t>CI-77492820</t>
  </si>
  <si>
    <t>2025330EE1754</t>
  </si>
  <si>
    <t>20260703T165624.000 GMT</t>
  </si>
  <si>
    <t>20260902T215425.000 GMT</t>
  </si>
  <si>
    <t>Sent follow up</t>
  </si>
  <si>
    <t>D'ADDARIO, HOPE A</t>
  </si>
  <si>
    <t>4a658f30-ce2c-4644-a8df-cb5091ba8ef5</t>
  </si>
  <si>
    <t>Refund is valid. Per the implant log, only 10 items implanted yet 12 total implants billed. 1 screw was used, not implanted and nano bone does not meet policy. Without a complete itemized with details of what each line is, cannot recover appropriately therefore full line denial remains. PA response FDOC# 7250040957. Sent letter. LTR ID 20419655</t>
  </si>
  <si>
    <t>CI-77428945</t>
  </si>
  <si>
    <t>2025267DK8049</t>
  </si>
  <si>
    <t>20260702T141144.000 GMT</t>
  </si>
  <si>
    <t>20260903T010811.000 GMT</t>
  </si>
  <si>
    <t>765d7ab1-31d5-404d-bd41-b38d19b28697</t>
  </si>
  <si>
    <t>CI-77339999</t>
  </si>
  <si>
    <t>2025049CU5439</t>
  </si>
  <si>
    <t>20260630T222619.000 GMT</t>
  </si>
  <si>
    <t>20260903T010842.000 GMT</t>
  </si>
  <si>
    <t>GASSER, RYAN M</t>
  </si>
  <si>
    <t>0ec9ecb6-22cf-441e-bc95-d03ed5c1110b</t>
  </si>
  <si>
    <t>CI-77637662</t>
  </si>
  <si>
    <t>2025230CH7700</t>
  </si>
  <si>
    <t>20260707T213910.000 GMT</t>
  </si>
  <si>
    <t>20260903T001638.000 GMT</t>
  </si>
  <si>
    <t>Still waiting for PA Review.</t>
  </si>
  <si>
    <t>PURDIN, ALICIA G</t>
  </si>
  <si>
    <t>86562056-ad39-46af-a753-988c790ea3ca</t>
  </si>
  <si>
    <t>CI-77608064</t>
  </si>
  <si>
    <t>V88044305</t>
  </si>
  <si>
    <t>2025329CW0999</t>
  </si>
  <si>
    <t>20260707T131020.000 GMT</t>
  </si>
  <si>
    <t>V88</t>
  </si>
  <si>
    <t>20260903T131745.000 GMT</t>
  </si>
  <si>
    <t>Akkisetty Mahesh</t>
  </si>
  <si>
    <t>77d997d6-f120-4151-8a8f-eedd1a64607c</t>
  </si>
  <si>
    <t>CI-77322722</t>
  </si>
  <si>
    <t>2025327BH9485</t>
  </si>
  <si>
    <t>20260630T170822.000 GMT</t>
  </si>
  <si>
    <t>20260901T031225.000 GMT</t>
  </si>
  <si>
    <t>AYMEN  ALQAZZAZ</t>
  </si>
  <si>
    <t>e20d6283-bb2e-40e1-84cd-f41f82ef4432</t>
  </si>
  <si>
    <t>CI-74195272</t>
  </si>
  <si>
    <t>2024337DE8140</t>
  </si>
  <si>
    <t>20260427T210359.000 GMT</t>
  </si>
  <si>
    <t>20260903T072408.000 GMT</t>
  </si>
  <si>
    <t>Sent to PA and waiting for response. Already made a follow up.</t>
  </si>
  <si>
    <t>SSM HEALTH CARE ST LOUIS</t>
  </si>
  <si>
    <t>2a576bff-4404-4b4b-8fb3-604da9f7bbfc</t>
  </si>
  <si>
    <t>CI-79164558</t>
  </si>
  <si>
    <t>R00002895</t>
  </si>
  <si>
    <t>2026064DM0876</t>
  </si>
  <si>
    <t>20260807T170010.000 GMT</t>
  </si>
  <si>
    <t>R00</t>
  </si>
  <si>
    <t>20260907T141154.000 GMT</t>
  </si>
  <si>
    <t>Awaiting ASL response</t>
  </si>
  <si>
    <t>SUNRISE HOSPITAL AND MEDI</t>
  </si>
  <si>
    <t>28fee844-b48a-42bd-8bd1-01f0b18e4593</t>
  </si>
  <si>
    <t>CI-79066740</t>
  </si>
  <si>
    <t>499M57388</t>
  </si>
  <si>
    <t>2024198BP3557</t>
  </si>
  <si>
    <t>0B4CVD</t>
  </si>
  <si>
    <t>0B4CVDM011</t>
  </si>
  <si>
    <t>20260806T002329.000 GMT</t>
  </si>
  <si>
    <t>20260910T070435.000 GMT</t>
  </si>
  <si>
    <t>PIKEVILLE MEDICAL CENTER</t>
  </si>
  <si>
    <t>1016711b-7459-4af4-a078-f803778cabf4</t>
  </si>
  <si>
    <t>CI-79131898</t>
  </si>
  <si>
    <t>AH81029</t>
  </si>
  <si>
    <t>Finance Review</t>
  </si>
  <si>
    <t>664W17538</t>
  </si>
  <si>
    <t>2026168FJ3124</t>
  </si>
  <si>
    <t>0A003W</t>
  </si>
  <si>
    <t>0A003WM002</t>
  </si>
  <si>
    <t>20260807T023217.000 GMT</t>
  </si>
  <si>
    <t>20260807T023237.000 GMT</t>
  </si>
  <si>
    <t>MONROE, ALAN T</t>
  </si>
  <si>
    <t>0adc34ed-fd92-40bc-a754-07798c8cd943</t>
  </si>
  <si>
    <t>CI-79132683</t>
  </si>
  <si>
    <t>237M83859</t>
  </si>
  <si>
    <t>2026154CY4438</t>
  </si>
  <si>
    <t>006381M026</t>
  </si>
  <si>
    <t>20260807T024932.000 GMT</t>
  </si>
  <si>
    <t>20260807T024946.000 GMT</t>
  </si>
  <si>
    <t>BOGAERT, MARIA A</t>
  </si>
  <si>
    <t>edbd2697-f14f-411f-b2e5-ce5bda80320d</t>
  </si>
  <si>
    <t>CI-79131260</t>
  </si>
  <si>
    <t>364M73732</t>
  </si>
  <si>
    <t>2025329GD3842</t>
  </si>
  <si>
    <t>005930M002</t>
  </si>
  <si>
    <t>20260807T021600.000 GMT</t>
  </si>
  <si>
    <t>20260807T021614.000 GMT</t>
  </si>
  <si>
    <t>COLUMBIA/HCA JOHN RANDOLP</t>
  </si>
  <si>
    <t>e063fa00-187c-4e81-b204-02c36ace52f2</t>
  </si>
  <si>
    <t>CI-79685592</t>
  </si>
  <si>
    <t>2026180DZ1975</t>
  </si>
  <si>
    <t>001116M947</t>
  </si>
  <si>
    <t>20260819T065651.000 GMT</t>
  </si>
  <si>
    <t>20260831T053024.000 GMT</t>
  </si>
  <si>
    <t>AL27170</t>
  </si>
  <si>
    <t>Claim is fully retracted kindly review</t>
  </si>
  <si>
    <t>d099981d-a29b-4ef4-9913-045657052fe5</t>
  </si>
  <si>
    <t xml:space="preserve">	
Decision : Overturn
Additional Comments : Overturned. Documentation supports implants billed per provider audit. FDOC #7249492735
CL4 / HCPCS C1713 / $1380.40
CL5 / HCPCS C1889 / $1116.50</t>
  </si>
  <si>
    <t>CI-79076702</t>
  </si>
  <si>
    <t>W01666317</t>
  </si>
  <si>
    <t>2025261DR7647</t>
  </si>
  <si>
    <t>20260806T075355.000 GMT</t>
  </si>
  <si>
    <t>20260909T041212.000 GMT</t>
  </si>
  <si>
    <t>Auto-Close IQT failed for 2026251000414</t>
  </si>
  <si>
    <t>8e65a7fa-b831-4c0f-958e-c94a2f21785c</t>
  </si>
  <si>
    <t>CI-79077290</t>
  </si>
  <si>
    <t>2025051EB0908</t>
  </si>
  <si>
    <t>20260806T081300.000 GMT</t>
  </si>
  <si>
    <t>20260908T050655.000 GMT</t>
  </si>
  <si>
    <t>MERCY HOSPITAL SOUTH</t>
  </si>
  <si>
    <t>d15d6830-3ef4-4cae-8c69-1362927f52ea</t>
  </si>
  <si>
    <t>CI-79263261</t>
  </si>
  <si>
    <t>2025099BJ0039</t>
  </si>
  <si>
    <t>20260810T154259.000 GMT</t>
  </si>
  <si>
    <t>20260812T091125.000 GMT</t>
  </si>
  <si>
    <t>MR Automation: Not eligible for MR Automation due to the listed Account/Product/Provider level exclusions. Please review and process as per the guidelines.</t>
  </si>
  <si>
    <t>DIESTELHORST, AMY L</t>
  </si>
  <si>
    <t>47f78558-af57-448f-8e8f-7e0303d533dd</t>
  </si>
  <si>
    <t>CI-78988929</t>
  </si>
  <si>
    <t>2024291EB4553</t>
  </si>
  <si>
    <t>20260804T182556.000 GMT</t>
  </si>
  <si>
    <t>20260907T235326.000 GMT</t>
  </si>
  <si>
    <t>KETTERING MEDICAL CTR</t>
  </si>
  <si>
    <t>fd302c9d-57df-45b1-b43a-67aea1bdde35</t>
  </si>
  <si>
    <t>CI-79207884</t>
  </si>
  <si>
    <t>2025091EY1486</t>
  </si>
  <si>
    <t>20260808T185300.000 GMT</t>
  </si>
  <si>
    <t>20260909T225101.000 GMT</t>
  </si>
  <si>
    <t>05fedb0c-d437-4007-afe0-d10e621b0406</t>
  </si>
  <si>
    <t>CI-78567970</t>
  </si>
  <si>
    <t>2024221EM4638</t>
  </si>
  <si>
    <t>20260727T144358.000 GMT</t>
  </si>
  <si>
    <t>20260910T034707.000 GMT</t>
  </si>
  <si>
    <t>86cd90ec-7a81-46b9-b21b-ff5e0428d0ea</t>
  </si>
  <si>
    <t>CI-79143870</t>
  </si>
  <si>
    <t>263M89625</t>
  </si>
  <si>
    <t>2025296CD3725</t>
  </si>
  <si>
    <t>174273M3A1</t>
  </si>
  <si>
    <t>20260807T100926.000 GMT</t>
  </si>
  <si>
    <t>20260907T160329.000 GMT</t>
  </si>
  <si>
    <t>Email sent for PA Review and waiting for response. PA assigned 9/1</t>
  </si>
  <si>
    <t>BROWN III, WILLIAM M</t>
  </si>
  <si>
    <t>8605376f-439f-424e-a8ce-f73a211c0c19</t>
  </si>
  <si>
    <t>CI-79144149</t>
  </si>
  <si>
    <t>2025296CB8414</t>
  </si>
  <si>
    <t>20260807T101527.000 GMT</t>
  </si>
  <si>
    <t>20260907T160342.000 GMT</t>
  </si>
  <si>
    <t>YADAV, PRADEEP K</t>
  </si>
  <si>
    <t>21f6fc69-6b57-4794-8029-c76a9387d570</t>
  </si>
  <si>
    <t>CI-79055908</t>
  </si>
  <si>
    <t>********</t>
  </si>
  <si>
    <t>2025209DR3939</t>
  </si>
  <si>
    <t>GS-EliLilly</t>
  </si>
  <si>
    <t>213062SFAA</t>
  </si>
  <si>
    <t>20260805T201655.000 GMT</t>
  </si>
  <si>
    <t>AN4</t>
  </si>
  <si>
    <t>20260904T024101.000 GMT</t>
  </si>
  <si>
    <t>3cfbc115-35cb-4455-aa4d-33e3a9a06fd4</t>
  </si>
  <si>
    <t>CI-79126003</t>
  </si>
  <si>
    <t>AH81028</t>
  </si>
  <si>
    <t>745W04006</t>
  </si>
  <si>
    <t>2025321CT3716</t>
  </si>
  <si>
    <t>213050M2IA</t>
  </si>
  <si>
    <t>20260806T233832.000 GMT</t>
  </si>
  <si>
    <t>20260808T112521.000 GMT</t>
  </si>
  <si>
    <t>AL30078</t>
  </si>
  <si>
    <t>CHRISTOPHE S BLANCHARD, CHRISTOPHE S</t>
  </si>
  <si>
    <t>9a667739-1879-44a4-b4c4-5af0852e8f8d</t>
  </si>
  <si>
    <t>CI-79131872</t>
  </si>
  <si>
    <t>744M80629</t>
  </si>
  <si>
    <t>2026028BO7532</t>
  </si>
  <si>
    <t>213039MB01</t>
  </si>
  <si>
    <t>20260807T023146.000 GMT</t>
  </si>
  <si>
    <t>20260807T023231.000 GMT</t>
  </si>
  <si>
    <t>AH99376</t>
  </si>
  <si>
    <t>JARRED  LAMPERT</t>
  </si>
  <si>
    <t>43d3aef4-6cfb-4d63-97f8-647a4a74809e</t>
  </si>
  <si>
    <t>CI-79216653</t>
  </si>
  <si>
    <t>AG84963</t>
  </si>
  <si>
    <t>839W10664</t>
  </si>
  <si>
    <t>2024254EK3564</t>
  </si>
  <si>
    <t>GS-Kroger</t>
  </si>
  <si>
    <t>212107G3A2</t>
  </si>
  <si>
    <t>Marevic D Untalan</t>
  </si>
  <si>
    <t>20260809T001025.000 GMT</t>
  </si>
  <si>
    <t>20260908T043951.000 GMT</t>
  </si>
  <si>
    <t>bd66b318-4a9a-4c34-833e-0bead012b357</t>
  </si>
  <si>
    <t>CI-79132128</t>
  </si>
  <si>
    <t>AN7679609</t>
  </si>
  <si>
    <t>2024183DE2269</t>
  </si>
  <si>
    <t>20260807T023723.000 GMT</t>
  </si>
  <si>
    <t>20260831T031947.000 GMT</t>
  </si>
  <si>
    <t>RIVERSIDE COMMUNITY HOSPI</t>
  </si>
  <si>
    <t>5d94b3df-4b67-47cc-80ea-d53a88a40a6b</t>
  </si>
  <si>
    <t>CI-79130823</t>
  </si>
  <si>
    <t>295W16742</t>
  </si>
  <si>
    <t>2025224EE9751</t>
  </si>
  <si>
    <t>212064M4BX</t>
  </si>
  <si>
    <t>20260807T020244.000 GMT</t>
  </si>
  <si>
    <t>20260807T020354.000 GMT</t>
  </si>
  <si>
    <t>92e2de63-845f-4b98-baf3-d6be1943180b</t>
  </si>
  <si>
    <t>CI-78742852</t>
  </si>
  <si>
    <t>Awaiting Check</t>
  </si>
  <si>
    <t>625A22866</t>
  </si>
  <si>
    <t>2022351BJ8811</t>
  </si>
  <si>
    <t>210010AFA1</t>
  </si>
  <si>
    <t>20260730T150111.000 GMT</t>
  </si>
  <si>
    <t>20260907T221812.000 GMT</t>
  </si>
  <si>
    <t>AP check has been requested. AP-4626674081.</t>
  </si>
  <si>
    <t>FRANCISCAN HEALTH CROWN P</t>
  </si>
  <si>
    <t>6cbe8f0f-46f3-4203-b508-5247bb75d1dd</t>
  </si>
  <si>
    <t>Sent for PA review on 09/08</t>
  </si>
  <si>
    <t>CI-79127203</t>
  </si>
  <si>
    <t>900A67317</t>
  </si>
  <si>
    <t>2025345CD9806</t>
  </si>
  <si>
    <t>20260807T002441.000 GMT</t>
  </si>
  <si>
    <t>20260908T022148.000 GMT</t>
  </si>
  <si>
    <t>Sent for PA review, awaiting for response. Thank you</t>
  </si>
  <si>
    <t>GREGORY M OETTING, GREGORY M</t>
  </si>
  <si>
    <t>3b6bfa9e-5cf7-4f84-ae4e-c5a7b34a798b</t>
  </si>
  <si>
    <t>CI-79296792</t>
  </si>
  <si>
    <t>AM37435</t>
  </si>
  <si>
    <t>156M91847</t>
  </si>
  <si>
    <t>2026100FK1215</t>
  </si>
  <si>
    <t>376312FE01</t>
  </si>
  <si>
    <t>Mae Joann B Hernandez</t>
  </si>
  <si>
    <t>20260811T045235.000 GMT</t>
  </si>
  <si>
    <t>20260907T222740.000 GMT</t>
  </si>
  <si>
    <t>FOR REVIEW</t>
  </si>
  <si>
    <t>61671155-c314-434f-970c-763a8905d401</t>
  </si>
  <si>
    <t>CI-79134437</t>
  </si>
  <si>
    <t>930M91837</t>
  </si>
  <si>
    <t>2025322CH4836</t>
  </si>
  <si>
    <t>376312FETO</t>
  </si>
  <si>
    <t>20260807T044119.000 GMT</t>
  </si>
  <si>
    <t>20260808T090427.000 GMT</t>
  </si>
  <si>
    <t>GLENN L STOLLER, GLENN L</t>
  </si>
  <si>
    <t>747f632a-1626-45c1-8510-b001d094c290</t>
  </si>
  <si>
    <t>XREF claim is purge waiting for restoration.</t>
  </si>
  <si>
    <t>CI-79121747</t>
  </si>
  <si>
    <t>0085U9611</t>
  </si>
  <si>
    <t>2026094CN2617</t>
  </si>
  <si>
    <t>20260806T220120.000 GMT</t>
  </si>
  <si>
    <t>20260910T111359.000 GMT</t>
  </si>
  <si>
    <t>GABRIEL  TAUB</t>
  </si>
  <si>
    <t>09e891d1-fee2-4c05-b092-609e4e95ea21</t>
  </si>
  <si>
    <t>CI-79070104</t>
  </si>
  <si>
    <t>2026098DW3433</t>
  </si>
  <si>
    <t>ITSNEN700</t>
  </si>
  <si>
    <t>20260806T022435.000 GMT</t>
  </si>
  <si>
    <t>20260907T154244.000 GMT</t>
  </si>
  <si>
    <t>Forwarded inquiry to ASL regarding age restriction</t>
  </si>
  <si>
    <t>NICOLE  SUBLETTE</t>
  </si>
  <si>
    <t>a3f5c1fc-979f-4f29-bca6-169612800370</t>
  </si>
  <si>
    <t>CI-79250969</t>
  </si>
  <si>
    <t>243W07693</t>
  </si>
  <si>
    <t>2026134EC7418</t>
  </si>
  <si>
    <t>30066303AM</t>
  </si>
  <si>
    <t>20260810T113521.000 GMT</t>
  </si>
  <si>
    <t>20260810T113610.000 GMT</t>
  </si>
  <si>
    <t>AL86134</t>
  </si>
  <si>
    <t>Claim got fully recouped kindly review claim</t>
  </si>
  <si>
    <t>3fdf9d3a-8eda-4a5a-90bb-b81c25b68e03</t>
  </si>
  <si>
    <t xml:space="preserve">Completed </t>
  </si>
  <si>
    <t>CI-79127162</t>
  </si>
  <si>
    <t>071W17443</t>
  </si>
  <si>
    <t>2026163CP0289</t>
  </si>
  <si>
    <t>30038010BA</t>
  </si>
  <si>
    <t>20260807T002352.000 GMT</t>
  </si>
  <si>
    <t>20260807T002406.000 GMT</t>
  </si>
  <si>
    <t>CHAMPLAIN VALLEY PHYSICIA</t>
  </si>
  <si>
    <t>00bbe08c-9d2a-4e22-ac3a-ef2f03e1a690</t>
  </si>
  <si>
    <t>CI-79132712</t>
  </si>
  <si>
    <t>228W03230</t>
  </si>
  <si>
    <t>2026052BB7087</t>
  </si>
  <si>
    <t>270242M31A</t>
  </si>
  <si>
    <t>20260807T025021.000 GMT</t>
  </si>
  <si>
    <t>20260807T025035.000 GMT</t>
  </si>
  <si>
    <t>HURWITZ, JOSHUA M</t>
  </si>
  <si>
    <t>80fa05c2-63cc-43b2-922c-3f088f0673fe</t>
  </si>
  <si>
    <t>CI-79131070</t>
  </si>
  <si>
    <t>261W01964</t>
  </si>
  <si>
    <t>2025048DR7633</t>
  </si>
  <si>
    <t>270241M3F3</t>
  </si>
  <si>
    <t>20260807T021012.000 GMT</t>
  </si>
  <si>
    <t>20260807T021026.000 GMT</t>
  </si>
  <si>
    <t>b9c1adf5-9926-49a8-83f4-ee1d2e8d7be3</t>
  </si>
  <si>
    <t>CI-78843758</t>
  </si>
  <si>
    <t>705W07086</t>
  </si>
  <si>
    <t>2026030FI8337</t>
  </si>
  <si>
    <t>270130MGNC</t>
  </si>
  <si>
    <t>20260801T130927.000 GMT</t>
  </si>
  <si>
    <t>20260908T134545.000 GMT</t>
  </si>
  <si>
    <t>Submit for process clarification</t>
  </si>
  <si>
    <t>JOHN, BLESSY</t>
  </si>
  <si>
    <t>041150ff-30cd-4f59-b2f9-dd00f6b46b31</t>
  </si>
  <si>
    <t>Released</t>
  </si>
  <si>
    <t>CI-79126322</t>
  </si>
  <si>
    <t>AN6960546</t>
  </si>
  <si>
    <t>2024236EC2158</t>
  </si>
  <si>
    <t>214021M1EA</t>
  </si>
  <si>
    <t>20260807T000518.000 GMT</t>
  </si>
  <si>
    <t>20260831T023305.000 GMT</t>
  </si>
  <si>
    <t>UK HEALTHCARE HOSPITALS-E</t>
  </si>
  <si>
    <t>e759367d-730c-40c9-98ae-d3881c71de33</t>
  </si>
  <si>
    <t>CI-78856790</t>
  </si>
  <si>
    <t>570W00066</t>
  </si>
  <si>
    <t>2025113CR5436</t>
  </si>
  <si>
    <t>GA8374</t>
  </si>
  <si>
    <t>GA8374M003</t>
  </si>
  <si>
    <t>20260801T201730.000 GMT</t>
  </si>
  <si>
    <t>20260803T085456.000 GMT</t>
  </si>
  <si>
    <t>CPRAS Response : CLAIM : 2025113CR5436 - Inquiry eligible for Claims Payment Reconsideration (Level 1). First Attempt.</t>
  </si>
  <si>
    <t>ST FRANCIS HEALTH LLC</t>
  </si>
  <si>
    <t>fc64fae0-1c03-4f2b-8346-b09542cee529</t>
  </si>
  <si>
    <t xml:space="preserve">For process clairification and email sent to onshore as DMO B7886-X1 is retired. </t>
  </si>
  <si>
    <t>CI-78982127</t>
  </si>
  <si>
    <t>651A77050</t>
  </si>
  <si>
    <t>G10156</t>
  </si>
  <si>
    <t>G10171</t>
  </si>
  <si>
    <t>20260804T163910.000 GMT</t>
  </si>
  <si>
    <t>20260907T233816.000 GMT</t>
  </si>
  <si>
    <t>DALRYMPLE, ITHA</t>
  </si>
  <si>
    <t>99c53706-515d-4094-9294-8af919b0f485</t>
  </si>
  <si>
    <t>CI-79217712</t>
  </si>
  <si>
    <t>2025092CE2768</t>
  </si>
  <si>
    <t>CT2003</t>
  </si>
  <si>
    <t>CT2003M017</t>
  </si>
  <si>
    <t>20260809T003348.000 GMT</t>
  </si>
  <si>
    <t>20260907T222708.000 GMT</t>
  </si>
  <si>
    <t>c676616c-cdd4-4c27-8b3d-b95052b204cc</t>
  </si>
  <si>
    <t>CI-79249549</t>
  </si>
  <si>
    <t>772A16312</t>
  </si>
  <si>
    <t>2024332FJ9029</t>
  </si>
  <si>
    <t>C19579</t>
  </si>
  <si>
    <t>C19579G1A3</t>
  </si>
  <si>
    <t>20260810T101918.000 GMT</t>
  </si>
  <si>
    <t>20260831T041957.000 GMT</t>
  </si>
  <si>
    <t>ARTHUR M. BLANK HOSPITAL,</t>
  </si>
  <si>
    <t>1c27eb3c-a58c-417b-b041-4e66d1b15463</t>
  </si>
  <si>
    <t>CI-78702032</t>
  </si>
  <si>
    <t>3HZN46777</t>
  </si>
  <si>
    <t>2025321EF4480</t>
  </si>
  <si>
    <t>20260729T201843.000 GMT</t>
  </si>
  <si>
    <t>20260907T160620.000 GMT</t>
  </si>
  <si>
    <t>Email sent for PA Review and waiting for response. PA assigned 9/4</t>
  </si>
  <si>
    <t>RIVER SURGICAL INSTITUTE</t>
  </si>
  <si>
    <t>65b7e189-dbac-4c5c-884b-bcfcfdb99c0b</t>
  </si>
  <si>
    <t>CI-79131109</t>
  </si>
  <si>
    <t>345W17068</t>
  </si>
  <si>
    <t>2025049DF1070</t>
  </si>
  <si>
    <t>82T500</t>
  </si>
  <si>
    <t>20260807T021112.000 GMT</t>
  </si>
  <si>
    <t>20260807T021127.000 GMT</t>
  </si>
  <si>
    <t>b1187a98-313d-46ea-b613-9d402bf348f9</t>
  </si>
  <si>
    <t>CI-78584294</t>
  </si>
  <si>
    <t>AL17698</t>
  </si>
  <si>
    <t>1310725MB</t>
  </si>
  <si>
    <t>2024132DF0247</t>
  </si>
  <si>
    <t>JNT027</t>
  </si>
  <si>
    <t>JNT027AC02</t>
  </si>
  <si>
    <t>Lisa Lou C Terrado</t>
  </si>
  <si>
    <t>20260727T192507.000 GMT</t>
  </si>
  <si>
    <t>20260907T225754.000 GMT</t>
  </si>
  <si>
    <t>CROAK, LUCAS E</t>
  </si>
  <si>
    <t>18e83ac6-37a5-46d9-a37c-e4dd66961650</t>
  </si>
  <si>
    <t>CI-79197757</t>
  </si>
  <si>
    <t>678M60682</t>
  </si>
  <si>
    <t>2024143EN9998</t>
  </si>
  <si>
    <t>IN2005</t>
  </si>
  <si>
    <t>IN2005M028</t>
  </si>
  <si>
    <t>20260808T140917.000 GMT</t>
  </si>
  <si>
    <t>20260907T212555.000 GMT</t>
  </si>
  <si>
    <t>CLAIM NOT ASSIGNED</t>
  </si>
  <si>
    <t>ac0be480-160c-4763-b1a1-5ff8a87bec55</t>
  </si>
  <si>
    <t>CI-79130826</t>
  </si>
  <si>
    <t>039M89900</t>
  </si>
  <si>
    <t>2026082DY5765</t>
  </si>
  <si>
    <t>L13511P021</t>
  </si>
  <si>
    <t>20260807T020247.000 GMT</t>
  </si>
  <si>
    <t>20260807T020301.000 GMT</t>
  </si>
  <si>
    <t>HUGHES JR., RICHARD A</t>
  </si>
  <si>
    <t>de1eddd5-8d9e-40bc-8be9-33df755576fe</t>
  </si>
  <si>
    <t>CI-79355931</t>
  </si>
  <si>
    <t>528M89898</t>
  </si>
  <si>
    <t>2025301BO5860</t>
  </si>
  <si>
    <t>L13511M012</t>
  </si>
  <si>
    <t>20260812T031813.000 GMT</t>
  </si>
  <si>
    <t>20260904T100741.000 GMT</t>
  </si>
  <si>
    <t>GLENS FALLS HOSPITAL</t>
  </si>
  <si>
    <t>b26bfb6b-72d2-4532-a7fa-d36c2e96be21</t>
  </si>
  <si>
    <t>CI-80744183</t>
  </si>
  <si>
    <t>112A22928</t>
  </si>
  <si>
    <t>2025161EB6413</t>
  </si>
  <si>
    <t>L13089</t>
  </si>
  <si>
    <t>L13089M001</t>
  </si>
  <si>
    <t>20260910T091604.000 GMT</t>
  </si>
  <si>
    <t>20260910T123606.000 GMT</t>
  </si>
  <si>
    <t>Internal inq first, will proceed to ASL when unsure and unanswered.</t>
  </si>
  <si>
    <t>ENG, JASON W</t>
  </si>
  <si>
    <t>5bdf9e8e-eb59-4a71-aad9-c5d6122aad2c</t>
  </si>
  <si>
    <t>CI-78980833</t>
  </si>
  <si>
    <t>CL-37667146</t>
  </si>
  <si>
    <t>UWQ 1950570SE</t>
  </si>
  <si>
    <t>2024233DY7802</t>
  </si>
  <si>
    <t>L08754M004</t>
  </si>
  <si>
    <t>20260804T161526.000 GMT</t>
  </si>
  <si>
    <t>UWQ</t>
  </si>
  <si>
    <t>20260909T091447.000 GMT</t>
  </si>
  <si>
    <t>BAY AREA SURGICAL SPECIAL</t>
  </si>
  <si>
    <t>CL-37666420</t>
  </si>
  <si>
    <t>1950570SE</t>
  </si>
  <si>
    <t>2858cf48-c9b2-44d7-a430-d4192397cf7e</t>
  </si>
  <si>
    <t>CI-79132853</t>
  </si>
  <si>
    <t>609W16319</t>
  </si>
  <si>
    <t>2025028EB0823</t>
  </si>
  <si>
    <t>L08074</t>
  </si>
  <si>
    <t>L08074M001</t>
  </si>
  <si>
    <t>20260807T025313.000 GMT</t>
  </si>
  <si>
    <t>20260908T224802.000 GMT</t>
  </si>
  <si>
    <t>9ba72c13-9a8a-4820-bc25-c5fbc932a18b</t>
  </si>
  <si>
    <t>CI-79136188</t>
  </si>
  <si>
    <t>975W02607</t>
  </si>
  <si>
    <t>2025219FC4328</t>
  </si>
  <si>
    <t>L06949</t>
  </si>
  <si>
    <t>L06949M001</t>
  </si>
  <si>
    <t>20260807T072045.000 GMT</t>
  </si>
  <si>
    <t>20260907T222653.000 GMT</t>
  </si>
  <si>
    <t>ANTHONY M PETRIZZO, ANTHONY M</t>
  </si>
  <si>
    <t>e30573c2-53e2-47dc-bd93-e531fac8efdd</t>
  </si>
  <si>
    <t>Completed on 09/15/2026</t>
  </si>
  <si>
    <t>CI-78929506</t>
  </si>
  <si>
    <t>295M96701</t>
  </si>
  <si>
    <t>2024222EG5444</t>
  </si>
  <si>
    <t>L05949</t>
  </si>
  <si>
    <t>L05949M001</t>
  </si>
  <si>
    <t>20260803T202409.000 GMT</t>
  </si>
  <si>
    <t>20260907T060115.000 GMT</t>
  </si>
  <si>
    <t>Email sent to SME since unable to price xref claim 22333BO7231.</t>
  </si>
  <si>
    <t>VA HOSPITAL HOME HEALTH</t>
  </si>
  <si>
    <t>7b1a2879-04cb-45cc-90c5-eb4eec235ff8</t>
  </si>
  <si>
    <t xml:space="preserve">For process clarification and email sent to onshore as DMO B7886-X1 is retired. </t>
  </si>
  <si>
    <t>CI-78561781</t>
  </si>
  <si>
    <t>922M98840</t>
  </si>
  <si>
    <t>2026009FB9914</t>
  </si>
  <si>
    <t>L05442</t>
  </si>
  <si>
    <t>L05442M015</t>
  </si>
  <si>
    <t>20260727T122644.000 GMT</t>
  </si>
  <si>
    <t>20260907T233758.000 GMT</t>
  </si>
  <si>
    <t>RAJA  HANIF</t>
  </si>
  <si>
    <t>e55eb8a1-e8e1-4857-9be7-69bfba72f666</t>
  </si>
  <si>
    <t>CI-78866021</t>
  </si>
  <si>
    <t>2025210CP9137</t>
  </si>
  <si>
    <t>L04990</t>
  </si>
  <si>
    <t>L04990M004</t>
  </si>
  <si>
    <t>20260802T021255.000 GMT</t>
  </si>
  <si>
    <t>20260910T045720.000 GMT</t>
  </si>
  <si>
    <t>Initiated adjustment, waiting claim to be finalized.</t>
  </si>
  <si>
    <t>HARTFORD HOSPITAL</t>
  </si>
  <si>
    <t>2c7dd01f-253a-4a1b-911e-fa70052b9545</t>
  </si>
  <si>
    <t>Purge claim waiting to be restore</t>
  </si>
  <si>
    <t>CI-79126669</t>
  </si>
  <si>
    <t>2024047DA5861</t>
  </si>
  <si>
    <t>L03668</t>
  </si>
  <si>
    <t>L03668M002</t>
  </si>
  <si>
    <t>20260807T001304.000 GMT</t>
  </si>
  <si>
    <t>20260807T001318.000 GMT</t>
  </si>
  <si>
    <t>DAVID  JAMORA</t>
  </si>
  <si>
    <t>8c258954-c1c6-41a0-87a4-cf0aa22982da</t>
  </si>
  <si>
    <t>PA Followup sent on 09/03/2026. last email response with Regina on 09/14/2026. Waiting for determination</t>
  </si>
  <si>
    <t>CI-78605425</t>
  </si>
  <si>
    <t>2025261CU3715</t>
  </si>
  <si>
    <t>20260728T074349.000 GMT</t>
  </si>
  <si>
    <t>20260904T032106.000 GMT</t>
  </si>
  <si>
    <t>LAUREN G BUCHHOLZ</t>
  </si>
  <si>
    <t>a1aa3ec7-a52b-4040-bf78-5a414bc6ed54</t>
  </si>
  <si>
    <t>CI-79126807</t>
  </si>
  <si>
    <t>349M61832</t>
  </si>
  <si>
    <t>2026098DQ5001</t>
  </si>
  <si>
    <t>L15272</t>
  </si>
  <si>
    <t>L15272MS01</t>
  </si>
  <si>
    <t>20260807T001653.000 GMT</t>
  </si>
  <si>
    <t>be110851-0e3f-4e4a-a77c-caccbf37f896</t>
  </si>
  <si>
    <t>CI-79131671</t>
  </si>
  <si>
    <t>096M58719</t>
  </si>
  <si>
    <t>2026086FE3436</t>
  </si>
  <si>
    <t>L14904</t>
  </si>
  <si>
    <t>L14904M002</t>
  </si>
  <si>
    <t>20260807T022643.000 GMT</t>
  </si>
  <si>
    <t>20260807T022706.000 GMT</t>
  </si>
  <si>
    <t>STEWART, JOSEPH C</t>
  </si>
  <si>
    <t>6502e172-6fc4-4e3b-9a46-99cf7652a8fa</t>
  </si>
  <si>
    <t>CI-79286650</t>
  </si>
  <si>
    <t>888W24526</t>
  </si>
  <si>
    <t>2026046BJ0701</t>
  </si>
  <si>
    <t>L14768</t>
  </si>
  <si>
    <t>L14768M005</t>
  </si>
  <si>
    <t>MN</t>
  </si>
  <si>
    <t>20260810T224900.000 GMT</t>
  </si>
  <si>
    <t>20260907T160224.000 GMT</t>
  </si>
  <si>
    <t>ESSENTIA HEALTH DULUTH</t>
  </si>
  <si>
    <t>1f3e6576-ec50-43a6-b120-7403c39d709e</t>
  </si>
  <si>
    <t>CI-79156955</t>
  </si>
  <si>
    <t>516W09893</t>
  </si>
  <si>
    <t>2026117R71953</t>
  </si>
  <si>
    <t>L14375</t>
  </si>
  <si>
    <t>L14375000M</t>
  </si>
  <si>
    <t>20260807T144519.000 GMT</t>
  </si>
  <si>
    <t>20260909T090026.000 GMT</t>
  </si>
  <si>
    <t>Pended Research</t>
  </si>
  <si>
    <t>MICHAEL J ALAIMO</t>
  </si>
  <si>
    <t>9e81c95e-b4bc-4732-9997-00d7775bcef7</t>
  </si>
  <si>
    <t xml:space="preserve">**ADJ PENDED/RESEARCHED ** claim open less than 15 days waiting to finalize.
</t>
  </si>
  <si>
    <t>CI-79258354</t>
  </si>
  <si>
    <t>2026156DA1139</t>
  </si>
  <si>
    <t>20260810T141831.000 GMT</t>
  </si>
  <si>
    <t>20260910T081126.000 GMT</t>
  </si>
  <si>
    <t>CPT CODE 99140 IS BEING BILLED WITH OBSTETRIC DELIVERY CODES OUTSIDE OF AN
E MERGENCY SITUATION IN ERROR. THIS CONCEPT WILL PREVENT CODES PAYING IN
ERROR . REFER TO PREPAY ALGORITHM: B481 ANESTHESIA (99140) NOT PAYABLE
ITS HOST (A LL) - CLAIM PROCESSING DOCUMENT ON THE KNOWLEDGE LIBRARY FOR
ADDITIONAL INFO RMATION.</t>
  </si>
  <si>
    <t>MOITRA, VIVEK K</t>
  </si>
  <si>
    <t>7a2a9813-c3a9-401b-a276-2e590da8e521</t>
  </si>
  <si>
    <t>CI-79211727</t>
  </si>
  <si>
    <t>2025322DT0892</t>
  </si>
  <si>
    <t>20260808T210455.000 GMT</t>
  </si>
  <si>
    <t>20260910T124221.000 GMT</t>
  </si>
  <si>
    <t>VAKAS  AHMAD</t>
  </si>
  <si>
    <t>cdbc8752-8a66-4051-b697-71c790efec55</t>
  </si>
  <si>
    <t>CI-80321540</t>
  </si>
  <si>
    <t>445W08117</t>
  </si>
  <si>
    <t>2025244CT1651</t>
  </si>
  <si>
    <t>W10184</t>
  </si>
  <si>
    <t>W10184M001</t>
  </si>
  <si>
    <t>20260901T103554.000 GMT</t>
  </si>
  <si>
    <t>20260904T105432.000 GMT</t>
  </si>
  <si>
    <t>For Provider Audit as per concept  Z050TD0015 with Medical Records with MLH
2026211A51146</t>
  </si>
  <si>
    <t>HENRY COMMUNITY HEALTH</t>
  </si>
  <si>
    <t>fbbf59ef-4e88-480a-860c-d776c777cb1a</t>
  </si>
  <si>
    <t>CI-78727707</t>
  </si>
  <si>
    <t>2025337BQ0546</t>
  </si>
  <si>
    <t>20260730T093411.000 GMT</t>
  </si>
  <si>
    <t>20260907T160710.000 GMT</t>
  </si>
  <si>
    <t>SACHSE, BRETT A</t>
  </si>
  <si>
    <t>0ba84c2e-c17c-433f-bd6e-e20dce05ec14</t>
  </si>
  <si>
    <t>CI-78926215</t>
  </si>
  <si>
    <t>290M76367</t>
  </si>
  <si>
    <t>2025281BS4899</t>
  </si>
  <si>
    <t>SP6228</t>
  </si>
  <si>
    <t>SP6228M001</t>
  </si>
  <si>
    <t>20260803T192642.000 GMT</t>
  </si>
  <si>
    <t>20260808T133914.000 GMT</t>
  </si>
  <si>
    <t>AG44895</t>
  </si>
  <si>
    <t>Please review claim got recouped full/partial/PI popup.</t>
  </si>
  <si>
    <t>c710c4ad-cf24-4a48-bd91-7c66442ff505</t>
  </si>
  <si>
    <t>CI-79073256</t>
  </si>
  <si>
    <t>Pending Reversal</t>
  </si>
  <si>
    <t>527A61114</t>
  </si>
  <si>
    <t>2026160FB2068</t>
  </si>
  <si>
    <t>SP1197</t>
  </si>
  <si>
    <t>BEN-Any</t>
  </si>
  <si>
    <t>GS-DMPrepay</t>
  </si>
  <si>
    <t>REG-Any</t>
  </si>
  <si>
    <t>SP1197M001</t>
  </si>
  <si>
    <t>20260806T042518.000 GMT</t>
  </si>
  <si>
    <t>20260910T130712.000 GMT</t>
  </si>
  <si>
    <t>Ashley Scarpa</t>
  </si>
  <si>
    <t>not a valid dispute due to UM review and claim will be handled separately</t>
  </si>
  <si>
    <t>TIFT REGIONAL HEALTH SYST</t>
  </si>
  <si>
    <t>66553ce2-6722-49e7-acb9-753226f73994</t>
  </si>
  <si>
    <t>CI-78727807</t>
  </si>
  <si>
    <t>339W23372</t>
  </si>
  <si>
    <t>2025258BW5916</t>
  </si>
  <si>
    <t>SGD48328</t>
  </si>
  <si>
    <t>8F3F00</t>
  </si>
  <si>
    <t>20260730T093613.000 GMT</t>
  </si>
  <si>
    <t>20260907T160645.000 GMT</t>
  </si>
  <si>
    <t>Email sent for PA Review and waiting for response. PA assigned 8/27</t>
  </si>
  <si>
    <t>dd4be92a-d30f-42f8-a622-821a7f856c49</t>
  </si>
  <si>
    <t xml:space="preserve">	
Email sent for PA review and waiting for response</t>
  </si>
  <si>
    <t>CI-79212055</t>
  </si>
  <si>
    <t>AL55483</t>
  </si>
  <si>
    <t>530W22026</t>
  </si>
  <si>
    <t>2025102BC6950</t>
  </si>
  <si>
    <t>SGD46810</t>
  </si>
  <si>
    <t>9UAZ00</t>
  </si>
  <si>
    <t>20260808T211246.000 GMT</t>
  </si>
  <si>
    <t>20260907T122307.000 GMT</t>
  </si>
  <si>
    <t>WILLIAMS, MATTHEW L</t>
  </si>
  <si>
    <t>ab1f974e-cb23-4763-8623-7da2fd9de90a</t>
  </si>
  <si>
    <t>CI-79131272</t>
  </si>
  <si>
    <t>066M90457</t>
  </si>
  <si>
    <t>2023055DR5970</t>
  </si>
  <si>
    <t>SGA58054</t>
  </si>
  <si>
    <t>6SFY00</t>
  </si>
  <si>
    <t>20260807T021629.000 GMT</t>
  </si>
  <si>
    <t>20260807T021643.000 GMT</t>
  </si>
  <si>
    <t>HENRICO DOCTORS HOSPITAL</t>
  </si>
  <si>
    <t>3f65a7ff-1442-4be5-acd6-a41252db3051</t>
  </si>
  <si>
    <t>CI-79291096</t>
  </si>
  <si>
    <t>217M55172</t>
  </si>
  <si>
    <t>2025209EI1386</t>
  </si>
  <si>
    <t>W42693</t>
  </si>
  <si>
    <t>W42693M002</t>
  </si>
  <si>
    <t>20260811T011431.000 GMT</t>
  </si>
  <si>
    <t>20260908T221746.000 GMT</t>
  </si>
  <si>
    <t>a2ca10f6-b7f5-4fea-9bec-52d6828658d7</t>
  </si>
  <si>
    <t>PA Followup sent on 09/03/2026. No email response yet</t>
  </si>
  <si>
    <t>CI-78281719</t>
  </si>
  <si>
    <t>2025337EK0635</t>
  </si>
  <si>
    <t>20260721T115823.000 GMT</t>
  </si>
  <si>
    <t>20260904T032814.000 GMT</t>
  </si>
  <si>
    <t>44000e35-8ba0-4306-8b48-f1156cbf4638</t>
  </si>
  <si>
    <t>CI-78161926</t>
  </si>
  <si>
    <t>2025225BL5587</t>
  </si>
  <si>
    <t>20260718T202243.000 GMT</t>
  </si>
  <si>
    <t>20260909T213040.000 GMT</t>
  </si>
  <si>
    <t>TOMAS  PEVNY</t>
  </si>
  <si>
    <t>1ab8df09-3242-4567-b358-0f9d7d627f07</t>
  </si>
  <si>
    <t xml:space="preserve">	
FOD edit waiting for AP check</t>
  </si>
  <si>
    <t>CI-77943951</t>
  </si>
  <si>
    <t>AH89625</t>
  </si>
  <si>
    <t>2025079BX6184</t>
  </si>
  <si>
    <t>001097M582</t>
  </si>
  <si>
    <t>Mary Grace J Yacat</t>
  </si>
  <si>
    <t>20260714T111531.000 GMT</t>
  </si>
  <si>
    <t>20260910T000056.000 GMT</t>
  </si>
  <si>
    <t>waiting to Email sent for FOD and waiting for response</t>
  </si>
  <si>
    <t>WEISER, JEFFREY</t>
  </si>
  <si>
    <t>dd4a3e79-92a1-4af1-9d3b-0ec89ec633fc</t>
  </si>
  <si>
    <t xml:space="preserve">	
Follow up email sent by SME.</t>
  </si>
  <si>
    <t>CI-78204480</t>
  </si>
  <si>
    <t>2025205DW0325</t>
  </si>
  <si>
    <t>20260720T021151.000 GMT</t>
  </si>
  <si>
    <t>20260904T041327.000 GMT</t>
  </si>
  <si>
    <t>BALLARD, JAMES R</t>
  </si>
  <si>
    <t>e7d36ab8-6f08-452f-ba38-9dfd928014a1</t>
  </si>
  <si>
    <t>PA followup sent on 09/03/2026. No email response yet.</t>
  </si>
  <si>
    <t>CI-78345249</t>
  </si>
  <si>
    <t>2025120BH5043</t>
  </si>
  <si>
    <t>20260722T130544.000 GMT</t>
  </si>
  <si>
    <t>20260904T032654.000 GMT</t>
  </si>
  <si>
    <t>DANZINGER, ANNALYSE N</t>
  </si>
  <si>
    <t>b203d4a7-588b-479f-9605-dccc79edbf48</t>
  </si>
  <si>
    <t>CI-78026449</t>
  </si>
  <si>
    <t>2025286EK6481</t>
  </si>
  <si>
    <t>20260715T223911.000 GMT</t>
  </si>
  <si>
    <t>20260904T041303.000 GMT</t>
  </si>
  <si>
    <t>099bda08-8de4-44a7-8b5a-4a3ad2d63636</t>
  </si>
  <si>
    <t>CI-78362242</t>
  </si>
  <si>
    <t>2025036EK7567</t>
  </si>
  <si>
    <t>20260722T181331.000 GMT</t>
  </si>
  <si>
    <t>20260724T101100.000 GMT</t>
  </si>
  <si>
    <t>CPRAS Response : CLAIM : 2025036EK7567 - Inquiry category: Clinical.  Eligible for clinical review</t>
  </si>
  <si>
    <t>THOMPKINS, ANTON A</t>
  </si>
  <si>
    <t>d2c12e53-44b1-4385-8809-cbe6253dc9e3</t>
  </si>
  <si>
    <t>CI-77999870</t>
  </si>
  <si>
    <t>860A16575</t>
  </si>
  <si>
    <t>2025281DP2137</t>
  </si>
  <si>
    <t>174532W3AR</t>
  </si>
  <si>
    <t>20260715T131056.000 GMT</t>
  </si>
  <si>
    <t>20260904T064436.000 GMT</t>
  </si>
  <si>
    <t>GEIGER, STEVEN</t>
  </si>
  <si>
    <t>e5962d54-2aa0-411b-9ec7-6f059f49968e</t>
  </si>
  <si>
    <t>CI-78504037</t>
  </si>
  <si>
    <t>729W09679</t>
  </si>
  <si>
    <t>2026177CJ9254</t>
  </si>
  <si>
    <t>300601A106</t>
  </si>
  <si>
    <t>20260725T123214.000 GMT</t>
  </si>
  <si>
    <t>20260907T233742.000 GMT</t>
  </si>
  <si>
    <t>ZHANG, LINDA P</t>
  </si>
  <si>
    <t>72150b3d-f964-4d97-859d-093c7058f664</t>
  </si>
  <si>
    <t>Claim still in adjustment pended research.</t>
  </si>
  <si>
    <t>CI-78001826</t>
  </si>
  <si>
    <t>2939437CT</t>
  </si>
  <si>
    <t>2026114EI4534</t>
  </si>
  <si>
    <t>IS-DisputeSutter</t>
  </si>
  <si>
    <t>281909M001</t>
  </si>
  <si>
    <t>20260715T135329.000 GMT</t>
  </si>
  <si>
    <t>20260909T231307.000 GMT</t>
  </si>
  <si>
    <t>SUTTER MATERNITY AND SURG</t>
  </si>
  <si>
    <t>Collective Health</t>
  </si>
  <si>
    <t>ce03c146-f078-4d42-90e4-1b55c5febaf5</t>
  </si>
  <si>
    <t>CI-78368136</t>
  </si>
  <si>
    <t>378W12010</t>
  </si>
  <si>
    <t>2025065EV6707</t>
  </si>
  <si>
    <t>E01164</t>
  </si>
  <si>
    <t>E011640018</t>
  </si>
  <si>
    <t>20260722T195620.000 GMT</t>
  </si>
  <si>
    <t>20260724T095033.000 GMT</t>
  </si>
  <si>
    <t>CPRAS Response : CLAIM : 2025065EV6707 - Inquiry category: West Provider Follow current guidelines</t>
  </si>
  <si>
    <t>GERLACH, MATTHEW R</t>
  </si>
  <si>
    <t>729bf962-cf82-4a9c-9d1a-05fe7f9e1d41</t>
  </si>
  <si>
    <t>CI-78005574</t>
  </si>
  <si>
    <t>998M92984</t>
  </si>
  <si>
    <t>2026013EC4819</t>
  </si>
  <si>
    <t>C19954</t>
  </si>
  <si>
    <t>C19954M1A1</t>
  </si>
  <si>
    <t>20260715T151131.000 GMT</t>
  </si>
  <si>
    <t>20260909T145035.000 GMT</t>
  </si>
  <si>
    <t>DONALDSON, ISABEL</t>
  </si>
  <si>
    <t>71073170-0362-43e7-9203-8dc3f0a5e84b</t>
  </si>
  <si>
    <t>CI-78145871</t>
  </si>
  <si>
    <t>236M89891</t>
  </si>
  <si>
    <t>2025212EZ5283</t>
  </si>
  <si>
    <t>20260718T125942.000 GMT</t>
  </si>
  <si>
    <t>20260908T231534.000 GMT</t>
  </si>
  <si>
    <t>CARRIE R MUH, CARRIE R</t>
  </si>
  <si>
    <t>0677a8dd-c224-4989-a17c-0ca259a6ff94</t>
  </si>
  <si>
    <t>Provider authorize to recouped. Waiting for the release confirmation from collection team. No response yet 09/16</t>
  </si>
  <si>
    <t>CI-78026962</t>
  </si>
  <si>
    <t>2026015CU6601</t>
  </si>
  <si>
    <t>20260715T225137.000 GMT</t>
  </si>
  <si>
    <t>20260908T003138.000 GMT</t>
  </si>
  <si>
    <t>Provider authorize to recouped. Waiting for the release confirmation from collection team. No response yet 09/08</t>
  </si>
  <si>
    <t>GOOD SAMARITAN HOSPITAL</t>
  </si>
  <si>
    <t>ad96a07a-32b3-497f-beb4-fec6b150e540</t>
  </si>
  <si>
    <t>CI-78489855</t>
  </si>
  <si>
    <t>296M61135</t>
  </si>
  <si>
    <t>2025318DT2819</t>
  </si>
  <si>
    <t>20260725T014622.000 GMT</t>
  </si>
  <si>
    <t>20260904T064823.000 GMT</t>
  </si>
  <si>
    <t>DAVIES, CHRISTOPHE B</t>
  </si>
  <si>
    <t>414451ad-547d-423a-be04-829d26a1ccf9</t>
  </si>
  <si>
    <t>CI-78477207</t>
  </si>
  <si>
    <t>948W23812</t>
  </si>
  <si>
    <t>2025253CG3324</t>
  </si>
  <si>
    <t>818X00</t>
  </si>
  <si>
    <t>20260724T192956.000 GMT</t>
  </si>
  <si>
    <t>20260904T041518.000 GMT</t>
  </si>
  <si>
    <t>EDOUARD  ABOIAN, EDOUARD</t>
  </si>
  <si>
    <t>3c394d4e-754c-401a-8685-0bf21db5d4b7</t>
  </si>
  <si>
    <t>CI-78483876</t>
  </si>
  <si>
    <t>CL-37233976</t>
  </si>
  <si>
    <t>AH18295</t>
  </si>
  <si>
    <t>CWB 1187076CG</t>
  </si>
  <si>
    <t>2025078CZ3999</t>
  </si>
  <si>
    <t>JQH026</t>
  </si>
  <si>
    <t>JQH026M002</t>
  </si>
  <si>
    <t>Georgia Ann C Marquez</t>
  </si>
  <si>
    <t>20260724T222541.000 GMT</t>
  </si>
  <si>
    <t>CWB</t>
  </si>
  <si>
    <t>20260904T053344.000 GMT</t>
  </si>
  <si>
    <t>Follow up email sent by SME.
Provider Audit 08-14-2026</t>
  </si>
  <si>
    <t>CL-37233933</t>
  </si>
  <si>
    <t>Luminare Health</t>
  </si>
  <si>
    <t>1187076CG</t>
  </si>
  <si>
    <t>b4597c85-dbbe-42c3-8c37-4bc5c416be51</t>
  </si>
  <si>
    <t>CI-78326992</t>
  </si>
  <si>
    <t>690A76294</t>
  </si>
  <si>
    <t>2026114DH2193</t>
  </si>
  <si>
    <t>J70532</t>
  </si>
  <si>
    <t>F24418</t>
  </si>
  <si>
    <t>20260722T031009.000 GMT</t>
  </si>
  <si>
    <t>20260910T080156.000 GMT</t>
  </si>
  <si>
    <t>AM26028</t>
  </si>
  <si>
    <t>Routed to dispute team.</t>
  </si>
  <si>
    <t>MOUNTAINVIEW HOSPITAL</t>
  </si>
  <si>
    <t>Katrina Y Williams</t>
  </si>
  <si>
    <t>f3358537-a48a-41d5-8063-33789dea9762</t>
  </si>
  <si>
    <t>CI-78096291</t>
  </si>
  <si>
    <t>HN1055765</t>
  </si>
  <si>
    <t>2024361DH9791</t>
  </si>
  <si>
    <t>L06359</t>
  </si>
  <si>
    <t>L06359M001</t>
  </si>
  <si>
    <t>20260717T101559.000 GMT</t>
  </si>
  <si>
    <t>HN1</t>
  </si>
  <si>
    <t>20260907T225736.000 GMT</t>
  </si>
  <si>
    <t>ST JOSEPH HOSPITAL OF ORA</t>
  </si>
  <si>
    <t>Overturn</t>
  </si>
  <si>
    <t>7317c1fe-386e-4773-8f81-b16cdd2d9a3c</t>
  </si>
  <si>
    <t>CI-78246713</t>
  </si>
  <si>
    <t>2025023CA2482</t>
  </si>
  <si>
    <t>20260720T183015.000 GMT</t>
  </si>
  <si>
    <t>20260904T041410.000 GMT</t>
  </si>
  <si>
    <t>ROTH, STEVEN G</t>
  </si>
  <si>
    <t>5b2e3d20-199a-4d0f-9413-d32d044b29a6</t>
  </si>
  <si>
    <t>CI-78504574</t>
  </si>
  <si>
    <t>2025230CK5179</t>
  </si>
  <si>
    <t>20260725T124720.000 GMT</t>
  </si>
  <si>
    <t>20260904T041537.000 GMT</t>
  </si>
  <si>
    <t>be99603b-26bf-4739-939b-16e4c998d63f</t>
  </si>
  <si>
    <t>Xref 2026038CJ5025 is on hold. Awaiting to finalize before valdation.</t>
  </si>
  <si>
    <t>CI-78261716</t>
  </si>
  <si>
    <t>2026124FM4834</t>
  </si>
  <si>
    <t>ITSANP425</t>
  </si>
  <si>
    <t>20260720T234028.000 GMT</t>
  </si>
  <si>
    <t>20260907T233715.000 GMT</t>
  </si>
  <si>
    <t>BLOSSER JR., RICHARD A</t>
  </si>
  <si>
    <t>e0534837-6923-4dce-b7fe-4f7294236a20</t>
  </si>
  <si>
    <t>CI-78125089</t>
  </si>
  <si>
    <t>800W18980</t>
  </si>
  <si>
    <t>2025321BM7731</t>
  </si>
  <si>
    <t>20260717T191446.000 GMT</t>
  </si>
  <si>
    <t>20260909T040308.000 GMT</t>
  </si>
  <si>
    <t>WILLIAM S BODEMER, WILLIAM S</t>
  </si>
  <si>
    <t>126f2dd5-393d-4eca-811d-fbdf868f303d</t>
  </si>
  <si>
    <t xml:space="preserve">Adjusted | Sui/PRR Review | High Dollar
</t>
  </si>
  <si>
    <t>CI-78416017</t>
  </si>
  <si>
    <t>Awaiting HD pymt Group Approval</t>
  </si>
  <si>
    <t>AN6534353</t>
  </si>
  <si>
    <t>2025343DJ8677</t>
  </si>
  <si>
    <t>W24174M979</t>
  </si>
  <si>
    <t>20260723T163906.000 GMT</t>
  </si>
  <si>
    <t>20260907T222443.000 GMT</t>
  </si>
  <si>
    <t>MAJOR HOSPITAL</t>
  </si>
  <si>
    <t>fe17702f-ec9d-4197-90c9-e9bc97ca13df</t>
  </si>
  <si>
    <t>Denial is valid. Procedure code C1751 was done with a product which is not reimbursable under revenue code 278. Sent Letter. FDOC # 7260255710.</t>
  </si>
  <si>
    <t>2026087BE3222</t>
  </si>
  <si>
    <t>20260708T135704.000 GMT</t>
  </si>
  <si>
    <t>20260907T220528.000 GMT</t>
  </si>
  <si>
    <t>Claim status is PENDING-INVESTIGATION since 09/04/2026. Please review and release claim. Thank you.</t>
  </si>
  <si>
    <t>51bb64ab-03ad-468a-97d7-3af267577270</t>
  </si>
  <si>
    <t xml:space="preserve">	
Still under process clarif.</t>
  </si>
  <si>
    <t>CI-77813364</t>
  </si>
  <si>
    <t>833W17420</t>
  </si>
  <si>
    <t>2026068H10156</t>
  </si>
  <si>
    <t>20260710T204839.000 GMT</t>
  </si>
  <si>
    <t>20260908T055430.000 GMT</t>
  </si>
  <si>
    <t>Submit for process clarification.</t>
  </si>
  <si>
    <t>13e80c18-1046-450d-8b73-49e7a6c466f5</t>
  </si>
  <si>
    <t>CI-76706546</t>
  </si>
  <si>
    <t>2024337BX0484</t>
  </si>
  <si>
    <t>20260617T191504.000 GMT</t>
  </si>
  <si>
    <t>20260908T063833.000 GMT</t>
  </si>
  <si>
    <t>Waiting for SME assistance for adjustment</t>
  </si>
  <si>
    <t>GOLDSTEIN, MATTHEW J</t>
  </si>
  <si>
    <t>52724fb8-d75d-4869-a132-1de79ccab6ce</t>
  </si>
  <si>
    <t>CI-77606467</t>
  </si>
  <si>
    <t>3HZN69484</t>
  </si>
  <si>
    <t>2025214BW4449</t>
  </si>
  <si>
    <t>20260707T123946.000 GMT</t>
  </si>
  <si>
    <t>20260908T002740.000 GMT</t>
  </si>
  <si>
    <t>Follow up email sent by SME on 09/04</t>
  </si>
  <si>
    <t>eb9df6af-b6f8-4a9a-8cb4-bf7ba5e1c7bf</t>
  </si>
  <si>
    <t>CI-77592928</t>
  </si>
  <si>
    <t>2025091DO9561</t>
  </si>
  <si>
    <t>20260707T062147.000 GMT</t>
  </si>
  <si>
    <t>20260910T055618.000 GMT</t>
  </si>
  <si>
    <t>Email sent for PA Review and waiting for response. PA assigned 8/11</t>
  </si>
  <si>
    <t>COHEN, ORIANA D</t>
  </si>
  <si>
    <t>e5d09b30-05de-4f6c-b30e-a0caef638899</t>
  </si>
  <si>
    <t>CI-77181560</t>
  </si>
  <si>
    <t>2026112CO6982</t>
  </si>
  <si>
    <t>20260626T223005.000 GMT</t>
  </si>
  <si>
    <t>20260908T100143.000 GMT</t>
  </si>
  <si>
    <t>KUDUK, HEATHER L</t>
  </si>
  <si>
    <t>d8cdfae1-2cd3-4141-8aa2-9761921373a0</t>
  </si>
  <si>
    <t>Sent PA followup on 09/03/2026. Waiting for response</t>
  </si>
  <si>
    <t>CI-77657477</t>
  </si>
  <si>
    <t>021M98107</t>
  </si>
  <si>
    <t>2025335CC2568</t>
  </si>
  <si>
    <t>GS-BerryGlobal</t>
  </si>
  <si>
    <t>213035W3FS</t>
  </si>
  <si>
    <t>20260708T090847.000 GMT</t>
  </si>
  <si>
    <t>20260904T032602.000 GMT</t>
  </si>
  <si>
    <t>WOJCIECHOWSKI, EMILIA W</t>
  </si>
  <si>
    <t>ae2955b1-2fb8-47ea-b96e-a8fae81494db</t>
  </si>
  <si>
    <t>CI-77055106</t>
  </si>
  <si>
    <t>2023180DE8219</t>
  </si>
  <si>
    <t>GS-BonSecours</t>
  </si>
  <si>
    <t>212096M1C6</t>
  </si>
  <si>
    <t>20260624T191412.000 GMT</t>
  </si>
  <si>
    <t>20260910T125557.000 GMT</t>
  </si>
  <si>
    <t>MEALS, JAMES M</t>
  </si>
  <si>
    <t>c760b259-5043-4773-ab24-04561e975d90</t>
  </si>
  <si>
    <t>CI-77813854</t>
  </si>
  <si>
    <t>522W14557</t>
  </si>
  <si>
    <t>2025281BN1323</t>
  </si>
  <si>
    <t>174649G81A</t>
  </si>
  <si>
    <t>20260710T205756.000 GMT</t>
  </si>
  <si>
    <t>20260904T073642.000 GMT</t>
  </si>
  <si>
    <t>Follow-up email sent to PA.</t>
  </si>
  <si>
    <t>PIEDMONT ATHENS REGIONAL</t>
  </si>
  <si>
    <t>1323125b-6e3a-45e0-84c6-79e355331c84</t>
  </si>
  <si>
    <t>CI-80641935</t>
  </si>
  <si>
    <t>AN4519723</t>
  </si>
  <si>
    <t>2025108BF2494</t>
  </si>
  <si>
    <t>GS-Verizon</t>
  </si>
  <si>
    <t>270089M1IA</t>
  </si>
  <si>
    <t>20260908T144032.000 GMT</t>
  </si>
  <si>
    <t>20260908T154501.000 GMT</t>
  </si>
  <si>
    <t>aclose</t>
  </si>
  <si>
    <t>ANTHONY J BATTISTA, ANTHONY J</t>
  </si>
  <si>
    <t>Misroute</t>
  </si>
  <si>
    <t>4d8e06e8-7469-4c27-881d-da8c37dda4cf</t>
  </si>
  <si>
    <t>CI-75449547</t>
  </si>
  <si>
    <t>2025063EF0689</t>
  </si>
  <si>
    <t>20260522T115920.000 GMT</t>
  </si>
  <si>
    <t>20260907T160812.000 GMT</t>
  </si>
  <si>
    <t>Email sent for PA Review and waiting for response
New response from PA 7/29 - This is not a provider education audit, it might be hospital bill audit? Who I have added to the chain.</t>
  </si>
  <si>
    <t>MERCY HOSPITAL LINCOLN</t>
  </si>
  <si>
    <t>000d2cbb-91c9-43d1-96e7-ed3fce3b4880</t>
  </si>
  <si>
    <t>CI-79406483</t>
  </si>
  <si>
    <t>2025272EH8298</t>
  </si>
  <si>
    <t>801033M101</t>
  </si>
  <si>
    <t>20260812T222021.000 GMT</t>
  </si>
  <si>
    <t>20260910T163844.000 GMT</t>
  </si>
  <si>
    <t>a6334c53-d3b4-46fb-9e3c-fb30d9e8afa4</t>
  </si>
  <si>
    <t>CI-79402402</t>
  </si>
  <si>
    <t>CL-37911851</t>
  </si>
  <si>
    <t>KZZ 669W05631</t>
  </si>
  <si>
    <t>2025074DR3477</t>
  </si>
  <si>
    <t>L12262</t>
  </si>
  <si>
    <t>L12262M002</t>
  </si>
  <si>
    <t>20260812T210843.000 GMT</t>
  </si>
  <si>
    <t>KZZ</t>
  </si>
  <si>
    <t>20260814T175639.000 GMT</t>
  </si>
  <si>
    <t>CL-37911800</t>
  </si>
  <si>
    <t>d10f2db2-df46-48fe-83fc-e2ca9c167096</t>
  </si>
  <si>
    <t>CI-80495974</t>
  </si>
  <si>
    <t>7526998AB</t>
  </si>
  <si>
    <t>2025307H67142</t>
  </si>
  <si>
    <t>AH0001</t>
  </si>
  <si>
    <t>GS-AHPLocal</t>
  </si>
  <si>
    <t>AH0001M4IA</t>
  </si>
  <si>
    <t>20260904T091740.000 GMT</t>
  </si>
  <si>
    <t>20260911T065751.000 GMT</t>
  </si>
  <si>
    <t>Transfer JAA assignment</t>
  </si>
  <si>
    <t>AHP-AmeriBen</t>
  </si>
  <si>
    <t>77101fad-7097-4282-9946-a39fbb3b6798</t>
  </si>
  <si>
    <t>CI-79373565</t>
  </si>
  <si>
    <t>CL-37921519</t>
  </si>
  <si>
    <t>AIH 300W22638</t>
  </si>
  <si>
    <t>2025115EQ0530</t>
  </si>
  <si>
    <t>L12524</t>
  </si>
  <si>
    <t>L12524M001</t>
  </si>
  <si>
    <t>20260812T124918.000 GMT</t>
  </si>
  <si>
    <t>AIH</t>
  </si>
  <si>
    <t>20260914T041329.000 GMT</t>
  </si>
  <si>
    <t>ASPIRUS STEVENS POINT HOS</t>
  </si>
  <si>
    <t>CL-37921384</t>
  </si>
  <si>
    <t>204773ab-ca22-4e51-946c-197a7a6f5cf1</t>
  </si>
  <si>
    <t>CI-79372061</t>
  </si>
  <si>
    <t>355W14826</t>
  </si>
  <si>
    <t>2026167BW9989</t>
  </si>
  <si>
    <t>W91069</t>
  </si>
  <si>
    <t>W91069M012</t>
  </si>
  <si>
    <t>20260812T122329.000 GMT</t>
  </si>
  <si>
    <t>20260913T231539.000 GMT</t>
  </si>
  <si>
    <t>Claim is in Pending-Investigation status waiting to be finalized.</t>
  </si>
  <si>
    <t>CHUN, YOON W</t>
  </si>
  <si>
    <t>1734bbd8-0280-4d36-b5d2-7fa39bbaf597</t>
  </si>
  <si>
    <t xml:space="preserve">Overturned | Reversed </t>
  </si>
  <si>
    <t>CI-79370674</t>
  </si>
  <si>
    <t>2025273CL9422</t>
  </si>
  <si>
    <t>20260812T120214.000 GMT</t>
  </si>
  <si>
    <t>20260908T215059.000 GMT</t>
  </si>
  <si>
    <t>Overturned | PA response FDOC: 7239514045
Claim #25273CL9422
Line 6/C1713/$3089.60
Line7/C1734/$2743.86
Line 8/C1889/$4404.62
Documentation submitted supports the implant charges billed.</t>
  </si>
  <si>
    <t>COLUMBIA ST MARYS HOSPITA</t>
  </si>
  <si>
    <t>da7f9616-5f5c-42d9-b4f4-d9f6c2281db0</t>
  </si>
  <si>
    <t>CI-79379593</t>
  </si>
  <si>
    <t>589W20584</t>
  </si>
  <si>
    <t>2025272DF8924</t>
  </si>
  <si>
    <t>20260812T143811.000 GMT</t>
  </si>
  <si>
    <t>20260904T012628.000 GMT</t>
  </si>
  <si>
    <t>Sent email to PA for Medical record review</t>
  </si>
  <si>
    <t>8d8b74f4-a605-4be6-b102-93a64b2e4ccc</t>
  </si>
  <si>
    <t>CI-79388537</t>
  </si>
  <si>
    <t>144W03727</t>
  </si>
  <si>
    <t>2025321DU0350</t>
  </si>
  <si>
    <t>20260812T170932.000 GMT</t>
  </si>
  <si>
    <t>20260812T170945.000 GMT</t>
  </si>
  <si>
    <t>POUDRE VALLEY HOSPITAL</t>
  </si>
  <si>
    <t>f4b11dcc-4deb-43be-8066-9f5908a8ddfa</t>
  </si>
  <si>
    <t>CI-79398152</t>
  </si>
  <si>
    <t>2024354CG4078</t>
  </si>
  <si>
    <t>20260812T195632.000 GMT</t>
  </si>
  <si>
    <t>20260904T012704.000 GMT</t>
  </si>
  <si>
    <t>66f84f53-66e5-421a-af5f-ed0da34bd53f</t>
  </si>
  <si>
    <t>CI-80947662</t>
  </si>
  <si>
    <t>133A65031</t>
  </si>
  <si>
    <t>2025310EM5329</t>
  </si>
  <si>
    <t>829K00</t>
  </si>
  <si>
    <t>20260915T103916.000 GMT</t>
  </si>
  <si>
    <t>20260915T113915.000 GMT</t>
  </si>
  <si>
    <t>b5d6a1fb-155e-4c17-a456-eb4c8a02b320</t>
  </si>
  <si>
    <t>CI-79400119</t>
  </si>
  <si>
    <t>722M92713</t>
  </si>
  <si>
    <t>2026068DS1352</t>
  </si>
  <si>
    <t>213071MBAD</t>
  </si>
  <si>
    <t>20260812T202427.000 GMT</t>
  </si>
  <si>
    <t>20260914T071837.000 GMT</t>
  </si>
  <si>
    <t>KEVIN D WAITS, KEVIN D</t>
  </si>
  <si>
    <t>87bc3a96-0d80-477d-aabf-4fc73ecf0318</t>
  </si>
  <si>
    <t>CI-79395023</t>
  </si>
  <si>
    <t>CL-37948275</t>
  </si>
  <si>
    <t>V7H 027W15440</t>
  </si>
  <si>
    <t>2026133EZ3456</t>
  </si>
  <si>
    <t>278914M008</t>
  </si>
  <si>
    <t>20260812T185450.000 GMT</t>
  </si>
  <si>
    <t>V7H</t>
  </si>
  <si>
    <t>20260910T133242.000 GMT</t>
  </si>
  <si>
    <t>Submit for process clarification
ASL</t>
  </si>
  <si>
    <t>VALLEY PRESBYTERIAN HOSPI</t>
  </si>
  <si>
    <t>CL-37946821</t>
  </si>
  <si>
    <t>9cc70264-86f0-47c2-a4e9-392619f0dba5</t>
  </si>
  <si>
    <t>CI-80716201</t>
  </si>
  <si>
    <t>567M62995</t>
  </si>
  <si>
    <t>2025360BW3906</t>
  </si>
  <si>
    <t>L13436</t>
  </si>
  <si>
    <t>L13436M003</t>
  </si>
  <si>
    <t>20260909T191553.000 GMT</t>
  </si>
  <si>
    <t>20260911T015928.000 GMT</t>
  </si>
  <si>
    <t>ee967983-bc74-432b-8f16-24a2832b274e</t>
  </si>
  <si>
    <t>CI-79394004</t>
  </si>
  <si>
    <t>681A71990</t>
  </si>
  <si>
    <t>2025258CP4676</t>
  </si>
  <si>
    <t>L03887</t>
  </si>
  <si>
    <t>L03887M005</t>
  </si>
  <si>
    <t>20260812T183534.000 GMT</t>
  </si>
  <si>
    <t>20260908T221819.000 GMT</t>
  </si>
  <si>
    <t>HARVARD PARK SURGERY CENT</t>
  </si>
  <si>
    <t>aadf44b7-473d-4a1a-b5ef-cffffc4061fb</t>
  </si>
  <si>
    <t>CI-79365508</t>
  </si>
  <si>
    <t>AN6528713</t>
  </si>
  <si>
    <t>2025358DF5629</t>
  </si>
  <si>
    <t>W24174M397</t>
  </si>
  <si>
    <t>20260812T102112.000 GMT</t>
  </si>
  <si>
    <t>20260907T223806.000 GMT</t>
  </si>
  <si>
    <t>RANDY J IRWIN, RANDY J</t>
  </si>
  <si>
    <t>1a70a531-cc4a-4699-9139-153e726795c9</t>
  </si>
  <si>
    <t>CI-79375932</t>
  </si>
  <si>
    <t>2025259EQ1571</t>
  </si>
  <si>
    <t>20260812T133316.000 GMT</t>
  </si>
  <si>
    <t>20260908T044808.000 GMT</t>
  </si>
  <si>
    <t>STRICKLAND, KYLEIGH M</t>
  </si>
  <si>
    <t>edb0ab7f-93ee-40ca-bf78-ebf2eee99edb</t>
  </si>
  <si>
    <t>CI-79393283</t>
  </si>
  <si>
    <t>806W12685</t>
  </si>
  <si>
    <t>2026005DY3328</t>
  </si>
  <si>
    <t>ADPGA1</t>
  </si>
  <si>
    <t>ADPGA1H307</t>
  </si>
  <si>
    <t>20260812T182511.000 GMT</t>
  </si>
  <si>
    <t>20260901T103950.000 GMT</t>
  </si>
  <si>
    <t>AL45428</t>
  </si>
  <si>
    <t>NORTHSIDE HOSPITAL</t>
  </si>
  <si>
    <t>5d015251-0e63-4f18-9599-e9964b37362d</t>
  </si>
  <si>
    <t>CI-79387416</t>
  </si>
  <si>
    <t>503W06887</t>
  </si>
  <si>
    <t>2025205CP7845</t>
  </si>
  <si>
    <t>212012P3AP</t>
  </si>
  <si>
    <t>20260812T164147.000 GMT</t>
  </si>
  <si>
    <t>20260914T010918.000 GMT</t>
  </si>
  <si>
    <t>4c7eec99-f3cb-4072-96ca-407b51ea197b</t>
  </si>
  <si>
    <t xml:space="preserve">WAITING FOR CCA REVIEW
</t>
  </si>
  <si>
    <t>CI-79506514</t>
  </si>
  <si>
    <t>2025234BB8988</t>
  </si>
  <si>
    <t>20260815T002029.000 GMT</t>
  </si>
  <si>
    <t>20260908T041508.000 GMT</t>
  </si>
  <si>
    <t>Waiting for CCA review.</t>
  </si>
  <si>
    <t>f9e1c68a-6bc3-4987-8ae6-34ae89c43880</t>
  </si>
  <si>
    <t>CI-79345864</t>
  </si>
  <si>
    <t>2025295BK7064</t>
  </si>
  <si>
    <t>Brandi R Cothran</t>
  </si>
  <si>
    <t>20260811T220037.000 GMT</t>
  </si>
  <si>
    <t>20260911T073211.000 GMT</t>
  </si>
  <si>
    <t>SALEH, SARA N</t>
  </si>
  <si>
    <t>c7939c6a-25e3-4f34-a8b8-e819a4e784b5</t>
  </si>
  <si>
    <t>CI-79506008</t>
  </si>
  <si>
    <t>2025036DX9862</t>
  </si>
  <si>
    <t>20260815T000853.000 GMT</t>
  </si>
  <si>
    <t>20260908T225319.000 GMT</t>
  </si>
  <si>
    <t>NYU LANGONE HOSPITALS</t>
  </si>
  <si>
    <t>5de8cf7d-c35d-46bc-bd8c-07134453dbe1</t>
  </si>
  <si>
    <t>CI-79504103</t>
  </si>
  <si>
    <t>483A65978</t>
  </si>
  <si>
    <t>2025261EJ7079</t>
  </si>
  <si>
    <t>SM4302</t>
  </si>
  <si>
    <t>SM4302M001</t>
  </si>
  <si>
    <t>20260814T222742.000 GMT</t>
  </si>
  <si>
    <t>20260914T000943.000 GMT</t>
  </si>
  <si>
    <t>SAINT FRANCIS MEDICAL CTR</t>
  </si>
  <si>
    <t>3bb5fc42-107a-45b3-b278-4a942909fddb</t>
  </si>
  <si>
    <t>CI-79347050</t>
  </si>
  <si>
    <t>177W12631</t>
  </si>
  <si>
    <t>2025092CO6783</t>
  </si>
  <si>
    <t>210038W1BA</t>
  </si>
  <si>
    <t>20260811T222155.000 GMT</t>
  </si>
  <si>
    <t>20260909T071929.000 GMT</t>
  </si>
  <si>
    <t>HARRINGTON, MATTHEW T</t>
  </si>
  <si>
    <t>37d9b50a-7385-48ac-be87-be88b94ef3b8</t>
  </si>
  <si>
    <t>CI-79345263</t>
  </si>
  <si>
    <t>CL-37912432</t>
  </si>
  <si>
    <t>EGU 869W26060</t>
  </si>
  <si>
    <t>2026166EH1533</t>
  </si>
  <si>
    <t>8TM400</t>
  </si>
  <si>
    <t>20260811T215009.000 GMT</t>
  </si>
  <si>
    <t>EGU</t>
  </si>
  <si>
    <t>20260913T233758.000 GMT</t>
  </si>
  <si>
    <t>-**ADJ PENDED/RESEARCHED ** claim open less than 15 days waiting to finalize.</t>
  </si>
  <si>
    <t>CL-37912106</t>
  </si>
  <si>
    <t>b26f3493-9ff7-4a9f-b034-111f6ec361d8</t>
  </si>
  <si>
    <t>CI-79459486</t>
  </si>
  <si>
    <t>2025335BP1616</t>
  </si>
  <si>
    <t>20260813T231136.000 GMT</t>
  </si>
  <si>
    <t>20260908T021944.000 GMT</t>
  </si>
  <si>
    <t>7959867a-5600-46a1-99fb-362921d08120</t>
  </si>
  <si>
    <t>CI-79308296</t>
  </si>
  <si>
    <t>2025015EA4667</t>
  </si>
  <si>
    <t>20260811T111300.000 GMT</t>
  </si>
  <si>
    <t>20260908T004355.000 GMT</t>
  </si>
  <si>
    <t>AMERICAN OUTCOMES MGMT LP</t>
  </si>
  <si>
    <t>156c4d02-9531-4de1-a071-bd7000f45e8a</t>
  </si>
  <si>
    <t>ADJ PENDING APPROVAL</t>
  </si>
  <si>
    <t>CI-79489317</t>
  </si>
  <si>
    <t>AN7943400</t>
  </si>
  <si>
    <t>2025356FG0963</t>
  </si>
  <si>
    <t>W51009</t>
  </si>
  <si>
    <t>W51009M002</t>
  </si>
  <si>
    <t>20260814T164515.000 GMT</t>
  </si>
  <si>
    <t>20260910T220340.000 GMT</t>
  </si>
  <si>
    <t>d5bf557b-3cdc-4bed-b49e-8c914e701f6d</t>
  </si>
  <si>
    <t>Waiting for reversal approval.</t>
  </si>
  <si>
    <t>CI-79455871</t>
  </si>
  <si>
    <t>CL-37910230</t>
  </si>
  <si>
    <t>CBK AN3524855</t>
  </si>
  <si>
    <t>2022181DB0771</t>
  </si>
  <si>
    <t>W51059M393</t>
  </si>
  <si>
    <t>20260813T214833.000 GMT</t>
  </si>
  <si>
    <t>CBK</t>
  </si>
  <si>
    <t>20260907T054056.000 GMT</t>
  </si>
  <si>
    <t>Email sent to SME since unable to price xref claim 22187DI7724.</t>
  </si>
  <si>
    <t>CL-37908882</t>
  </si>
  <si>
    <t>da29bd3c-4aed-4226-81f9-ff1886561076</t>
  </si>
  <si>
    <t>CI-79341041</t>
  </si>
  <si>
    <t>2024303BN1664</t>
  </si>
  <si>
    <t>20260811T203701.000 GMT</t>
  </si>
  <si>
    <t>20260914T032327.000 GMT</t>
  </si>
  <si>
    <t>MONTROSE VAMC</t>
  </si>
  <si>
    <t>e8f0d2d7-2681-4630-9738-8d8372287e53</t>
  </si>
  <si>
    <t>CI-79458574</t>
  </si>
  <si>
    <t>347A78870</t>
  </si>
  <si>
    <t>2025050DW6623</t>
  </si>
  <si>
    <t>L12226</t>
  </si>
  <si>
    <t>L12226M001</t>
  </si>
  <si>
    <t>20260813T225440.000 GMT</t>
  </si>
  <si>
    <t>20260904T071743.000 GMT</t>
  </si>
  <si>
    <t>9b606e98-34ac-4bfa-8cd0-3e638ad91369</t>
  </si>
  <si>
    <t>CI-79979448</t>
  </si>
  <si>
    <t>511W20248</t>
  </si>
  <si>
    <t>2025276BM2453</t>
  </si>
  <si>
    <t>GA6470</t>
  </si>
  <si>
    <t>GA6470H001</t>
  </si>
  <si>
    <t>20260825T120100.000 GMT</t>
  </si>
  <si>
    <t>20260910T135322.000 GMT</t>
  </si>
  <si>
    <t>PIEDMONT HOSPITAL</t>
  </si>
  <si>
    <t>47659ce9-7e6f-4721-8445-f4f69224a95d</t>
  </si>
  <si>
    <t>CI-79476482</t>
  </si>
  <si>
    <t>2025149CR6396</t>
  </si>
  <si>
    <t>001749M001</t>
  </si>
  <si>
    <t>20260814T114120.000 GMT</t>
  </si>
  <si>
    <t>20260910T220103.000 GMT</t>
  </si>
  <si>
    <t>9fc1b3e9-8c8c-480c-86cc-ca2a0024f39b</t>
  </si>
  <si>
    <t>CI-79556835</t>
  </si>
  <si>
    <t>873W22406</t>
  </si>
  <si>
    <t>2025310DS9631</t>
  </si>
  <si>
    <t>210040XAD1</t>
  </si>
  <si>
    <t>20260816T140827.000 GMT</t>
  </si>
  <si>
    <t>20260908T060259.000 GMT</t>
  </si>
  <si>
    <t>TERESA A GONZAGA, TERESA A</t>
  </si>
  <si>
    <t>bd1d823d-7745-495b-9b72-bef27dd1b869</t>
  </si>
  <si>
    <t>CI-79427363</t>
  </si>
  <si>
    <t>377W15214</t>
  </si>
  <si>
    <t>2025336EO1493</t>
  </si>
  <si>
    <t>W12906</t>
  </si>
  <si>
    <t>W12906M002</t>
  </si>
  <si>
    <t>20260813T114159.000 GMT</t>
  </si>
  <si>
    <t>20260907T040111.000 GMT</t>
  </si>
  <si>
    <t>JOHNSON MEMORIAL HOSPITAL</t>
  </si>
  <si>
    <t>9a94f470-ecde-4f90-b070-adcbd20eae42</t>
  </si>
  <si>
    <t>CI-79340898</t>
  </si>
  <si>
    <t>2025238BZ1303</t>
  </si>
  <si>
    <t>20260811T203442.000 GMT</t>
  </si>
  <si>
    <t>20260911T024436.000 GMT</t>
  </si>
  <si>
    <t>KROSSER, BARRY I</t>
  </si>
  <si>
    <t>bef82c21-7988-4ef1-a892-3eba5796d43b</t>
  </si>
  <si>
    <t>CI-79493016</t>
  </si>
  <si>
    <t>CL-38035724</t>
  </si>
  <si>
    <t>MSJ 603739210</t>
  </si>
  <si>
    <t>2025330DZ6098</t>
  </si>
  <si>
    <t>20260814T180802.000 GMT</t>
  </si>
  <si>
    <t>MSJ</t>
  </si>
  <si>
    <t>20260914T011917.000 GMT</t>
  </si>
  <si>
    <t>NORTH COLORADO SPRINGS SU</t>
  </si>
  <si>
    <t>CL-38035087</t>
  </si>
  <si>
    <t>2e0e6893-6254-4d6f-99d4-647335761b6a</t>
  </si>
  <si>
    <t>CI-79501340</t>
  </si>
  <si>
    <t>3HZN86462</t>
  </si>
  <si>
    <t>2025139CP6772</t>
  </si>
  <si>
    <t>20260814T210529.000 GMT</t>
  </si>
  <si>
    <t>20260908T031401.000 GMT</t>
  </si>
  <si>
    <t>Claim status under High dollar review since 08-28-26</t>
  </si>
  <si>
    <t>8b354d74-547f-472b-97bc-927063f8e83d</t>
  </si>
  <si>
    <t>CI-79501338</t>
  </si>
  <si>
    <t>772M76927</t>
  </si>
  <si>
    <t>2025237ES2382</t>
  </si>
  <si>
    <t>C00361</t>
  </si>
  <si>
    <t>1834MA</t>
  </si>
  <si>
    <t>20260814T210527.000 GMT</t>
  </si>
  <si>
    <t>20260914T000701.000 GMT</t>
  </si>
  <si>
    <t>Waiting ADJ PENDING APPROVAL</t>
  </si>
  <si>
    <t>BAKERSFIELD MEMORIAL HOSP</t>
  </si>
  <si>
    <t>267b33dd-711e-4da1-8062-e21109d3419b</t>
  </si>
  <si>
    <t>CI-79472392</t>
  </si>
  <si>
    <t>529W18733</t>
  </si>
  <si>
    <t>2025177BR1375</t>
  </si>
  <si>
    <t>L09235</t>
  </si>
  <si>
    <t>L09235M001</t>
  </si>
  <si>
    <t>20260814T090912.000 GMT</t>
  </si>
  <si>
    <t>20260914T214333.000 GMT</t>
  </si>
  <si>
    <t>SARATOGA HOSPITAL</t>
  </si>
  <si>
    <t>13daa1b6-eb7a-4f05-b1b2-319e0bed8c83</t>
  </si>
  <si>
    <t>CI-79425453</t>
  </si>
  <si>
    <t>391M87254</t>
  </si>
  <si>
    <t>2025316DR8287</t>
  </si>
  <si>
    <t>IL</t>
  </si>
  <si>
    <t>20260813T102659.000 GMT</t>
  </si>
  <si>
    <t>20260904T002714.000 GMT</t>
  </si>
  <si>
    <t>VASYLYUK, ALYSSA M</t>
  </si>
  <si>
    <t>43b8349c-e5ee-45b7-8979-58b308501e57</t>
  </si>
  <si>
    <t>CI-79556877</t>
  </si>
  <si>
    <t>AN8994813</t>
  </si>
  <si>
    <t>2025275EA8753</t>
  </si>
  <si>
    <t>W24102</t>
  </si>
  <si>
    <t>W24102M003</t>
  </si>
  <si>
    <t>20260816T140910.000 GMT</t>
  </si>
  <si>
    <t>20260910T220618.000 GMT</t>
  </si>
  <si>
    <t>4e209669-d335-4b7c-b5af-c7f4eb98f137</t>
  </si>
  <si>
    <t>CI-79471478</t>
  </si>
  <si>
    <t>240W19785</t>
  </si>
  <si>
    <t>2026042EV4606</t>
  </si>
  <si>
    <t>W51063</t>
  </si>
  <si>
    <t>W51063M037</t>
  </si>
  <si>
    <t>20260814T082603.000 GMT</t>
  </si>
  <si>
    <t>20260914T032351.000 GMT</t>
  </si>
  <si>
    <t>ARTHUR JAMES CANCER INST</t>
  </si>
  <si>
    <t>84a5cdb5-8708-4c53-ac5e-3c20539a1c18</t>
  </si>
  <si>
    <t>Still waiting for CCA response</t>
  </si>
  <si>
    <t>CI-79494913</t>
  </si>
  <si>
    <t>2025268BK4527</t>
  </si>
  <si>
    <t>20260814T185236.000 GMT</t>
  </si>
  <si>
    <t>20260908T052655.000 GMT</t>
  </si>
  <si>
    <t>Sent email to PA for medical records review. FDOC#: 7237808921</t>
  </si>
  <si>
    <t>ALI, AHMED K</t>
  </si>
  <si>
    <t>ee76ff8a-27d7-44a3-91df-b8523a99ad5b</t>
  </si>
  <si>
    <t>CI-79494988</t>
  </si>
  <si>
    <t>AN5018628</t>
  </si>
  <si>
    <t>Escalation</t>
  </si>
  <si>
    <t>2023345EB1112</t>
  </si>
  <si>
    <t>332625M002</t>
  </si>
  <si>
    <t>20260814T185337.000 GMT</t>
  </si>
  <si>
    <t>20260908T024520.000 GMT</t>
  </si>
  <si>
    <t>WILLIAM W. BACKUS HOSPITA</t>
  </si>
  <si>
    <t>c54b7b4c-c88a-48e5-87eb-5d5701299f2a</t>
  </si>
  <si>
    <t>CI-79322966</t>
  </si>
  <si>
    <t>738W23587</t>
  </si>
  <si>
    <t>2025335BS1274</t>
  </si>
  <si>
    <t>817W00</t>
  </si>
  <si>
    <t>20260811T153716.000 GMT</t>
  </si>
  <si>
    <t>20260914T032206.000 GMT</t>
  </si>
  <si>
    <t>e3373aa8-9b94-41c2-91ed-1e37189a0b2a</t>
  </si>
  <si>
    <t>CI-79544248</t>
  </si>
  <si>
    <t>2025349BO7069</t>
  </si>
  <si>
    <t>20260816T095826.000 GMT</t>
  </si>
  <si>
    <t>20260908T153509.000 GMT</t>
  </si>
  <si>
    <t>LOMBARDI, JOSEPH M</t>
  </si>
  <si>
    <t>c3051073-97ca-46dd-8666-b9212e874d20</t>
  </si>
  <si>
    <t>CI-79547732</t>
  </si>
  <si>
    <t>2025287CV5136</t>
  </si>
  <si>
    <t>20260816T110505.000 GMT</t>
  </si>
  <si>
    <t>20260911T055848.000 GMT</t>
  </si>
  <si>
    <t>f9072fc4-43c1-499e-b6fe-21d6fd7684ef</t>
  </si>
  <si>
    <t>CI-79423617</t>
  </si>
  <si>
    <t>2025290CG4966</t>
  </si>
  <si>
    <t>20260813T091658.000 GMT</t>
  </si>
  <si>
    <t>20260904T023528.000 GMT</t>
  </si>
  <si>
    <t>Sent email to PA for medical records review. FDOC#: 7232771287</t>
  </si>
  <si>
    <t>CATALINO, MICHAEL P</t>
  </si>
  <si>
    <t>8f7255ac-d9a4-408b-a5cd-c36edf08fb56</t>
  </si>
  <si>
    <t>Still waiting for PA response</t>
  </si>
  <si>
    <t>CI-79469392</t>
  </si>
  <si>
    <t>375W14695</t>
  </si>
  <si>
    <t>2025281DP1104</t>
  </si>
  <si>
    <t>213020F6A2</t>
  </si>
  <si>
    <t>20260814T071920.000 GMT</t>
  </si>
  <si>
    <t>20260904T004927.000 GMT</t>
  </si>
  <si>
    <t>LEAH  SIMPSON</t>
  </si>
  <si>
    <t>b87a3e24-1144-4285-b866-1faee656f54a</t>
  </si>
  <si>
    <t>CI-79418298</t>
  </si>
  <si>
    <t>785M56257</t>
  </si>
  <si>
    <t>2025358EB9437</t>
  </si>
  <si>
    <t>OH2590</t>
  </si>
  <si>
    <t>OH2590M003</t>
  </si>
  <si>
    <t>20260813T063414.000 GMT</t>
  </si>
  <si>
    <t>20260914T042743.000 GMT</t>
  </si>
  <si>
    <t>7294208d-29a9-42ae-9b6f-4655d92bfc90</t>
  </si>
  <si>
    <t>Submit for process clarification. Still receiving errors when I try adjusting the claim</t>
  </si>
  <si>
    <t>CI-79472038</t>
  </si>
  <si>
    <t>591A50597</t>
  </si>
  <si>
    <t>2025350DS6816</t>
  </si>
  <si>
    <t>20260814T084501.000 GMT</t>
  </si>
  <si>
    <t>20260915T020319.000 GMT</t>
  </si>
  <si>
    <t>Having issues adjusting claim due to errors: CLAIM CURRENTLY IN USE OR IN LOCKED STATUS/USER DOES NOT HAVE ACCESS FOR THIS CLAIM UNIT. Will try and check tomorrow.</t>
  </si>
  <si>
    <t>daae9e03-21f6-436c-a7a2-0a1d9a35ba78</t>
  </si>
  <si>
    <t>CI-79443558</t>
  </si>
  <si>
    <t>2024279BH4854</t>
  </si>
  <si>
    <t>20260813T175042.000 GMT</t>
  </si>
  <si>
    <t>20260908T022819.000 GMT</t>
  </si>
  <si>
    <t>ZHANG, ANDREW S</t>
  </si>
  <si>
    <t>b2c41528-b105-49ac-abb4-11a9ed4a639a</t>
  </si>
  <si>
    <t xml:space="preserve">Released as VR. </t>
  </si>
  <si>
    <t>CI-79550130</t>
  </si>
  <si>
    <t>2025078CQ5587</t>
  </si>
  <si>
    <t>20260816T113135.000 GMT</t>
  </si>
  <si>
    <t>20260903T071841.000 GMT</t>
  </si>
  <si>
    <t>For review</t>
  </si>
  <si>
    <t>SOUTHERN HILLS HOSPITAL &amp;</t>
  </si>
  <si>
    <t>a3b7d009-3de5-40b9-86de-77a226565add</t>
  </si>
  <si>
    <t>Awaiting response since 9/8/26</t>
  </si>
  <si>
    <t>CI-79545852</t>
  </si>
  <si>
    <t>2025058EY3294</t>
  </si>
  <si>
    <t>20260816T103117.000 GMT</t>
  </si>
  <si>
    <t>20260907T234811.000 GMT</t>
  </si>
  <si>
    <t>eecfc38c-dbf1-482c-b557-23df1df98dfe</t>
  </si>
  <si>
    <t>CI-79471269</t>
  </si>
  <si>
    <t>2025116BR6372</t>
  </si>
  <si>
    <t>20260814T082029.000 GMT</t>
  </si>
  <si>
    <t>20260909T230307.000 GMT</t>
  </si>
  <si>
    <t>ae7a3ec8-9401-4dec-97bf-e6e11fe8799a</t>
  </si>
  <si>
    <t>CI-79430484</t>
  </si>
  <si>
    <t>AN6902430</t>
  </si>
  <si>
    <t>2026111CT4765</t>
  </si>
  <si>
    <t>212095M2IA</t>
  </si>
  <si>
    <t>20260813T131341.000 GMT</t>
  </si>
  <si>
    <t>20260904T034151.000 GMT</t>
  </si>
  <si>
    <t>for release</t>
  </si>
  <si>
    <t>KAMP, ANNA N</t>
  </si>
  <si>
    <t>28367a87-dfc2-44e2-a8af-ccf66b899f78</t>
  </si>
  <si>
    <t>Submitted for process clarification. - Counting auth used from Healthos for CPT 97155 per B1185- X5</t>
  </si>
  <si>
    <t>CI-79538752</t>
  </si>
  <si>
    <t>415A22071</t>
  </si>
  <si>
    <t>2025196DZ8057</t>
  </si>
  <si>
    <t>W11224</t>
  </si>
  <si>
    <t>W11224M002</t>
  </si>
  <si>
    <t>20260816T015010.000 GMT</t>
  </si>
  <si>
    <t>20260908T130330.000 GMT</t>
  </si>
  <si>
    <t>HIMANSHU  SANDHAR</t>
  </si>
  <si>
    <t>d4669904-c5ee-4d0d-9f8e-b5a7f866b8a7</t>
  </si>
  <si>
    <t>Under 15 days for AP check request follow up</t>
  </si>
  <si>
    <t>CI-79441265</t>
  </si>
  <si>
    <t>919M94421</t>
  </si>
  <si>
    <t>2024356CO7927</t>
  </si>
  <si>
    <t>W61513</t>
  </si>
  <si>
    <t>GS-MercyHealth</t>
  </si>
  <si>
    <t>W61513M043</t>
  </si>
  <si>
    <t>20260813T165930.000 GMT</t>
  </si>
  <si>
    <t>20260914T025256.000 GMT</t>
  </si>
  <si>
    <t>Changing the HOLD reason to Funding Off Outreach for FOD edit. Email was sent by SME on 09/09/2026</t>
  </si>
  <si>
    <t>ST LOUIS CHILDRENS HOSPIT</t>
  </si>
  <si>
    <t>d66b432d-47be-47fa-9c73-8a641a74930f</t>
  </si>
  <si>
    <t>CI-79533024</t>
  </si>
  <si>
    <t>888M85530</t>
  </si>
  <si>
    <t>2025171ER1536</t>
  </si>
  <si>
    <t>81ED00</t>
  </si>
  <si>
    <t>20260815T215923.000 GMT</t>
  </si>
  <si>
    <t>20260908T111054.000 GMT</t>
  </si>
  <si>
    <t>SZEPAN, CHELSEA L</t>
  </si>
  <si>
    <t>8c9386b6-327a-4446-8ecd-a74a4ab99306</t>
  </si>
  <si>
    <t>CI-79507959</t>
  </si>
  <si>
    <t>635W22427</t>
  </si>
  <si>
    <t>2025309BI4799</t>
  </si>
  <si>
    <t>174656G31A</t>
  </si>
  <si>
    <t>20260815T012006.000 GMT</t>
  </si>
  <si>
    <t>20260908T041420.000 GMT</t>
  </si>
  <si>
    <t>a91248c8-61f9-4ee1-9dc6-36358d9ab4fd</t>
  </si>
  <si>
    <t>CI-79429666</t>
  </si>
  <si>
    <t>2025016DN7590</t>
  </si>
  <si>
    <t>20260813T124923.000 GMT</t>
  </si>
  <si>
    <t>20260904T051726.000 GMT</t>
  </si>
  <si>
    <t>7916ac23-93be-4a1c-8556-9270168d4d2c</t>
  </si>
  <si>
    <t>CI-79417502</t>
  </si>
  <si>
    <t>073W11278</t>
  </si>
  <si>
    <t>2026160DP0663</t>
  </si>
  <si>
    <t>376415G75S</t>
  </si>
  <si>
    <t>20260813T044953.000 GMT</t>
  </si>
  <si>
    <t>20260813T045007.000 GMT</t>
  </si>
  <si>
    <t>STONY BROOK UNIVERSITY HO</t>
  </si>
  <si>
    <t>08f19345-60b1-4603-b9d9-dd78543f2d2d</t>
  </si>
  <si>
    <t>CI-79437242</t>
  </si>
  <si>
    <t>036W21605</t>
  </si>
  <si>
    <t>2025259ED1229</t>
  </si>
  <si>
    <t>W71059</t>
  </si>
  <si>
    <t>W71059M020</t>
  </si>
  <si>
    <t>20260813T155420.000 GMT</t>
  </si>
  <si>
    <t>20260914T001141.000 GMT</t>
  </si>
  <si>
    <t>a3f372da-3af1-41ba-a694-6b16b57aa2dc</t>
  </si>
  <si>
    <t>Email sent for PA Review and waiting for response. Less than 15 days</t>
  </si>
  <si>
    <t>CI-79471417</t>
  </si>
  <si>
    <t>2025315EM5613</t>
  </si>
  <si>
    <t>20260814T082416.000 GMT</t>
  </si>
  <si>
    <t>20260908T001800.000 GMT</t>
  </si>
  <si>
    <t>Email sent for PA Review and waiting for response. FDOC#7237599584</t>
  </si>
  <si>
    <t>SMITH, EDWIN A</t>
  </si>
  <si>
    <t>aa52522d-9f89-4a49-9043-4e889ff062d8</t>
  </si>
  <si>
    <t>CI-79413181</t>
  </si>
  <si>
    <t>947W13342</t>
  </si>
  <si>
    <t>2026063CN9923</t>
  </si>
  <si>
    <t>W12978</t>
  </si>
  <si>
    <t>W12978M001</t>
  </si>
  <si>
    <t>20260813T015158.000 GMT</t>
  </si>
  <si>
    <t>20260903T001940.000 GMT</t>
  </si>
  <si>
    <t>MEMORIAL HOSPITAL</t>
  </si>
  <si>
    <t>694ff68f-a9f4-4abd-a961-36f19aa28ec4</t>
  </si>
  <si>
    <t>No response from PA yet.</t>
  </si>
  <si>
    <t>CI-79444553</t>
  </si>
  <si>
    <t>961M79844</t>
  </si>
  <si>
    <t>2025272EV3912</t>
  </si>
  <si>
    <t>210016W3AU</t>
  </si>
  <si>
    <t>20260813T180940.000 GMT</t>
  </si>
  <si>
    <t>20260904T053421.000 GMT</t>
  </si>
  <si>
    <t>PHELAN, BENJAMIN J</t>
  </si>
  <si>
    <t>cf8067dc-2db2-433c-a658-1899ad102fc8</t>
  </si>
  <si>
    <t>CI-79529845</t>
  </si>
  <si>
    <t>353A57849</t>
  </si>
  <si>
    <t>2024319EQ2408</t>
  </si>
  <si>
    <t>230039M4AU</t>
  </si>
  <si>
    <t>20260815T200146.000 GMT</t>
  </si>
  <si>
    <t>20260911T053114.000 GMT</t>
  </si>
  <si>
    <t>MICHAEL A GALLIZZI, MICHAEL A</t>
  </si>
  <si>
    <t>0a2280c0-2d4e-45f4-8f81-615b9f2ce8b3</t>
  </si>
  <si>
    <t>CI-79436935</t>
  </si>
  <si>
    <t>2025343FK3178</t>
  </si>
  <si>
    <t>20260813T154525.000 GMT</t>
  </si>
  <si>
    <t>20260904T043541.000 GMT</t>
  </si>
  <si>
    <t>STEFANIE  HUSH</t>
  </si>
  <si>
    <t>eb58389f-9d99-468d-b829-b1ea46601cc1</t>
  </si>
  <si>
    <t>CI-79446311</t>
  </si>
  <si>
    <t>CL-37993491</t>
  </si>
  <si>
    <t>NDK AN3003158</t>
  </si>
  <si>
    <t>2025235BX4716</t>
  </si>
  <si>
    <t>NH9702</t>
  </si>
  <si>
    <t>NH9702M068</t>
  </si>
  <si>
    <t>20260813T183911.000 GMT</t>
  </si>
  <si>
    <t>NDK</t>
  </si>
  <si>
    <t>20260914T071408.000 GMT</t>
  </si>
  <si>
    <t>Pended research</t>
  </si>
  <si>
    <t>RIVERSIDE METHODIST HOSPI</t>
  </si>
  <si>
    <t>CL-37992148</t>
  </si>
  <si>
    <t>857688d7-2a17-4020-b707-8eae57c6b819</t>
  </si>
  <si>
    <t>Released as VR.</t>
  </si>
  <si>
    <t>CI-79529886</t>
  </si>
  <si>
    <t>2025162DB9322</t>
  </si>
  <si>
    <t>20260815T200231.000 GMT</t>
  </si>
  <si>
    <t>20260903T071946.000 GMT</t>
  </si>
  <si>
    <t>b6a374b7-8b1f-4ce7-8117-b92319d5d6fc</t>
  </si>
  <si>
    <t>CI-79529486</t>
  </si>
  <si>
    <t>2026105EF4429</t>
  </si>
  <si>
    <t>20260815T195412.000 GMT</t>
  </si>
  <si>
    <t>20260903T072139.000 GMT</t>
  </si>
  <si>
    <t>LUTHERAN HOSPITAL OF INDI</t>
  </si>
  <si>
    <t>68a0b862-ec5d-4fa9-bd98-bd1a792e5d05</t>
  </si>
  <si>
    <t>CI-79517377</t>
  </si>
  <si>
    <t>2024116CM4787</t>
  </si>
  <si>
    <t>IT-Unknown</t>
  </si>
  <si>
    <t>20260815T143018.000 GMT</t>
  </si>
  <si>
    <t>20260911T045810.000 GMT</t>
  </si>
  <si>
    <t>restoring xref 24110CK5009</t>
  </si>
  <si>
    <t>Laborers H&amp;W for Northern California</t>
  </si>
  <si>
    <t>bfc0c4d6-bbb7-405e-ac64-7125f84f6ae3</t>
  </si>
  <si>
    <t>CI-79412726</t>
  </si>
  <si>
    <t>183W10605</t>
  </si>
  <si>
    <t>2026076EZ5202</t>
  </si>
  <si>
    <t>L03250</t>
  </si>
  <si>
    <t>L03250M003</t>
  </si>
  <si>
    <t>20260813T014237.000 GMT</t>
  </si>
  <si>
    <t>2404e5f2-fe4b-47d2-af38-f0dbd4476e9c</t>
  </si>
  <si>
    <t>CI-79440155</t>
  </si>
  <si>
    <t>2025365EH5024</t>
  </si>
  <si>
    <t>20260813T164003.000 GMT</t>
  </si>
  <si>
    <t>20260904T070911.000 GMT</t>
  </si>
  <si>
    <t>9953f45b-c718-4250-9a00-46487033d835</t>
  </si>
  <si>
    <t>CI-79339195</t>
  </si>
  <si>
    <t>2025287DQ5505</t>
  </si>
  <si>
    <t>20260811T201013.000 GMT</t>
  </si>
  <si>
    <t>20260907T130138.000 GMT</t>
  </si>
  <si>
    <t>LUIGI  PIRELLI</t>
  </si>
  <si>
    <t>6cb5f530-0785-438d-a905-e75d0b663322</t>
  </si>
  <si>
    <t>CI-79542463</t>
  </si>
  <si>
    <t>2025295CQ3909</t>
  </si>
  <si>
    <t>20260816T092353.000 GMT</t>
  </si>
  <si>
    <t>20260908T151048.000 GMT</t>
  </si>
  <si>
    <t>00bf22f1-1f40-4d60-8356-2382fff6b526</t>
  </si>
  <si>
    <t>CI-79525395</t>
  </si>
  <si>
    <t>478W09803</t>
  </si>
  <si>
    <t>2023339EH6270</t>
  </si>
  <si>
    <t>W51053</t>
  </si>
  <si>
    <t>W51053M105</t>
  </si>
  <si>
    <t>20260815T174637.000 GMT</t>
  </si>
  <si>
    <t>20260914T060918.000 GMT</t>
  </si>
  <si>
    <t>ST JOSEPH HEALTH CENTER-E</t>
  </si>
  <si>
    <t>96066448-ee7d-4828-9b5a-a009d1853eb8</t>
  </si>
  <si>
    <t>CI-79526245</t>
  </si>
  <si>
    <t>995W18580</t>
  </si>
  <si>
    <t>2026073DE3206</t>
  </si>
  <si>
    <t>20260815T180443.000 GMT</t>
  </si>
  <si>
    <t>20260914T000751.000 GMT</t>
  </si>
  <si>
    <t>PIEDMONT MOUNTAINSIDE HOS</t>
  </si>
  <si>
    <t>fc3cf58f-8677-4410-b2ca-bb98188c60d8</t>
  </si>
  <si>
    <t>CI-79540474</t>
  </si>
  <si>
    <t>714M62531</t>
  </si>
  <si>
    <t>2025330DY0052</t>
  </si>
  <si>
    <t>L12513</t>
  </si>
  <si>
    <t>L12513M001</t>
  </si>
  <si>
    <t>20260816T031739.000 GMT</t>
  </si>
  <si>
    <t>20260911T060330.000 GMT</t>
  </si>
  <si>
    <t>KELLY B CURRIE, KELLY B</t>
  </si>
  <si>
    <t>f0902037-3a18-41f7-bc78-5e96fd6c1721</t>
  </si>
  <si>
    <t>Email sent for PA Review and waiting for response. FDOC # 7237810199.</t>
  </si>
  <si>
    <t>CI-79512388</t>
  </si>
  <si>
    <t>2025346CU1617</t>
  </si>
  <si>
    <t>20260815T111429.000 GMT</t>
  </si>
  <si>
    <t>20260908T054308.000 GMT</t>
  </si>
  <si>
    <t>JUNGHUN  LEE</t>
  </si>
  <si>
    <t>70c24937-b55f-4fa2-916e-dd6611bd8135</t>
  </si>
  <si>
    <t>CI-79468092</t>
  </si>
  <si>
    <t>2025302BB4900</t>
  </si>
  <si>
    <t>20260814T044530.000 GMT</t>
  </si>
  <si>
    <t>20260904T171922.000 GMT</t>
  </si>
  <si>
    <t>THOMPSON JR., WILLARD D</t>
  </si>
  <si>
    <t>4388de56-a1fd-4e37-adf2-5f4771df4503</t>
  </si>
  <si>
    <t>CI-79478437</t>
  </si>
  <si>
    <t>474M78898</t>
  </si>
  <si>
    <t>2026121DL7624</t>
  </si>
  <si>
    <t>E01289</t>
  </si>
  <si>
    <t>E012890006</t>
  </si>
  <si>
    <t>20260814T124115.000 GMT</t>
  </si>
  <si>
    <t>20260913T232111.000 GMT</t>
  </si>
  <si>
    <t>Awaiting rapid response reply (email sent)</t>
  </si>
  <si>
    <t>RECTOR AND VISITORS OF TH</t>
  </si>
  <si>
    <t>37838747-cd1b-423f-979e-cf1973b2a8a6</t>
  </si>
  <si>
    <t>CI-79487905</t>
  </si>
  <si>
    <t>513W16805</t>
  </si>
  <si>
    <t>2025308DY2293</t>
  </si>
  <si>
    <t>W71034</t>
  </si>
  <si>
    <t>W71034M017</t>
  </si>
  <si>
    <t>20260814T161308.000 GMT</t>
  </si>
  <si>
    <t>20260907T222503.000 GMT</t>
  </si>
  <si>
    <t>63e0f4be-18c4-4b41-847e-ae01f5a073dc</t>
  </si>
  <si>
    <t>CI-79535054</t>
  </si>
  <si>
    <t>2025256CB4035</t>
  </si>
  <si>
    <t>20260815T230917.000 GMT</t>
  </si>
  <si>
    <t>20260903T071918.000 GMT</t>
  </si>
  <si>
    <t>THE ORTHOPAEDIC HOSPITAL</t>
  </si>
  <si>
    <t>014c6c2b-b4a9-4627-b333-d95cf320b653</t>
  </si>
  <si>
    <t>CI-79509273</t>
  </si>
  <si>
    <t>309W13764</t>
  </si>
  <si>
    <t>2026128CR1361</t>
  </si>
  <si>
    <t>L06163</t>
  </si>
  <si>
    <t>L06163M001</t>
  </si>
  <si>
    <t>20260815T053910.000 GMT</t>
  </si>
  <si>
    <t>20260913T232012.000 GMT</t>
  </si>
  <si>
    <t>waiting corrected claim to be finalized</t>
  </si>
  <si>
    <t>NEOPHYTOU, CHRISTIANA M</t>
  </si>
  <si>
    <t>60fdd0cf-e6fe-47ee-b72c-4867cf426675</t>
  </si>
  <si>
    <t>CI-79417275</t>
  </si>
  <si>
    <t>744W26110</t>
  </si>
  <si>
    <t>2026173DQ1188</t>
  </si>
  <si>
    <t>721352015M</t>
  </si>
  <si>
    <t>20260813T042243.000 GMT</t>
  </si>
  <si>
    <t>20260813T042257.000 GMT</t>
  </si>
  <si>
    <t>MIDTOWN ENDOSCOPY AND SUR</t>
  </si>
  <si>
    <t>d072b49e-3160-45de-8e9f-f95c2adfb54a</t>
  </si>
  <si>
    <t>CI-79412640</t>
  </si>
  <si>
    <t>110W20269</t>
  </si>
  <si>
    <t>2025351DQ7800</t>
  </si>
  <si>
    <t>82UT00</t>
  </si>
  <si>
    <t>20260813T012044.000 GMT</t>
  </si>
  <si>
    <t>20260814T160535.000 GMT</t>
  </si>
  <si>
    <t>f1694513-2fbc-4f3e-8a4e-ce39860e719b</t>
  </si>
  <si>
    <t>CI-79509815</t>
  </si>
  <si>
    <t>2025293DQ8045</t>
  </si>
  <si>
    <t>20260815T055101.000 GMT</t>
  </si>
  <si>
    <t>20260908T044413.000 GMT</t>
  </si>
  <si>
    <t>9fa242f9-69e4-4aa0-bd2b-ebb11d00ce8c</t>
  </si>
  <si>
    <t>Waiting for Reversal approval	
Dispute Overturned. Reviewed by recovery we determined claim needs to be reprocessed as per provider audit response claim is Overturned allow at contracted rate. FDOC#7257105911.</t>
  </si>
  <si>
    <t>CI-79539873</t>
  </si>
  <si>
    <t>350A77621</t>
  </si>
  <si>
    <t>2025104CX7096</t>
  </si>
  <si>
    <t>IN2357</t>
  </si>
  <si>
    <t>IN2357M002</t>
  </si>
  <si>
    <t>20260816T024640.000 GMT</t>
  </si>
  <si>
    <t>20260909T232202.000 GMT</t>
  </si>
  <si>
    <t>CONTRERAS, KARENROSE R</t>
  </si>
  <si>
    <t>f00ced04-39b8-401c-86a7-fe231a938252</t>
  </si>
  <si>
    <t>CI-79533746</t>
  </si>
  <si>
    <t>2025079DC7678</t>
  </si>
  <si>
    <t>ITS266</t>
  </si>
  <si>
    <t>20260815T223037.000 GMT</t>
  </si>
  <si>
    <t>20260903T072008.000 GMT</t>
  </si>
  <si>
    <t>8f7a293e-2e9a-422c-a86b-83ef7ec34ba6</t>
  </si>
  <si>
    <t>awaiting PA response sme already send a follow up email</t>
  </si>
  <si>
    <t>CI-78137314</t>
  </si>
  <si>
    <t>2025305CF8118</t>
  </si>
  <si>
    <t>20260718T005106.000 GMT</t>
  </si>
  <si>
    <t>20260910T123429.000 GMT</t>
  </si>
  <si>
    <t>Email sent for PA Review and waiting for response- SME will send a follow up email</t>
  </si>
  <si>
    <t>d2e6d28f-9507-40bf-9d80-c30eb46a4243</t>
  </si>
  <si>
    <t>CI-77462905</t>
  </si>
  <si>
    <t>NP2077513</t>
  </si>
  <si>
    <t>2024104CI3033</t>
  </si>
  <si>
    <t>276727M003</t>
  </si>
  <si>
    <t>20260703T013838.000 GMT</t>
  </si>
  <si>
    <t>NP2</t>
  </si>
  <si>
    <t>20260915T004417.000 GMT</t>
  </si>
  <si>
    <t>Personify Health - West</t>
  </si>
  <si>
    <t>00b19a63-f69e-44ef-8b88-818ae011ffe6</t>
  </si>
  <si>
    <t>CI-75107357</t>
  </si>
  <si>
    <t>2024235EV1934</t>
  </si>
  <si>
    <t>20260515T150855.000 GMT</t>
  </si>
  <si>
    <t>20260914T022618.000 GMT</t>
  </si>
  <si>
    <t>ST ROSE DOMINICAN HOSPITA</t>
  </si>
  <si>
    <t>70faef38-ff2a-47ae-8efc-19cdcb8dd0cd</t>
  </si>
  <si>
    <t>CI-80551097</t>
  </si>
  <si>
    <t>2026030BF5412</t>
  </si>
  <si>
    <t>20260905T144244.000 GMT</t>
  </si>
  <si>
    <t>20260908T111604.000 GMT</t>
  </si>
  <si>
    <t>HAGOPIAN, THOMAS M</t>
  </si>
  <si>
    <t>7ed4852e-7502-46b8-b1e1-0521725eecd7</t>
  </si>
  <si>
    <t>CI-80568389</t>
  </si>
  <si>
    <t>2025347BH2921</t>
  </si>
  <si>
    <t>20260906T031857.000 GMT</t>
  </si>
  <si>
    <t>20260907T130217.000 GMT</t>
  </si>
  <si>
    <t>f6a3209c-c85c-4c9b-86fe-170d312a73cb</t>
  </si>
  <si>
    <t>CI-80578635</t>
  </si>
  <si>
    <t>3HZN93638</t>
  </si>
  <si>
    <t>2025358CI8017</t>
  </si>
  <si>
    <t>20260906T174402.000 GMT</t>
  </si>
  <si>
    <t>20260908T062346.000 GMT</t>
  </si>
  <si>
    <t>4599f172-5ebf-4d3c-812a-deca3542fa81</t>
  </si>
  <si>
    <t>CI-80450506</t>
  </si>
  <si>
    <t>2025014ET5558</t>
  </si>
  <si>
    <t>20260903T133845.000 GMT</t>
  </si>
  <si>
    <t>20260907T181129.000 GMT</t>
  </si>
  <si>
    <t>Claim is under DRG readmission/ reassignment and cannot be  handled offshore.</t>
  </si>
  <si>
    <t>CATHOLIC HEALTH INITIATIV</t>
  </si>
  <si>
    <t>598a962f-adce-4dfe-ba8e-563bb8a7133d</t>
  </si>
  <si>
    <t>CI-80297697</t>
  </si>
  <si>
    <t>2025196DG8872</t>
  </si>
  <si>
    <t>20260831T211442.000 GMT</t>
  </si>
  <si>
    <t>20260904T014419.000 GMT</t>
  </si>
  <si>
    <t>6c95049f-630b-43e4-94d8-6edac1d9e5e2</t>
  </si>
  <si>
    <t>CI-80464139</t>
  </si>
  <si>
    <t>2025364DY3909</t>
  </si>
  <si>
    <t>20260903T175146.000 GMT</t>
  </si>
  <si>
    <t>20260908T022311.000 GMT</t>
  </si>
  <si>
    <t>ANDREW  ROSKO</t>
  </si>
  <si>
    <t>186bfda5-209c-4119-811c-b7460d558b39</t>
  </si>
  <si>
    <t>CI-80476564</t>
  </si>
  <si>
    <t>2025226DI3632</t>
  </si>
  <si>
    <t>20260903T220021.000 GMT</t>
  </si>
  <si>
    <t>20260904T083029.000 GMT</t>
  </si>
  <si>
    <t>PETERSON, TRISTAN P</t>
  </si>
  <si>
    <t>4aa972c3-bc8c-4a8e-89d8-e55cd4c7c325</t>
  </si>
  <si>
    <t>CI-80479383</t>
  </si>
  <si>
    <t>20260627A0912</t>
  </si>
  <si>
    <t>20260903T231936.000 GMT</t>
  </si>
  <si>
    <t>20260906T202729.000 GMT</t>
  </si>
  <si>
    <t>505fdb15-517e-4b5e-9300-7e5d9d13c853</t>
  </si>
  <si>
    <t>CI-80380682</t>
  </si>
  <si>
    <t>2025274BK7762</t>
  </si>
  <si>
    <t>20260902T105225.000 GMT</t>
  </si>
  <si>
    <t>20260904T102607.000 GMT</t>
  </si>
  <si>
    <t>f62116fc-51a4-4315-975c-14f134692929</t>
  </si>
  <si>
    <t>CI-80438356</t>
  </si>
  <si>
    <t>2026019DX9863</t>
  </si>
  <si>
    <t>20260903T092634.000 GMT</t>
  </si>
  <si>
    <t>20260907T160026.000 GMT</t>
  </si>
  <si>
    <t>PETERSON, TARA L</t>
  </si>
  <si>
    <t>3dad7bb1-7d97-4824-b342-d74ddb3fc317</t>
  </si>
  <si>
    <t>CI-80432429</t>
  </si>
  <si>
    <t>2026022DD4958</t>
  </si>
  <si>
    <t>20260903T072404.000 GMT</t>
  </si>
  <si>
    <t>20260907T161807.000 GMT</t>
  </si>
  <si>
    <t>Follow up inquiry internally. Will forward to ASL if no one is sure. regarding xref</t>
  </si>
  <si>
    <t>GILES, KAREN E</t>
  </si>
  <si>
    <t>6ead6011-ac73-4135-a7d4-9ba266785b1e</t>
  </si>
  <si>
    <t>no response yet from Provider Audit, will follow up after 15 business days (9/30)</t>
  </si>
  <si>
    <t>CI-79732073</t>
  </si>
  <si>
    <t>001ee8ba-f976-941d-0017-03b0170a2eea</t>
  </si>
  <si>
    <t>OJA0449851LI</t>
  </si>
  <si>
    <t>2025290CX0310</t>
  </si>
  <si>
    <t>L12204</t>
  </si>
  <si>
    <t>IT-Availity</t>
  </si>
  <si>
    <t>L12204M001</t>
  </si>
  <si>
    <t>20260819T215739.000 GMT</t>
  </si>
  <si>
    <t>OJA</t>
  </si>
  <si>
    <t>20260907T231544.636 GMT</t>
  </si>
  <si>
    <t>MILLER, DAVID W</t>
  </si>
  <si>
    <t>CLAIM_PAYMENT_ISSUE</t>
  </si>
  <si>
    <t>Reconsideration</t>
  </si>
  <si>
    <t>20261018T070000.000 GMT</t>
  </si>
  <si>
    <t>Allied</t>
  </si>
  <si>
    <t>PDR</t>
  </si>
  <si>
    <t>63dc07a2-b6ca-45da-97bc-48cd35dbbcec</t>
  </si>
  <si>
    <t>CI-80125740</t>
  </si>
  <si>
    <t>2024323FK1992</t>
  </si>
  <si>
    <t>20260827T203321.000 GMT</t>
  </si>
  <si>
    <t>20260905T044919.000 GMT</t>
  </si>
  <si>
    <t>Duplicate Inquiry CI-80542988 received,Documents added to Attachment tab,refer to Related inquiries tab/Attachment tab</t>
  </si>
  <si>
    <t>DAVIS, YIRAN W</t>
  </si>
  <si>
    <t>6693f857-5d5a-4ca7-ae39-1b301392bb44</t>
  </si>
  <si>
    <t>CI-79708139</t>
  </si>
  <si>
    <t>0022a86b-0c57-529b-0001-b454cdd16079</t>
  </si>
  <si>
    <t>PRI0995587BL</t>
  </si>
  <si>
    <t>2025298BZ4999</t>
  </si>
  <si>
    <t>L11873</t>
  </si>
  <si>
    <t>L11873M002</t>
  </si>
  <si>
    <t>20260819T144505.000 GMT</t>
  </si>
  <si>
    <t>PRI</t>
  </si>
  <si>
    <t>20260904T030355.488 GMT</t>
  </si>
  <si>
    <t>BUI, TUAN L</t>
  </si>
  <si>
    <t>Personify Health - North</t>
  </si>
  <si>
    <t>c070b424-8367-4eb5-9868-3acdc99e3a49</t>
  </si>
  <si>
    <t>CI-79549587</t>
  </si>
  <si>
    <t>T50252671</t>
  </si>
  <si>
    <t>2025116BV9807</t>
  </si>
  <si>
    <t>20260816T112501.000 GMT</t>
  </si>
  <si>
    <t>T50</t>
  </si>
  <si>
    <t>20260908T214746.000 GMT</t>
  </si>
  <si>
    <t>DIVINAGRACIA, THOMAS V</t>
  </si>
  <si>
    <t>34389b69-f983-48fb-8365-5a1b47295df2</t>
  </si>
  <si>
    <t>CI-79580459</t>
  </si>
  <si>
    <t>694W19803</t>
  </si>
  <si>
    <t>2025196BL7649</t>
  </si>
  <si>
    <t>174651A1AA</t>
  </si>
  <si>
    <t>20260817T121115.000 GMT</t>
  </si>
  <si>
    <t>20260908T222759.000 GMT</t>
  </si>
  <si>
    <t>DAVID A BRCKA</t>
  </si>
  <si>
    <t>c73d2fa3-fc7d-4864-a234-6d2ae3d9688a</t>
  </si>
  <si>
    <t>CI-79579883</t>
  </si>
  <si>
    <t>2025196DH1432</t>
  </si>
  <si>
    <t>20260817T114520.000 GMT</t>
  </si>
  <si>
    <t>20260908T222001.000 GMT</t>
  </si>
  <si>
    <t>MERCY HOSPITAL SPRINGFIEL</t>
  </si>
  <si>
    <t>c8cb278d-f5fa-409d-b5c8-5c90cc5c086a</t>
  </si>
  <si>
    <t>No response from PA yet .</t>
  </si>
  <si>
    <t>CI-79586537</t>
  </si>
  <si>
    <t>620M64170</t>
  </si>
  <si>
    <t>2025301BL5987</t>
  </si>
  <si>
    <t>174577BBHA</t>
  </si>
  <si>
    <t>20260817T141719.000 GMT</t>
  </si>
  <si>
    <t>20260908T225540.000 GMT</t>
  </si>
  <si>
    <t>d5cb8bea-7f82-401f-9228-9daaea2907c5</t>
  </si>
  <si>
    <t>CI-79595724</t>
  </si>
  <si>
    <t>115W15639</t>
  </si>
  <si>
    <t>2026008BY2027</t>
  </si>
  <si>
    <t>SGA78116</t>
  </si>
  <si>
    <t>84Y200</t>
  </si>
  <si>
    <t>20260817T165712.000 GMT</t>
  </si>
  <si>
    <t>20260908T234527.000 GMT</t>
  </si>
  <si>
    <t>GENESIS HEALTHCARE SYSTEM</t>
  </si>
  <si>
    <t>N02699330</t>
  </si>
  <si>
    <t>492dc13f-719d-480f-ae9e-c128445de37f</t>
  </si>
  <si>
    <t>Awaiting PA response since 9/10/26</t>
  </si>
  <si>
    <t>CI-79585795</t>
  </si>
  <si>
    <t>2025220BO4623</t>
  </si>
  <si>
    <t>20260817T140350.000 GMT</t>
  </si>
  <si>
    <t>20260908T225324.000 GMT</t>
  </si>
  <si>
    <t>HORNESS, KEENAN M</t>
  </si>
  <si>
    <t>201f1a9e-8ce2-40d0-9fd3-74b21f68f78b</t>
  </si>
  <si>
    <t>CI-79593272</t>
  </si>
  <si>
    <t>2025308CU1748</t>
  </si>
  <si>
    <t>20260817T161619.000 GMT</t>
  </si>
  <si>
    <t>20260908T233035.000 GMT</t>
  </si>
  <si>
    <t>8f9221af-a320-491d-a0ec-f2db8de3d92c</t>
  </si>
  <si>
    <t>CI-79597169</t>
  </si>
  <si>
    <t>W01840138</t>
  </si>
  <si>
    <t>2025283CQ4226</t>
  </si>
  <si>
    <t>20260817T171959.000 GMT</t>
  </si>
  <si>
    <t>20260904T041442.000 GMT</t>
  </si>
  <si>
    <t>JAQUISS, ROBERT D</t>
  </si>
  <si>
    <t>7fc984bb-78df-4f4e-a1ad-d0fdd15eb3bf</t>
  </si>
  <si>
    <t>Upheld on 09/20</t>
  </si>
  <si>
    <t>CI-79594499</t>
  </si>
  <si>
    <t>2025161BX9188</t>
  </si>
  <si>
    <t>004715M015</t>
  </si>
  <si>
    <t>20260817T163812.000 GMT</t>
  </si>
  <si>
    <t>20260908T234245.000 GMT</t>
  </si>
  <si>
    <t>JOHNSON ALLEN, DEON R</t>
  </si>
  <si>
    <t>d25f86f0-1a4c-421e-b9ad-8cf9f95ed92d</t>
  </si>
  <si>
    <t>CI-80076455</t>
  </si>
  <si>
    <t>596W08245</t>
  </si>
  <si>
    <t>SM1556</t>
  </si>
  <si>
    <t>SM1556M001</t>
  </si>
  <si>
    <t>20260827T012054.000 GMT</t>
  </si>
  <si>
    <t>20260907T141129.000 GMT</t>
  </si>
  <si>
    <t>AVALOS TOPETE, JENEFFER</t>
  </si>
  <si>
    <t>Internal Escalations</t>
  </si>
  <si>
    <t>2c24b182-6491-4713-b25a-ca2c26b075a3</t>
  </si>
  <si>
    <t>Sent to Prepay Reversal Workbasket</t>
  </si>
  <si>
    <t>CI-79085969</t>
  </si>
  <si>
    <t>972W06119</t>
  </si>
  <si>
    <t>2026047CQ9613</t>
  </si>
  <si>
    <t>377269001M</t>
  </si>
  <si>
    <t>20260806T112502.000 GMT</t>
  </si>
  <si>
    <t>20260907T232303.000 GMT</t>
  </si>
  <si>
    <t>DCN: 2026047CQ9613
 Provider state: NY
 MLH of Dispute: 2026218B80666
 Concept ID:Post Pay-C34-S609-59-B-X1
 LPP receipt Date: 08/05/2026
 Adjustment reason code: S34
 Comments: Reviewed by recovery, we determined that this is KERNEL claim and needs to be reprocess, provider submitted an EOB that is within the filing limit of 90 days. Refer to MLH #2026218B80666. Thank You.</t>
  </si>
  <si>
    <t>MARIANNE JORGENSEN</t>
  </si>
  <si>
    <t>d98539a0-6691-44ae-afda-89884a8e5a84</t>
  </si>
  <si>
    <t>CI-79572770</t>
  </si>
  <si>
    <t>513A21651</t>
  </si>
  <si>
    <t>2025224EO5774</t>
  </si>
  <si>
    <t>C20001</t>
  </si>
  <si>
    <t>C20001M1A2</t>
  </si>
  <si>
    <t>20260817T043632.000 GMT</t>
  </si>
  <si>
    <t>20260909T002639.000 GMT</t>
  </si>
  <si>
    <t>40820198-840a-4634-aede-d10e6a29260f</t>
  </si>
  <si>
    <t>For PA Review and waiting for response.</t>
  </si>
  <si>
    <t>CI-79557517</t>
  </si>
  <si>
    <t>AL86925</t>
  </si>
  <si>
    <t>2025263BK7187</t>
  </si>
  <si>
    <t>Irishlynn Reyes</t>
  </si>
  <si>
    <t>20260816T144817.000 GMT</t>
  </si>
  <si>
    <t>20260910T082321.000 GMT</t>
  </si>
  <si>
    <t>Hold - Email sent for PA Review and waiting for response</t>
  </si>
  <si>
    <t>bd7a74cc-9910-4137-8137-6af019a65b6c</t>
  </si>
  <si>
    <t>CI-79558706</t>
  </si>
  <si>
    <t>3HZN33168</t>
  </si>
  <si>
    <t>2025303CV4643</t>
  </si>
  <si>
    <t>20260816T150938.000 GMT</t>
  </si>
  <si>
    <t>20260916T013054.000 GMT</t>
  </si>
  <si>
    <t>3c0ccc89-545f-465b-85d7-c5debaba62de</t>
  </si>
  <si>
    <t>CI-79560780</t>
  </si>
  <si>
    <t>2024311EY1212</t>
  </si>
  <si>
    <t>20260816T161715.000 GMT</t>
  </si>
  <si>
    <t>20260909T062937.000 GMT</t>
  </si>
  <si>
    <t>GALLIZZI, MICHAEL A</t>
  </si>
  <si>
    <t>25573c99-d5f7-49d9-984b-1a1bd2bdc69e</t>
  </si>
  <si>
    <t>CI-79551427</t>
  </si>
  <si>
    <t>169M51462</t>
  </si>
  <si>
    <t>2025237CJ1149</t>
  </si>
  <si>
    <t>82NF00</t>
  </si>
  <si>
    <t>20260816T114506.000 GMT</t>
  </si>
  <si>
    <t>20260909T045447.000 GMT</t>
  </si>
  <si>
    <t>Sent email to PA for medical records review. FDOC#:
7239983356</t>
  </si>
  <si>
    <t>KOUZMINA, MARIA M</t>
  </si>
  <si>
    <t>860de257-a901-43ff-ba46-7820901b1957</t>
  </si>
  <si>
    <t>Follow up email was sent to onshore on 09/16/2026</t>
  </si>
  <si>
    <t>CI-79572073</t>
  </si>
  <si>
    <t>932M51538</t>
  </si>
  <si>
    <t>2025196BZ2920</t>
  </si>
  <si>
    <t>82NQ00</t>
  </si>
  <si>
    <t>20260817T011926.000 GMT</t>
  </si>
  <si>
    <t>20260916T002038.000 GMT</t>
  </si>
  <si>
    <t>Follow up email sent. Awaiting response</t>
  </si>
  <si>
    <t>COMMUNITY HOSPITAL</t>
  </si>
  <si>
    <t>1ab3ceaf-d21e-47d7-861b-c1aceaecf362</t>
  </si>
  <si>
    <t>CI-79558699</t>
  </si>
  <si>
    <t>2025353CS1187</t>
  </si>
  <si>
    <t>20260816T150925.000 GMT</t>
  </si>
  <si>
    <t>20260916T012913.000 GMT</t>
  </si>
  <si>
    <t>6e4eebf0-e1e1-4de3-8c70-0b40a8ea014a</t>
  </si>
  <si>
    <t>CI-79571531</t>
  </si>
  <si>
    <t>727M73455</t>
  </si>
  <si>
    <t>2026016CW8436</t>
  </si>
  <si>
    <t>212056M1A1</t>
  </si>
  <si>
    <t>20260816T232112.000 GMT</t>
  </si>
  <si>
    <t>20260916T014116.000 GMT</t>
  </si>
  <si>
    <t>Waiting for Reversal approval
Overturn as per P.A. FDOC# 7252117038
Documentation supports implants billed. CL1 / HCPCS C1739 / $6976.47</t>
  </si>
  <si>
    <t>WASHINGTON HOSPITAL</t>
  </si>
  <si>
    <t>8f3d3672-6c68-46e1-98be-520d106a293d</t>
  </si>
  <si>
    <t>CI-79571606</t>
  </si>
  <si>
    <t>581W13549</t>
  </si>
  <si>
    <t>2025338DQ0611</t>
  </si>
  <si>
    <t>W71104</t>
  </si>
  <si>
    <t>W71104M001</t>
  </si>
  <si>
    <t>20260816T232403.000 GMT</t>
  </si>
  <si>
    <t>20260914T204207.000 GMT</t>
  </si>
  <si>
    <t>Duplicate Inquiry CI-80922685 received,Documents added to Attachment tab,refer to Related inquiries tab/Attachment tab</t>
  </si>
  <si>
    <t>BRESCIA, ALEXANDER A</t>
  </si>
  <si>
    <t>f11b5db8-1e5f-45b0-8cb9-eba93faf2b68</t>
  </si>
  <si>
    <t>CI-79572412</t>
  </si>
  <si>
    <t>811W09453</t>
  </si>
  <si>
    <t>2025181EJ1557</t>
  </si>
  <si>
    <t>F20514</t>
  </si>
  <si>
    <t>F20520</t>
  </si>
  <si>
    <t>20260817T024341.000 GMT</t>
  </si>
  <si>
    <t>20260910T031733.000 GMT</t>
  </si>
  <si>
    <t>d3a680d8-242f-4626-a81f-b75a41e32ea7</t>
  </si>
  <si>
    <t>Return to Ops</t>
  </si>
  <si>
    <t>CI-79338883</t>
  </si>
  <si>
    <t>2025134BP8379</t>
  </si>
  <si>
    <t>20260811T200702.000 GMT</t>
  </si>
  <si>
    <t>20260916T060643.000 GMT</t>
  </si>
  <si>
    <t>4bfc6b62-a9ac-46be-81b3-f0bf716a952c</t>
  </si>
  <si>
    <t>CI-79509079</t>
  </si>
  <si>
    <t>Purge Claim Request</t>
  </si>
  <si>
    <t>746M56263</t>
  </si>
  <si>
    <t>2022087DE1784</t>
  </si>
  <si>
    <t>C22603</t>
  </si>
  <si>
    <t>C22603M4A1</t>
  </si>
  <si>
    <t>20260815T053409.000 GMT</t>
  </si>
  <si>
    <t>20260916T151433.000 GMT</t>
  </si>
  <si>
    <t>Purge claim waiting to be restored</t>
  </si>
  <si>
    <t>8593e707-87db-4eee-8ed8-3583d76be931</t>
  </si>
  <si>
    <t xml:space="preserve">NO VR OPTION LOG TO 5020 </t>
  </si>
  <si>
    <t>CI-77312079</t>
  </si>
  <si>
    <t>CL-36539114</t>
  </si>
  <si>
    <t>WMW 08543527W</t>
  </si>
  <si>
    <t>2025190EN4573</t>
  </si>
  <si>
    <t>20260630T141227.000 GMT</t>
  </si>
  <si>
    <t>WMW</t>
  </si>
  <si>
    <t>20260916T075333.000 GMT</t>
  </si>
  <si>
    <t>NO VR OPTION</t>
  </si>
  <si>
    <t>SENTARA RMH MEDICAL CENTE</t>
  </si>
  <si>
    <t>20260820T040000.000 GMT</t>
  </si>
  <si>
    <t>08543527W</t>
  </si>
  <si>
    <t>8712abbd-717b-4253-bd06-a17125a29ab6</t>
  </si>
  <si>
    <t>CI-80659366</t>
  </si>
  <si>
    <t>M64471992</t>
  </si>
  <si>
    <t>2025309DB3661</t>
  </si>
  <si>
    <t>20260908T195146.000 GMT</t>
  </si>
  <si>
    <t>M64</t>
  </si>
  <si>
    <t>20260909T091911.000 GMT</t>
  </si>
  <si>
    <t>314310e3-cb08-4d3c-ace7-0cc7091a838f</t>
  </si>
  <si>
    <t>CI-80667173</t>
  </si>
  <si>
    <t>2025329DI5576</t>
  </si>
  <si>
    <t>20260908T223508.000 GMT</t>
  </si>
  <si>
    <t>20260909T223554.000 GMT</t>
  </si>
  <si>
    <t>BUCHNER, DAVID W</t>
  </si>
  <si>
    <t>0e5a6ac8-8a02-4c2a-88cc-9b461ed6b9a4</t>
  </si>
  <si>
    <t>CI-80451936</t>
  </si>
  <si>
    <t>2025364DY3925</t>
  </si>
  <si>
    <t>20260903T140600.000 GMT</t>
  </si>
  <si>
    <t>20260909T215802.000 GMT</t>
  </si>
  <si>
    <t>Sent to pa</t>
  </si>
  <si>
    <t>ISSA, MOHAMAD R</t>
  </si>
  <si>
    <t>b079116f-298c-42a6-82a6-d21351d2a773</t>
  </si>
  <si>
    <t>CI-80538456</t>
  </si>
  <si>
    <t>35376254C</t>
  </si>
  <si>
    <t>2025141BO2352</t>
  </si>
  <si>
    <t>JNT224</t>
  </si>
  <si>
    <t>JNT224G1A1</t>
  </si>
  <si>
    <t>20260905T010740.000 GMT</t>
  </si>
  <si>
    <t>20260909T232628.000 GMT</t>
  </si>
  <si>
    <t>17071795-b1f6-45e4-bf3a-361b27f90060</t>
  </si>
  <si>
    <t>CI-79665852</t>
  </si>
  <si>
    <t>762W22025</t>
  </si>
  <si>
    <t>2025330FH3264</t>
  </si>
  <si>
    <t>L12566</t>
  </si>
  <si>
    <t>L12566M002</t>
  </si>
  <si>
    <t>20260818T194324.000 GMT</t>
  </si>
  <si>
    <t>20260909T222043.000 GMT</t>
  </si>
  <si>
    <t>daf37e46-62be-444d-a79c-8062127bec16</t>
  </si>
  <si>
    <t>CI-79665835</t>
  </si>
  <si>
    <t>581W06260</t>
  </si>
  <si>
    <t>2025178CP4802</t>
  </si>
  <si>
    <t>SP3342</t>
  </si>
  <si>
    <t>SP3342M001</t>
  </si>
  <si>
    <t>20260818T194308.000 GMT</t>
  </si>
  <si>
    <t>20260909T222026.000 GMT</t>
  </si>
  <si>
    <t>NORTHSIDE HOSPITAL GWINNE</t>
  </si>
  <si>
    <t>902730bc-b646-4dff-b346-adb27bbf1cca</t>
  </si>
  <si>
    <t>CI-79707702</t>
  </si>
  <si>
    <t>420W18433</t>
  </si>
  <si>
    <t>2024163EE8320</t>
  </si>
  <si>
    <t>L07967</t>
  </si>
  <si>
    <t>L07967M001</t>
  </si>
  <si>
    <t>20260819T143851.000 GMT</t>
  </si>
  <si>
    <t>20260909T033936.000 GMT</t>
  </si>
  <si>
    <t>dfc8224d-b8c3-4bc5-ba1d-68401d81c5c5</t>
  </si>
  <si>
    <t>CI-79651628</t>
  </si>
  <si>
    <t>2025322CZ4961</t>
  </si>
  <si>
    <t>20260818T154402.000 GMT</t>
  </si>
  <si>
    <t>20260909T061600.000 GMT</t>
  </si>
  <si>
    <t>GROSE, GREGORY S</t>
  </si>
  <si>
    <t>228d6fc9-9c41-4d37-8fec-0dcd19d8a674</t>
  </si>
  <si>
    <t>CI-79662548</t>
  </si>
  <si>
    <t>127W23942</t>
  </si>
  <si>
    <t>2025282EG0808</t>
  </si>
  <si>
    <t>L00638</t>
  </si>
  <si>
    <t>L00638M001</t>
  </si>
  <si>
    <t>20260818T185207.000 GMT</t>
  </si>
  <si>
    <t>20260909T171318.000 GMT</t>
  </si>
  <si>
    <t>HOLM, NICOLE M</t>
  </si>
  <si>
    <t>72cb4e7e-3b71-4a00-bdbd-34b4ab791e49</t>
  </si>
  <si>
    <t>CI-79656190</t>
  </si>
  <si>
    <t>154A73602</t>
  </si>
  <si>
    <t>2025358BE2394</t>
  </si>
  <si>
    <t>C20681</t>
  </si>
  <si>
    <t>1868HW</t>
  </si>
  <si>
    <t>20260818T165502.000 GMT</t>
  </si>
  <si>
    <t>20260909T070717.000 GMT</t>
  </si>
  <si>
    <t>cb74ab2d-aac7-476f-8910-e61f3029453d</t>
  </si>
  <si>
    <t>CI-79656643</t>
  </si>
  <si>
    <t>2026026DT1790</t>
  </si>
  <si>
    <t>20260818T170231.000 GMT</t>
  </si>
  <si>
    <t>20260909T070241.000 GMT</t>
  </si>
  <si>
    <t>SAMMARTINO, JEANNE L</t>
  </si>
  <si>
    <t>ac862d68-f90c-4599-b8e8-164f94b3625b</t>
  </si>
  <si>
    <t>CI-79670641</t>
  </si>
  <si>
    <t>921M94499</t>
  </si>
  <si>
    <t>2025098EM0095</t>
  </si>
  <si>
    <t>L08158</t>
  </si>
  <si>
    <t>L08158M002</t>
  </si>
  <si>
    <t>20260818T210117.000 GMT</t>
  </si>
  <si>
    <t>20260909T225240.000 GMT</t>
  </si>
  <si>
    <t>MELTON, STEPHANIE J</t>
  </si>
  <si>
    <t>909aa1bf-c580-444c-9fb3-0f68bdbae223</t>
  </si>
  <si>
    <t>CI-79657634</t>
  </si>
  <si>
    <t>2025281BW8236</t>
  </si>
  <si>
    <t>20260818T171902.000 GMT</t>
  </si>
  <si>
    <t>20260909T073816.000 GMT</t>
  </si>
  <si>
    <t>KETTERING HEALTH DAYTON</t>
  </si>
  <si>
    <t>bc017b0d-cf70-49e4-9d84-f72197096e9f</t>
  </si>
  <si>
    <t>Awaiting PA response since 9/11/26</t>
  </si>
  <si>
    <t>CI-79672824</t>
  </si>
  <si>
    <t>2025253CL9348</t>
  </si>
  <si>
    <t>20260818T213401.000 GMT</t>
  </si>
  <si>
    <t>20260909T230455.000 GMT</t>
  </si>
  <si>
    <t>GERLANDO  DE CASTRO</t>
  </si>
  <si>
    <t>b45cdbc7-3052-4d78-8f80-b3c8cca35e66</t>
  </si>
  <si>
    <t>CI-80303432</t>
  </si>
  <si>
    <t>AH90976</t>
  </si>
  <si>
    <t>650M87988</t>
  </si>
  <si>
    <t>2025107CD4526</t>
  </si>
  <si>
    <t>W81327</t>
  </si>
  <si>
    <t>W81327M013</t>
  </si>
  <si>
    <t>Jason F Capiz</t>
  </si>
  <si>
    <t>20260831T235813.000 GMT</t>
  </si>
  <si>
    <t>20260909T052752.000 GMT</t>
  </si>
  <si>
    <t>THEDACARE MEDICAL CENTER</t>
  </si>
  <si>
    <t>a23c9187-8386-4965-ada7-f97512729c3b</t>
  </si>
  <si>
    <t>CI-79574559</t>
  </si>
  <si>
    <t>010A22346</t>
  </si>
  <si>
    <t>2025316DV1545</t>
  </si>
  <si>
    <t>L11408</t>
  </si>
  <si>
    <t>L11408M001</t>
  </si>
  <si>
    <t>20260817T075525.000 GMT</t>
  </si>
  <si>
    <t>20260909T231119.000 GMT</t>
  </si>
  <si>
    <t>MITCHELL A PET, MITCHELL A</t>
  </si>
  <si>
    <t>51ae1a71-8ce0-44a9-9bf1-35742774207f</t>
  </si>
  <si>
    <t>CI-79629316</t>
  </si>
  <si>
    <t>823W05920</t>
  </si>
  <si>
    <t>2025337CN5426</t>
  </si>
  <si>
    <t>20260818T082745.000 GMT</t>
  </si>
  <si>
    <t>20260909T032752.000 GMT</t>
  </si>
  <si>
    <t>CHRISTOPHE  TORRES</t>
  </si>
  <si>
    <t>5bd5efbd-6fea-4faf-9de2-57b4ce340bcf</t>
  </si>
  <si>
    <t>CI-79603395</t>
  </si>
  <si>
    <t>408M88937</t>
  </si>
  <si>
    <t>2025323BM7122</t>
  </si>
  <si>
    <t>270142M1AR</t>
  </si>
  <si>
    <t>20260817T190415.000 GMT</t>
  </si>
  <si>
    <t>20260909T050553.000 GMT</t>
  </si>
  <si>
    <t>Sent email to PA for medical records review. FDOC#:
7239985200</t>
  </si>
  <si>
    <t>CRONN, SUSAN E</t>
  </si>
  <si>
    <t>5dbad1a5-cd3b-41e6-abf8-e1391fff6943</t>
  </si>
  <si>
    <t>Overturned</t>
  </si>
  <si>
    <t>CI-79628296</t>
  </si>
  <si>
    <t>276M92904</t>
  </si>
  <si>
    <t>2025328FM4233</t>
  </si>
  <si>
    <t>81GF00</t>
  </si>
  <si>
    <t>20260818T081016.000 GMT</t>
  </si>
  <si>
    <t>20260909T035943.000 GMT</t>
  </si>
  <si>
    <t>AHMED  HUSSIN</t>
  </si>
  <si>
    <t>eaf931ac-6559-4218-8df1-d979974b2b86</t>
  </si>
  <si>
    <t>CI-79599886</t>
  </si>
  <si>
    <t>2025349CT1621</t>
  </si>
  <si>
    <t>20260817T181612.000 GMT</t>
  </si>
  <si>
    <t>20260909T001940.000 GMT</t>
  </si>
  <si>
    <t>RESHMA  PACHIKARA</t>
  </si>
  <si>
    <t>7d19a77c-75c9-4369-b102-9cbd347f6f7e</t>
  </si>
  <si>
    <t>CI-79598573</t>
  </si>
  <si>
    <t>2025274CY5725</t>
  </si>
  <si>
    <t>20260817T174707.000 GMT</t>
  </si>
  <si>
    <t>20260909T022608.000 GMT</t>
  </si>
  <si>
    <t>TURNER, RYAN J</t>
  </si>
  <si>
    <t>277714e8-d7e2-458b-b7cd-9f38586b835b</t>
  </si>
  <si>
    <t>CI-79631508</t>
  </si>
  <si>
    <t>225M74760</t>
  </si>
  <si>
    <t>MR</t>
  </si>
  <si>
    <t>2025177DX2020</t>
  </si>
  <si>
    <t>W11429</t>
  </si>
  <si>
    <t>W11429M001</t>
  </si>
  <si>
    <t>20260818T092349.000 GMT</t>
  </si>
  <si>
    <t>20260909T042423.000 GMT</t>
  </si>
  <si>
    <t>OD</t>
  </si>
  <si>
    <t>90218e84-4fe6-449c-83a7-4729b5052923</t>
  </si>
  <si>
    <t>CI-79619982</t>
  </si>
  <si>
    <t>988M55136</t>
  </si>
  <si>
    <t>2025169R10504</t>
  </si>
  <si>
    <t>00D668M103</t>
  </si>
  <si>
    <t>20260818T011822.000 GMT</t>
  </si>
  <si>
    <t>20260909T023831.000 GMT</t>
  </si>
  <si>
    <t>MCGOWAN, SHANE M</t>
  </si>
  <si>
    <t>673e41bf-77e1-4ef9-8bfa-868844651d11</t>
  </si>
  <si>
    <t>CI-79618947</t>
  </si>
  <si>
    <t>239M88518</t>
  </si>
  <si>
    <t>2025045EH3108</t>
  </si>
  <si>
    <t>82S800</t>
  </si>
  <si>
    <t>20260818T005101.000 GMT</t>
  </si>
  <si>
    <t>20260909T023236.000 GMT</t>
  </si>
  <si>
    <t>6bb26e67-d789-4c41-9b63-b544d84a2c3d</t>
  </si>
  <si>
    <t>CI-79606760</t>
  </si>
  <si>
    <t>2026019EQ4060</t>
  </si>
  <si>
    <t>002021M002</t>
  </si>
  <si>
    <t>20260817T195818.000 GMT</t>
  </si>
  <si>
    <t>20260909T004932.000 GMT</t>
  </si>
  <si>
    <t>a8710d10-a69f-47bf-9efd-48c01cf7950e</t>
  </si>
  <si>
    <t>CI-79643039</t>
  </si>
  <si>
    <t>2025320BE8586</t>
  </si>
  <si>
    <t>20260818T131458.000 GMT</t>
  </si>
  <si>
    <t>20260909T052437.000 GMT</t>
  </si>
  <si>
    <t>HANSLEY, KATHLEEN J</t>
  </si>
  <si>
    <t>3057290d-3e0e-47d5-88f5-61f74652d6eb</t>
  </si>
  <si>
    <t>CI-79623354</t>
  </si>
  <si>
    <t>2025213DH7960</t>
  </si>
  <si>
    <t>20260818T025501.000 GMT</t>
  </si>
  <si>
    <t>20260909T031123.000 GMT</t>
  </si>
  <si>
    <t>RUTLEDGE, WILLIAM C</t>
  </si>
  <si>
    <t>0fbbc3c2-4b4a-4da6-8288-00f41d2bb115</t>
  </si>
  <si>
    <t>CI-79618002</t>
  </si>
  <si>
    <t>865M78895</t>
  </si>
  <si>
    <t>2025261EQ4614</t>
  </si>
  <si>
    <t>SGA46780</t>
  </si>
  <si>
    <t>83VJ00</t>
  </si>
  <si>
    <t>20260818T000514.000 GMT</t>
  </si>
  <si>
    <t>20260909T022241.000 GMT</t>
  </si>
  <si>
    <t>STUART D KINSELLA, STUART D</t>
  </si>
  <si>
    <t>5871ea14-9be8-4712-8a03-95c45487bd6f</t>
  </si>
  <si>
    <t xml:space="preserve">No response from PA yet </t>
  </si>
  <si>
    <t>CI-79617153</t>
  </si>
  <si>
    <t>2025276DO3889</t>
  </si>
  <si>
    <t>20260817T234302.000 GMT</t>
  </si>
  <si>
    <t>20260909T022842.000 GMT</t>
  </si>
  <si>
    <t>19cdf20d-3db0-4841-adfa-700f513a5fbe</t>
  </si>
  <si>
    <t>Email sent for PA Review and waiting for response. FDOC # 7239915481.</t>
  </si>
  <si>
    <t>CI-79619921</t>
  </si>
  <si>
    <t>2025349EG0006</t>
  </si>
  <si>
    <t>20260818T011655.000 GMT</t>
  </si>
  <si>
    <t>20260909T024315.000 GMT</t>
  </si>
  <si>
    <t>JACOME, FRANCISCO J</t>
  </si>
  <si>
    <t>3a25764e-8f64-4211-8da1-1f9fdb6d2cfa</t>
  </si>
  <si>
    <t>CI-79602460</t>
  </si>
  <si>
    <t>CL-38078098</t>
  </si>
  <si>
    <t>TOA AN8754854</t>
  </si>
  <si>
    <t>2025098DD0850</t>
  </si>
  <si>
    <t>214021M1AA</t>
  </si>
  <si>
    <t>20260817T184813.000 GMT</t>
  </si>
  <si>
    <t>TOA</t>
  </si>
  <si>
    <t>20260909T003655.000 GMT</t>
  </si>
  <si>
    <t>CL-38077726</t>
  </si>
  <si>
    <t>34a2c5c4-278b-47b3-864d-d1b99ec596be</t>
  </si>
  <si>
    <t>CI-79625171</t>
  </si>
  <si>
    <t>412A54324</t>
  </si>
  <si>
    <t>2025290CY6642</t>
  </si>
  <si>
    <t>GA6085</t>
  </si>
  <si>
    <t>GA6085M024</t>
  </si>
  <si>
    <t>20260818T060818.000 GMT</t>
  </si>
  <si>
    <t>20260909T032814.000 GMT</t>
  </si>
  <si>
    <t>73d9c6d2-0930-4e56-9e1f-1030d4059d27</t>
  </si>
  <si>
    <t>CI-79642800</t>
  </si>
  <si>
    <t>2025313BJ2725</t>
  </si>
  <si>
    <t>20260818T131122.000 GMT</t>
  </si>
  <si>
    <t>20260909T052319.000 GMT</t>
  </si>
  <si>
    <t>698300a1-e432-4024-8519-9a4a137c240c</t>
  </si>
  <si>
    <t>Awaiting PA response since 9/17/26</t>
  </si>
  <si>
    <t>CI-79623906</t>
  </si>
  <si>
    <t>2025233BZ0746</t>
  </si>
  <si>
    <t>20260818T033617.000 GMT</t>
  </si>
  <si>
    <t>20260909T031442.000 GMT</t>
  </si>
  <si>
    <t>1d6d86b1-4cda-4116-9596-e1453fe2c0d3</t>
  </si>
  <si>
    <t>CI-79621653</t>
  </si>
  <si>
    <t>647W05397</t>
  </si>
  <si>
    <t>2025301DY1069</t>
  </si>
  <si>
    <t>K84864</t>
  </si>
  <si>
    <t>K87553</t>
  </si>
  <si>
    <t>20260818T021548.000 GMT</t>
  </si>
  <si>
    <t>20260909T025938.000 GMT</t>
  </si>
  <si>
    <t>HUNTZINGER, OLIVIA M</t>
  </si>
  <si>
    <t>9881a46c-6cf8-471c-88d2-8476b7caa465</t>
  </si>
  <si>
    <t>CI-79621724</t>
  </si>
  <si>
    <t>2025294DP1822</t>
  </si>
  <si>
    <t>20260818T021733.000 GMT</t>
  </si>
  <si>
    <t>20260909T025533.000 GMT</t>
  </si>
  <si>
    <t>ANDREW  KNOCHELMANN</t>
  </si>
  <si>
    <t>101f0d10-5757-4328-a2d1-f620bcd24441</t>
  </si>
  <si>
    <t>CI-79622766</t>
  </si>
  <si>
    <t>258W08059</t>
  </si>
  <si>
    <t>2025360BS3033</t>
  </si>
  <si>
    <t>20260818T024048.000 GMT</t>
  </si>
  <si>
    <t>20260909T031038.000 GMT</t>
  </si>
  <si>
    <t>PROVIDENCE MISSION HOSPIT</t>
  </si>
  <si>
    <t>df11a332-f27f-4ee9-8921-5cff7b721c3f</t>
  </si>
  <si>
    <t>CI-79616682</t>
  </si>
  <si>
    <t>2025263BD9763</t>
  </si>
  <si>
    <t>20260817T232526.000 GMT</t>
  </si>
  <si>
    <t>20260909T021839.000 GMT</t>
  </si>
  <si>
    <t>CICN</t>
  </si>
  <si>
    <t>c4858179-042c-4a24-a7d9-d0ec48743481</t>
  </si>
  <si>
    <t>CI-79636584</t>
  </si>
  <si>
    <t>2025343CL1898</t>
  </si>
  <si>
    <t>20260818T110028.000 GMT</t>
  </si>
  <si>
    <t>20260909T043448.000 GMT</t>
  </si>
  <si>
    <t>MAUREEN  MCKIERNAN</t>
  </si>
  <si>
    <t>7858a3a9-032d-4499-b149-ac97a5261df0</t>
  </si>
  <si>
    <t>CI-79643571</t>
  </si>
  <si>
    <t>2026021BQ1344</t>
  </si>
  <si>
    <t>20260818T132137.000 GMT</t>
  </si>
  <si>
    <t>20260909T052205.000 GMT</t>
  </si>
  <si>
    <t>1be96431-673d-42d9-9c76-99596642dcc8</t>
  </si>
  <si>
    <t>CI-79643200</t>
  </si>
  <si>
    <t>2025351BG6390</t>
  </si>
  <si>
    <t>20260818T131700.000 GMT</t>
  </si>
  <si>
    <t>20260909T053228.000 GMT</t>
  </si>
  <si>
    <t>f4e4e97c-864c-441e-bbe5-87a4ef6cfab9</t>
  </si>
  <si>
    <t>CI-79620178</t>
  </si>
  <si>
    <t>064W15088</t>
  </si>
  <si>
    <t>2025231FO1901</t>
  </si>
  <si>
    <t>82F500</t>
  </si>
  <si>
    <t>20260818T012252.000 GMT</t>
  </si>
  <si>
    <t>20260909T024317.000 GMT</t>
  </si>
  <si>
    <t>a908b277-2f30-4d17-9a57-dfccca6c4070</t>
  </si>
  <si>
    <t>CI-79643414</t>
  </si>
  <si>
    <t>2025344BG1393</t>
  </si>
  <si>
    <t>20260818T131928.000 GMT</t>
  </si>
  <si>
    <t>20260909T063739.000 GMT</t>
  </si>
  <si>
    <t>2444798d-cded-408a-8d8e-a20a03421e8c</t>
  </si>
  <si>
    <t>AM</t>
  </si>
  <si>
    <t>CIW</t>
  </si>
  <si>
    <t xml:space="preserve">Domain </t>
  </si>
  <si>
    <t>Associate</t>
  </si>
  <si>
    <t>AM Name</t>
  </si>
  <si>
    <t>Reason</t>
  </si>
  <si>
    <t>Auditor/SME</t>
  </si>
  <si>
    <t>SME Review Date</t>
  </si>
  <si>
    <t>Associate Remarks for Completion</t>
  </si>
  <si>
    <t>CI-73379829</t>
  </si>
  <si>
    <t>Andayran, Christine</t>
  </si>
  <si>
    <t>Avic</t>
  </si>
  <si>
    <t>*wait for RI team to adjust the claim since already logged in RI sharepoint</t>
  </si>
  <si>
    <t>471fbc9c-8456-4ab8-b2e5-3595f5c8f9b1</t>
  </si>
  <si>
    <t>CI-73000639</t>
  </si>
  <si>
    <t>bd6dc54b-a73f-4518-b882-953b0dae0b90</t>
  </si>
  <si>
    <t xml:space="preserve">CI-74328029	</t>
  </si>
  <si>
    <t>Pedregoza, Mary Elizabeth</t>
  </si>
  <si>
    <t>Per PA review - overturned</t>
  </si>
  <si>
    <t>MEL</t>
  </si>
  <si>
    <t>EDIT: oks for adj but per review of the PA response, there is a code that needs to be change. DI does not process this type of adjustment. Need to RTO to reflect the changes</t>
  </si>
  <si>
    <t>65c48495-7f6d-48ba-9543-1fa1769bef83</t>
  </si>
  <si>
    <t>CI-74137805</t>
  </si>
  <si>
    <t>oks for adj</t>
  </si>
  <si>
    <t>Closed by onshore</t>
  </si>
  <si>
    <t>f8fd080f-fc57-4c35-ad50-23d1a7c54eda</t>
  </si>
  <si>
    <t>CI-74308151</t>
  </si>
  <si>
    <r>
      <rPr>
        <sz val="11"/>
        <color rgb="FF000000"/>
        <rFont val="Aptos Narrow"/>
        <family val="2"/>
        <scheme val="minor"/>
      </rPr>
      <t>oks for adj -</t>
    </r>
    <r>
      <rPr>
        <sz val="11"/>
        <color rgb="FFFF0000"/>
        <rFont val="Aptos Narrow"/>
        <family val="2"/>
        <scheme val="minor"/>
      </rPr>
      <t>-</t>
    </r>
  </si>
  <si>
    <t>Completed 6/1/2026</t>
  </si>
  <si>
    <t>060fa3a7-0d64-4747-8b4b-bf77dbc8e916</t>
  </si>
  <si>
    <t>CI-73411337</t>
  </si>
  <si>
    <t>Gacgacao, Maria Fe</t>
  </si>
  <si>
    <t>e2e30dde-74fd-498b-9eeb-f336d8baf237</t>
  </si>
  <si>
    <t>CI-73725195</t>
  </si>
  <si>
    <t>6404e231-c985-4af6-952e-d64f42a5b328</t>
  </si>
  <si>
    <t>CI-73416658</t>
  </si>
  <si>
    <t>Camilan, Hilyn</t>
  </si>
  <si>
    <t>Per PA review - Partially Upheld</t>
  </si>
  <si>
    <t>dae46793-b0f3-4f29-b39b-935564e55d23</t>
  </si>
  <si>
    <t>CI-73969237</t>
  </si>
  <si>
    <t>Castro, Jayson</t>
  </si>
  <si>
    <t>Overturned, provider's tax ID is on the exclude criteria of concept B1653-X2</t>
  </si>
  <si>
    <t>RR</t>
  </si>
  <si>
    <t xml:space="preserve">oks for adjustment TAX id found as exclusion in PICM </t>
  </si>
  <si>
    <t>Completed 5/29/2026</t>
  </si>
  <si>
    <t>fa9b1cbc-761c-4c8a-964e-00b580281b56</t>
  </si>
  <si>
    <t>CI-73761433</t>
  </si>
  <si>
    <t>223d5d8c-06dd-40d5-b073-3b560df2ac85</t>
  </si>
  <si>
    <t>CI-74073481</t>
  </si>
  <si>
    <t xml:space="preserve">
B7898 -X1
Dispute overturned. Claim needs to be reprocessed and paid due to it didn't meet the criteria on Step 3 of B7898 -X1 MODIFIER QZ BILLED WITH QK, QS, QX, QY, OR ANOTHER INSTANCE OF QZ for recovery.
</t>
  </si>
  <si>
    <t>LEAH</t>
  </si>
  <si>
    <t>Upheld claim was processed correctly</t>
  </si>
  <si>
    <t>Resolved - Upheld - 6/10/2026</t>
  </si>
  <si>
    <t>46bdf0a8-be67-4f72-bcd2-5dcd1f019740</t>
  </si>
  <si>
    <t>CI-74374814</t>
  </si>
  <si>
    <t xml:space="preserve"> B7079-X1 CONCEPT B7079 LATE CALL PENALTY.
Dispute ovrturned. claim needs to be reprocessed and pay Line 06 without penalty. Provider has an approved authorization under UM65240479 with no late penalty and as per Step 9 (Resolve Event) of KL Content ID CO0329642. Procedure code C1722 is under parent code 33249 as per 2025 Carelon Medical Benefits Management Commercial CPT Codes and Groupers under KL Content ID CO0335070. Provider also submitted med rec under MLH# 2026119RU0089.
</t>
  </si>
  <si>
    <t>Ann</t>
  </si>
  <si>
    <t>ok to upheld no need to do reversal. most recent auth under UM74419351 was applied to late penalty and claim was processed correctly.</t>
  </si>
  <si>
    <t>Completed 6/2/2026</t>
  </si>
  <si>
    <t>a9e3a6f7-63e9-4457-bb38-0b0e8c01938f</t>
  </si>
  <si>
    <t>CI-74178284</t>
  </si>
  <si>
    <t>Per PA review - overturned FDOC#
7039631446</t>
  </si>
  <si>
    <t>Oks for adj</t>
  </si>
  <si>
    <r>
      <rPr>
        <sz val="11"/>
        <color rgb="FF000000"/>
        <rFont val="Aptos Narrow"/>
        <family val="2"/>
        <scheme val="minor"/>
      </rPr>
      <t xml:space="preserve">
Hold- "Submitted AP check request please update IQT AP-4618156646"
</t>
    </r>
    <r>
      <rPr>
        <b/>
        <sz val="11"/>
        <color rgb="FF000000"/>
        <rFont val="Aptos Narrow"/>
        <family val="2"/>
        <scheme val="minor"/>
      </rPr>
      <t xml:space="preserve">Waiting for CHECK email from Cheryl
</t>
    </r>
  </si>
  <si>
    <t>246aaabb-9367-4a9c-98c8-952f8b54e6d3</t>
  </si>
  <si>
    <t>CI-74197009</t>
  </si>
  <si>
    <t>AL79830</t>
  </si>
  <si>
    <t>Tolibas, Dianne Mystica</t>
  </si>
  <si>
    <t>Bony Jr Abalos</t>
  </si>
  <si>
    <t>EDIT: oks to adj per PA review but claim is ITS HOST. Please follow ITS process</t>
  </si>
  <si>
    <t>e78c418a-9f4b-4ea9-976a-747c08dd3bb3</t>
  </si>
  <si>
    <t>CI-74179622</t>
  </si>
  <si>
    <t xml:space="preserve"> oks to adj per PA review but claim is ITS HOST. Please follow ITS process</t>
  </si>
  <si>
    <t>fb1f1212-d618-4ee8-80fe-220639e65364</t>
  </si>
  <si>
    <t>CI-74194700</t>
  </si>
  <si>
    <t>Completed 6/26/2026</t>
  </si>
  <si>
    <t>a18f4401-1836-4421-a218-a310c35bd4d7</t>
  </si>
  <si>
    <t>CI-74201593</t>
  </si>
  <si>
    <t>Completed 6/25/2026</t>
  </si>
  <si>
    <t>e67c7949-1584-4dd2-a8b5-cf49ddbf30f4</t>
  </si>
  <si>
    <t>CI-73983193</t>
  </si>
  <si>
    <t>Lipit, Mark Andre S.</t>
  </si>
  <si>
    <t>Claim's Tax ID is 800863895 which is included in exclusion for B1653-X2 concept.</t>
  </si>
  <si>
    <t>55af6411-ff0c-43f1-b1b2-d676d3b20b83</t>
  </si>
  <si>
    <t>CI-74372002</t>
  </si>
  <si>
    <t xml:space="preserve">Espinas, Jayson Dave </t>
  </si>
  <si>
    <t>ebb47db8-4286-47ee-9b8e-c53ddd118321</t>
  </si>
  <si>
    <t>CI-73985745</t>
  </si>
  <si>
    <t>Dizon JR, Bernardino</t>
  </si>
  <si>
    <t>6b5d26b3-ac90-4e7f-bd73-210ba9e39606</t>
  </si>
  <si>
    <t>CI-74382557</t>
  </si>
  <si>
    <t>Meong Sabarre</t>
  </si>
  <si>
    <t>737368ff-2c0b-4b60-8081-73ed348abb9b</t>
  </si>
  <si>
    <t>CI-74387101</t>
  </si>
  <si>
    <t>1061c164-25e1-49f8-bee4-57586cf03f16</t>
  </si>
  <si>
    <t>CI-74012475</t>
  </si>
  <si>
    <t>AG89330</t>
  </si>
  <si>
    <t>Umali, Justine</t>
  </si>
  <si>
    <t>B299- Overturn  - Mai indicator 0 w/ medical recs</t>
  </si>
  <si>
    <t>ITS Host claim - out of scope not for reversal</t>
  </si>
  <si>
    <t>6de271d9-6a67-453e-9b55-6109f5d0a413</t>
  </si>
  <si>
    <t>CI-74281046</t>
  </si>
  <si>
    <t>Buan, Angelica</t>
  </si>
  <si>
    <t>Mel</t>
  </si>
  <si>
    <t>Complete - 5/27/2026</t>
  </si>
  <si>
    <t>0bee4130-40d3-4be9-993e-2a5eeae0f239</t>
  </si>
  <si>
    <t>CI-74443755</t>
  </si>
  <si>
    <t>7bd00c70-277e-4951-8854-e90bad544de2</t>
  </si>
  <si>
    <t>CI-74461452</t>
  </si>
  <si>
    <t>2a425370-765c-4554-9746-6eab0f994968</t>
  </si>
  <si>
    <t>CI-74465080</t>
  </si>
  <si>
    <t>4bd30f69-1d8d-4127-8cc1-bc34b3e1e685</t>
  </si>
  <si>
    <t xml:space="preserve">CI-73728157
</t>
  </si>
  <si>
    <t>Santos, Kim</t>
  </si>
  <si>
    <t>5e3af418-bf69-411f-b7ee-ff02bf8fcdd3</t>
  </si>
  <si>
    <t>CI-73761859</t>
  </si>
  <si>
    <t>d461fd1e-d4cd-4a45-9978-f53f230708b6</t>
  </si>
  <si>
    <t>CI-74007598</t>
  </si>
  <si>
    <t>ececb22f-e45d-44db-863c-46745769bbe0</t>
  </si>
  <si>
    <t>CI-74416646</t>
  </si>
  <si>
    <t>Abina, Cedie</t>
  </si>
  <si>
    <t>Overturn per TFL concept</t>
  </si>
  <si>
    <t>437c4b54-3463-4728-8692-f126e9b80aa4</t>
  </si>
  <si>
    <t>CI-74048646</t>
  </si>
  <si>
    <t>f0313b4c-9c14-4632-b2ac-b23030d3f4c1</t>
  </si>
  <si>
    <t>CI-74523485</t>
  </si>
  <si>
    <t>Recoverable was rejected with R23130-PLEASE PROVIDE A HARDCOPY OF THE ITEMIZED BILL. However Itemized bill was already received 01/13/2026.</t>
  </si>
  <si>
    <t>Rejected - non dmo adjustment, need to rto</t>
  </si>
  <si>
    <t>bfdce11d-f653-4f9e-9983-2973b7f638be</t>
  </si>
  <si>
    <t xml:space="preserve">	CI-73728448</t>
  </si>
  <si>
    <t>Marcelino, Gerommel</t>
  </si>
  <si>
    <t>RI Rejected due to incorrect LPP date. Overturn per proof  of TFL Claim needs to be reprocessed as per recovery review. The claim was initially denied due to timely filling however based on submitted proof of TFL on MLH 2026107B90332, the claim was filled timely. Sent to reprocess.</t>
  </si>
  <si>
    <t>RI #85880 status still assigned, wait for RI team to adjust the claim since already logged in RI sharepoint</t>
  </si>
  <si>
    <t>16398b57-00e1-4d7f-8f70-0bfae7253293</t>
  </si>
  <si>
    <t xml:space="preserve">	CI-73858280	</t>
  </si>
  <si>
    <t>RI Rejected due to incorrect LPP date. |Overturn per B1322 concept |  According to Job aid B1322 Step 5; "To continue validation and proceed with the recovery, the difference between the date of service and the received date should be greater than the timely filing limits for Outpatient Facility which is 180 days from the date of service. For this claim 2024164EK0119 it was received 153 days which is inside given TFL days for the state of OHIO so it is logical as well that this should be reversed as this was filled timely regardless of no proof submitted. Overtured.</t>
  </si>
  <si>
    <t>20194052-5e7f-4109-9330-4b8c9e6d0e33</t>
  </si>
  <si>
    <t xml:space="preserve">	CI-74433797</t>
  </si>
  <si>
    <t>Overturn per proof  of TFL  | For Reversal, provider submitted proof of timely filling based on MLH 2026121RH1777.</t>
  </si>
  <si>
    <t>oks for adj. Please make sure to add on notes the previously denied claim as POTF 24081EE2716</t>
  </si>
  <si>
    <t>e6eb2540-36b3-4612-9e3a-2e2f58dcd2c4</t>
  </si>
  <si>
    <t>CI-75301787</t>
  </si>
  <si>
    <t>c5f31a67-fb39-44db-8534-3fb37f97e0bc</t>
  </si>
  <si>
    <t>CI-74530306</t>
  </si>
  <si>
    <t>Escalation EI-185101 is created from ASPEN Automation: Please have this claim adjusted again, it was reprocessed incorrectly for code J1300 Lines 3,10,13. The appeal for Medically Necessary was already approved under APP-COMM-1385209 Decision date: 1/5/2023. The refund request was invalid.</t>
  </si>
  <si>
    <t>Please review the claim per B5704-X1 concept.</t>
  </si>
  <si>
    <t>c91c5a91-ee15-49d2-ab9f-402527aa33fa</t>
  </si>
  <si>
    <t>CI-74281154</t>
  </si>
  <si>
    <t>Dalida, Joan Marie</t>
  </si>
  <si>
    <t>Per PA review  decision - Overturned</t>
  </si>
  <si>
    <t>ok to adj</t>
  </si>
  <si>
    <t>301c9c5d-e2ed-4dff-8c41-32f3e7f64149</t>
  </si>
  <si>
    <t>ok to  adj - make sure of the new allowed amount</t>
  </si>
  <si>
    <t>7bc84111-23cf-4835-a73e-025648c31c71</t>
  </si>
  <si>
    <t>CI-74103894</t>
  </si>
  <si>
    <t>Oks to adj</t>
  </si>
  <si>
    <t>f79e919b-4e87-4896-bc17-5c56f91af4a4</t>
  </si>
  <si>
    <t>CI-74380090</t>
  </si>
  <si>
    <t>Lapitan, Jolo</t>
  </si>
  <si>
    <t>bf556c59-dfec-4a25-97f9-2f12f9e3ce02</t>
  </si>
  <si>
    <t>CI-73989796</t>
  </si>
  <si>
    <t>efd26829-4ec7-49ac-ba27-0762ccc581aa</t>
  </si>
  <si>
    <t>CI-74443700</t>
  </si>
  <si>
    <t>Lagarto, Nesty Hope</t>
  </si>
  <si>
    <t>5e57aecf-74d3-4f6d-abab-0e8922cdad7b</t>
  </si>
  <si>
    <t>CI-73953440</t>
  </si>
  <si>
    <t>Dispute overturned. Recovery reviewed the claim and per findings, line 1 was recoup incorrectly since procedure code A0426 does not match from xref dcn 25248DE2760.  Please reconsider and reprocess accordingly.</t>
  </si>
  <si>
    <t>30791c46-4a02-4115-9138-f7d9d66358ff</t>
  </si>
  <si>
    <t>CI-73926088</t>
  </si>
  <si>
    <t>Dispute overturned. Recovery reviewed the claim and per findings, drug procedure code J0129 was paid hence drug admin code 96413 is eligible for reimbursement.  Please reconsider and reprocess accordingly.</t>
  </si>
  <si>
    <t>Oks to adj. drug code J0129 has an approved auth therefore admin code should be paid</t>
  </si>
  <si>
    <t>480d6c10-e143-4e2d-acdd-d39ade14f87c</t>
  </si>
  <si>
    <t>CI-74335957</t>
  </si>
  <si>
    <t>Gaviola, Christine</t>
  </si>
  <si>
    <t>c51b9ae1-0843-42fd-a909-a7dab145e1e7</t>
  </si>
  <si>
    <t>CI-74223192</t>
  </si>
  <si>
    <t>273a215b-d959-4fc5-8778-9ba2a141fb32</t>
  </si>
  <si>
    <t>CI-74527650</t>
  </si>
  <si>
    <t xml:space="preserve">Andayran, Christine </t>
  </si>
  <si>
    <t>de078127-0e22-4d9b-a1ac-1e5653a80d36</t>
  </si>
  <si>
    <t xml:space="preserve">
CI-74104782</t>
  </si>
  <si>
    <t>Javier, Allyssa Joy</t>
  </si>
  <si>
    <t>dda355af-d170-4397-ae50-cf8211ee11c7</t>
  </si>
  <si>
    <t>pending</t>
  </si>
  <si>
    <t>c04298a3-6b85-47e4-86e2-1d5a09ae4631</t>
  </si>
  <si>
    <t>CI-73929677</t>
  </si>
  <si>
    <t>Per PA review - Overturn</t>
  </si>
  <si>
    <t>f6bb6f14-296c-4563-9d7b-d56bc04b03a2</t>
  </si>
  <si>
    <t>CI-74061032</t>
  </si>
  <si>
    <t>a4f734c3-af5c-48a5-9404-87f777f1fc8c</t>
  </si>
  <si>
    <t>CI-74108670</t>
  </si>
  <si>
    <t>Overturn per proof of timely filing</t>
  </si>
  <si>
    <t>9bb74df7-3c6a-4b26-80f8-796ed15b17bf</t>
  </si>
  <si>
    <t>CI-74307015</t>
  </si>
  <si>
    <t>Not for adjustment. There's no valid POTF since the clearing house if for other insurance not the anthem. Please upheld claim.</t>
  </si>
  <si>
    <t>8e7a94b4-66c1-4b24-bd38-9642baca9363</t>
  </si>
  <si>
    <t>CI-74280815</t>
  </si>
  <si>
    <t>b67bf258-14d7-4047-a220-7e16938b402b</t>
  </si>
  <si>
    <t>CI-74456931</t>
  </si>
  <si>
    <t>c55ba062-f716-4a39-b4dc-996965aee3a0</t>
  </si>
  <si>
    <t>CI-74471222</t>
  </si>
  <si>
    <t>Overturn per B299 concept. Indicator is 0 and MR received</t>
  </si>
  <si>
    <t>954ffbee-45e8-4314-87f0-34baf4942ff7</t>
  </si>
  <si>
    <t>CI-74497656</t>
  </si>
  <si>
    <t>Duplicate claim is within TFL</t>
  </si>
  <si>
    <t>not for adjustment. There's no valid POTF provided in back up. Please upheld</t>
  </si>
  <si>
    <t>30ebc157-3964-4e02-8be5-a3af4c9bb101</t>
  </si>
  <si>
    <t>CI-74520659</t>
  </si>
  <si>
    <t>Within TFL</t>
  </si>
  <si>
    <t>outside tfl days of 90 days. Please upheld</t>
  </si>
  <si>
    <t>237a0ecc-6420-4101-ad32-0e798edacedb</t>
  </si>
  <si>
    <t>CI-74498428</t>
  </si>
  <si>
    <t>6b704362-2064-483f-aa7b-b28cd3fd3efb</t>
  </si>
  <si>
    <t>CI-74463718</t>
  </si>
  <si>
    <t>Completed with Ms Ann lopez</t>
  </si>
  <si>
    <t>9125308e-d426-4240-8503-30f0db445e3e</t>
  </si>
  <si>
    <t>CI-74464608</t>
  </si>
  <si>
    <t>fffe74b2-5947-4ada-8335-c451f383856d</t>
  </si>
  <si>
    <t>CI-74544588</t>
  </si>
  <si>
    <t xml:space="preserve">Overturn per B7912-X1. Itemized bill were received in the related inquiry. 
</t>
  </si>
  <si>
    <t>dde20aa3-2f3f-4c2f-830e-1dbfc0a4ddfa</t>
  </si>
  <si>
    <t>CI-74289759</t>
  </si>
  <si>
    <t>Berida, Rechelle</t>
  </si>
  <si>
    <t>Completed w/ms avic</t>
  </si>
  <si>
    <t>0f471de8-2443-45e0-af8a-312f0cb997a7</t>
  </si>
  <si>
    <t>CI-74353229</t>
  </si>
  <si>
    <t>Completed w/ann lopez 6/1/2026</t>
  </si>
  <si>
    <t>4da9fa6b-57e1-4c4a-adb1-7e55b950ec2b</t>
  </si>
  <si>
    <t>CI-73318488</t>
  </si>
  <si>
    <t>Pajalla, Renier</t>
  </si>
  <si>
    <t>Per Pa response-Overturn</t>
  </si>
  <si>
    <t>completed/waiting t release</t>
  </si>
  <si>
    <t>82ee9d8c-e848-4fdc-bfe7-000a04151d6b</t>
  </si>
  <si>
    <t>CI-73769943</t>
  </si>
  <si>
    <t>fbf3b8a9-11f6-436e-8b56-6884b783ee77</t>
  </si>
  <si>
    <t>CI-72793450</t>
  </si>
  <si>
    <t>Per review- Allowed amount doesnt applied correctly</t>
  </si>
  <si>
    <t>REJECT: already logge in RI. Please wait for RI adj</t>
  </si>
  <si>
    <t>81fe6145-defd-4d87-bde7-3440ca73572b</t>
  </si>
  <si>
    <t>CI-73994787</t>
  </si>
  <si>
    <t>1458c12a-a155-4b9d-8a55-30ea831c0727</t>
  </si>
  <si>
    <t>CI-74073311</t>
  </si>
  <si>
    <t>Per review- within timely filing</t>
  </si>
  <si>
    <t>a82748e4-8e6b-4f0f-a8cc-daa0b36c811f</t>
  </si>
  <si>
    <t>CI-73335671</t>
  </si>
  <si>
    <t>15bb5c5b-88db-456e-bb95-b8d815206942</t>
  </si>
  <si>
    <t>CI-74162400</t>
  </si>
  <si>
    <t>52677421-a9ed-4768-8b92-5f37a6746f85</t>
  </si>
  <si>
    <t>CI-74767217</t>
  </si>
  <si>
    <t>69668dc6-fbb6-4ba2-abfe-4d6f5a5f37bc</t>
  </si>
  <si>
    <t xml:space="preserve">CI-74531930 </t>
  </si>
  <si>
    <t>Mary Grace Yacat</t>
  </si>
  <si>
    <t xml:space="preserve">Concept B869 MUE </t>
  </si>
  <si>
    <t>a55e3be6-24b7-4b9f-bff2-52f4c2bc9b30</t>
  </si>
  <si>
    <t>CI-74169814</t>
  </si>
  <si>
    <t>Cuaton, Mark Anthony</t>
  </si>
  <si>
    <t>adjusted  LOGGING  COMPLETE *   ID = 521 27 1410 ; DCN = 25262DE4204 ; QUEUE = NHPL18 routed to high dollar queue. kindly wait for claim to be finalize.</t>
  </si>
  <si>
    <t>326d96b6-6c62-4196-bc3b-b4caba8071bf</t>
  </si>
  <si>
    <t>CI-74888691</t>
  </si>
  <si>
    <t>Active policy-CA</t>
  </si>
  <si>
    <t>54a5075e-be41-45e1-8004-d0f85f409d53</t>
  </si>
  <si>
    <t>CI-74899808</t>
  </si>
  <si>
    <t>bf17727b-d22c-4c52-bf1d-954e68c2a674</t>
  </si>
  <si>
    <t>CI-74579409</t>
  </si>
  <si>
    <t>Gulapa, Carla Marie</t>
  </si>
  <si>
    <t xml:space="preserve">Overturn per B297 concept - Per review Xref is already past the 3yrs period to billed new patient. </t>
  </si>
  <si>
    <t>3yrs not past since DOS on xref is 12/22/2021 and DOS on the claim is 10/29/2024, 3 yrs will past on 12/23/2024</t>
  </si>
  <si>
    <t>Done 05/29/2026</t>
  </si>
  <si>
    <t>1a7cab16-cfe5-409f-8873-3318c1a6418d</t>
  </si>
  <si>
    <t>CI-74899846</t>
  </si>
  <si>
    <t>f8cef874-c456-4811-9721-13eda86c5bc7</t>
  </si>
  <si>
    <t>CI-73695629</t>
  </si>
  <si>
    <t>Niduaza, Marvin</t>
  </si>
  <si>
    <t>Overturn per PA response.</t>
  </si>
  <si>
    <t>Completed on 05/29/2026</t>
  </si>
  <si>
    <t>9e8289bc-b4b3-4777-90c7-3f8bb0747e36</t>
  </si>
  <si>
    <t>CI-73935709</t>
  </si>
  <si>
    <t>RECOVERY REVIEWED THE CLAIM AND PER FINDINGS, THIS WAS DENIED DUE TO CODES HAVE A MAX U/O ALLOWED. HOWEVER RECOVERABLE CLAIM CPT A4239 IS BEING BILLED BY PROVIDER SPECIALTY V04, AND CLAIM LINE CODE IS LISTED ON THE DME EXCLUSION GRID AND DOS 08/14/2024 IS WITHIN EFF/END DATE ON THE GRID. HENCE CLAIM LINE SHOULD NOT BE RECOVERED. XREF 24230EB4952.</t>
  </si>
  <si>
    <t>0286286d-82f3-4858-b333-eaed6b8d7ace</t>
  </si>
  <si>
    <t>CI-73990118</t>
  </si>
  <si>
    <t>Miranda, Mary Joy</t>
  </si>
  <si>
    <t>Recovery review. This claim needs to be reprocessed due to proc code 54865 has an assistant surgeon indicator of 0. And the provider has sent   medical record under MLH# 2026113B60016</t>
  </si>
  <si>
    <t>9fcb713d-aeb3-44f5-a36d-4a3df9465890</t>
  </si>
  <si>
    <t xml:space="preserve">CI-74422828 </t>
  </si>
  <si>
    <t>Fejer, Alvin</t>
  </si>
  <si>
    <t>Recovery review Dispute Overturned. We determined this needs to be reprocessed with the EOB from United Healthcare (OXFORD). EOB shows that there is a $5877.98 as patient responsibility under MLH#2026121B81588.</t>
  </si>
  <si>
    <t>we dont RI COB reason, please RTO&gt;&gt;overturn</t>
  </si>
  <si>
    <t>Overturned - 5/28</t>
  </si>
  <si>
    <t>b07291d9-6ef0-422b-9117-8c535f8ae505</t>
  </si>
  <si>
    <t>CI-74223335</t>
  </si>
  <si>
    <t>Bacalso, Richard</t>
  </si>
  <si>
    <t>Recovery Reviewed. Radiology contrast not inclusive to the radiology procedure 85014.  There is separate reimbursement allowed per provider contract - Outpatient Services: Outpatient laboratory, radiology and diagnostic services.</t>
  </si>
  <si>
    <t>5ca5f660-5a68-4dfc-9a56-1672765e85c1</t>
  </si>
  <si>
    <t>CI-74610627</t>
  </si>
  <si>
    <t>Cahilig, Jennifer</t>
  </si>
  <si>
    <t xml:space="preserve">Overturn per proof  of TFL </t>
  </si>
  <si>
    <t>c519fc8d-e5b1-45fc-a2a1-777bfc2c245b</t>
  </si>
  <si>
    <t xml:space="preserve">CI-74613106
</t>
  </si>
  <si>
    <t>Completed/05/28/2026 with Ms Ann lopez</t>
  </si>
  <si>
    <t>5c0e76b1-b9f9-41b5-bc32-b9e21da21c7e</t>
  </si>
  <si>
    <t>CI-74613839</t>
  </si>
  <si>
    <t>fcc58697-59ae-49b4-97dd-ce9aba29062b</t>
  </si>
  <si>
    <t>CI-74616991</t>
  </si>
  <si>
    <t>Reviewed by recovery we determined this needs to be reprocessed Claim was received is within the timely filing limit of 180 days. Claim's received date was 07/04/2025 and DOS 01/20/2025. which is 165 days. MLH 2026126A50314.</t>
  </si>
  <si>
    <t>41ab69fc-5236-4cbb-a5e0-85426876abc0</t>
  </si>
  <si>
    <t>CI-74617011</t>
  </si>
  <si>
    <t>AL39772</t>
  </si>
  <si>
    <t>Villalon, Lois Adrienne</t>
  </si>
  <si>
    <t>John Patrick Alcantara</t>
  </si>
  <si>
    <t xml:space="preserve">Recovery reviewed and we request for claim to be processed since the provider submitted the claim within the filing limit of 90 days. Receipt: 01/30/2023 ; Remittance date 10/14/2022  Result: 64 days. See mlh 2026125R41466. Thank you.
</t>
  </si>
  <si>
    <t>Based on the provided dates, the remittance date versus receipt date exceeds the 90-day filing limit, with a difference of 108 days. Please double-check all information.</t>
  </si>
  <si>
    <t>e20078bb-0a80-4a8c-a249-12579b86990f</t>
  </si>
  <si>
    <t xml:space="preserve">CI-74760216
</t>
  </si>
  <si>
    <t>9ea0ebdc-9662-4617-8317-1624c603f690</t>
  </si>
  <si>
    <t>CI-71679740</t>
  </si>
  <si>
    <t>Asis, Ryan</t>
  </si>
  <si>
    <t>Sent for reversal due to Procedure code C1713 is an implant or is appropriate for the services provided. Documentation supports billed charges. FDOC#7051033787</t>
  </si>
  <si>
    <t>fa9bbbdd-b38b-4c33-9852-0de6c6de80b2</t>
  </si>
  <si>
    <t>CI-72497050</t>
  </si>
  <si>
    <t>Sent for reversal due to Procedure code C1762 is an implant or is appropriate for the services provided. For Anterior tibial tendon x1, documentation supports 1 implant unit was used in the procedure. FDOC 6985514547</t>
  </si>
  <si>
    <t>35960cae-724c-4f3b-a4d4-da14478c9e87</t>
  </si>
  <si>
    <t>CI-73336364</t>
  </si>
  <si>
    <t>Sent for reversal due to  procedure code 99213 with modifier 25 is appropriate for the services provided. The document supports a E/M service that is above and beyond the acupuncture service provided. The level of CPT 99213 with modifier 25 is supported. FDOC#7051037872</t>
  </si>
  <si>
    <t>980cbf35-630d-4358-8a58-0c166e69cf3f</t>
  </si>
  <si>
    <t>CI-74599090</t>
  </si>
  <si>
    <t>Dispute overturned. Claim needs to be reprocessed as per recovery review. Procedure code 59426 was denied due to C16-S298-59-B-X2 concept referencing claim 2024255CB0031 but the claim was also denied referencing back to original claim 2024366CE6865 as duplicate.</t>
  </si>
  <si>
    <t>Completed 05/29/2026</t>
  </si>
  <si>
    <t>2c14a310-dfda-46ea-8b32-6eb259f1b0fe</t>
  </si>
  <si>
    <t>CI-74620763</t>
  </si>
  <si>
    <t xml:space="preserve">Dispute overturned. Claim needs to be reprocessed as per recovery reviewed due to the claim was received within the timely filing limit of 180 days. Inpatient claim 2024104BE6949 received date is 04/12/2024. Outpatient claim 2025049EL7060 date of service is 04/04/2024 to 04/05/2024. </t>
  </si>
  <si>
    <t>ba874516-b279-4834-bcf9-630fd9b75a88</t>
  </si>
  <si>
    <t>CI-73858201</t>
  </si>
  <si>
    <t>Overturned per PA response</t>
  </si>
  <si>
    <t>c7261e01-a1a5-4ff5-b3ea-c82e7425b1b5</t>
  </si>
  <si>
    <t>CI-74285346</t>
  </si>
  <si>
    <t>736aa7ad-9bf0-48a2-b650-a12620d9f29f</t>
  </si>
  <si>
    <t>CI-73945639</t>
  </si>
  <si>
    <t>Partially upheld per PA response</t>
  </si>
  <si>
    <t>c2e45785-de71-4e4d-9393-b1f58c082d4d</t>
  </si>
  <si>
    <t>CI-74633585</t>
  </si>
  <si>
    <t>AL99435</t>
  </si>
  <si>
    <t>Cajandoc, Hennelyn</t>
  </si>
  <si>
    <t>Claims OPS: This was reviewed by recovery disputes and determined that allowable amount is for $11,100.56 which was already paid correctly prior the adjustment.</t>
  </si>
  <si>
    <t>a9ac20e2-15be-40c8-86c9-386d2f19a236</t>
  </si>
  <si>
    <t>CI-74640944</t>
  </si>
  <si>
    <t>Mary Grace , Yacat</t>
  </si>
  <si>
    <t>Please do reversal as the Co-surgeon indicator to the procedure code 60522  is 1 and the provider sent medical records under MLH 
2026126B30537.</t>
  </si>
  <si>
    <t xml:space="preserve"> prepay claim needs to be routed to the Prepay Reversal basket.</t>
  </si>
  <si>
    <t>fd98f9d5-f7cf-4adb-95a3-98cd483e6711</t>
  </si>
  <si>
    <t>CI-75334117</t>
  </si>
  <si>
    <t>Mary Grace Yacar</t>
  </si>
  <si>
    <t>Provider audit response claim decision has been overturned. received via email, FDOC# 7053015473</t>
  </si>
  <si>
    <t>2deeee95-1adb-4662-b0e7-ebcb646b1d52</t>
  </si>
  <si>
    <t>CI-74772668</t>
  </si>
  <si>
    <t>Overturn, POTF found under MLH 2023282QA9839.</t>
  </si>
  <si>
    <t>This is a non-DMO claim, and RI should not be applied. If the claim has sufficient proof, please RTO for overturn.</t>
  </si>
  <si>
    <t xml:space="preserve">completed </t>
  </si>
  <si>
    <t>cb6081cc-3c59-421e-a6fd-78d278012a2c</t>
  </si>
  <si>
    <t>CI-74733508</t>
  </si>
  <si>
    <t>Auth on file for claim line 1</t>
  </si>
  <si>
    <t>Rejected - Please follow auth workflow.</t>
  </si>
  <si>
    <t>47bd990d-b67d-4417-82a1-15ad07a358af</t>
  </si>
  <si>
    <t>CI-74565631</t>
  </si>
  <si>
    <t xml:space="preserve">Ninas,Mark Ian </t>
  </si>
  <si>
    <t>Dispute: Overturn The claim needs to reprocess as per recovery reviewed B6473X1 concept with med rec for Co-Surgeon not warranted when billing Modifier 62 with Payment Indicators indicator is 1 do not recover. Medical records are attached to the claim's inquiry 2026125A50570. Please proceed overturn. Thank you.</t>
  </si>
  <si>
    <t>1c2b1bc3-6cbf-40ae-b180-9709d82a9de3</t>
  </si>
  <si>
    <t>CI-74644640</t>
  </si>
  <si>
    <t>Please do reversal as the Co-surgeon indicator to the procedure code 60522   is 1 and the provider sent medical records under MLH 2026126B30569</t>
  </si>
  <si>
    <t>4b28e8d0-e1da-40ac-94f1-9864d70bb009</t>
  </si>
  <si>
    <t>CI-74644192</t>
  </si>
  <si>
    <t xml:space="preserve">Asis, Ryan </t>
  </si>
  <si>
    <t>Sent for reversal due to claim 2025091DQ5376 is no longer a duplicate with claim 2025083CY3661 which has been voided per claim 2025148DT4932. Therefore, claim 2025091DQ5376 is the sole claim for payment and should be reprocessed.</t>
  </si>
  <si>
    <t>a0c3b8e2-38fe-4128-b14b-bb3b84c5fa20</t>
  </si>
  <si>
    <t>CI-74016600</t>
  </si>
  <si>
    <t xml:space="preserve">Ninas Mark Ian </t>
  </si>
  <si>
    <t>Hi team, kindly reprocess the claim again since the claim 2026007EU4073 which it was inclusive was voided already. The concept C6-S266-59-B-X1 no longer applied. Thank you</t>
  </si>
  <si>
    <t>1ce0a559-ed37-4300-83e1-723dfa6525b0</t>
  </si>
  <si>
    <t>CI-74751936</t>
  </si>
  <si>
    <t>Salanguit, Gerramae</t>
  </si>
  <si>
    <t>PA response - Overturn CL 4. Clinical supports payment.</t>
  </si>
  <si>
    <t>dc44d3b5-d25f-42a2-b0f3-c517ef2a7709</t>
  </si>
  <si>
    <t>CI-74124333</t>
  </si>
  <si>
    <t>Dispute overturned. Claim was received within the timely filing limit of 90 days. Claim's received date was 12/18/2025. Proof of timely filing date was 11/14/2025. There's an attached valid proof of timely filing under MLH:2026115R70016</t>
  </si>
  <si>
    <t>Reject: KRN claim. Please follow KRN process</t>
  </si>
  <si>
    <t>1976964a-7388-4b57-84b3-2ba42251e4d2</t>
  </si>
  <si>
    <t>CI-74628527</t>
  </si>
  <si>
    <t>Per onshore review the recovery is outside lookback - overturned for reversal</t>
  </si>
  <si>
    <t>309a5c27-e750-4730-843a-bcf8c8878707</t>
  </si>
  <si>
    <t>CI-74317692</t>
  </si>
  <si>
    <t xml:space="preserve">Per review claim needs to be reprocessed, Xref claim 2026013CY3732 provided is not a duplicate to the original claim 2026012BM4758.  </t>
  </si>
  <si>
    <t>3eb5c0de-52c8-4cfe-b0a0-a44c4aae1b38</t>
  </si>
  <si>
    <t>CI-75569916</t>
  </si>
  <si>
    <t>Per verbal conversation with RVP Wendy Polsinelli, please override timely filing on the attached claims. The patients' memberships were all retroactively termed, causing the original payor's payments to be recouped. Thanks</t>
  </si>
  <si>
    <t>CI# is correct? per CIW, the CI has already been overturned.</t>
  </si>
  <si>
    <t>Incorrect CI input, kindly re-check. Thanks!</t>
  </si>
  <si>
    <t>cb051c2b-d069-4b61-9263-fc10196dc20a</t>
  </si>
  <si>
    <t>CI-74412963</t>
  </si>
  <si>
    <t>Bobiles, Ralfh Roger</t>
  </si>
  <si>
    <t>Per PA Response -  Partially Upheld</t>
  </si>
  <si>
    <t>Rejected - Please clarify to PA if partially upheld howmuch we need to overturn and on what line since PA just provided that line 5 should be denied in full.</t>
  </si>
  <si>
    <t>1371d71e-a441-476c-a4a8-00d379167b1a</t>
  </si>
  <si>
    <t>CI-71169094</t>
  </si>
  <si>
    <t xml:space="preserve">Per recovery review, Line 4 procedure code 97597 has an allowed amount of  $217.00. </t>
  </si>
  <si>
    <t>Request rejected. This is an ITS Host claim and cannot be adjusted thru reversal intake. Please follow the correct workflow.</t>
  </si>
  <si>
    <t>b5328a9f-457a-4c69-ba41-c4e71d328687</t>
  </si>
  <si>
    <t>CI-74691157</t>
  </si>
  <si>
    <t>Armada, Ana Vanessa</t>
  </si>
  <si>
    <t>Recovery review. This claim needs to be reprocessed due to proc code 29879 has an assistant surgeon indicator of 0. And the provider has sent   medical record under MLH #2026126RH7585.</t>
  </si>
  <si>
    <t>ec568542-c78b-4dbe-b643-9a849099d1c0</t>
  </si>
  <si>
    <t>CI-74703041</t>
  </si>
  <si>
    <t xml:space="preserve">The concept B7536X1- Drug administration codes paying when associated drug charge denied is no longer applies. Xref claim 2025266CJ0133 was adjusted on 11-03-25 and line 2 administration code J1568 was already paid. 
 </t>
  </si>
  <si>
    <t>824a1049-a89e-40ae-b740-4d3000a026d0</t>
  </si>
  <si>
    <t>CI-74688636</t>
  </si>
  <si>
    <t>Procedure code 99285 was denied due to B1925-X2 concept referencing claim 2025083CG6612 but the claim was also denied due to B1802-X1 concept.</t>
  </si>
  <si>
    <t>Completed 06/01/2026</t>
  </si>
  <si>
    <t>0afae19b-dc4a-414b-b95a-14c5949ccaf2</t>
  </si>
  <si>
    <t>CI-74604548</t>
  </si>
  <si>
    <t>Per provider audit review, Dispute overturned. Medical records provided on appeal support the billing of J0585 155U dose and 45U waste. Recovery request is rescinded. FDOC#: 7056690291.</t>
  </si>
  <si>
    <t>199dedf9-fc96-4ddc-ad79-287ec6bcda13</t>
  </si>
  <si>
    <t>CI-73688910</t>
  </si>
  <si>
    <t>Dispute overturned. Claim needs to be reprocessed as per recovery reviewed C26-S156-59-B-X2 (B299) concept with medical records for assistant surgeon payment indicator is 0. Medical records are attached to the claim's inquiry MLH #2026106A50775. Thank You.</t>
  </si>
  <si>
    <t>5d7fe158-cd30-4ba4-8b4c-61ce7b5210b2</t>
  </si>
  <si>
    <t>CI-74691169</t>
  </si>
  <si>
    <t xml:space="preserve">
Dispute overturned. Line 04 with JW modifier is to be repriced and paid as per maximum allowed units per column B of B1677-X1.
 </t>
  </si>
  <si>
    <t>Request rejected. This is an ITS Host claim and Prepay claim, cannot be adjusted thru reversal intake. Please follow the correct workflow.</t>
  </si>
  <si>
    <t>Completed 06/09/2026</t>
  </si>
  <si>
    <t>0dd21b20-7a0b-48e8-b3ad-94e87580e030</t>
  </si>
  <si>
    <t>CI-74158176</t>
  </si>
  <si>
    <t>Torre, Keano Richard</t>
  </si>
  <si>
    <t>Provider audit response fdoc# 7056698165</t>
  </si>
  <si>
    <t>075d1a9a-96ba-4194-a88f-feb18581c10c</t>
  </si>
  <si>
    <t>CI-74162295</t>
  </si>
  <si>
    <t>Provider Audit/CCA approved overturned. Received email, FDOC # 7056689532. Additional documentation provided that supports billed charges.  Repayment amount $7,437.86. Implant log page 35, shoulder glenoid x1, shoulder head x1, and Simpliciti nucleus x1 implanted.</t>
  </si>
  <si>
    <t>Completed 06/02/2026</t>
  </si>
  <si>
    <t>26ab7a0c-a067-49a6-a161-0f378dc27afd</t>
  </si>
  <si>
    <t xml:space="preserve">CI-73589181 </t>
  </si>
  <si>
    <t>AL87804</t>
  </si>
  <si>
    <t>Payongayong Rizel</t>
  </si>
  <si>
    <t>Dispute overturned. Claim needs to be reprocessed as per recovery reviewed line 5 - 0278/C1713 OVERTURN. Able to verify implants billed. Fdoc num:7056699013_x000D_</t>
  </si>
  <si>
    <t>b1bdaf0e-bee5-42d0-9eb7-88695df88f92</t>
  </si>
  <si>
    <t>CI-74130825</t>
  </si>
  <si>
    <t>Dispute overturned. Claim needs to be reprocessed as per recovery reviewed Appeal overturned previously for level 1 appeal. Fdoc num:7056699502_x000D_</t>
  </si>
  <si>
    <t>rejected not for adjustment. Please follow ITS host claim workflow.</t>
  </si>
  <si>
    <t>652ca928-653e-4b9b-8d74-33188b2d3fb9</t>
  </si>
  <si>
    <t>CI-74358002</t>
  </si>
  <si>
    <t xml:space="preserve">Dispute overturned. Claim needs to be reprocessed as per recovery reviewed C26-S156-59-B-X2 (B299) concept with medical records for assistant surgeon payment indicator is 0. Medical records are attached to the claim's inquiry MLH #26013E0074751.  </t>
  </si>
  <si>
    <t>d6a5a07b-c6b8-49e6-9050-5a529605c859</t>
  </si>
  <si>
    <t>CI-74276520</t>
  </si>
  <si>
    <t>Procedure code 29881 ASST_SURG_IND = "0" and provider submitted supporting documentation to prove medical necessity per MLH 2026118RH7418. Please reprocess.</t>
  </si>
  <si>
    <t>Completed w/ann lopez 6/5/2026</t>
  </si>
  <si>
    <t>4ef349b3-966f-4792-8360-f74d531b76f1</t>
  </si>
  <si>
    <t> CI-74674946</t>
  </si>
  <si>
    <t xml:space="preserve">Pajalla, Renier </t>
  </si>
  <si>
    <t>complete</t>
  </si>
  <si>
    <t>a2013586-f0c8-44a2-993c-78310e3d2cce</t>
  </si>
  <si>
    <t>CI-73337641</t>
  </si>
  <si>
    <t>Dispute overturned. Upon review, proof of timely filing confirms that the claim was submitted on 01/23/2025 and was received and acknowledged by the intermediary and payer within the timely filing limit. Therefore, the denial for timely filing is not applicable.</t>
  </si>
  <si>
    <t>Please provide the MLH# where the supporting proof was identified, as there are no attachments available in the CI.</t>
  </si>
  <si>
    <t>29782ed1-e5cc-41e1-8607-ae447943a78c</t>
  </si>
  <si>
    <t>CI-74314148</t>
  </si>
  <si>
    <t>Dispute overturned: Recovery reviewed and we request for claim to be processed since the provider submitted the claim within the filing limit of 365 days. Receipt: 02/20/2025 ; DCN 23265EC8167 Processed date 11-14-25. see mlh 2026119RH1784. Thank you.</t>
  </si>
  <si>
    <t>Completed 06/2/2026</t>
  </si>
  <si>
    <t>a51f5ae3-34da-4f72-addd-e6bc0156ac87</t>
  </si>
  <si>
    <t>CI-73603166</t>
  </si>
  <si>
    <t>Dispute Overturned. The claim was initially submitted timely to Medicaid within the 180-day timely filing requirement, as Medicaid was the only active coverage on file at the time of service. Medicaid processed and later fully recouped the payment due to identification of another primary payer, as supported by the attached EOB (reversal of previous payment). The provider rebilled the correct payer on 06/10/2024 following the recoupment. Based on COB guidelines and documented compliance with the 180-day timely filing to the initial payer, the timely filing denial should be waived.</t>
  </si>
  <si>
    <t>995ba47c-9dbc-4638-9983-80eee7e0d70b</t>
  </si>
  <si>
    <t>CI-73529131</t>
  </si>
  <si>
    <t>8225ad90-2cd8-41eb-8575-280f2faea1c7</t>
  </si>
  <si>
    <t>CI-74728098</t>
  </si>
  <si>
    <t xml:space="preserve">Procedure code 24149 CO_SURG_IND = "1" and provider submitted supporting documentation to prove medical necessity per MLH 2026127RL9198. </t>
  </si>
  <si>
    <t>Completed w/ann lopez 6/4/2026</t>
  </si>
  <si>
    <t>5f48931b-7c60-403e-b2fe-0a070d1801ff</t>
  </si>
  <si>
    <t>CI-74738601</t>
  </si>
  <si>
    <t>Reversing claim. No associated drug code that was billed and denied.</t>
  </si>
  <si>
    <t xml:space="preserve"> rejected - reference claim 26013DI2538 was denied </t>
  </si>
  <si>
    <t>e81bf7ee-25a7-4afc-a736-fdb03b1571e7</t>
  </si>
  <si>
    <t>CI-74048194</t>
  </si>
  <si>
    <t>Dispute overturned. Claim needs to be reprocessed as per provider audit review, Op report and implant log support 4 units; 2 units remained noncovered. Provider Audit response in FDOC #7040116000.</t>
  </si>
  <si>
    <t>b5a97596-ac9b-4e36-bcbb-5df895168d3c</t>
  </si>
  <si>
    <t>CI-74283785</t>
  </si>
  <si>
    <t>what is the reason for adjustment reversal?</t>
  </si>
  <si>
    <t>57c95b03-ce5f-4906-a28e-b016ddec1848</t>
  </si>
  <si>
    <t>CI-74652086</t>
  </si>
  <si>
    <t>Overturned as per PA Response FDOC# 7056895191</t>
  </si>
  <si>
    <t>31d97632-0313-4e4f-9d96-454c3718b9b0</t>
  </si>
  <si>
    <t>CI-74751136</t>
  </si>
  <si>
    <t>The claims need to be reviewed. For concept ID C26-S156-59-B-X2 Assistant Surgery Not Allowed "RAC P&amp;P update: If medical records are present and indicator is a 0 for code 29880, do not recover. Please see medical records: 2026124RC0024. Thank you</t>
  </si>
  <si>
    <t>0bb88c3a-48e7-4963-b248-bf59d6fbea5d</t>
  </si>
  <si>
    <t>CI-74706862</t>
  </si>
  <si>
    <t>B7034-X6 per step 3, only procedure code with an indicatior = 3 under PCTC_IND are subject for recovery. claim was fully denied/recouped.</t>
  </si>
  <si>
    <r>
      <rPr>
        <sz val="11"/>
        <color rgb="FF000000"/>
        <rFont val="Aptos Narrow"/>
        <family val="2"/>
        <scheme val="minor"/>
      </rPr>
      <t xml:space="preserve">Claim is in pended status 6*0000 by AL20316; Please aclose claim as this was process correctly. Kindly refer to Validation research under policy and procedure step 3 under </t>
    </r>
    <r>
      <rPr>
        <b/>
        <sz val="11"/>
        <color rgb="FF000000"/>
        <rFont val="Aptos Narrow"/>
        <family val="2"/>
        <scheme val="minor"/>
      </rPr>
      <t xml:space="preserve">NOTE: if the CPT is listed on several lines on the claim, ALL lines for that CPT/HCPCS should be recovered 
</t>
    </r>
  </si>
  <si>
    <t>d7888b5c-ed16-41b4-b75f-d211f543fa40</t>
  </si>
  <si>
    <t>CI-71830166</t>
  </si>
  <si>
    <t>Dispute overturned. Procedure code 96413 MAI Indicator = "3" and provider submitted supporting documentation to prove medical necessity per MLH 2026148B80005. Please reprocess. Thank you</t>
  </si>
  <si>
    <t>86c62d46-fc3d-4f08-9c14-6a676c177ae4</t>
  </si>
  <si>
    <t>CI-74746120</t>
  </si>
  <si>
    <t>Claim identified as duplicate; however, charges and payment differ from prior billing. Therefore, denial is not applicable on claim 25031CS6345.</t>
  </si>
  <si>
    <t>please review per concept C11-S289-59-B-X1</t>
  </si>
  <si>
    <t>8adc5375-6ee2-4503-a92b-70f9a42697ab</t>
  </si>
  <si>
    <t>CI-74452267</t>
  </si>
  <si>
    <t xml:space="preserve">Recovery review, this claim needs to be partially reprocessed due to provider submitted a proof of timely filing attached under MLH 2026121R11053. Wherein, provider initially submitted the claim to other insurance in error. Other insurance denied explanation of benefits has a pay date of 12/31/2024 and Anthem received the claim on 02/25/2025. Therefore,  claim was received within the 90 days timely filing limit. Please review. </t>
  </si>
  <si>
    <t>3f1da89f-6203-4ffa-8ed9-0c9f839a940f</t>
  </si>
  <si>
    <t xml:space="preserve">
CI-73530819
</t>
  </si>
  <si>
    <t xml:space="preserve">Javier, Allyssa Joy </t>
  </si>
  <si>
    <t>Dispute overturned. Documentation was provided and does support charges billed. See PA response at FDOC 7058726775. For claim reversal.</t>
  </si>
  <si>
    <t>dab3da16-969c-41a9-a903-02559838b369</t>
  </si>
  <si>
    <t>CI-74103869</t>
  </si>
  <si>
    <t>Partially upheld per PA response, RI# 85951</t>
  </si>
  <si>
    <t>is this already logged to RI or already rejected by RI team? if this CI was already logged and not yet review or rejected, please wait for RI review
- per advised, we will be doing the adjustment. Done doing adjustment with SME Avic while on sharescreen</t>
  </si>
  <si>
    <t>6a90de08-395b-45c7-8bd8-3a57961f935f</t>
  </si>
  <si>
    <t>CI-73994013</t>
  </si>
  <si>
    <t xml:space="preserve">	
Dispute overturned. As per concept B7912-X1 claim is incorrectly paying without an itemized bill. Provider submitted itemized bill under MLH 2026113B00130. Sent to reversal intake with ID # 85750</t>
  </si>
  <si>
    <t>b3a96f0f-b7d3-4f9f-a5cc-0d216ef18b66</t>
  </si>
  <si>
    <t>CI-75080744</t>
  </si>
  <si>
    <t>Dispute overturned. As per B7536X1 concept, drug administration codes paying when associated drug charge denied. Reference claim 2025286DK8478 with procedure code J0585 was paying therefore, claim 2025282DW6373 with procedure code 64615 is eligible for payment. Sent to reversal with ID# 85977</t>
  </si>
  <si>
    <t>Rejected- reference claim 25286DK8478
with procedure code J0585 (drug charges) was denied.</t>
  </si>
  <si>
    <t>65623ee9-3c27-41cb-930e-0051557571ac</t>
  </si>
  <si>
    <t>CI-73213927</t>
  </si>
  <si>
    <t xml:space="preserve">	
Dispute overturned. Claim can be allowed at the contracted rate, doc supports service. See PA response at FDOC 6995698371. Sent to reversal intake with intake ID #85252</t>
  </si>
  <si>
    <t>6c5df0b4-6aa7-451c-9edf-e0d16fc0f4a4</t>
  </si>
  <si>
    <t>CI-74664679</t>
  </si>
  <si>
    <t>e8d310de-74aa-403b-8dcc-52d7bc7aa0f9</t>
  </si>
  <si>
    <t>CI-75016508</t>
  </si>
  <si>
    <t>Dispute overturned. Documentation supports 4 implant units were used in the procedure. See PA response at FDOC 7037237544. See medical records at MLH AVAPF260123ed4aa0ea. Sent to reversal intake with ID 85980</t>
  </si>
  <si>
    <t>50a7d984-a1e1-4c4d-89e4-3787c082ea5a</t>
  </si>
  <si>
    <t>CI-74769399</t>
  </si>
  <si>
    <t>Dispute overturned. Claim needs to be reprocessed as per recovery reviewed due to procedure code 29881 with MAI indicator 0 was billed with the appropriate modifier (AS) and is allowed to be billed as assistant surgeon. Medical Records under MLH# 2026119B80238.
Sent to reversal intake with ID# 85987</t>
  </si>
  <si>
    <t>Claim already reversed by RI team</t>
  </si>
  <si>
    <t>f07b3f6f-47a0-44c1-9644-9bb19fb9fb34</t>
  </si>
  <si>
    <t>CI-74443577</t>
  </si>
  <si>
    <t>Dispute overturned. Claim needs to be reprocessed as per recovery review. As per step 3 of C3-S523-59-B-X1, claim doesn't have primary diagnosis codes of F01*- F99.9*. Also, line 4 procedure code 99173 is not included in the step 2 of the concept. Please kindly reprocess procedure codes 99173 and 96156.
Sent to reversal intake with ID# 86004</t>
  </si>
  <si>
    <t>ca1ecff2-0110-44b9-a310-72aa289b14ad</t>
  </si>
  <si>
    <t>CI-73716958</t>
  </si>
  <si>
    <t>Dispute overturned. Claim with procedure code
62223 needs to be reprocessed as per recovery reviewed B6473-X7 concept with medical records for Co-Surgery payment indicator is 1. Medical records are attached to the claim's inquiry MLH #2025365B60398. Please reprocess. Thank You.</t>
  </si>
  <si>
    <t>18e8cf46-8918-4209-a70f-7beb9d665433</t>
  </si>
  <si>
    <t>CI-74848460</t>
  </si>
  <si>
    <t xml:space="preserve">Claim needs to be reprocess (procedure code 28280) as per concept criteria B299-X5, if Asst Surg indicator shows "0" and medical records are present. do not recover.
</t>
  </si>
  <si>
    <t>Completed with Ms Ann Lopez</t>
  </si>
  <si>
    <t>44d81676-72bc-4479-b4d3-be5918fdee82</t>
  </si>
  <si>
    <t>CI-74458905</t>
  </si>
  <si>
    <t>Line 6 denied due to requested info not received. Per for PA review, allowed as follows: 
#1,020.60# Pls recover 14 units from CL 6 HCPCS UNK.  Does not meet implant policy.  New allowed amount $13,065.30. Appeal modified for CL 6 HCPCS UNK.  Upheld amount $1,020.60.  Repayment amount $13,065.30.
Implant log pg 26. 
Rods x2, screws x28, and pliafix bone graft x1 implanted. 
K wires x14 - not an implant, billed at $1,890.00
NST EN0469 - 54% of CBC
1,890 * 54% = 1,020.60</t>
  </si>
  <si>
    <t>Completed 06/12/26</t>
  </si>
  <si>
    <t>41542458-04f1-4901-bb87-8fa9f5fd15e0</t>
  </si>
  <si>
    <t>CI-74803654</t>
  </si>
  <si>
    <t>Fejer,  Alvin</t>
  </si>
  <si>
    <t>Claim needs to be reprocessed as per recovery review. No payment was made due to B7912 but provider submitted complete itemized billing document per MLH #2026129R70004. Please review for possible reprocessing.</t>
  </si>
  <si>
    <t>Completed by Angelica Buan</t>
  </si>
  <si>
    <t>1e768a52-dace-4d4c-b6e2-956a597ce08d</t>
  </si>
  <si>
    <t>CI-74883251</t>
  </si>
  <si>
    <t>Claim needs to be reprocessed as per recovery review, NPAR provider is part of the exclusions as per concept C23-S369-59-B-X1. thanks</t>
  </si>
  <si>
    <t>Completed w/ann lopez 6/12/2026</t>
  </si>
  <si>
    <t>e4922518-486e-4a15-8b01-1accdb829a5f</t>
  </si>
  <si>
    <t>CI-74663826</t>
  </si>
  <si>
    <t>Alina,  Ronald Sydney</t>
  </si>
  <si>
    <t> Dispute overturn. claim can be allowed at contracted rate. PA response FDOC# - 7056688799</t>
  </si>
  <si>
    <t>df6d1e57-df19-4b29-b129-cc03dd01183f</t>
  </si>
  <si>
    <t>CI-74645606</t>
  </si>
  <si>
    <t>Overturned as per PA Response FDOC# 7058932135</t>
  </si>
  <si>
    <t>Completed 06/03/2026</t>
  </si>
  <si>
    <t>908a2230-9893-401e-9a2c-2b1d202d6e75</t>
  </si>
  <si>
    <t xml:space="preserve">CI-74807291 </t>
  </si>
  <si>
    <t>AH8914</t>
  </si>
  <si>
    <t xml:space="preserve">Fejer, Alvin </t>
  </si>
  <si>
    <t xml:space="preserve">Request for claim to be reprocessed since provider submitted claim with acceptable proof of timely filling under DCN/MLH #2026129B00312, dated of 9/30/2025. The claim within the filling limit of 90 days. Receive date is 9/30/2025. Furthermore, related claim duplicate claim was used 2025273CE6398 to return payment due to mismatch of CPT between clearinghouse file and CIW original claim. </t>
  </si>
  <si>
    <t>Completed 6/4/2026</t>
  </si>
  <si>
    <t>e3c084cd-7cc9-498e-98dc-40e9e016d669</t>
  </si>
  <si>
    <t>CI-74651515</t>
  </si>
  <si>
    <t>Overturned as per PA Response FDOC# 7056663293</t>
  </si>
  <si>
    <t>3f4a4a27-2583-4337-aeb1-0c97ae78a724</t>
  </si>
  <si>
    <t>CI-74651670</t>
  </si>
  <si>
    <t>Overturned as per PA Response FDOC# 7056663326</t>
  </si>
  <si>
    <t>fca71083-4094-4bd3-b16f-81ca420f70cc</t>
  </si>
  <si>
    <t>CI-74903359</t>
  </si>
  <si>
    <t xml:space="preserve">CPT 62165 with modifier 52 denied B6473-X8. Per review, Mai indicator is 1 w/ medical records provided.
</t>
  </si>
  <si>
    <t>COMPLETED 6/4/26</t>
  </si>
  <si>
    <t>0c93335f-5678-4df6-917c-c4da7c38fb2c</t>
  </si>
  <si>
    <t>CI-74807563</t>
  </si>
  <si>
    <t>Request for claim to be reprocessed due to no denied line with J code present in reference claim 2025241ES3367 per B7536-X1. Thank you</t>
  </si>
  <si>
    <t>oks to adj</t>
  </si>
  <si>
    <t>207a62cf-669a-4bfc-a766-9d4e85741d7a</t>
  </si>
  <si>
    <t>CI-74901979</t>
  </si>
  <si>
    <t xml:space="preserve">
Request claim to be reprocessed. DCN 25254BB4279 doesn't meet  Step 6 of B398-X6, X8, X9, X15, X16_P1024WP01_Frequency Editing . If NO - no further validation. Also claim Xref DCN  25223EZ5070 tagged in CX pop up is voided / not paid. So both line 1 of these DCNs were not paid. 
</t>
  </si>
  <si>
    <t>Completed 06/09/2026
w/ Miss Leah</t>
  </si>
  <si>
    <t>39317409-03cd-4df6-ace1-095c9e66131f</t>
  </si>
  <si>
    <t>CI-74699241</t>
  </si>
  <si>
    <t>Per Provider audit determination: Overturned- Claim line 4 HCPCS C1713 amount charges $2813.58. Documentation supports 3 implant units were used in the procedure. FDOC#: 7061442608.</t>
  </si>
  <si>
    <t>fef8c941-2a07-4648-922f-42f6229dec59</t>
  </si>
  <si>
    <t>CI-75081123</t>
  </si>
  <si>
    <t xml:space="preserve">Dispute overturned. Claim needs to be reprocessed as per recovery reviewed due to the claim was received within the timely filing limit of 90 days. EOB denial date is 01/22/2025(page 12) from MLH# 2026118RI3138. Claim's received date was 01/09/2025. </t>
  </si>
  <si>
    <t>Rejected - not a valid POTF eob denied date is more recent than received date.</t>
  </si>
  <si>
    <t>f36e4325-fa00-4eb8-a734-ea9c72c870f2</t>
  </si>
  <si>
    <t xml:space="preserve">CI-74124419
</t>
  </si>
  <si>
    <t xml:space="preserve">Per PA review for overturned, line 3 and 4 Clinical supports payment.
FDOC#: 7034850613
</t>
  </si>
  <si>
    <t>f0c645c9-3fac-4250-8fef-148c101c7dba</t>
  </si>
  <si>
    <t>CI-75901857</t>
  </si>
  <si>
    <t>active policy</t>
  </si>
  <si>
    <t>c96ff16e-aa59-4ea1-834d-eb0379002ff6</t>
  </si>
  <si>
    <t>CI-74907985</t>
  </si>
  <si>
    <t>Request for claim to be reprocessed since provider submitted the claim with acceptable proof of timely filling, post date of 8/11/2025. Received date is 7/15/2025. The claim within the filling limit of 180 days. Sent to reprocess.</t>
  </si>
  <si>
    <t>Completed 6/3/2026</t>
  </si>
  <si>
    <t>f6f8909a-822e-46d9-bbb4-7663cea1bd07</t>
  </si>
  <si>
    <t>CI-74227710</t>
  </si>
  <si>
    <t>Overturned per PA - FDOC#7036785916</t>
  </si>
  <si>
    <t>bca07f21-ed09-46e0-82fa-ef533e8e5dc5</t>
  </si>
  <si>
    <t>CI-74285751</t>
  </si>
  <si>
    <t>Overturned per PA - FDOC#7039234313</t>
  </si>
  <si>
    <t>7f304121-5049-44a4-bfbe-3b9dac0df2b9</t>
  </si>
  <si>
    <t>CI-74923946</t>
  </si>
  <si>
    <t>Dispute overturned. Claim was denied per concept B6903-X1. However, Medicare Part A or Part B Indicator is not Q and no RET edit or RY bypass code on the claim.</t>
  </si>
  <si>
    <t>this is COB related and we do not RI COB claims please RTO&gt;&gt;overturn</t>
  </si>
  <si>
    <t>32b3bfa3-d127-4dcf-95b7-a67cba1dffb7</t>
  </si>
  <si>
    <t>CI-74876949</t>
  </si>
  <si>
    <t>Claim allowed does not match on standalone pricing</t>
  </si>
  <si>
    <t>5d939a2c-7cd6-437f-b177-c973b4c8aa4f</t>
  </si>
  <si>
    <t>CI-74923932</t>
  </si>
  <si>
    <t>MAI indicator for assistant surgeon = 0, with medical records</t>
  </si>
  <si>
    <t>53dec38b-58b8-4544-bdd5-050e27738f40</t>
  </si>
  <si>
    <t>CI-74414875</t>
  </si>
  <si>
    <t>914a0f9c-5db8-4293-a0ed-e7f32ae5ec3d</t>
  </si>
  <si>
    <t>CI-74589296</t>
  </si>
  <si>
    <t>Villalon, Lois, Adrienne</t>
  </si>
  <si>
    <t xml:space="preserve">Per PA review, claim is for overturned. 
CLAIM 25133EZ4839
DOS 04/16/2025
OVERTURNED CLAIM LINE 3, HCPCS C1713. DOCUMENTATION SUPPORTS BILLED CHARGES.
</t>
  </si>
  <si>
    <t>COMPLETED 6/5/26</t>
  </si>
  <si>
    <t>0188614d-fcce-42fe-86b0-2ef9b88200ec</t>
  </si>
  <si>
    <t>CI-74545369</t>
  </si>
  <si>
    <t>Per PA review, claim is for overturned. 
Claim #24243EL9900/Line 2/C1781/$1012.01
Documentation supports 2 implant units were used in the procedure.</t>
  </si>
  <si>
    <t>2e339dd9-a65f-46f8-9aec-cc3d704a1ec9</t>
  </si>
  <si>
    <t>CI-74945510</t>
  </si>
  <si>
    <t>Reversing claim. Provider submitted the claim within the filing limit of 90 days. DOS is 03/19/2024. Received date is 02/21/2025. Denied EOB from another carrier dated 01/05/2026 under MLH#2026132RH2835.</t>
  </si>
  <si>
    <t>43fc1991-6341-473f-9692-53cc3ea6d568</t>
  </si>
  <si>
    <t xml:space="preserve">CI-74684318	</t>
  </si>
  <si>
    <t>Marcelino Gerommel</t>
  </si>
  <si>
    <t>OVERTURED PER PA REVIEW
Claim #25219DQ1970/Line 4/C1889/$15229.80
Original documentation supports 2 implant units were used in the procedure.</t>
  </si>
  <si>
    <t>8d664920-2cc0-4d26-ad46-126f0d6e34cd</t>
  </si>
  <si>
    <t>CI-74965152</t>
  </si>
  <si>
    <t xml:space="preserve">For reversal |	
Timely filing limit for professional claim for the state of New York is 120 days. DOS 02/20/2025 and Claim's received date was 08/20/205 which is only 92 days, regardless of no proof of TFL submitted the claim was evidently filled timely and this should be overturned. For proof of TFL please see MLH 2026132R70890. </t>
  </si>
  <si>
    <t>Rejected – The claim was received beyond the 120-day filing limit, with a total of 180 days from the receipt date.</t>
  </si>
  <si>
    <t>53bc085a-672d-4cb8-b152-e07d838fd8d5</t>
  </si>
  <si>
    <t>CI-74969847</t>
  </si>
  <si>
    <t>Provider submitted proof of TFL under 
2026114A20605</t>
  </si>
  <si>
    <t>Rejected - clearing house accepted date 05/08/2025 is beyond tfl days of 180 days.</t>
  </si>
  <si>
    <t>348d87b4-7151-4f1a-92e8-460527709596</t>
  </si>
  <si>
    <t>CI-74945545</t>
  </si>
  <si>
    <t xml:space="preserve">Claims need to be reprocessed as per recovery review. Procedure code 90837 is not mutually inclusive with procedure code 90846 within CMS NCCI edit guidelines. </t>
  </si>
  <si>
    <t>cb745c32-9938-446e-b322-9955bd8f73e1</t>
  </si>
  <si>
    <t>CI-73573622</t>
  </si>
  <si>
    <t>Overturned as per PA Response FDOC# 7062018728</t>
  </si>
  <si>
    <t>9eb7f76e-46b5-4f1f-89d9-929306b67c21</t>
  </si>
  <si>
    <t xml:space="preserve">
CI-74952321</t>
  </si>
  <si>
    <t xml:space="preserve">Request for claim to be reprocessed since provider submitted the claim within the filing limit of 365 days. DOS is 03/14/2025. Received date is 07/09/2025. Please see proof of timely filing at 2026132RL7441.Denied EOB from other carrier dated 05/19/2025. This is within timely filing. </t>
  </si>
  <si>
    <t>8146547e-384b-4d58-99d8-34ae7d8dfb0b</t>
  </si>
  <si>
    <t>CI-74951990</t>
  </si>
  <si>
    <t>Tuazon, Pope</t>
  </si>
  <si>
    <t>Automatic overturn as per Concept B299 with medical records</t>
  </si>
  <si>
    <t>4c685d31-a748-44da-a34d-bca741e5e58f</t>
  </si>
  <si>
    <t>CI-74633827</t>
  </si>
  <si>
    <t>Per Provider audit determination: Partially Upheld, Documentation supports 2 implant units; however, REGENETEN Bio-inductive implant does not meet Anthem's definition and guidelines to bill as an implant. Payable amount is $1748.53. FDOC#: 7062069704.</t>
  </si>
  <si>
    <t>cf0c646e-14f4-4de5-9668-77f031029b30</t>
  </si>
  <si>
    <t>CI-74680874</t>
  </si>
  <si>
    <t>OVERTURNED PER PA REVIEW
Documentation was provided and does support charges billed.</t>
  </si>
  <si>
    <t>2962491e-acdc-42f8-87fe-2f71b1069a50</t>
  </si>
  <si>
    <t>CI-74210326</t>
  </si>
  <si>
    <t>OVERTURNED PER PA REVIEW
Documentation supports 5 implant units were used in the procedure.</t>
  </si>
  <si>
    <t>9488c512-e7c6-48f8-8b43-53fe8492c30e</t>
  </si>
  <si>
    <t>CI-74898606</t>
  </si>
  <si>
    <t xml:space="preserve">overturn as adjusted date is after 11/18/2025 / retired concept B8070-X1
</t>
  </si>
  <si>
    <t>oks for adj - Concept retired on 11/18/2025. All inventory should be worked. Claim was adjusted  on 11/24/2025</t>
  </si>
  <si>
    <t>a8112888-8f01-4a78-85ac-bb4a9febc3cf</t>
  </si>
  <si>
    <t>CI-74671126</t>
  </si>
  <si>
    <t>"Provider audit/CCA approved overturn"
The Documentation was provided and does support charges billed MLH# 2026126C21340. Fdoc: 7062141749</t>
  </si>
  <si>
    <t>d3f327ee-7fb7-4671-ab68-4dd0054d5fe2</t>
  </si>
  <si>
    <t>CI-74965944</t>
  </si>
  <si>
    <t>Line 16 has allowed amount</t>
  </si>
  <si>
    <t>Leah</t>
  </si>
  <si>
    <t>86ad3147-a292-4397-9e51-779cd898bea7</t>
  </si>
  <si>
    <t>CI-74969208</t>
  </si>
  <si>
    <t>Dispute overturned. Procedure code 29999 ASST_SURG_IND = "0" and provider  submitted supporting documentation to prove medical necessity per MLH 2026133B00074. Please reprocess. Thank you</t>
  </si>
  <si>
    <t>Completed 06/03/2026 with SME LOPEZ, KRISTIANNA MARIE</t>
  </si>
  <si>
    <t>e7063c1f-9b0c-400d-a6a2-c2e617dbee63</t>
  </si>
  <si>
    <t>CI-74970583</t>
  </si>
  <si>
    <t xml:space="preserve">Sent for reversal due to the claim was received within the timely filing limit of 120 days. Date of service 09-23-24, claim received date 09-23-24. </t>
  </si>
  <si>
    <t>07ae361a-4ebb-4cbf-8b17-14c846ae5a9d</t>
  </si>
  <si>
    <t>CI-74669291</t>
  </si>
  <si>
    <t>Dispute overturn - Documentation was provided and does support charges billed.</t>
  </si>
  <si>
    <t>32614c21-f545-43ef-a1ff-590d0482e72c</t>
  </si>
  <si>
    <t xml:space="preserve">CI-74450569
</t>
  </si>
  <si>
    <t>Per claims information, the medication, Q5103 has been paid; the administration charge on line 01 is now payable.</t>
  </si>
  <si>
    <t>37a95e4d-4306-41ab-a9a7-e7d83c9544e8</t>
  </si>
  <si>
    <t>CI-73973638</t>
  </si>
  <si>
    <t>Overturned as per PA Response FDOC# 7036924553</t>
  </si>
  <si>
    <t>Completed 06/06/2026</t>
  </si>
  <si>
    <t>c2065c91-dcbb-4719-838e-5ecb363bd875</t>
  </si>
  <si>
    <t>CI-73544374</t>
  </si>
  <si>
    <t>Dispute overturn. Claim need to reprocessed  for procedure code 01230 since provider gave surgery claim 2026014DS9584.</t>
  </si>
  <si>
    <t>2318ab7e-7854-4c33-b32b-ba60dad441fc</t>
  </si>
  <si>
    <t>CI-74992245</t>
  </si>
  <si>
    <t>Dispute overturned. Claim needs to be reprocessed as per recovery review. Claim doesn't have same revenue code with xref claim 2025239DU2728 which does not meet step 4 of C11-S287-59-B-X4 concept. Also xref claim 2025239DU2728 payment was retracted due to B7762-X1 concept. Procedure code 52352 needs to be reprocessed.</t>
  </si>
  <si>
    <t>Completed 06/05/2026</t>
  </si>
  <si>
    <t>b0bd6302-f326-4970-8791-5f2a372d4bb5</t>
  </si>
  <si>
    <t xml:space="preserve">CI-74718246
</t>
  </si>
  <si>
    <t>Claim needs to be reprocessed as per recovery review, allowable amount is for $11720.02. Please reprocess this claim base on the contract rate.</t>
  </si>
  <si>
    <t>Oks to adjust as per Anthony email response</t>
  </si>
  <si>
    <t>9d34d852-42fb-470b-a15f-74a23fdee1cb</t>
  </si>
  <si>
    <t>CI-73858178</t>
  </si>
  <si>
    <t xml:space="preserve">	
Dispute Overturned. Claim needs to be reprocessed as per provider audit review, Level 1 appeal review of CPT 22558 and 22585 with modifier 62. Modifier 62 is supported by submitted appeal documentation. Provider Audit response in FDOC # 7063974782.</t>
  </si>
  <si>
    <t>b04f5ee5-4be9-45f2-8956-e480dcb2fb68</t>
  </si>
  <si>
    <t>CI-74069750</t>
  </si>
  <si>
    <t>Dispute overturned. Recovery reviewed the claim and per findings, claim ca be allowed at contracted rate.  Please reconsider and reprocess accordingly.</t>
  </si>
  <si>
    <t>completed 6/09/2026</t>
  </si>
  <si>
    <t>9644e21f-bfb7-435b-bf9c-aaa44974a36b</t>
  </si>
  <si>
    <t>CI-74812599</t>
  </si>
  <si>
    <t xml:space="preserve">As per provider audit/CCA on FDOC # 7064072445, documentation supports an implant unit was used in the procedure. </t>
  </si>
  <si>
    <t>Completed 06/04/2026</t>
  </si>
  <si>
    <t>f26f5e88-f10e-469a-897d-7f096a9a33bb</t>
  </si>
  <si>
    <t>CI-74815248</t>
  </si>
  <si>
    <t>Documentation supports an implant unit was used in the procedure. Claim #25336DY2820/Line 4/C1713/$717.74</t>
  </si>
  <si>
    <t>7265cb31-ed3d-4492-99e1-8830de3fb44e</t>
  </si>
  <si>
    <t>CI-74960043</t>
  </si>
  <si>
    <t>Per provider audit review Revenue code 278 can be billed as implant supported documents submitted under 2026128RV0215. FDOC# 7064112092</t>
  </si>
  <si>
    <t>3f8ad1dd-a7fe-435d-8fff-9c1e5520d7e0</t>
  </si>
  <si>
    <t>Procedure code 19301, 19285 ASST_SURG_IND = "0" and provider submitted supporting documentation to prove medical necessity per MLH 2026118RH7418.</t>
  </si>
  <si>
    <t>d0b7e568-b035-406e-a953-2c916b59a014</t>
  </si>
  <si>
    <t>CI-74419417</t>
  </si>
  <si>
    <t>3aa80c35-7a72-4e79-a25b-51000bae2b67</t>
  </si>
  <si>
    <t xml:space="preserve">CI-73901033
</t>
  </si>
  <si>
    <t xml:space="preserve">Dispute overturned: Recovery reviewed and we request for claim to be processed since the provider submitted the claim within the filing limit of 180 days. Receipt: 05/26/2025 ; Service from: 02/19/2025 see mlh 2026111RH3072. Thank you.
</t>
  </si>
  <si>
    <t>1fcbd82a-c16a-4c3d-acb3-d3ff66787b57</t>
  </si>
  <si>
    <t>CI-73892328</t>
  </si>
  <si>
    <t>Espinas, Jayson Dave</t>
  </si>
  <si>
    <t xml:space="preserve">Claim needs to be reprocessed as per recovery review due to the claim was received within the timely filing limit of 180 days. Check date from EOB CIGNA HEALTH AND LIFE INSURANCE COMPANY is 02/19/2025 from MLH# 2026111A90704. Claim's received date was 07/10/2025. </t>
  </si>
  <si>
    <t>eb466808-5cdc-4361-9cf8-7e575569d4ee</t>
  </si>
  <si>
    <t>CI-75698832</t>
  </si>
  <si>
    <t>Please adjust these claims to apply mixer par indicator E. this is a tier 1 facility and should process towards tier 1 benefits. currently they are processed toward tier 2 benefits.</t>
  </si>
  <si>
    <t>aa337103-5e00-45a1-abd8-86f933ca21cf</t>
  </si>
  <si>
    <t>CI-75698833</t>
  </si>
  <si>
    <t>2c1d2f4a-7bc1-4774-9f4a-6e57ae1227b7</t>
  </si>
  <si>
    <t>CI-75022898</t>
  </si>
  <si>
    <t xml:space="preserve">Per review - within timely filing limit </t>
  </si>
  <si>
    <t>Okay to adjust</t>
  </si>
  <si>
    <t>bd2baa8b-7a61-4ee3-9291-1d3bc69fda2d</t>
  </si>
  <si>
    <t>CI-74292116</t>
  </si>
  <si>
    <t xml:space="preserve">OVERTURN PER PA REVIEW
Overturned, claim can be allowed at contracted rate. 
</t>
  </si>
  <si>
    <t>Rejected - Please follow kernel claim workflow</t>
  </si>
  <si>
    <t>b1594899-eeba-467e-94e9-623b737010e5</t>
  </si>
  <si>
    <t>CI-73169640</t>
  </si>
  <si>
    <t>OVERTURN PER PA REVIEW
PROVIDER SENT IN RECORDS SUPPORTING DRUG J1745. 1,000MG (100UNITS) OF  INFLIXIMAB ADMINISTERED TO PATIENT ON DOS 2.25.2025</t>
  </si>
  <si>
    <t>31f0f1b3-5d1c-4da7-bde0-5ad1e0b8ccb4</t>
  </si>
  <si>
    <t>CI-75020447</t>
  </si>
  <si>
    <t>Claim needs to be reprocessed as per recovery review. No payment was made due to DMO concept C23-S369-59-B-X1 but per validation, procedure code Q9967 has FLT pricing error and should not be recovered.</t>
  </si>
  <si>
    <r>
      <rPr>
        <sz val="11"/>
        <color rgb="FF000000"/>
        <rFont val="Aptos Narrow"/>
        <family val="2"/>
        <scheme val="minor"/>
      </rPr>
      <t xml:space="preserve">this is for upheld per step 5 since price error is 3S </t>
    </r>
    <r>
      <rPr>
        <b/>
        <sz val="11"/>
        <color rgb="FF000000"/>
        <rFont val="Aptos Narrow"/>
        <family val="2"/>
        <scheme val="minor"/>
      </rPr>
      <t>AND</t>
    </r>
    <r>
      <rPr>
        <sz val="11"/>
        <color rgb="FF000000"/>
        <rFont val="Aptos Narrow"/>
        <family val="2"/>
        <scheme val="minor"/>
      </rPr>
      <t xml:space="preserve"> reason  is FLT, it should be fall in </t>
    </r>
    <r>
      <rPr>
        <b/>
        <sz val="11"/>
        <color rgb="FF000000"/>
        <rFont val="Aptos Narrow"/>
        <family val="2"/>
        <scheme val="minor"/>
      </rPr>
      <t>NO</t>
    </r>
    <r>
      <rPr>
        <sz val="11"/>
        <color rgb="FF000000"/>
        <rFont val="Aptos Narrow"/>
        <family val="2"/>
        <scheme val="minor"/>
      </rPr>
      <t xml:space="preserve"> - Recover claim line (s) in full.</t>
    </r>
  </si>
  <si>
    <t>d87e33e6-ad34-4dff-90ec-2173dd97cfa6</t>
  </si>
  <si>
    <t>CI-75044207</t>
  </si>
  <si>
    <t xml:space="preserve">Concept - B7536-X1. Dispute overturned. As per recovery review. Drug administration code is allowed as the associated drug is paid. </t>
  </si>
  <si>
    <t>Completed 06/08/2026</t>
  </si>
  <si>
    <t>dc7be742-0198-4ea9-bc0c-e50ef2a87e70</t>
  </si>
  <si>
    <t>CI-74608603</t>
  </si>
  <si>
    <t>Per PA review - overturned
 Initial paid amount: $8,133.39
Determination:   Overturned, documentation received on appeal supports Implants billed.
FDOC# 7064705861</t>
  </si>
  <si>
    <t>Completed 6/8/2026</t>
  </si>
  <si>
    <t>efa0686c-d6e4-437b-9f45-22f61fd2c0f8</t>
  </si>
  <si>
    <t>CI-74659530</t>
  </si>
  <si>
    <t>Villamor, Juana Marie</t>
  </si>
  <si>
    <t>ob</t>
  </si>
  <si>
    <t>18e49ffd-3f6e-45b1-9be8-3049f193719c</t>
  </si>
  <si>
    <t>CI-75007397</t>
  </si>
  <si>
    <t xml:space="preserve">Request for reversal on procedure code 15879 and  15877 due to assistant surgeon indicator is 0 and medical record was received. Per concept ID B299/C26S15659B-X2, overturn automatically, no review by CCA when indicator is 0 and medical records received. See attached MLH#2026133RH2386 for medical records.
</t>
  </si>
  <si>
    <t>bd29c200-0e5f-4137-9366-85e96266a9d0</t>
  </si>
  <si>
    <t>CI-74914728</t>
  </si>
  <si>
    <t xml:space="preserve">Claim was received within the TFL hence it is for reversal </t>
  </si>
  <si>
    <t>511f8e4d-68a3-4569-8928-093e5420abcb</t>
  </si>
  <si>
    <t>CI-75082761</t>
  </si>
  <si>
    <t>Ninas,Mark Ian</t>
  </si>
  <si>
    <t xml:space="preserve">Recovery reviewed the claim and per findings, TFL is 180 days. Date of service is 03/25/2024 and the received date is 03/05/2025 however, there is a valid POTF found per MLH# 2026134R73295 showing that it was processed by other insurance GHI COMPOSITE and payment was recovered on 02/21/2025. Please reconsider and reprocess accordingly.
</t>
  </si>
  <si>
    <t>08e2c078-4f44-40a7-9d45-f7446018c9f3</t>
  </si>
  <si>
    <t>CI-73587111</t>
  </si>
  <si>
    <t>Provider demonstrated a good faith effort by filing the claim to the primary payer on record (Passport Medicaid) on 02/12/2025, which is well within the TFL. Upon discovery of the active Anthem policy on 04/29/2025, the claim was immediately submitted and received by Anthem on 04/30/2025. Per proof of filing (EDI 277 dated 02/13/2025), the initial submission was within 90 days.</t>
  </si>
  <si>
    <t>ff2f60e5-45cd-48ee-a000-ef7bd804dbe6</t>
  </si>
  <si>
    <t>POTFL is in MLH 
2025363RL5963</t>
  </si>
  <si>
    <t>cfe248fc-232e-49e5-a1ac-8e7fd33237d2</t>
  </si>
  <si>
    <t>CI-73671218</t>
  </si>
  <si>
    <t>Dispute overturned. Upon review, the original claim (TOB 111, claim #2023194CJ8209) was filed on 07/13/2023, which is within the timely filing limit of 180 days. The claim was processed on 08/04/2023 and denied as not medically necessary. Subsequent corrected claims (TOB 118, claim #2024036EE2847 and TOB 131, claim #2024037CJ6396) were submitted as a continuation of the original timely filed claim. Therefore, the denial for timely filing is not supported.</t>
  </si>
  <si>
    <t>not yet adjusted</t>
  </si>
  <si>
    <t>b4c40529-3d8d-4895-a87b-a77f19740fc6</t>
  </si>
  <si>
    <t>CI-73670826</t>
  </si>
  <si>
    <t>This case was reviewed and determined to meet timely filing requirements. The claim was initially submitted on 12/18/2023, within the 180‑day filing limit for dates of service 11/17/2023–11/19/2023. Subsequent submissions reflect corrected billing (TOB 131) following prior payer denial and patient status adjustment. As this represents a continuation of a timely filed claim and not a new submission, the timely filing denial was applied in error. Kindly reprocess the claim.</t>
  </si>
  <si>
    <t>2096bebc-85e4-41a4-8654-bc10fe804486</t>
  </si>
  <si>
    <t>CI-73671585</t>
  </si>
  <si>
    <t>Dispute overturned. Upon review, the original claim (TOB 111, claim #2023216BR6625) was filed on 08/04/2023, which is within the timely filing limit of 180 days. The claim was processed on 09/15/2023 and denied as not medically necessary. Subsequent corrected claims (TOB 118, claim #2023216BR6625 and TOB 131, claim #2024233EI7180) were submitted as a continuation of the original timely filed claim. Therefore, the denial for timely filing is not supported.</t>
  </si>
  <si>
    <t>4918c4f5-e035-465f-b348-ec99033e6fd6</t>
  </si>
  <si>
    <t>CI-74954603</t>
  </si>
  <si>
    <t>Berida,Rechelle</t>
  </si>
  <si>
    <t>Per provider audit review claim 2025170BV3931 can be allowed at a contracted rate. FDOC# 7066530970</t>
  </si>
  <si>
    <t>7ef0028c-ac88-479e-8c6e-6eb39829bdfe</t>
  </si>
  <si>
    <t>CI-74957644</t>
  </si>
  <si>
    <t>Per provider audit review claim 2025170BW1244 can be allowed at a contracted rate. FDOC# 7066531977</t>
  </si>
  <si>
    <t>b34cccc6-b7b6-4943-b3fe-116fa265f44c</t>
  </si>
  <si>
    <t>CI-74761581</t>
  </si>
  <si>
    <t>Consad, marichu</t>
  </si>
  <si>
    <t>As per Provider audit; Overturned, claim can be allowed at contracted rate.  FDOC# 7066613125</t>
  </si>
  <si>
    <t>Completed 06/12/2026</t>
  </si>
  <si>
    <t>1be074a4-3d90-47a1-bd46-a8d053733da8</t>
  </si>
  <si>
    <t>CI-74896297</t>
  </si>
  <si>
    <t>Overturned per PA review
Claim #23290DM7492/Line 13/G0390/$3792.34
Arrival: 1946 |Transport: EMS |Pre Notification: 1941 |Billed w/99291: YES
CC 30 minutes: Yes | Trauma Response: YES | Trauma Ctr Certified: YES
Original documentation supports trauma activation fee guideline criteria was met.</t>
  </si>
  <si>
    <t>0a138273-a5d1-4e4a-855d-61ce5f09fad3</t>
  </si>
  <si>
    <t>CI-74433052</t>
  </si>
  <si>
    <t>Claims OPS: This was reviewed by recovery disputes and determined that TFL is 90 days. Date of service is 09/24/2022 and the received date is 08/17/2023 however, there is a valid POTF found per MLH# 2026121RL3190 showing that it was processed by other insurance that was denied on 08/08/2023 on page 7. Please reconsider and reprocess accordingly.</t>
  </si>
  <si>
    <t>6ddcec93-3956-44ee-9f9a-26d2101babaa</t>
  </si>
  <si>
    <t>CI-74224993</t>
  </si>
  <si>
    <t xml:space="preserve">Overturned as per PA FDOC#7066664842
Claim #25175CN6268/Line 4/C1713/$1663.20
Documentation supports 3 implant units used in the procedure.
</t>
  </si>
  <si>
    <t>Emulator issue</t>
  </si>
  <si>
    <t>a24e4c1e-15b1-4c2e-b9c6-f8948fa17221</t>
  </si>
  <si>
    <t>CI-74219175</t>
  </si>
  <si>
    <t xml:space="preserve">Overturned as per PA FDOC#7066668205
Claim #24323ER3556/Line 4/C1713/$
Documentation supports 1 implant unit was used in the procedure.
</t>
  </si>
  <si>
    <t>d08cf179-ff87-411d-9c46-5c146c693c7b</t>
  </si>
  <si>
    <t>CI-75109166</t>
  </si>
  <si>
    <t>Reviewed by recovery we determined this needs to be reprocessed Claim was received is within the timely filing limit of 365 days. Claim's received date was 12/15/2025 and DOS 04/22/2025. which is 237 days. MLH 2026135RL2028.</t>
  </si>
  <si>
    <t>Completed w/ann lopez 6/8/2026</t>
  </si>
  <si>
    <t>10a2f76e-f1fd-4833-9418-8357c12e3510</t>
  </si>
  <si>
    <t xml:space="preserve">
CI-75114602
</t>
  </si>
  <si>
    <t>Request for claim to be reprocessed since provider submitted the claim within the filing limit of 180 days. DOS is 05/14/2024. Received date is 02/10/2025. Please see proof of timely filing at 2026135RH0862.Denied EOB from other carrier dated 02/07/2025. This is within timely filing. For claim reversal</t>
  </si>
  <si>
    <t>06867f79-2113-47cc-8e93-17f79500355b</t>
  </si>
  <si>
    <t xml:space="preserve">CI-74903655 </t>
  </si>
  <si>
    <t>Payongayong, Rizel</t>
  </si>
  <si>
    <t>Overturned as per PA FDOC#7066772517_x000D_Partially Upheld_x000D_Claim #25029EI2241/Line 4/C1713/$4425.28 new allowed amount_x000B_Documentation supports 14 units for C1713 however the charges exceed invoice cost.  Invoices for 2 units were not submitted which is required with this review._x000D_</t>
  </si>
  <si>
    <t>dd62f708-2d8e-4564-a2ac-a91c39b1ba9d</t>
  </si>
  <si>
    <t>CI-75116988</t>
  </si>
  <si>
    <t>Dispute overturned. Reviewed by recovery we determined claim needs to be reprocessed as per concept B869's criteria, if MUE indicator shows "3" and medical records are present, do not recover. For claim reversal.</t>
  </si>
  <si>
    <t>d29f58c8-2a5f-4847-aeb8-de2a44c75b4b</t>
  </si>
  <si>
    <t>CI-74664228</t>
  </si>
  <si>
    <t>Overturned as per PA FDOC#7066909016
Claim #25296DY7631
DOS: 10/20/2025
Claim line 3, 4, 5: HCPCS C1713
Charges: $3044.76
Determination: Overturned-Documentation was provided and does support charges billed.</t>
  </si>
  <si>
    <t>57c5d772-c151-4784-8171-1c01a0c026c7</t>
  </si>
  <si>
    <t xml:space="preserve">CI-75125031
</t>
  </si>
  <si>
    <t xml:space="preserve">Request for claim to be reprocessed since provider submitted the claim within the filing limit of 90 days. DOS is 10/07/2024. Received date is 
02/12/2025. it was originally billed in a timely manner. please find the attach EOB in MLH#:
2026135A51113.
</t>
  </si>
  <si>
    <t>oks to adj. valid potf on mlh . process date of previous submitted claim under term policy versus the claim received date</t>
  </si>
  <si>
    <t>99c55709-99cc-487d-bbc3-7904aa660248</t>
  </si>
  <si>
    <t>CI-75128256</t>
  </si>
  <si>
    <t>Dispute overturned. Claim for reprocessing as CPT 30465, 31298 asst. surgeon MAI Indicator = 0, with medical records/operative note on file under MLH #2026135RH3200.</t>
  </si>
  <si>
    <t>77e91298-650d-4591-b73a-0db8f1aad819</t>
  </si>
  <si>
    <t>CI-74850359</t>
  </si>
  <si>
    <t xml:space="preserve">"Provider audit/CCA approved overturn"
This was already reviewed by the provider audit team. "Line 3, Overturned- documentation received on appeal supports Implants billed.
Thank-you, " Please proceed on adjusting the claim. Thank you.Fdoc:7066935761
</t>
  </si>
  <si>
    <t>b1be997c-d842-46f2-9345-8146ffc4d2d4</t>
  </si>
  <si>
    <t>CI-75090643</t>
  </si>
  <si>
    <t>Request for reversal on procedure code A9552 with rev code 0343 per C20-S131-59-B-X1, step 8, rev code 343 should not be recovered since it is not on the list.</t>
  </si>
  <si>
    <t xml:space="preserve">Upheld. Please review step 7 Entire Claim is recoverable if: Both Claims billed a diagnosis code matching Admitting or Principal Diagnosis (All digits) where Apply_Nondiagnostic_Language from Provider List for PAT_Master = Yes (Same list from step 1) </t>
  </si>
  <si>
    <t>Completed 6/10/2026 - Berida, Rechelle</t>
  </si>
  <si>
    <t>a07c9904-4f41-4be3-b102-3c2a1116f315</t>
  </si>
  <si>
    <t>CI-74690580</t>
  </si>
  <si>
    <t>Sarion, Rafaelito</t>
  </si>
  <si>
    <t xml:space="preserve">	
Log on RI Tracker due to Dispute overturned. Claims needs to be reprocessed as per pa review claim is overturned, claim can be allowed at contracted rate. FDOC#7066940802.</t>
  </si>
  <si>
    <t>1ce5be18-fd30-4d45-ba30-1a8c36926795</t>
  </si>
  <si>
    <t>CI-74954945</t>
  </si>
  <si>
    <t xml:space="preserve">Recovery review, this claim needs to be reprocessed as per provider audit response fdoc# 7066969009. Wherein, procedure code C1713 was supported by the submitted documentation. </t>
  </si>
  <si>
    <t>71ea7700-e4d2-4ae6-bf9a-b431a13ac0b4</t>
  </si>
  <si>
    <t>CI-74598375</t>
  </si>
  <si>
    <t>Partially overturned as per PA Response FDOC# 7066969356</t>
  </si>
  <si>
    <t>2749ae57-9e46-4c43-83bb-b2f8f6aedc86</t>
  </si>
  <si>
    <t xml:space="preserve">CI-75141362
</t>
  </si>
  <si>
    <t xml:space="preserve">Request for claim to be reprocessed since provider submitted the claim within the filing limit of 90 days. DOS is 05/20/2025. Received date is 
12/31/2025. it was originally billed in a timely manner. please find the attach EOB in MLH#: 2026136B30677
</t>
  </si>
  <si>
    <t>Oks to adjust. Moving forward, please include the DOS basis of TFL validation. If I will just rely on the notes, not for adjust since 05/20/25 versus 12/31/25 is not within TFL</t>
  </si>
  <si>
    <t>8e737484-3bb2-4a9a-bc02-6599dc99217e</t>
  </si>
  <si>
    <t xml:space="preserve"> CI-75153995</t>
  </si>
  <si>
    <t>Dispute overturned. Claim needs to be reprocessed as per recovery reviewed C26-S156-59-B-X2 (B299) concept with medical records for assistant surgeon payment indicator is 0. Medical records are attached to the claim's inquiry MLH #2026149B80119 and 2026136B80648.</t>
  </si>
  <si>
    <t>7ca6e526-4928-48a1-ad58-3d81452c484f</t>
  </si>
  <si>
    <t xml:space="preserve">CI-74677889
</t>
  </si>
  <si>
    <t>PA REVIEW DETERMINATION : Line - 0278/C1713
PARTIAL OVERTURN FDOC# 7073014727</t>
  </si>
  <si>
    <t>68dcc0ec-8b6c-4208-8722-e486c87a2d7d</t>
  </si>
  <si>
    <t>CI-75879746</t>
  </si>
  <si>
    <t>Sent for reversal due to Procedure code 29999 billed with modifier AS, has assistant surgeon payment indicator 0 which is then allowed for payment with medical records provided, MLH#26132E0028241, 26132E0028239, 26132E0028238, 26132E0028235.</t>
  </si>
  <si>
    <t>Reject. This is Prepay claim. Please follow prepay process</t>
  </si>
  <si>
    <t>4e32cb3f-5c39-4eb6-8d65-ad88620b3baf</t>
  </si>
  <si>
    <t>CI-75163412</t>
  </si>
  <si>
    <t>Co-surgeon indicator = 1 and with medical records</t>
  </si>
  <si>
    <t>ITS Host claim</t>
  </si>
  <si>
    <t>Disregard, this is an ITS claim. This is for RTO-Overturn.</t>
  </si>
  <si>
    <t>d8bcb5a8-1cd1-4d7e-8f49-53bc31d03434</t>
  </si>
  <si>
    <t>CI-74966788</t>
  </si>
  <si>
    <t>per provider audit review, Units x2 do not meet implant policy. Partially upheld amount $380.00. Repayment amount $3,009.46. FDOC# 7070456371</t>
  </si>
  <si>
    <t>Completed w/ann lopez 6/9/2026</t>
  </si>
  <si>
    <t>6eeecea7-3d9a-4f1a-a201-59add8ae9902</t>
  </si>
  <si>
    <t>CI-75045957</t>
  </si>
  <si>
    <t>Claims OPS: This was reviewed by recovery disputes and determined that TFL is 180 days. Date of service is 12/29/2022 and the received date is 10/06/2023 however, there is a valid POTF found per MLH# 2026134RH1217 showing that it was processed by other insurance that was denied on 09/08/2023 on page 2. Please reconsider and reprocess accordingly.</t>
  </si>
  <si>
    <t>e66f9104-f5f4-443d-96b0-4e1464ccacc0</t>
  </si>
  <si>
    <t>CI-73892639</t>
  </si>
  <si>
    <t>Sent for reversal due to claims billed services are appropriate for the services provided. Claim can be allowed at contracted rate. FDOC#7070465192</t>
  </si>
  <si>
    <t>04ff3ef4-f4a6-4df6-88fa-15e3ff504363</t>
  </si>
  <si>
    <t>CI-74277479</t>
  </si>
  <si>
    <t>Sent for reversal due to Procedure code 15004 billed with modifier AS, has assistant surgeon payment indicator 0 which is then allowed for payment with medical records provided, MLH# 2024232R11207.</t>
  </si>
  <si>
    <t>1ff51645-71d2-4c14-a440-08ffa516465d</t>
  </si>
  <si>
    <t>CI-74432216</t>
  </si>
  <si>
    <t>Sent for reversal due to Procedure code 29877 billed with modifier AS, has assistant surgeon payment indicator 0 which is then allowed for payment with medical records provided, MLH# 2026121B00764.</t>
  </si>
  <si>
    <t>ce20161b-7df6-4d0c-bdf6-6b8e9db7c989</t>
  </si>
  <si>
    <t>CI-74414901</t>
  </si>
  <si>
    <t>Sent for reversal due to Procedure code 97161, 97110 and 97140 is appropriate for the services provided. Claim can be allowed at contracted rate. FDOC#7070467204</t>
  </si>
  <si>
    <t>062127b6-efce-4348-a6e1-1fc804073d20</t>
  </si>
  <si>
    <t>CI-74283701</t>
  </si>
  <si>
    <t>Sent for reversal due to the claim was received within the timely filing limit of 180 days. claim received date 03-06-25. The provider has submitted Timely filling Acceptable Forms of Proof, billed other insurance EOB processed date 10-21-2024. MLH 2026119A50225.</t>
  </si>
  <si>
    <t>a14c121c-0894-4f88-80bb-769375fb1bbf</t>
  </si>
  <si>
    <t>CI-73244525</t>
  </si>
  <si>
    <t>Sent for reversal due to Line 05 with procedure code C1776 is an implant and appropriate for the services provided. Documentation was provided and does support charges billed, op report pg. 143 and implant log pg. 163. FDOC#7012597354</t>
  </si>
  <si>
    <t>adf583f3-cd28-48e8-9363-1cf958b892a6</t>
  </si>
  <si>
    <t>CI-73528146</t>
  </si>
  <si>
    <t>Sent for reversal due to Procedure code C1776 and C1713 is an implant and is appropriate for the services provided. Able to substantiate billed implant units with submitted documentation. Please reprocess &amp; repay. Procedure code C1776 new allowed amount=$15,491.90. Procedure code C1713 new allowed amount=$609.62. FDOC#7032189843.</t>
  </si>
  <si>
    <t>7ebd1610-5be5-440f-8b11-35cf94e9b8fb</t>
  </si>
  <si>
    <t>CI-75249336</t>
  </si>
  <si>
    <t>PA review Determination: Upheld, . Does not meet implant policy definition of an implant.</t>
  </si>
  <si>
    <t>rejected - not for adjustment. Per PA response determination is UPHELD.</t>
  </si>
  <si>
    <t>b495b7cf-6913-4c85-a9dc-7a637be095b9</t>
  </si>
  <si>
    <t>CI-74501361</t>
  </si>
  <si>
    <t xml:space="preserve">"Provider audit/CCA approved overturn"
This was already reviewed by the provider audit team. "Line 18 - 
J3490, Overturned-Documentation provided supports billed charges " Please proceed on adjusting the claim. Thank you.Fdoc:7070468076
</t>
  </si>
  <si>
    <t>Complted 06/08/2026</t>
  </si>
  <si>
    <t>95d9d74a-d11b-4942-9a38-101a8e7358b6</t>
  </si>
  <si>
    <t>CI-73870198</t>
  </si>
  <si>
    <t>Sent for reversal due to Procedure code C1889 is an implant and is appropriate for the services provided. Documentation supports 2 implant units were used in the procedure. FDOC#7070467706</t>
  </si>
  <si>
    <t>c2389cde-d45b-4e67-a63a-06e791f5e48e</t>
  </si>
  <si>
    <t>CI-75188948</t>
  </si>
  <si>
    <t>Claims OPS: This was reviewed by recovery disputes and determined that TFL is 364 days. Date of service is 07/24/2024 and the received date is 06/19/2025. Please reconsider and reprocess accordingly.</t>
  </si>
  <si>
    <t>a2041418-30c5-494f-8e23-4765e8da74dc</t>
  </si>
  <si>
    <t>CI-73923693</t>
  </si>
  <si>
    <t>Sent for reversal due to Procedure code V2785 is an implant or appropriate for the services provided. Documentation submitted supports charges billed. FDOC#7070467829</t>
  </si>
  <si>
    <t>63d8dbc9-4fbf-4b95-91bd-ed5e0ad53a33</t>
  </si>
  <si>
    <t>CI-73951811</t>
  </si>
  <si>
    <t>Sent for reversal due to claim is not a duplicate, while outpatient claim 24139160170 was already voided to be a duplicate with.</t>
  </si>
  <si>
    <t>af227837-9b00-4757-89c3-5bb04c9e27bd</t>
  </si>
  <si>
    <t>CI-74752654</t>
  </si>
  <si>
    <t>Sent for reversal due to Procedure code C1776 is appropriate for the services provided. Documentation supports 3 implant units were used in the procedure. FDOC#7070470803</t>
  </si>
  <si>
    <t>4e0cd037-610d-47de-8117-10db06673a07</t>
  </si>
  <si>
    <t xml:space="preserve"> CI-74633511 </t>
  </si>
  <si>
    <t xml:space="preserve">Mary Grace Yacat </t>
  </si>
  <si>
    <t>Per Provider Audit review, Dispute overturned. Documentation provided was able to support .See FDOC# 7070476680. Please reprocess to pay. Thank you.</t>
  </si>
  <si>
    <t>665f56fb-1605-459f-9f8f-77a08a141390</t>
  </si>
  <si>
    <t>CI-75226557</t>
  </si>
  <si>
    <t>Request for claim to be reprocessed since provider submitted the claim within the filing limit of 90 days. DOS is 03/06/2025. Received date is 06/26/2025. Please see proof of timely filing at 2026138B00256.Remitance notice from another carrier dated 04/29/20245. This is within timely filing.</t>
  </si>
  <si>
    <t>753cc553-2654-42f7-b5a7-e325c67e0dfd</t>
  </si>
  <si>
    <t>CI-75161358</t>
  </si>
  <si>
    <t>Log in to RI tracker due to Dispute Overturned. Reviewed by recovery we determined claim needs to be reprocessed as per concept B869's criteria for procedure code 86807, if MUE indicator shows "3" and medical records are present, do not recover. Please review.</t>
  </si>
  <si>
    <t>Rejected - Please follow KRN workflow.</t>
  </si>
  <si>
    <t>b67b05f3-8ce4-45e2-8f0c-ac87696231be</t>
  </si>
  <si>
    <t>CI-75243546</t>
  </si>
  <si>
    <t>Recovery reviewed and we identified claim needs to be reprocess (procedure code 28750) as per concept criteria, if Asst Surg indicator shows "0" and medical records are present. do not recover.</t>
  </si>
  <si>
    <t>8d604cbd-47cf-41f8-9d9f-c30cce16a7a0</t>
  </si>
  <si>
    <t>CI-74916211</t>
  </si>
  <si>
    <t>Reversing claim per review, history claim 25247CO1240 was received on 09/04/2025 with date of service from 07/03/2025 to 07/06/2025. Claim was received within the timely filing limit of 180 days.</t>
  </si>
  <si>
    <t>Completed with Miss Leah</t>
  </si>
  <si>
    <t>56567a2c-c44f-4731-8981-0c9ff48cb9d9</t>
  </si>
  <si>
    <t>CI-75061106</t>
  </si>
  <si>
    <t>Bacalso, RIchard</t>
  </si>
  <si>
    <t>This case was reviewed by Recovery Disputes and found that Newborn Inpatient stays should be billed with the appropriate revenue code to match the corresponding DRG code. The reimbursement allowed.</t>
  </si>
  <si>
    <t>For RTO need to manually price at new found allowed amount of $3,120.00.</t>
  </si>
  <si>
    <t>a749b44c-20fb-4b41-a708-d0b7ccf42def</t>
  </si>
  <si>
    <t>CI-74909200</t>
  </si>
  <si>
    <t xml:space="preserve">	
Log in to RI tracker due to Dispute overturned. Claim was received within the timely filing limit of 120 days. Claim's received date was 01/27/2025. Retraction date was 01/21/2025. There's an attached valid proof of timely filing under MLH:2026094A80049.</t>
  </si>
  <si>
    <t>Okay to adjust TFL days should be 120 days</t>
  </si>
  <si>
    <t>4f02c503-12ae-46fd-a314-8619b6a2f447</t>
  </si>
  <si>
    <t xml:space="preserve">CI-75252688
</t>
  </si>
  <si>
    <t xml:space="preserve">Request for claim to be reprocessed since provider submitted the claim within the filing limit of 180 days. DOS is 09/30/2024. Received date is
02/19/2025. It was originally billed in a timely manner. please find the attach EOB in MLH#: 2026138RH9326.
</t>
  </si>
  <si>
    <t xml:space="preserve">Please review concept and verify the correct TFL days for the provider. </t>
  </si>
  <si>
    <t>bf39ce61-5d96-4b9b-8af8-0ee420ccb88c</t>
  </si>
  <si>
    <t>CI-74928717</t>
  </si>
  <si>
    <t xml:space="preserve"> the pricing method on the recoverable claim line is not PCT therefore, it is for reversal </t>
  </si>
  <si>
    <t>62f5dbcb-3f54-4d28-96cc-3e91e7a09548</t>
  </si>
  <si>
    <t>CI-75024283</t>
  </si>
  <si>
    <t>Per Provider audit determination: Overturned-Documentation supports billed charges for claim line 9/C1713. FDOC#: 7072361974.</t>
  </si>
  <si>
    <t>38d90bd7-1a02-4ef2-9dea-74a79dd42977</t>
  </si>
  <si>
    <t>CI-75277811</t>
  </si>
  <si>
    <t xml:space="preserve">Recovery reviewed the claim and per pending TFL is 90 days date of service is 10-02-24  and the received date 11/07/2024 please reconsider and reprocess according MLH 2026014R70997 page 6. </t>
  </si>
  <si>
    <t>Rejected - claim was not denied in full . Claim has deductible of 173.91.</t>
  </si>
  <si>
    <t>1d0798b9-0256-4558-8835-9717074e0e17</t>
  </si>
  <si>
    <t>CI-75265701</t>
  </si>
  <si>
    <t>Dispute overturned. Claim needs to be reprocessed as per recovery review as provider submitted itemized bill under MLH# 2026084A70067.</t>
  </si>
  <si>
    <t>Completed by other Assoc 06/14/2026</t>
  </si>
  <si>
    <t>6a82e1a0-870b-4b2d-8812-335c3a569b52</t>
  </si>
  <si>
    <t xml:space="preserve">CI-75294942
</t>
  </si>
  <si>
    <t xml:space="preserve">Dispute overturned.
Claim needs to be reprocessed as per recovery review, allowable amount is for
$6,358.48 per pricing. 
</t>
  </si>
  <si>
    <t>Upheld. Claim was processed correctly. Allowed amount for line 1 is  of $1,624.03 and was applied under ded.</t>
  </si>
  <si>
    <t>f6758995-d632-4cb4-bd85-5fe4e6426750</t>
  </si>
  <si>
    <t xml:space="preserve">CI-74966442
</t>
  </si>
  <si>
    <t xml:space="preserve">Per PA review, Overturned, claim can be allowed at contracted rate. 
FDOC#: 7070668252
</t>
  </si>
  <si>
    <t>0ce0e41c-802c-48af-a35c-4ae484e8e4e0</t>
  </si>
  <si>
    <t>CI-75297852</t>
  </si>
  <si>
    <t>Dispute overturned: Recovery reviewed and we request for claim to be processed since the provider submitted the claim within the filing limit of 90 days. Receipt:11/10/2023. DCN 22151CH1997 Processed date 08/31/2023 as proof of timely filing. see mlh#2026139RH6026</t>
  </si>
  <si>
    <t>Okay to adjust TFL days should be 180 days ( Facility claim)</t>
  </si>
  <si>
    <t>Completed 06/9/26</t>
  </si>
  <si>
    <t>2f6c8ef5-4871-4dcd-bf8e-0f321b1027da</t>
  </si>
  <si>
    <t>CI-75245404</t>
  </si>
  <si>
    <t xml:space="preserve">Dispute overturned: Recovery reviewed and we request for claim to be processed since the provider submitted the claim within the filing limit of 120 days. Receipt:  11/22/2025. Submitted date 11/22/2025 as proof of timely filing. see mlh#2026138B60697
</t>
  </si>
  <si>
    <t>Upheld. Insufficient POTF. TFL days should be 90 days</t>
  </si>
  <si>
    <t>750a2881-93db-4a23-b11d-c8d78c44e634</t>
  </si>
  <si>
    <t>CI-75300528</t>
  </si>
  <si>
    <t xml:space="preserve">
B19-X1-V4 WGS
Recovery reviewed that claim needs to be reprocessed. Tax ID351865344  can be found in INDIANA_HB1004 and 14642_158_Workflow_Doc_B19-X1_INDIANA_PROFESSIONAL_POS_CLAIM_EDIT_PROVIDER_EXEMPTIONS hence CPT 19083 should not have been recovered.
</t>
  </si>
  <si>
    <t>Upheld per review</t>
  </si>
  <si>
    <t>Completed - 6/12/2026</t>
  </si>
  <si>
    <t>0e34d9b9-4a2c-4bf9-8ca3-9cb0971bd0a0</t>
  </si>
  <si>
    <t>CI-74861227</t>
  </si>
  <si>
    <t>Recovery review, this claim needs to be reprocessed as per provider audit response fdoc# 7072869451. Wherein, procedure code C1713 was supported by the submitted documentation.</t>
  </si>
  <si>
    <t>bf4d12eb-a085-4179-961d-91bc6d5fd7fc</t>
  </si>
  <si>
    <t>CI-75079350</t>
  </si>
  <si>
    <t>OVERTURN PER PA REVIEW
Documentation submitted supports the implant charges billed.</t>
  </si>
  <si>
    <t>eee0a182-95c8-4856-b03b-64dfcfe609f1</t>
  </si>
  <si>
    <t>CI-75307039</t>
  </si>
  <si>
    <t>Javier, Allysa Joy</t>
  </si>
  <si>
    <t>Request for claim to be reprocessed since provider submitted the claim within the filing limit of 180 days. DOS is 07/07/2024. Received date is 02/26/2025. Please see proof of timely filing at 2026139RL8137.Remitance advice from another carrier dated 1/27/2025. This is within timely filing. For claim reversal</t>
  </si>
  <si>
    <t>363710cb-5cf4-425b-ac5e-ac6a2e5b56a9</t>
  </si>
  <si>
    <t>CI-74635681</t>
  </si>
  <si>
    <t>Request for claim to be reprocessed since provider submitted the claim within the filing limit of 180 days. DOS is 01-05-2024-01/12/2024. Received date is 06-12-2024. Provider state is KY</t>
  </si>
  <si>
    <t xml:space="preserve">Please re review the concept. Take note this is a PREPAY claim so make sure to use the PICM system in reviewing the concept </t>
  </si>
  <si>
    <t>2b6495ff-0e83-4e8a-be00-2f8e1fe533af</t>
  </si>
  <si>
    <t>CI-75319807</t>
  </si>
  <si>
    <t>Claims OPS: This was reviewed by recovery disputes and determined that TFL is 90 days. Date of service is 09/30/2024 and the received date is 01/29/2025 however, there is a valid POTF found per MLH# 2026139R11506 showing that it was processed by other insurance that was denied on 12/19/2024 on page 5. Please reconsider and reprocess accordingly.</t>
  </si>
  <si>
    <t>188fef05-dc89-4495-879b-33c468f19cf6</t>
  </si>
  <si>
    <t xml:space="preserve">
CI-74776651
</t>
  </si>
  <si>
    <t xml:space="preserve">	
Log in to Reversal tracker due to Dispute overturned. Claim needs to be reprocessed as per recovery review, Claim denied as new patient record billed within 3 yrs of same code, but as per checking the referring claim DCN 2024192BL9606 this was billed for a different provider.</t>
  </si>
  <si>
    <t>Rejected - adjustment is valid. recoverable  and xref claim has same rendering NPI</t>
  </si>
  <si>
    <t>ac75cd19-4adc-47f5-9888-d609e59b8eec</t>
  </si>
  <si>
    <t>CI-75327136</t>
  </si>
  <si>
    <t>Dispute overturned. Claim needs to be reprocessed as per recovery review. Procedure code 74176 payment was recouped due to B1730-X1 concept but same xref claim as original claim.</t>
  </si>
  <si>
    <t>Please review claim under RAC validation research, polocy &amp; procedure step 4.</t>
  </si>
  <si>
    <t>Completed 6/15/2026</t>
  </si>
  <si>
    <t>e4b37f4e-f429-4070-b8c4-37c63eb2169f</t>
  </si>
  <si>
    <t>CI-75335509</t>
  </si>
  <si>
    <t>Dispute overturned. Line 3 &amp; 4 CPT 29999 asst. surgeon MAI Indicator = 0, with medical records on file under MLH #
2026140A50489.</t>
  </si>
  <si>
    <t>Completed 06/11/26</t>
  </si>
  <si>
    <t>702bb2f3-6a4e-4dec-a5ba-2fb4571ecdfa</t>
  </si>
  <si>
    <t>CI-75144546</t>
  </si>
  <si>
    <t>Provider Audit/CCA approved overturned. Received email, FDOC # 7074624571. Documentation supports billed charges.</t>
  </si>
  <si>
    <t>Completed 06/10/26</t>
  </si>
  <si>
    <t>dccc86c1-9c5d-4d4e-a1e5-28ac3a4bf226</t>
  </si>
  <si>
    <t xml:space="preserve">CI-75042033
</t>
  </si>
  <si>
    <t>Dispute overturned. As per PA response, provider limitation.  See FDOC 7074624897.</t>
  </si>
  <si>
    <t>8e6b1f9a-e9ae-4e24-abe5-c4949d89aadc</t>
  </si>
  <si>
    <t>CI-75027063</t>
  </si>
  <si>
    <t>Overturned - Documentation submitted on appeal adequately supports the implants billed; charges are validated. See FDOC# 7074630680</t>
  </si>
  <si>
    <t>6e77c600-57ae-4ea6-b1d4-2b53fbf3b67b</t>
  </si>
  <si>
    <t>CI-75048894</t>
  </si>
  <si>
    <t>Overturned - Submitted documentation sufficiently supports the billed charges. See FDOC# 7074630824</t>
  </si>
  <si>
    <t>3fc6f007-35e4-4b6d-8b0d-72fc153ce897</t>
  </si>
  <si>
    <t>CI-75159790</t>
  </si>
  <si>
    <t>per provider audit review. Partially Upheld, Line 6, C1763 Amniotic membrane and rotium wick not considered implants. Overturned line 7, C1713, documentation supports billed charges. FDOC# 7074632209</t>
  </si>
  <si>
    <t>29d9ea8c-163a-4051-a1e6-843fbefd917f</t>
  </si>
  <si>
    <t>CI-74602257</t>
  </si>
  <si>
    <t>Consad, Marichu</t>
  </si>
  <si>
    <t>OVERTURN as per PA. FDOC#7074702196
Determination:  Overturned-Documentation supports charges billed.</t>
  </si>
  <si>
    <t>8013bdcb-da8b-4c47-9833-bb1bff5d6393</t>
  </si>
  <si>
    <t>CI-75349608</t>
  </si>
  <si>
    <t>2025050DM7932</t>
  </si>
  <si>
    <t>Lapitan, jolo</t>
  </si>
  <si>
    <t xml:space="preserve">Recovery reviewed the claim and per findings, TFL is 90 days. Date of service is 10/24/2024 and the received date is 02/19/2025 however, there is a valid POTF found per MLH 2026140B60677 showing that it was processed by other insurance Medicaid with recoupment notice on 02/14/2025. </t>
  </si>
  <si>
    <t>28a20989-c398-4b62-a198-3624c0a70885</t>
  </si>
  <si>
    <t>CI-75214665</t>
  </si>
  <si>
    <t>PER CCA REVIEW OVERTURED
DOCUMENTATION SUBMITTED SUPPORTS BILLED CHARGES. CLAIM LINE 2</t>
  </si>
  <si>
    <t>15be5843-eb52-4632-8538-e1610b41355d</t>
  </si>
  <si>
    <t>CI-75256960</t>
  </si>
  <si>
    <t>PER CCA REVIEW OVERTURED
DOCUMENTATION SUPPORTS BILLED CHARGES CLAIM LINES 4 &amp; 5, HCPCS C1776 AND C1889</t>
  </si>
  <si>
    <t>Rejected - Please follow ITS Host workflow.</t>
  </si>
  <si>
    <t>3405ac45-0e4e-429c-8706-57ce29a36916</t>
  </si>
  <si>
    <t>CI-75364492</t>
  </si>
  <si>
    <t>Villalo, Lois Adrienne</t>
  </si>
  <si>
    <t>Dispute overturned. Please reprocess Co surgeon MAI Indicator = 1, with medical records on file under MLH #
2026140A51123.</t>
  </si>
  <si>
    <t>abc88727-eb4c-4883-9fc5-7eb6020ea5dc</t>
  </si>
  <si>
    <t>CI-75372042</t>
  </si>
  <si>
    <t>TFL is 180 days. Date of service is 04/07/2023 and the received date is 07/11/2023 however, there is a valid POTF found per MLH# 2026140RI0354 showing that it was processed by other insurance that was denied on 04/20/2023 on page 8. Please reconsider and reprocess accordingly.</t>
  </si>
  <si>
    <t>1a002527-0c13-4464-a011-d3c898644cf6</t>
  </si>
  <si>
    <t>CI-75396942</t>
  </si>
  <si>
    <t>The claim was received within the timely filing limit of 90 days. Claim's received date 02-13-25. Date of service: 11-12-24 TO 11-12-24. Clearinghouse date: 12-31-2024. MLH: 2026140RH0406</t>
  </si>
  <si>
    <t>This is an ITS Host claim. Please follow the correct workflow.</t>
  </si>
  <si>
    <t>813298ed-742b-41af-99ab-13e6fefadb5d</t>
  </si>
  <si>
    <t xml:space="preserve">CI-74461744
</t>
  </si>
  <si>
    <t xml:space="preserve">Per PA review for Overturned, 
Documentation supports 1200 units of J2327. 
FDOC#: 7075162423 
</t>
  </si>
  <si>
    <t>ee8a20da-4a6b-4fb6-9ab2-fe79e2980d0f</t>
  </si>
  <si>
    <t>CI-75399693</t>
  </si>
  <si>
    <t>This was received by recovery disputes and determined that claim needs to be reprocess. The member is active under group#L05608MR09 on the date of service 04/03/2025-04/07/2025_x000D_with the coverage from 04/01/2025-_x000D_05/01/2025</t>
  </si>
  <si>
    <t>Member policy eligibility related claims Non CA. Please follow the correct workflow.</t>
  </si>
  <si>
    <t>cc55de63-c436-43f5-9c85-643f9514918f</t>
  </si>
  <si>
    <t xml:space="preserve">
Claim needs to be reprocessed as per recovery review due to the claim was received within the timely filing limit of 90 days. Provider submitted proof of timely filing under MLH# 2026101A50520. Thank you.
</t>
  </si>
  <si>
    <t>Prepay claim. Please follow the correct workflow.</t>
  </si>
  <si>
    <t>Logged in Prepay Reversal tracker - 06/15/2026</t>
  </si>
  <si>
    <t>31e05622-e6d7-4ccc-b4c3-3d6168158a78</t>
  </si>
  <si>
    <t>CI-75413570</t>
  </si>
  <si>
    <t>Dispute overturned. B869-X1 Mue indicator = 3 w/ medrecs under mlh# 2026141RL2541. Please reprocess Line 08 83520 w/ modifier 99. Thank you</t>
  </si>
  <si>
    <t>Ok to adjust</t>
  </si>
  <si>
    <t>f174fc8e-4858-4faf-8795-4e422871963f</t>
  </si>
  <si>
    <t>CI-73588301</t>
  </si>
  <si>
    <t>Overturned, PA response FDOC# 7076676555</t>
  </si>
  <si>
    <t>d91402bf-93ef-49d0-9f23-36ba307f5eb7</t>
  </si>
  <si>
    <t>CI-75157828</t>
  </si>
  <si>
    <t>Overturned. PA response on FDOC#7076766510</t>
  </si>
  <si>
    <t>f43ad3c8-ac65-45cd-ba1e-50260e4719d6</t>
  </si>
  <si>
    <t>CI-75191481</t>
  </si>
  <si>
    <t>Oveturned as per PA response FDOC#7076765670</t>
  </si>
  <si>
    <t>e5f190fd-38fb-4927-917e-279701b1ab23</t>
  </si>
  <si>
    <t>CI-75308842</t>
  </si>
  <si>
    <t>Claim needs to be reprocessed as per audit response, Dispute Overturned- the documentation submitted supports the billed charges for claim lines 3 &amp; 4  with Cpt codes C1713 &amp; C1762. Provider Audit response in FDOC# 7076767426. For reversal review.</t>
  </si>
  <si>
    <t>Completed w/ann lopez 6/15/2026</t>
  </si>
  <si>
    <t>0a50fe89-6792-4916-918c-c91a48fa2901</t>
  </si>
  <si>
    <t>CI-75167907</t>
  </si>
  <si>
    <t xml:space="preserve">Gulapa, Carla Marie </t>
  </si>
  <si>
    <t>Provider Audit/CCA approved overturned. Received email, FDOC # 7077233001, documentation received on appeal supports Implants billed.</t>
  </si>
  <si>
    <t>Completed 06/11/2026 with Ms Kristianna Marie Lopez</t>
  </si>
  <si>
    <t>bc3b380f-c53e-48fd-bceb-4abc94ea9c4a</t>
  </si>
  <si>
    <t>CI-74650064</t>
  </si>
  <si>
    <t>OVERTURN as per PA. FDOC#7076845982
Documentation submitted supports the implant charges billed.</t>
  </si>
  <si>
    <t>1eb163e1-5132-4754-a80b-2edcdf3cc57f</t>
  </si>
  <si>
    <t>CI-75204742</t>
  </si>
  <si>
    <t>PARTIALLY OVERTURNED - add. info. Able to substantiate $2,462.00 TOTAL of ALLOWED billed charges. ALL manufacturer invoices with correct catalog #s are required to perform audit. New ALLOWED amount=$2,462.00. See FDOC# 7076823728</t>
  </si>
  <si>
    <t>c470f3dc-d7a2-468f-a396-676af64d9140</t>
  </si>
  <si>
    <t>CI-75255432</t>
  </si>
  <si>
    <t>Documentation submitted supports the implant charges billed. See FDOC# 7076825452</t>
  </si>
  <si>
    <t>d6d576d6-29de-4b2a-b93e-ef51ffa0d189</t>
  </si>
  <si>
    <t xml:space="preserve">CI-75254172
</t>
  </si>
  <si>
    <t xml:space="preserve">Per PA review for Overturned,
Documentation submitted supports the implant charges billed.
FDOC#: 7076849156
</t>
  </si>
  <si>
    <t>f1dc852b-057d-4ec6-952c-f030b0e8b31e</t>
  </si>
  <si>
    <t>CI-75047557</t>
  </si>
  <si>
    <t xml:space="preserve">Per PA review for Overturned,
Partially Upheld-5 units validated. Provider is due an additional $ 4,846.08 for HCPC C1713. The total allowed amount for this claim line is: $ 8,153.58.
FDOC#: 7076850261 
</t>
  </si>
  <si>
    <t>340ace1f-beb5-45ec-b407-e67dba4b9cd8</t>
  </si>
  <si>
    <t xml:space="preserve">CI-75423043
</t>
  </si>
  <si>
    <t xml:space="preserve">	
Dispute overturned. Reviewed by recovery we determined claim needs to be reprocessed as per concept B299's criteria for procedure code 24359, if Asst Surg indicator shows "0" and medical records are present, do not recover. Medical record is under MLH 2026141R40763.</t>
  </si>
  <si>
    <t>3e84913f-238b-4721-b14f-62c78c189258</t>
  </si>
  <si>
    <t>CI-74946185</t>
  </si>
  <si>
    <t>Dispute overturned line 4 CPT J9354. The initial decision is PARTIALLY UPHELD.
Documentation supports 501mg was used. Ok to reissue payment for 501 units of J9354 and recover 19 units of J9354.  FDOC# 7076979626</t>
  </si>
  <si>
    <t>3240707f-c969-4b9d-9ca4-ecd32d4641f5</t>
  </si>
  <si>
    <t>CI-75434027</t>
  </si>
  <si>
    <t>Claims OPS: This was reviewed by recovery disputes and determined that provider submitted claim within timely filling limit of 365 days. Date of service is 07/03/2025 and the received date is 11/15/2025.</t>
  </si>
  <si>
    <t>Upheld TFL is 90 days under CO state.</t>
  </si>
  <si>
    <t>08aca065-3b8e-4971-b68c-90ab891045ff</t>
  </si>
  <si>
    <t>CI-75436282</t>
  </si>
  <si>
    <t>The claim was received within the timely filing limit of 90 days. Claim's received date 12/16/2025. Date of service: 05/27/2025 to 05/27/2025. Clearinghouse date: 11/07/2025. MLH: 2026141R71898</t>
  </si>
  <si>
    <t>Kernel claim. Please follow the correct workflow.</t>
  </si>
  <si>
    <t>466efc24-7af9-408d-8a65-96766b6d2aed</t>
  </si>
  <si>
    <t>CI-75134529</t>
  </si>
  <si>
    <t>Overturn: MAI Indicator is 3 provider submitted Medical Records under MLH 
2026136A90062</t>
  </si>
  <si>
    <t>c3d433d4-64d5-4188-892e-9c8694201cfe</t>
  </si>
  <si>
    <t>CI-75453113</t>
  </si>
  <si>
    <t xml:space="preserve">Dispute overturned: Recovery reviewed and we request for claim to be processed since the provider submitted the claim within the filing limit of 365 days. Receipt: 10/10/2025 ; Service from: 04/18/2025. </t>
  </si>
  <si>
    <t>TFL is 150 days</t>
  </si>
  <si>
    <t>Reassigned Assignment "complete task" to Virgil Joseph L Domalaoco.</t>
  </si>
  <si>
    <t>080012cf-46ca-4f7c-bd71-b0d2d5b0346b</t>
  </si>
  <si>
    <t>CI-75453445</t>
  </si>
  <si>
    <t xml:space="preserve">Dispute overturned. Recovery reviewed the claim and per findings, TFL is 188 days. Date of service is 06/14/2024 and the received date is 01/09/2025 however, there is a valid POTF found per MLH# 2026142A90380 showing that it was process by HUMANA and recovery was made on 10/31/2024. Please reconsider and reprocess accordingly.
</t>
  </si>
  <si>
    <t>ca70ebdb-b048-4aa9-8ae9-c93524b617c7</t>
  </si>
  <si>
    <t>CI-75458974</t>
  </si>
  <si>
    <t>Only line 4 met the criteria for recovery per step 8 of concept B7117-X4, payment for line 1-3 for reversal</t>
  </si>
  <si>
    <t>5a9d75a0-ba35-4d83-909c-553344da98ae</t>
  </si>
  <si>
    <t>CI-75478702</t>
  </si>
  <si>
    <t>B299 - Post Pay. Dispute overturned. Procedure code 26540 ASST_SURG_IND = "0" and provider  submitted supporting documentation to prove medical necessity per MLH 2026142B60975. Please reprocess. Thank you</t>
  </si>
  <si>
    <t>Completed 06/11/2026 with Ms Kristianna Marie</t>
  </si>
  <si>
    <t>60b88947-d0f8-46a7-8c4c-0b668568c4ac</t>
  </si>
  <si>
    <t>CI-75482224</t>
  </si>
  <si>
    <t xml:space="preserve">
Claim needs to be reprocessed as per recovery review, Procedure code 29881and 29999 has ASST_SURG_IND value of 0. Provider submit medical records and as per update, this should not be recover. MLH 2025120B00284. </t>
  </si>
  <si>
    <t>d7518273-5bc3-4b13-8a95-696f53ebcd5e</t>
  </si>
  <si>
    <t>CI-75443531</t>
  </si>
  <si>
    <t xml:space="preserve">Dispute overturned. Claim needs to be reprocessed as per recovery review, allowable amount is for $17685.46 per pricing. </t>
  </si>
  <si>
    <t>da88ea46-fe93-4ce6-9b14-eef88b299ebe</t>
  </si>
  <si>
    <t>CI-75270198</t>
  </si>
  <si>
    <t>Recovery review, this claim needs to be reprocessed as per provider audit response fdoc# 7077331149. Wherein, claim can can be allowed at the contracted rate.</t>
  </si>
  <si>
    <t>7a8cca81-9e53-4a4a-a0e9-c527a02682e7</t>
  </si>
  <si>
    <t>CI-75245726</t>
  </si>
  <si>
    <t>Recovery review, this claim needs to be reprocessed as per provider audit response fdoc# 7079148053. Wherein, multiple surgeries allows for payment for implant. Recovery request rescinded.</t>
  </si>
  <si>
    <t>1281fe74-8576-47fd-9047-8e77f13b04c3</t>
  </si>
  <si>
    <t>CI-75188805</t>
  </si>
  <si>
    <t>per provider audit review. Revenue code 278 with procedure code C1713. add. info. Able to substantiate billed implants. Please reprocess &amp; repay. New ALLOWED amount=$752.84. FDOC# 7079163120</t>
  </si>
  <si>
    <t>Completed w/ms leah 6/16/2026</t>
  </si>
  <si>
    <t>055ae5d1-0099-4e81-b8f6-917b36ca9ecc</t>
  </si>
  <si>
    <t>CI-75322361</t>
  </si>
  <si>
    <t>As per PA review the decision is overturned for procedure code C1713. Documentation was provided and does support charges billed. FDOC# 7079168674.</t>
  </si>
  <si>
    <t>f6911f1d-7a2b-4dfa-bd84-5522c4fec878</t>
  </si>
  <si>
    <t>CI-75324111</t>
  </si>
  <si>
    <t>Alina, ROnald Sydney</t>
  </si>
  <si>
    <t>Dispute overturn. Documentation was provided and does support charges billed. PA response FDOC# - 7079170018</t>
  </si>
  <si>
    <t>15eb3073-af02-48ea-a30c-1cf6d5e95679</t>
  </si>
  <si>
    <t>CI-76420686</t>
  </si>
  <si>
    <t>Per pricing, the allowed amount is $1658.43. The claim is now process correctly (pd 250.90 + 607.53 coins and 800.00 ded)</t>
  </si>
  <si>
    <t>be1e65ff-4e7f-413c-9675-4abacc08bfd7</t>
  </si>
  <si>
    <t>CI-75501204</t>
  </si>
  <si>
    <t xml:space="preserve">B1714-X2. Reviewed by recovery, we determined that the claim needs to be reprocessed as it is not duplicate to the reference claim 2025162CI4038. </t>
  </si>
  <si>
    <t>5e19ad01-c23e-46e3-babc-6028ad995ee3</t>
  </si>
  <si>
    <t>CI-74893987</t>
  </si>
  <si>
    <t xml:space="preserve">Dispute overturned. See PA response FDOC#7079249624; The appeal has been overturned. Provider sent in medical records with ID 2026131B90728. medical records support 1020mg/units of drug Q0138 administered to patient on DOS 1.21.2025.
</t>
  </si>
  <si>
    <t>f592f963-957f-490b-b8b4-ce67b7349563</t>
  </si>
  <si>
    <t>CI-75129923</t>
  </si>
  <si>
    <t xml:space="preserve">
Reversing claim per C16-S298-59-B-X2 MATERNITY GLOBAL CAPTURE MATERNITY, Claim didn't meet Step 4 Scenario 1 - (recoverable claim first diagnosis not on list) criteria for recovery. 
</t>
  </si>
  <si>
    <r>
      <rPr>
        <b/>
        <sz val="11"/>
        <color rgb="FF000000"/>
        <rFont val="Aptos Narrow"/>
        <scheme val="minor"/>
      </rPr>
      <t xml:space="preserve">
</t>
    </r>
    <r>
      <rPr>
        <b/>
        <sz val="11"/>
        <color rgb="FF000000"/>
        <rFont val="Aptos Narrow"/>
        <scheme val="minor"/>
      </rPr>
      <t>Per ECM review w/ Miss Mel - inquiry is upheld
Completed - 06/26/2026</t>
    </r>
  </si>
  <si>
    <t>12eeea83-7d58-4465-95dd-895fb77fea9e</t>
  </si>
  <si>
    <t> CI-75325101</t>
  </si>
  <si>
    <t>PA response</t>
  </si>
  <si>
    <t>acc411e2-8323-4a77-8968-57fb4891735b</t>
  </si>
  <si>
    <t>CI-75508898</t>
  </si>
  <si>
    <t xml:space="preserve">
Reversing claim per C16-S298-59-B-X2 MATERNITY GLOBAL CAPTURE MATERNITY, Claim didn't meet Step 6 + Scenario 3 (XREF Claim/Claim line start date is on or within 10 months after the Recoverable Claim/Claim line start date ) crieteria for recovery. 
</t>
  </si>
  <si>
    <r>
      <rPr>
        <b/>
        <sz val="11"/>
        <color rgb="FFFF0000"/>
        <rFont val="Aptos Narrow"/>
        <scheme val="minor"/>
      </rPr>
      <t xml:space="preserve">
</t>
    </r>
    <r>
      <rPr>
        <b/>
        <sz val="11"/>
        <color rgb="FF000000"/>
        <rFont val="Aptos Narrow"/>
        <scheme val="minor"/>
      </rPr>
      <t xml:space="preserve">
Per ECM review w/Miss Mel - recoverable claim has specialty 207VM0101X which is excluded, hence overturn.
Completed w/ Miss Leah - 06/30/2026</t>
    </r>
  </si>
  <si>
    <t>53241c4d-f552-4b6c-9e52-89473cfdb008</t>
  </si>
  <si>
    <t>CI-75512862</t>
  </si>
  <si>
    <t xml:space="preserve">
B6473X23 CONCEPT. B6473-X22, X23, X24_CO-SURGEON
Dispute overturn. CPT  56805, 53430, 57292, 56620, 55150 CO_SURG_IND Indicator= "1" and provider submit supporting documentation to prove medical necessity per MLH 2026143B81811.
</t>
  </si>
  <si>
    <t>Completed - 06/17/2026</t>
  </si>
  <si>
    <t>ecf380cb-88d2-4309-a0f7-0ce56c248e33</t>
  </si>
  <si>
    <t xml:space="preserve">CI-75154968
</t>
  </si>
  <si>
    <t xml:space="preserve">Per PA review for Partial Overturned,
Implants need to pay invoice cost per contract.
Able to verify total invoice cost is 6,804.00
Please adjust this line to pay 6,804.00
FDOC#: 7079571205 
</t>
  </si>
  <si>
    <t>Completed with Ms. RR</t>
  </si>
  <si>
    <t>c7733347-195b-42a9-8815-5e2f90e674ed</t>
  </si>
  <si>
    <t xml:space="preserve">CI-75312999
</t>
  </si>
  <si>
    <t xml:space="preserve">Per PA review for Partial Overturned,
ITEMS BILLED NOT SUPPORTED IN THE MEDICAL RECORD
Aero merit tracheobronchial stent x 1 - allowed
hemostat x 2 - recover
new charges: $10,442
new allowed: $3967.96
recovery: $295.05
FDOC#: 7079571765
</t>
  </si>
  <si>
    <t>c2888952-23b2-4b4e-a591-ad618306711f</t>
  </si>
  <si>
    <t>CI-74864214</t>
  </si>
  <si>
    <t>Recovery reviewed. Reprocess claim as NPAR benefit is present for the claim's service.</t>
  </si>
  <si>
    <t>This is a non dmo adjustment. Please RTO to reprocess with OOn benefits</t>
  </si>
  <si>
    <t>c2a88cf5-d954-4068-91fd-eaafc367d0b5</t>
  </si>
  <si>
    <t>CI-75535893</t>
  </si>
  <si>
    <t xml:space="preserve">Recoverable and Xref claim 2026003CD4640 Start Date of Service mismatch. No further validation required.  </t>
  </si>
  <si>
    <t>xref 26003CD4640 line 10 have the same dos with the recoverable claim</t>
  </si>
  <si>
    <t>64b25573-bbfb-4ac3-9936-99cb1f252ce8</t>
  </si>
  <si>
    <t>CI-75057950</t>
  </si>
  <si>
    <t>Per PA review for overturned. As per Line #5 - C1713 Anchor/screw for opposing bone-to-bone or soft tissue-to-bone (implantable) - 1 unit - $4641 - allowed $4641. For reprocess as clinical supports payment. FDOC# 7079573082</t>
  </si>
  <si>
    <t>98eb9689-32a8-4ded-89dd-f5d541209d0a</t>
  </si>
  <si>
    <t xml:space="preserve">CI-75546309
</t>
  </si>
  <si>
    <t>Recovery reviewed and we identified claim needs to be reprocess (procedure code 28080) as per concept criteria, if Asst Surg indicator shows "0" and medical records are present. do not recover.</t>
  </si>
  <si>
    <t>852b4258-e7d6-4f5a-8fb2-a6cd2fc39bad</t>
  </si>
  <si>
    <t>CI-75439736</t>
  </si>
  <si>
    <t>Overturn per proof  of TFL  | For Reversal, provider submitted proof of timely filling based on MLH 2026142B80040.</t>
  </si>
  <si>
    <t>Please follow Kernel claim workflow</t>
  </si>
  <si>
    <t>64eeffa3-4339-4575-a748-f347f7cbcadd</t>
  </si>
  <si>
    <t>CI-75554877</t>
  </si>
  <si>
    <t>Recovery reviewed the claim and per findings, TFL is 365 days. Date of service is 05/09/2025 and the received date is 11/12/2025 however, there is a valid POTF found per MLH# 2026135RL9994.</t>
  </si>
  <si>
    <t>ee91041a-db50-4a6c-951d-06aa1443d452</t>
  </si>
  <si>
    <t>CI-75373130</t>
  </si>
  <si>
    <t>per provider audit review revenue code 278 documentation supports charges billed. FDOC# 7082654667</t>
  </si>
  <si>
    <t>b1b9df68-f9a0-4b7b-8849-0ccd1a39382a</t>
  </si>
  <si>
    <t>CI-75460196</t>
  </si>
  <si>
    <t>As per CCA review Appeal overturned for CL 1 HCPCS C1713. 
Additional documentation received that supports billed charges. 
Repayment amount $3,877.24.
Implant log pg 38.
1 plate and 10 screws implanted.
For reversal.</t>
  </si>
  <si>
    <t>5f3259da-78a6-470e-b7ed-5a8636bbd591</t>
  </si>
  <si>
    <t>CI-75588405</t>
  </si>
  <si>
    <t>Provider submitted proof of TFL under 2026146RH2791 that it was filed timely.</t>
  </si>
  <si>
    <t>8b404cf4-d6bf-4511-ae5f-888289afeef0</t>
  </si>
  <si>
    <t>CI-75383010</t>
  </si>
  <si>
    <t xml:space="preserve">Reversing claim. Provider submitted the claim within the filing limit of 180 days. Proof of Timely Filing under MLH#2026140R75747. </t>
  </si>
  <si>
    <t>Completed 6/18/2026</t>
  </si>
  <si>
    <t>e7f029c8-a558-4293-b546-1f5ec93d75de</t>
  </si>
  <si>
    <t>CI-75424518</t>
  </si>
  <si>
    <t>Line 3 - 0278/C1713
OVERTURN
Able to verify implants billed
Please repay this line according to the Provider's contracted rate</t>
  </si>
  <si>
    <t>Please attach FDOC from PA response and check for an apporved auth claim has PAM edit</t>
  </si>
  <si>
    <t>Completed 06/16/2025</t>
  </si>
  <si>
    <t>7b4980c8-44bd-492e-bb92-004e15c4ee48</t>
  </si>
  <si>
    <t>CI-75483789</t>
  </si>
  <si>
    <t>Recovery review. Claim needs to be partially reprocessed as some claim lines are within the 90 days timely filing limit. DOS from 11/06/24 - 11/26/24 is within filing limit of 90 days. Received date 02/03/25 .</t>
  </si>
  <si>
    <t>791fd9ae-1cdf-4c1e-aee9-e0bbff6d071e</t>
  </si>
  <si>
    <t>CI-75500934</t>
  </si>
  <si>
    <t>Recovery reviewed, claim is within Timely filling period of 150 days per EOB in MLH# 2026143B60282</t>
  </si>
  <si>
    <t>oks to adj per page 20</t>
  </si>
  <si>
    <t>Completed 06/17/2025</t>
  </si>
  <si>
    <t>38e0aa0f-e2e7-4809-874a-d763dbeddd71</t>
  </si>
  <si>
    <t>Dispute overturned.MULTIPLE SURGERIES ALLOWS FOR PAYMENT OF IMPLANT. RECOVERY REQUEST IS RESCINDED. Fdoc num:7082663010</t>
  </si>
  <si>
    <t>ba37da92-771a-4ae4-8150-cf3cd0d9df5f</t>
  </si>
  <si>
    <t>CI-75582661</t>
  </si>
  <si>
    <t>This appeal is overturned.Level 2 appeal review of CPT 22558 with modifier 62. Modifier 62 is supported by submitted appeal documentation.</t>
  </si>
  <si>
    <t>Completed 06/25/2026</t>
  </si>
  <si>
    <t>2eac8a28-5a5b-4ecf-ba8c-90ac095a62c9</t>
  </si>
  <si>
    <t>CI-74809140</t>
  </si>
  <si>
    <t>Partially Upheld. Documentation supports 1 implant unit; 2 units for fixation tacks do not meet implant policy definition.</t>
  </si>
  <si>
    <t>ea8402c3-b6fc-41a4-8c06-b5c6ef2bba75</t>
  </si>
  <si>
    <t>CI-75224381</t>
  </si>
  <si>
    <t xml:space="preserve">"Provider audit/CCA approved overturn"
This was already reviewed by the provider audit team. "Determination: OVERTURNED - Add. info. Able to substantiate billed implants. New allowed amount=$13,176.00 " Please proceed on adjusting the claim. Thank you. Fdoc:7082665246
</t>
  </si>
  <si>
    <t>1460394d-1e64-4240-9b23-63fcca495e73</t>
  </si>
  <si>
    <t>CI-75415242</t>
  </si>
  <si>
    <t xml:space="preserve"> PA - Overturned
Claim #25073CC9743/Line 7/C1713/$1121.92
Documentation submitted supports the implant charges billed.</t>
  </si>
  <si>
    <t>de9b12df-dd2b-4440-869b-0b0409a6a89c</t>
  </si>
  <si>
    <t>CI-75417153</t>
  </si>
  <si>
    <t>PA - Overturned
Claim #25042EO9273/Line 5/C1713/$3700.00
Knotless Fibertak Speedbridge x1=4625.00
Language: Not to exceed invoice plus 5%
Documentation submitted supports the implant charges billed.</t>
  </si>
  <si>
    <t>Disregard, this is an ITS HOST claim - this should be return to ops</t>
  </si>
  <si>
    <t>830a5340-2c99-461a-9207-6ddbff6ab436</t>
  </si>
  <si>
    <t>CI-75316669</t>
  </si>
  <si>
    <t>PA - Overturned
Claim #25227CU6250
DOS: 08/08/2025 to 08/10/2025
DCN#’s: 2026139RH8580
Claim line 5: UNK
Charges: $ 11,021.77
Determination:   Overturned-Documentation supports charges billed.</t>
  </si>
  <si>
    <t>7a6b06db-506f-460b-b827-a2448ce50640</t>
  </si>
  <si>
    <t>CI-75316577</t>
  </si>
  <si>
    <t>PA - Overturned
This has been reviewed:
Line 2 - 0278/C1713
PARTIAL OVERTURN
Implants should pay invoice cost plus 5% per contract
Total invoice cost 4503.67
Invoice plus 5% = 4,728.85
Please adjust this line to allow 4728.85</t>
  </si>
  <si>
    <t>4773efd0-b350-4ebc-8fbb-086f1801c5e7</t>
  </si>
  <si>
    <t xml:space="preserve">CI-75604142
</t>
  </si>
  <si>
    <t xml:space="preserve">Reviewed by recovery we determined claim needs to be reprocessed. As per WGS the allowed amount is $1,559.53. This claim was paid $655.59. </t>
  </si>
  <si>
    <t>Rejected - Per back up RETURN TO SENDER. Please follow return to sender workflow.</t>
  </si>
  <si>
    <t>55b4e3e3-2b29-45e0-a971-79708fb51907</t>
  </si>
  <si>
    <t>CI-75588297</t>
  </si>
  <si>
    <t>PROCEDURE CODE 29881 WITH MODIFIER AS IS PAYABLE SINCE THIS SERVICE IS UNDER ASSISTANT SURGEON PAYMENT INDICATOR 0.</t>
  </si>
  <si>
    <t>Completed with Miss Avic</t>
  </si>
  <si>
    <t>65e275a8-01c0-431b-bee6-b9429814a271</t>
  </si>
  <si>
    <t>CI-75225247</t>
  </si>
  <si>
    <t>Recovery review claims need to be reprocess due to correct allowed amount in standalone pricing is $270.00 and the allowed of the claim is $191.52. Please review and reprocess thanks</t>
  </si>
  <si>
    <t>this is non-DMO and we do not adjust claim with no concept, and also per check in FOBS benefits has $200 copay</t>
  </si>
  <si>
    <t>Upheld/Completed</t>
  </si>
  <si>
    <t>9cb0dbbc-d514-4362-bda4-f168d5474d84</t>
  </si>
  <si>
    <t>CI-75442816</t>
  </si>
  <si>
    <t>Recovery Reviewed CPT Coding guidelines per reimbursement policy C-21005 states co-surgeons is permitted for CPT code 50544. The provider submitted medical records under MLH 2026142A50063 to appeal this decision.</t>
  </si>
  <si>
    <t>COMPLETED</t>
  </si>
  <si>
    <t>42df4b22-d234-444f-bfc6-c6716411147c</t>
  </si>
  <si>
    <t>CI-75487014</t>
  </si>
  <si>
    <t>Overturn per PA response. FDOC#7084530965</t>
  </si>
  <si>
    <t>44371cec-3eee-4ca1-bff5-b983cab5fd72</t>
  </si>
  <si>
    <t>CI-74208204</t>
  </si>
  <si>
    <t xml:space="preserve">
Recovery reviewed and determined claim needs to be reprocessed. Claim was incorrectly denied for timely filing, Following C11-S288-59-B-X5_Duplicate Professional-Same Provider line 01 needs to be denied as duplicate of DCN 23110DS7182 for DOS 04/05/2023. Line 02 needs to be reprocessed for payment.
</t>
  </si>
  <si>
    <t>Reversal applies to line 2, since this is for duplicate process (C11-S288-59-B-X5 xref claim 23110DS7182 per ACR )</t>
  </si>
  <si>
    <t>Completed -w/ Miss Leah - 6/23/2026</t>
  </si>
  <si>
    <t>42242025-a627-42a8-a007-6192338eba4f</t>
  </si>
  <si>
    <t>CI-74999170</t>
  </si>
  <si>
    <t>As per PA review the decision is overturned. Procedure code 22558 with modifier 62 is supported by documentation. FDOC# 7084534649.</t>
  </si>
  <si>
    <t>Okay to adjust. Approved auth UM63669657 (PAM edit)</t>
  </si>
  <si>
    <t>Completed adjustment</t>
  </si>
  <si>
    <t>482b1e17-ef6b-45c1-8233-2402cafa32a6</t>
  </si>
  <si>
    <t>CI-75464285</t>
  </si>
  <si>
    <t xml:space="preserve">AS per PA Review, the decision is overturned. Line 3 C1713 and Line 4 C1889 has document supported charges billed. FDOC#: 7084544378
</t>
  </si>
  <si>
    <t>e500b434-06fb-4dfe-8572-e322f138250d</t>
  </si>
  <si>
    <t>CI-75616747</t>
  </si>
  <si>
    <t>As per recovery review, Lines 3,4,6,7,8 revenue code 033 is not included in recoverable line . Its not part of Anthem Diagnostic Service List</t>
  </si>
  <si>
    <t>oks to adj due to reason per ecm exclude if exrefis $0.00 paid</t>
  </si>
  <si>
    <t>ff9fc2bd-980a-42d7-a7df-564aea68b4fe</t>
  </si>
  <si>
    <t>CI-75622441</t>
  </si>
  <si>
    <t>Reversing claim per review, per concept B7937's criteria under step 3, diagnosis code O09519 is not found on the grid, do not recover.</t>
  </si>
  <si>
    <t>be48da42-7531-4636-b6be-31b8659e80fb</t>
  </si>
  <si>
    <t>CI-74108479</t>
  </si>
  <si>
    <t>Nina,Mark Ian</t>
  </si>
  <si>
    <t>Recovery reviewed the claim and per findings, TFL is 180 days. Date of service is 12/12/2024 and the received date is 01/07/2026 however, the service was previously billed under claim 2024359BC5088 with the id EWF 813W05914 and it was denied as no coverage. Providers have to billed it with the correct id EWF 663W22700 under claim 2026007BC7067 which was denied as TFL. Kindly use as reference the claim 2024359BC5088 as their POTF. Please reconsider and reprocess accordingly</t>
  </si>
  <si>
    <t>THIS IS KRN CLAIM NO NEED TO REVIEW</t>
  </si>
  <si>
    <t>154bc23a-d3d8-4723-98d1-bddd28c6a570</t>
  </si>
  <si>
    <t>CI-75591407</t>
  </si>
  <si>
    <t>Dispute overturned. Claim need to be reprocessed  due to DMO Concept C26-S156-59-B-X2 procedure code 26536 with MAI Indicator 0 and has medical record under MLH# 2026146RH3277.</t>
  </si>
  <si>
    <t>5214ec4a-b12d-445c-b0bc-fb53f913ecda</t>
  </si>
  <si>
    <t>CI-75643100</t>
  </si>
  <si>
    <t xml:space="preserve">This was reviewed by recovery disputes and determined code 99469 is considered part of the global surgery benefit processed on claim 2025330CY3232 for date of service 11/09/2025. There is separate reimbursement allowed per reimbursement policy C-08007 Global Surgical Package. </t>
  </si>
  <si>
    <t xml:space="preserve">Leah </t>
  </si>
  <si>
    <t>34d37b1e-86cb-4221-bc7b-2c8b7306853f</t>
  </si>
  <si>
    <t xml:space="preserve">CI-75661255
</t>
  </si>
  <si>
    <t>Request for claim to be reprocessed since provider submitted the claim within the filing limit of 90 days. DOS is 01/02/2025. Received date is 05/07/2025. Please see proof of timely filing at 2026147B61124. Denied EOB from another carrier dated 03/07/2025. This is within timely filing. For claim reversal</t>
  </si>
  <si>
    <t>629424a8-205f-47c5-8de4-1e1965799aa8</t>
  </si>
  <si>
    <t>CI-75234993</t>
  </si>
  <si>
    <t xml:space="preserve">
Recovery reviewed and determined claim needs to be reprocessed. As per B6933-X3-V4 concept in PICM, ME and CA state should be excluded. Provider state is CA.  
</t>
  </si>
  <si>
    <t>Prepay claim. Please follow PI RI workflow.</t>
  </si>
  <si>
    <t>Prepay reversal - 06/22/2026</t>
  </si>
  <si>
    <t>389567b0-c9d9-4b66-a5a8-1e5fc9db2d16</t>
  </si>
  <si>
    <t>CI-75621666</t>
  </si>
  <si>
    <t xml:space="preserve">Request for reversal per DMO B554-X3. Step 2, with rev code 762 but pricing errors 4R or 3C are not present in all lines. 
</t>
  </si>
  <si>
    <t>REV code 762 error code is 3C</t>
  </si>
  <si>
    <t>10e95c97-90a6-4ce0-8607-ca5ad2b6313c</t>
  </si>
  <si>
    <t>CI-74801689</t>
  </si>
  <si>
    <t>This determination is OVERTURNED. Received medical records which supports the increase in dosing. FDOC#7086877169</t>
  </si>
  <si>
    <t>191d8bbc-83b0-4aa6-bdb5-a5498d81f7e4</t>
  </si>
  <si>
    <t>CI-75679008</t>
  </si>
  <si>
    <t xml:space="preserve">Dispute overturned. Claim needs to be reprocessed as per recovery review, allowable amount is for $3217.09 which was already paid correctly prior the adjustment. </t>
  </si>
  <si>
    <t>Rejected - per CP pop up allowed amt is 764.05 which is priced correctly.</t>
  </si>
  <si>
    <t>8327b8b4-00da-4394-8cd5-17ffd96fa603</t>
  </si>
  <si>
    <t>CI-75704115</t>
  </si>
  <si>
    <t xml:space="preserve">Dispute overturned. Claim needs to be reprocessed as per recovery reviewed due to procedure code A9520 with MAI Indicator 3. Medical records under MLH# 2025246RL0991.
</t>
  </si>
  <si>
    <t>Completed 6/23/2026</t>
  </si>
  <si>
    <t>c6f4eac6-ab55-4433-995d-4325abfd3a9b</t>
  </si>
  <si>
    <t>CI-75710793</t>
  </si>
  <si>
    <t xml:space="preserve">Dispute overturned. Recovery reviewed. As per WGS standalone pricer, allowed amount is $17,306.09. Claim 25064BQ0914 payment is $7,688.25.  </t>
  </si>
  <si>
    <t>b1357fb5-8bcf-419e-9a6a-f054e9645d9e</t>
  </si>
  <si>
    <t>CI-73141181</t>
  </si>
  <si>
    <t xml:space="preserve">Consad, Marichu </t>
  </si>
  <si>
    <t>Recovery reviewed and claim needs to be reprocessed as duplicate claim 25293DK7462 was voided. Therefore, no duplicate payment.</t>
  </si>
  <si>
    <t>89634b97-27b4-4f28-b522-52e34f847f24</t>
  </si>
  <si>
    <t xml:space="preserve">	
CI-75604383</t>
  </si>
  <si>
    <t xml:space="preserve">CAA  AUDIT OVERTURNED | FDOC 7092080140 &amp; 7089389045
CLAIM #25214BS2788/CL 4/UNK/$17,388.62
DOCUMENTATION SUBMITTED SUPPORTS IMPLANTS BILLED
OP REPORT - 89
IMPLANTS - 90
T2 ALPHA FEMORAL NAIL GT LEFT 10X340MM X1
5X60MM LOCKING SCREW X1
5X32.5MM LOCKING SCREW X1
5X50MM LOCKING SCREWS X1
5X37.5 LOCKING SCREW X1 </t>
  </si>
  <si>
    <t>c4815285-e281-49ad-b172-47fa25ccfa03</t>
  </si>
  <si>
    <t>CI-75765768</t>
  </si>
  <si>
    <t xml:space="preserve">Provider submitted proof of TFL (DOS:10/07/2025) availity print out claiming that they did file it timely on 10/21/2025.
</t>
  </si>
  <si>
    <t>89924a05-1344-42af-ac03-eb875741965d</t>
  </si>
  <si>
    <t>CI-76427007</t>
  </si>
  <si>
    <t xml:space="preserve">PER CCA AUDIT | Partially Upheld | FDOC 7092083271
Claim #25206CR8520
Line 11/C1713/$0.00
Line 12/C1776/$19702.09
Liner x1
Shell x1
Stem x1
Head x1
25mm screw x1
Non-implant:
5/32 smooth K-wire
Documentation includes implants and non-implants. An I-Bill was not submitted to validate the charges. Therefore, the documentation is insufficient to support the charges.
</t>
  </si>
  <si>
    <t>e1f53ec8-59fa-4b4f-8ada-f071af8b3081</t>
  </si>
  <si>
    <t>CI-75732536</t>
  </si>
  <si>
    <t>provider submitted potfl</t>
  </si>
  <si>
    <t>Upheld Per POTF 2026149A50139 DOS do not match.</t>
  </si>
  <si>
    <t>cec24f8e-8de4-49f3-80d1-1025ae94ec82</t>
  </si>
  <si>
    <t>CI-76366247</t>
  </si>
  <si>
    <t xml:space="preserve">	
As per PA review line 7 with revenue code 278, documentation submitted supports the implant charges billed. FDOC# 7089247635.</t>
  </si>
  <si>
    <t>b2fbc826-d54f-4c04-8ca4-c59043799ace</t>
  </si>
  <si>
    <t>CI-76487439</t>
  </si>
  <si>
    <t>Line 12/C1776/$19702.09</t>
  </si>
  <si>
    <t>Reject: ITS Host claim</t>
  </si>
  <si>
    <t>45cac39d-4bcc-4fbe-87b7-c1db524cc234</t>
  </si>
  <si>
    <t xml:space="preserve">
CI-75645004
</t>
  </si>
  <si>
    <t>Dispute overturned. As per PA response, claim can be allowed at contracted rate. See response at FDOC 7089251235. For claim reversal.</t>
  </si>
  <si>
    <t>ca5f0527-c752-4c43-899f-47a35a611725</t>
  </si>
  <si>
    <t xml:space="preserve">
CI-75642637</t>
  </si>
  <si>
    <t>Dispute overturned. As per PA response, claim can be allowed at contracted rate. See response at FDOC 7089252010. For claim reversal.</t>
  </si>
  <si>
    <t>58261f46-0f00-4ab7-846e-5c54a933a207</t>
  </si>
  <si>
    <t>CI-74676769</t>
  </si>
  <si>
    <t>Stem x1</t>
  </si>
  <si>
    <t>16979bb1-e950-4a78-a460-0d4d761f2b3a</t>
  </si>
  <si>
    <t>CI-75160537</t>
  </si>
  <si>
    <t xml:space="preserve">	
Claim needs to reprocess as per recovery reviewed C26-S156-59-B-X2 concept with medical records for assistant surgeon payment indicator is 0 for procedure code 28750. Medical records are attached to the claim's inquiry MLH # 2026136A50737. Thank you.</t>
  </si>
  <si>
    <t>74b188ed-13f3-4775-92f0-41d75dd28b3c</t>
  </si>
  <si>
    <t>CI-75645677</t>
  </si>
  <si>
    <t>Overturn per PA response. FDOC#7089277691</t>
  </si>
  <si>
    <t>95567191-256e-47e3-9379-ac79f8b689e4</t>
  </si>
  <si>
    <t>CI-75644912</t>
  </si>
  <si>
    <t>Overturn per PA response. FDOC#7089292526</t>
  </si>
  <si>
    <t>Completed 6/24/2026</t>
  </si>
  <si>
    <t>cfe452bf-40bd-42a3-a789-bd37c1c26748</t>
  </si>
  <si>
    <t>CI-75643287</t>
  </si>
  <si>
    <t>Overturn per PA response. FDOC#7089319254</t>
  </si>
  <si>
    <t>2e8bf7c7-5ace-4872-a38a-8076b0e15ed8</t>
  </si>
  <si>
    <t>CI-75643202</t>
  </si>
  <si>
    <t>Overturn per PA response. FDOC#7089332265</t>
  </si>
  <si>
    <t>7faad3fd-3bac-4b4c-aa07-107112f36dc9</t>
  </si>
  <si>
    <t>CI-75641293</t>
  </si>
  <si>
    <t>Overturned. PA response on FDOC#7089333531</t>
  </si>
  <si>
    <t>b152ee6a-4b26-469a-81ad-7f4c64c72726</t>
  </si>
  <si>
    <t xml:space="preserve">CI-74016258
</t>
  </si>
  <si>
    <t>Dispute overturned, claim can be allowed at the contracted rate. Fdoc num:7089334077</t>
  </si>
  <si>
    <t>16ea3fac-b156-4cf9-a556-654e7ad57ace</t>
  </si>
  <si>
    <t xml:space="preserve">CI-75364631
</t>
  </si>
  <si>
    <t xml:space="preserve">Per PA review for overturned,
Line 4 - 0278/L8699
Able to verify implants billed correctly.
Please repay this line according to the Provider's contracted rate.
FDOC#: 7089509415 
</t>
  </si>
  <si>
    <t>127781cf-c3ce-4612-b067-86d3d24f4362</t>
  </si>
  <si>
    <t>CI-75347235</t>
  </si>
  <si>
    <t xml:space="preserve">Provider Audit/CCA approved overturned. Received email, FDOC # 7089629321.  Modifier 62 is supported by submitted appeal documentation.
</t>
  </si>
  <si>
    <t>Completed with Ms Kristianna Marie Lopez. 06/22/2026</t>
  </si>
  <si>
    <t>b3a9851e-3da8-4431-a6b2-86fb6f0e241d</t>
  </si>
  <si>
    <t>CI-75751569</t>
  </si>
  <si>
    <t>Claim incorrectly rejected. Per C35-S273-59-B-X1 Calculate the 50% reduction amount and Recover Overpayment code 64640.</t>
  </si>
  <si>
    <t>PAM edit on claim no approve auth. No adjustment needed</t>
  </si>
  <si>
    <t>271326c0-b13b-458f-aac0-ab3c1cecb386</t>
  </si>
  <si>
    <t xml:space="preserve">CI-75759677
</t>
  </si>
  <si>
    <t xml:space="preserve">Request for claim to be reprocessed since provider submitted the claim within the filing limit of 180 days. DOS is 11/05/2024. Received date is
06/03/2025 and Per the attach denied EOB date: 05/28/2026. It was originally billed in a timely manner. please find the attach EOB in MLH#:
2026149A51131.
</t>
  </si>
  <si>
    <t>77411c7a-5f7a-4a93-b76e-be2ac2c78d6e</t>
  </si>
  <si>
    <t>CI-75561765</t>
  </si>
  <si>
    <t>Ansir B7937 O09522 is not listed on B7937 DX Codes Grid. Claim should not be recovered.</t>
  </si>
  <si>
    <t>e20f6449-beb0-492e-927e-0495bbd01e05</t>
  </si>
  <si>
    <t>CI-75767918</t>
  </si>
  <si>
    <t>This was reviewed by recovery disputes and determined that preadmission service is considered not inclusive to claim 2025289CY5517, date of service 10/08/2025. There is  separate reimbursement allowed per the provider contract.</t>
  </si>
  <si>
    <t xml:space="preserve">Upheld. Both claims pat days are within 7 days per PAT and PST Master list with preadmission diagnosis Z01.810 which authorized the claim to be recovered in full. </t>
  </si>
  <si>
    <t>217c4e72-401f-4cee-a8ff-a0318f1fd50f</t>
  </si>
  <si>
    <t>CI-74743240</t>
  </si>
  <si>
    <t>Niduaza,Marvin</t>
  </si>
  <si>
    <t>Overturned. PA response on FDOC#7088598843</t>
  </si>
  <si>
    <t>a4c74636-40c0-44f7-be54-2943d943f04d</t>
  </si>
  <si>
    <t>CI-75725040</t>
  </si>
  <si>
    <t>Claim: 2025050DU7315
CL4 / HCPCS C1713
Total Charges: $3210.30
Determination: Overturned. Documentation supports billed implants. | FDOC 7092083864</t>
  </si>
  <si>
    <t>0372a2ca-ee30-4561-83ba-72413a513abb</t>
  </si>
  <si>
    <t>CI-75654043</t>
  </si>
  <si>
    <r>
      <rPr>
        <sz val="11"/>
        <color rgb="FF000000"/>
        <rFont val="Aptos Narrow"/>
        <family val="2"/>
        <scheme val="minor"/>
      </rPr>
      <t>PER Provider Audit Overturned |</t>
    </r>
    <r>
      <rPr>
        <sz val="11"/>
        <color rgb="FFFF0000"/>
        <rFont val="Aptos Narrow"/>
        <family val="2"/>
        <scheme val="minor"/>
      </rPr>
      <t xml:space="preserve">FDOC UPDATED 7099411737
</t>
    </r>
    <r>
      <rPr>
        <sz val="11"/>
        <color rgb="FF000000"/>
        <rFont val="Aptos Narrow"/>
        <family val="2"/>
        <scheme val="minor"/>
      </rPr>
      <t>Claim #24227EZ4910/Line 3/L8699/$1843.39
AR-8928BCJ-CP BC Achilles SpeedBridge x1=2194.50
2194.50*1.05=2304.23
Documentation submitted supports the implant charges billed.</t>
    </r>
  </si>
  <si>
    <t>1262b040-f334-44ba-b47b-084be7847dac</t>
  </si>
  <si>
    <t>CI-75247174</t>
  </si>
  <si>
    <t>Overturned. PA response on FDOC#7092107338</t>
  </si>
  <si>
    <t>9f379347-7c2b-4a45-90ee-7b4f3c27c7ee</t>
  </si>
  <si>
    <t>CI-75469372</t>
  </si>
  <si>
    <t>TL che</t>
  </si>
  <si>
    <t>Claim #25149FN5116/Line 6/UNK/$4313.75 
DBM putty x2=7437.50
5.5x15mm screw x6=2100.00
Spinal cage x2=8000.00
ALIF x2=3937.50
Original documentation submitted supports the implant charges billed.
FDOC 7094156648</t>
  </si>
  <si>
    <t>660207d0-43ac-4d03-98a6-97ee7521ae3e</t>
  </si>
  <si>
    <t>CI-75605155</t>
  </si>
  <si>
    <t>Overturned
Claim #25052EG0447/Line 4/C1713/$1222.50
Documentation submitted supports the implant charges billed.
FDOC 7094156696</t>
  </si>
  <si>
    <t>a03edff2-0627-4f32-8c26-8723dc69aced</t>
  </si>
  <si>
    <t>CI-75672582</t>
  </si>
  <si>
    <t>Per provider audit review Partially Upheld-Please refund provider $1,648.24, New Allowed $1,648.24 Charges do not match acquisition cost, overpayment. New allowed amount is $1,648.24. FDOC# 7095234234</t>
  </si>
  <si>
    <t>Completed w/ms leah 6/26/2026</t>
  </si>
  <si>
    <t>e13721ed-6452-4388-a39a-792bc704d694</t>
  </si>
  <si>
    <t>CI-75556509</t>
  </si>
  <si>
    <t>Per provider audit review Procedure code C1889 Clinical supports payment. FDOC# 7095234677</t>
  </si>
  <si>
    <t>Completed w/ms leah 6/23/2026</t>
  </si>
  <si>
    <t>fe4109a2-efa2-41cb-b017-821c4a45c170</t>
  </si>
  <si>
    <t>CI-75536939</t>
  </si>
  <si>
    <t>Sabarre, Meong</t>
  </si>
  <si>
    <t>Pricing. B7062. Incorrect contract rate. Claim allowed $3,575,55 and should have allowed $1128.72.</t>
  </si>
  <si>
    <t>Upheld; line 1 was not paid and line 3 was denied due to pre auth adjusted per B6636-X1.</t>
  </si>
  <si>
    <t>02e6fba1-e0ec-450c-aeb6-c87df30b1ab0</t>
  </si>
  <si>
    <t xml:space="preserve">CI-75710793
</t>
  </si>
  <si>
    <t xml:space="preserve">Dispute overturned. Recovery reviewed. As per WGS standalone pricer, allowed amount is $17,306.09. Claim 25064BQ0914 payment is $7,688.25.  
</t>
  </si>
  <si>
    <t>d9cbca7b-8ed7-45f1-b90b-19ec5c65215b</t>
  </si>
  <si>
    <t>CI-75807986</t>
  </si>
  <si>
    <t>Pedregoza, Mary Elizazbeth</t>
  </si>
  <si>
    <t xml:space="preserve">
B5704 OUTPATIENT FACILITY UM DENIAL
Recovery reviewed and determined claim needs to be reprocessed. An approved authorization is on file under UM82917263 for CPT code 71271. Recovery should not have been processed. Additional from Validation tip file, exclude UM rule list and UMAIMRAD is on list and is on claim.
As per new concept C2-S357-59-B-X1  to exclude when approved authorization is found.  An approved authorization is on file under UM82917263 for CPT code 71271.
</t>
  </si>
  <si>
    <t>Completed w/ Miss Leah - 06/30/2026</t>
  </si>
  <si>
    <t>f96ad974-ec7b-4825-89b5-5ed789ce8f17</t>
  </si>
  <si>
    <t>CI-75835019</t>
  </si>
  <si>
    <t>Dispute overturned. Procedure code 24358 ASST_SURG_IND = "0" and provider  submitted supporting documentation to prove medical necessity per MLH 2026151A20301. Please reprocess. Thank you</t>
  </si>
  <si>
    <t>ITS host claim, we dont adjust ITS host claim please RTO&gt;overturn</t>
  </si>
  <si>
    <t>CompleteD</t>
  </si>
  <si>
    <t>e59bb34f-728d-408d-b62d-c54fe88be7a4</t>
  </si>
  <si>
    <t>CI-75802505</t>
  </si>
  <si>
    <t>B7115. Step 6. provider's tax ID included in B7117 POL WGS HIX grid.</t>
  </si>
  <si>
    <t>Prepay claim. Please follow PI workflow.</t>
  </si>
  <si>
    <t>ca2d5478-1696-4fa4-b230-8b5c86117fc1</t>
  </si>
  <si>
    <t>CI-75838436</t>
  </si>
  <si>
    <t>Request for reversal on procedure code 64718 due to assistant surgeon indicator is 0 and medical record was received. Per concept ID B299/C26S15659B-X2, overturn automatically, no review by CCA when indicator is 0 and medical records received. See attached MLH#2026151A20348 for medical records.</t>
  </si>
  <si>
    <t>ITS host claim</t>
  </si>
  <si>
    <t>20d2d288-ae41-4ced-959f-7e05082b285d</t>
  </si>
  <si>
    <t>CI-75839097</t>
  </si>
  <si>
    <t>Dispute overturned. Procedure code 26850 ASST_SURG_IND = "0" and provider  submitted supporting documentation to prove medical necessity per MLH 26850. Please reprocess. Thank you</t>
  </si>
  <si>
    <t>3cf1b557-72d7-4fad-a29c-9cd6beddac9b</t>
  </si>
  <si>
    <t>CI-75838055</t>
  </si>
  <si>
    <t xml:space="preserve">
B299 or C26-S156-59-B-X2_Assistant Surgeon
Dispute overturned. Procedure code 29880 ASST_SURG_IND = "0" and provider  submitted supporting documentation to prove medical necessity per MLH 2026151A20342. Please reprocess. Thank you
</t>
  </si>
  <si>
    <t>Completed - 6/24/2026</t>
  </si>
  <si>
    <t>1b0e59e3-bc4c-48e2-ab4b-bc0e762580db</t>
  </si>
  <si>
    <t>CI-75720704</t>
  </si>
  <si>
    <t>Recovery reviewed. Claim is pricing correctly in PCT hence claim needs to be reprocess to pay correct rates.</t>
  </si>
  <si>
    <t>Reject: Please review per downpay reson concept C20-S131-59-B-X1</t>
  </si>
  <si>
    <t>Completed - 6/25/2026</t>
  </si>
  <si>
    <t>84837c7d-9880-47b5-9dcb-21539a4e9b04</t>
  </si>
  <si>
    <t>CI-75839295</t>
  </si>
  <si>
    <t>Request for reversal on procedure code 29881 due to assistant surgeon indicator is 0 and medical record was received. Per concept ID B299/C26S15659B-X2, overturn automatically, no review by CCA when indicator is 0 and medical records received. See attached MLH#2026150RH3448 for medical records.</t>
  </si>
  <si>
    <t>PAM no approve auth</t>
  </si>
  <si>
    <t>d1277fd4-daa1-4805-8145-eccbee5e7f07</t>
  </si>
  <si>
    <t>CI-75707110</t>
  </si>
  <si>
    <t xml:space="preserve">
Reviewed by recovery and determined claim needs to be reprocessed. As per B1193-X1 DENTAL SERVICES PAID ON OUTPATIENT FACILITY CLAIM in ERROR, to exlude Member's Age is 7 years and younger. Member's DOB is 06/19/20. Please reprocess for payment line 04 - line 12, CPT codes D2391, D2930  &amp; D7140
</t>
  </si>
  <si>
    <t>Completed 07/02/2026</t>
  </si>
  <si>
    <t>17ad50eb-2fed-43b5-904f-5b5f41c4b227</t>
  </si>
  <si>
    <t>CI-75459481</t>
  </si>
  <si>
    <t xml:space="preserve">Provider Audit/CCA approved overturned. Received email, FDOC # 7097008705. The provider and claim no longer requires an audit review. 
</t>
  </si>
  <si>
    <t>Completed 06/24/2026</t>
  </si>
  <si>
    <t>89fae701-ec76-4193-9ca2-abe08b728e84</t>
  </si>
  <si>
    <t>CI-75708020</t>
  </si>
  <si>
    <t>Per provider audit review, claim line 8 HCPCS C1747 charges $2,146.22. Documentation supports charges billed. FDOC#:7097064147.</t>
  </si>
  <si>
    <t>fe389baa-f8a9-402b-a66a-9fc70b04b671</t>
  </si>
  <si>
    <t>CI-75844867</t>
  </si>
  <si>
    <t>Per PA review, the decision is overturned, Per IPD, for a 154-unit dose of J9047, results in 6 units waste. FDOC# 7097067341.</t>
  </si>
  <si>
    <t>93ab966e-1620-43a0-adfe-3c06d5d1ca29</t>
  </si>
  <si>
    <t>CI-75343846</t>
  </si>
  <si>
    <t>Claim needs to be reprocess as per recovery review. Reference claim 25245720071 is also billing CPT code 20605 that has been paid initially. After review, the payment for CPT code 20605 on claim 25245720071 has been recouped and was denied due to corrected claim. Original claim 25245EN7755 billing CPT code 20605 should have been paid. Sent for reprocess.</t>
  </si>
  <si>
    <t>54e99e2e-f8e9-49d4-a897-b24a57492394</t>
  </si>
  <si>
    <t>CI-75893782</t>
  </si>
  <si>
    <t xml:space="preserve">Proof of tfl submitted under MLH 2026152RL6950, stating it was filed timely. It was corrected and rebilled promptly thereafter as they say. bill charges and dos matches electronic submission printout. </t>
  </si>
  <si>
    <t>Rejected - no valid POTF on file</t>
  </si>
  <si>
    <t>d5761514-ee63-4207-b3c2-31a5be2b66fe</t>
  </si>
  <si>
    <t xml:space="preserve">CI-76570319
</t>
  </si>
  <si>
    <t xml:space="preserve">Dispute overturned. Recovery reviewed the claim and per findings, Approved auth UM61719950 on file for matching claim line within approved auth date range. </t>
  </si>
  <si>
    <t>UM61719950 does not include your procedure codes. Kindly review.</t>
  </si>
  <si>
    <t>385c532d-4401-4b10-8e66-3245d6924476</t>
  </si>
  <si>
    <t>CI-75909898</t>
  </si>
  <si>
    <t>TFL. original claim 2025085EE8648 was voided, with dos 03/10/25 and receipt date 03/26/2025.</t>
  </si>
  <si>
    <t>a33bd097-22bb-453e-8939-e1f9fd675f8c</t>
  </si>
  <si>
    <t>CI-75912164</t>
  </si>
  <si>
    <t>Dispute overturned. As per recovery review, procedure code 46500 is not mutually exclusive to 46551. Please review and reprocess claim. Thank you.</t>
  </si>
  <si>
    <t xml:space="preserve">NCCI editing 46500 is inclusive when billed with 46551 per Practitioner PTP Edits grid. Please review. </t>
  </si>
  <si>
    <t>COmpleted</t>
  </si>
  <si>
    <t>e271f383-ec66-4c54-83d7-a301513e0808</t>
  </si>
  <si>
    <t>CI-75898747</t>
  </si>
  <si>
    <t xml:space="preserve">C6-S265-59-B-X1_NCCI Edits Step 2. The date of service on the Xref claim does not match the original claim. </t>
  </si>
  <si>
    <t>27cd00a4-381c-428d-8661-5e0d400e4953</t>
  </si>
  <si>
    <t>CI-76300635</t>
  </si>
  <si>
    <t>Per provider audit review, the initial decision is Overturned. Per drug regimen, dosage was billed correct. Please reissue payment to the provider $13,546.03. Related CI# CL-35595202.FDOC#:7097588088.</t>
  </si>
  <si>
    <t>38b18176-ea8d-472c-9a2b-e33f600eb5bf</t>
  </si>
  <si>
    <t xml:space="preserve">Overturn- MAI Indicator 3 with medical records </t>
  </si>
  <si>
    <t>e5534d2e-49a7-4276-b9a0-56aab55a3b76</t>
  </si>
  <si>
    <t>CI-75132929</t>
  </si>
  <si>
    <t>Duplicate scenario, different Revenue Code from Concept ID C11-S286-59-B-X2 Step 3</t>
  </si>
  <si>
    <t>b840942f-d563-4cad-89a1-c2dc2d9ccb14</t>
  </si>
  <si>
    <t>CI-75761356</t>
  </si>
  <si>
    <t>mickee Vergara</t>
  </si>
  <si>
    <t>Overturned per PA response on FDOC#7098842200</t>
  </si>
  <si>
    <t>Completed 6/29/2026</t>
  </si>
  <si>
    <t>9a117b23-8bdc-4205-9b48-8e92d4b0e0ad</t>
  </si>
  <si>
    <t>CI-75797463</t>
  </si>
  <si>
    <t>Per PA review. The provider sent in records supporting 700mg of Nucala drug J2182 was administered to patient on DOS 04/01/2025. FDOC# 7099195839</t>
  </si>
  <si>
    <t>99ce8021-241f-48b4-af15-5b600a4c40a9</t>
  </si>
  <si>
    <t>CI-75778370</t>
  </si>
  <si>
    <t>Reversing claim per provider audit, documentation supports LN 01 for 30 units and LN 02 for 15 units for J2357 FDOC #7099202533 | CI-75778370 | 06/23/2026 | |AH89140 | AFEJER | Recovery Disputes</t>
  </si>
  <si>
    <t>okay to adj</t>
  </si>
  <si>
    <t>e7b4299f-a522-49bb-b9d5-8af80ed0c40f</t>
  </si>
  <si>
    <t>CI-75934072</t>
  </si>
  <si>
    <t>Reversing claim per review. Initially, the claim was sent to other insurance and later on was denied. Claim was received within the timely filing limit of 90 days based on MLH 2026153A50837.</t>
  </si>
  <si>
    <t>f6356e48-e7bf-44b4-9a68-011f7b61bd2e</t>
  </si>
  <si>
    <t>CI-75939039</t>
  </si>
  <si>
    <t>Dela pena, Nora Karla</t>
  </si>
  <si>
    <t>Claim was received within the timely filling limit of  90 days based on MLH 2026153RH0427</t>
  </si>
  <si>
    <t>8d12b265-c913-4258-9dcc-e1d15bcac526</t>
  </si>
  <si>
    <t>CI-75805190</t>
  </si>
  <si>
    <t>Overturned per PA response on FDOC#: 7099296768</t>
  </si>
  <si>
    <t>f4770432-0ef6-46f1-b595-b59ded032a75</t>
  </si>
  <si>
    <t>CI-75728561</t>
  </si>
  <si>
    <t>Dispute overturned. Claim needs to reprocess as DMO B6473 with MAI indicator 1 with medical record.</t>
  </si>
  <si>
    <t>this is ITS Host, we dont adjust ITS Host, please RTO&gt;overturn</t>
  </si>
  <si>
    <t>43cd21e9-4c57-48ec-8e3e-53bd59e3e7fb</t>
  </si>
  <si>
    <t>CI-75340330</t>
  </si>
  <si>
    <t>Overturned. PA response on FDOC#7099361121</t>
  </si>
  <si>
    <t>f6111439-9665-440c-a014-67d17f91db0d</t>
  </si>
  <si>
    <t>CI-75784009</t>
  </si>
  <si>
    <t>Line 4 - 0278/L8699
OVERTURN | PA Response FDOC 7099364383
Able to verify implants billed
Please repay this line according to the Provider's contracted rate</t>
  </si>
  <si>
    <t>ee6731c4-46c6-4741-954a-22688b2ce5a5</t>
  </si>
  <si>
    <t xml:space="preserve">CI-75806200
</t>
  </si>
  <si>
    <t xml:space="preserve">	
Dispute overturned. Per PA response, Add. info submitted. Able to substantiate billed implant. Please reprocess &amp; repay. New allowed amount=$1,250.00. See FDOC 7099366794</t>
  </si>
  <si>
    <t>07fbe66c-eeb8-4567-9d77-d8626eaaa29e</t>
  </si>
  <si>
    <t>CI-75642817</t>
  </si>
  <si>
    <t>Dispute overturned, Claim needs to be reprocessed as per provider audit response.Overturned, claim can be allowed at the contracted rate. FDOC#7099625446.</t>
  </si>
  <si>
    <t>72c64362-b7de-4059-8f6a-08cf6da56298</t>
  </si>
  <si>
    <t xml:space="preserve">CI-75729173
</t>
  </si>
  <si>
    <t xml:space="preserve">Per PA Review, Partial Upheld.
Determination: Partially upheld. Documentation does not support charge billed.
There are x5 verified implants and x1 implant is not supported in the medical record.
Recovery amount: $2476.16
Provider Repayment Amount: $16033.29
FDOC#: 7099626213 
</t>
  </si>
  <si>
    <t>f8fa75a7-d17c-405f-8414-49537219eb08</t>
  </si>
  <si>
    <t xml:space="preserve">CI-75750585
</t>
  </si>
  <si>
    <t xml:space="preserve">Per PA Review, Overturned.
Documentation supports billed implant. 
Provider Repayment Amount: $560.00
FDOC#: 7099625861 
</t>
  </si>
  <si>
    <t>879d4f05-8661-4fe0-aa7e-ceca44a84f0c</t>
  </si>
  <si>
    <t>CI-75750051</t>
  </si>
  <si>
    <t xml:space="preserve">Overturn-  On step 4 of the ANSIR XREF CPT Code can't be found in CMS Excel. </t>
  </si>
  <si>
    <t>Procedure codes 93650 and 93005 are on the CMS link make sure to select the most recent applicable Hospital PTP link for the code range in question.</t>
  </si>
  <si>
    <t xml:space="preserve">Upheld-Completed </t>
  </si>
  <si>
    <t>3b48a897-88c8-451d-b70d-07f62b20bc24</t>
  </si>
  <si>
    <t>CI-75694526</t>
  </si>
  <si>
    <t>Overturned per PA response on FDOC#7099627367</t>
  </si>
  <si>
    <t>95376e5e-4338-49ee-b5de-07f714d5b822</t>
  </si>
  <si>
    <t>CI-75964678</t>
  </si>
  <si>
    <t xml:space="preserve">
Overturn  - CPT 25275   ASST_SURG_IND = "0" and provider submit supporting documentation to prove medical necessity per MLH 2026153RH8103. 
</t>
  </si>
  <si>
    <t>eb352d9c-20b9-4865-9be6-81b567c42992</t>
  </si>
  <si>
    <t>CI-75960543</t>
  </si>
  <si>
    <t xml:space="preserve">Dispute overturned. Claim needs to be reprocessed as per recovery review, allowable amount is for $2898.00 per pricing. </t>
  </si>
  <si>
    <t xml:space="preserve">non-dmo </t>
  </si>
  <si>
    <t>bfcb7a8c-31cb-4c6a-9396-b07247eee6bc</t>
  </si>
  <si>
    <t>CI-75985466</t>
  </si>
  <si>
    <t xml:space="preserve">Recovery review, as per DMO B299 this claim needs to be reprocessed due to procedure code 33866 on claim 25328EE6227 has an assistant surgeon indicator of 0 and medical records was received under MLH 2026141R40735. Please review.
</t>
  </si>
  <si>
    <t>For RI-PI please make sure to attach the correct MLH for med recs.</t>
  </si>
  <si>
    <t>58d1e549-d3dd-408c-87c3-88020d9c18dc</t>
  </si>
  <si>
    <t xml:space="preserve">CI-74397661
</t>
  </si>
  <si>
    <t xml:space="preserve">it was initially submitted to medicare please see mlh 2026142B60218 for potfl
</t>
  </si>
  <si>
    <t>04cd4b7f-8e52-4510-a42b-09229d29d6d0</t>
  </si>
  <si>
    <t>CI-75178621</t>
  </si>
  <si>
    <t>Per PA response Overturned-Documentation supports charges billed.</t>
  </si>
  <si>
    <t>5ff597d5-8e76-423f-bb49-74864c9f373d</t>
  </si>
  <si>
    <t>CI-75896585</t>
  </si>
  <si>
    <t xml:space="preserve">Per PA response Partially overturned, allow line 1 as a 99213, doc supports low level of medical decision making. 
</t>
  </si>
  <si>
    <t>46e86024-1380-4641-971f-5006f8a5a607</t>
  </si>
  <si>
    <t>CI-75604969</t>
  </si>
  <si>
    <t>Tax ID 200044124 is excluded per PICM steps. hence need to reprocess claim.</t>
  </si>
  <si>
    <t>45e2a39f-7ce0-4233-b6af-919ccdb6f752</t>
  </si>
  <si>
    <t>CI-75749042 </t>
  </si>
  <si>
    <t xml:space="preserve">Miranda, Mary Joy </t>
  </si>
  <si>
    <t>Per PA Review OVERTURNED - add info received. Able to substantiate billed implant unit with submitted clinical. Please reprocess &amp; repay. New allowed amount=$2,627.55. FDOC# 7101498111</t>
  </si>
  <si>
    <t>Completed 6/26/26</t>
  </si>
  <si>
    <t>e18b9956-0f4e-4218-9c2f-a0ea9da2ba05</t>
  </si>
  <si>
    <t>CI-75721106</t>
  </si>
  <si>
    <t>Provider Audit/CCA approved overturned. Received email, FDOC # 7101562926. Documentation supports charges billed.</t>
  </si>
  <si>
    <t>Completed with Ms Avic 06/24/2026</t>
  </si>
  <si>
    <t>5677e4de-bbae-4f5c-b7fe-7e47f2ce38b5</t>
  </si>
  <si>
    <t>CI-76007644</t>
  </si>
  <si>
    <t>DMO concept B6473 has a indicator of "1" with medical record. Please review. Thanks</t>
  </si>
  <si>
    <t>this is prepay claim, please route to prepay basket</t>
  </si>
  <si>
    <t>b0442d2e-bbb2-4ef5-870d-be996914cbb9</t>
  </si>
  <si>
    <t>CI-76003409</t>
  </si>
  <si>
    <t>B7937 Step 3. Diagnosis code R45850 is not included in B7937 DX Codes Grid.</t>
  </si>
  <si>
    <t>9ccdcc3c-df1e-440f-8d0a-ba8532c0bfb1</t>
  </si>
  <si>
    <t>CI-75841284</t>
  </si>
  <si>
    <t>Che</t>
  </si>
  <si>
    <t>Dispute overturn | 
The claim was billed with 4 lines of J9047 for a dose of 154mg with equals 154 units.
Line 3 was originally billed correctly with 6 units of waste.
The original payment for line 3 was correct.
Please repay the original payment on line 3 of $374.18.
FDOC 7101796731</t>
  </si>
  <si>
    <t>73121cd7-3a32-4328-ac57-a322a23a78c9</t>
  </si>
  <si>
    <t>CI-76015407</t>
  </si>
  <si>
    <t>Sevilla, Dwena Joy</t>
  </si>
  <si>
    <t xml:space="preserve">Claim needs to be reprocess  as per concept criteria B299, if Asst Surg indicator shows "0" and medical records are present MLH2026155B60028. </t>
  </si>
  <si>
    <t xml:space="preserve">For RI-PI </t>
  </si>
  <si>
    <t>312c1b86-6289-4739-9ea1-6819a3df7117</t>
  </si>
  <si>
    <t>CI-76016093</t>
  </si>
  <si>
    <t>Overturn- Falls no further validation on Step 4. Secondary diagnosis code is not found in the XREF Diagnosis codes as per the instruction DO NOT RECOVER.</t>
  </si>
  <si>
    <t>1b36dffd-30eb-4e40-8b02-cb947fb6421c</t>
  </si>
  <si>
    <t>CI-76021656</t>
  </si>
  <si>
    <t>ab9fe365-2319-42a0-8ef4-b24d20f92c9b</t>
  </si>
  <si>
    <t>CI-75903673</t>
  </si>
  <si>
    <t>BN</t>
  </si>
  <si>
    <t xml:space="preserve">"Provider audit/CCA approved overturn"
This was already reviewed by the provider audit team. "Line 8 -J1745 , Overturned-Documentation provided supports billed charges " Please proceed on adjusting the claim. Thank you.Fdoc:7101942867
</t>
  </si>
  <si>
    <t>50906f44-f23e-45fc-b5df-ab5446f90d2b</t>
  </si>
  <si>
    <t>CI-75093390</t>
  </si>
  <si>
    <t>Overturn as per PA response under FDOC# 7102050614</t>
  </si>
  <si>
    <t>4221c1e9-185b-4044-9226-4b06bbf6e0f2</t>
  </si>
  <si>
    <t>CI-76035929</t>
  </si>
  <si>
    <t xml:space="preserve">Please review the claim as the MAI/MUE indicator is 3 in column C on grid B869X1 and medical records are present do not recover. Medical records are found in MLH: 2026153RI0944. Thank you
</t>
  </si>
  <si>
    <t>7f3bd6c6-2e34-4727-beee-1f5dbf97ee50</t>
  </si>
  <si>
    <t>CI-76033528</t>
  </si>
  <si>
    <t>Reversing claim. Allowable amount per pricer is 6787.40.</t>
  </si>
  <si>
    <t>b72c0122-9891-4504-bf6f-a9b7916ce07c</t>
  </si>
  <si>
    <t>CI-75899292</t>
  </si>
  <si>
    <t xml:space="preserve">Provider Audit/CCA approved overturned. Received email, FDOC # 7103613410. Add. info received. Able to substantiate billed implant. New allowed amount=$4,222.35. Please reprocess &amp; repay. </t>
  </si>
  <si>
    <t>Completed with Ms Avic</t>
  </si>
  <si>
    <t>92893724-a482-4e22-bb1e-8ab935f5228a</t>
  </si>
  <si>
    <t> CI-75849802</t>
  </si>
  <si>
    <t>According to CCA audit review of line 4 - revenue 0278, HCPCS C1713. Able to verify implants billed. Please repay this line according to the Provider's contracted rate.
PA FDOC Response : 7103705760</t>
  </si>
  <si>
    <t>PAM edit. Find approve auth for procedure code C1713 before adjusting the claim.</t>
  </si>
  <si>
    <t>a5fa244a-c69f-43da-9e55-88596007fd6f</t>
  </si>
  <si>
    <t xml:space="preserve">	CI-75858105</t>
  </si>
  <si>
    <t>According to CCA audit review of line 5 - revenue 0278, HCPCS C1713. Able to verify implants billed. Please repay this line according to the Provider's contracted rate.
PA FDOC Response : 7103707719</t>
  </si>
  <si>
    <t>e0c9deee-4b88-4c82-8da4-cc9cb645667b</t>
  </si>
  <si>
    <t>CI-75887314</t>
  </si>
  <si>
    <t xml:space="preserve">Per PA review for procedure code C1713. Additional information submitted, able to substantiate billed implant units. FDOC#7103709206. </t>
  </si>
  <si>
    <t>1ba7e01e-8b99-465f-a54c-8d45df3286ee</t>
  </si>
  <si>
    <t>CI-75888499</t>
  </si>
  <si>
    <t xml:space="preserve">Per PA review for procedure code C1713. Additional information submitted, able to substantiate billed implant units. FDOC# 7103710802. </t>
  </si>
  <si>
    <r>
      <rPr>
        <sz val="11"/>
        <color rgb="FF000000"/>
        <rFont val="Aptos Narrow"/>
      </rPr>
      <t>Okay to adjust (</t>
    </r>
    <r>
      <rPr>
        <sz val="11"/>
        <color rgb="FFFF0000"/>
        <rFont val="Aptos Narrow"/>
      </rPr>
      <t>PAM edit approved auth is needed.</t>
    </r>
    <r>
      <rPr>
        <sz val="11"/>
        <color rgb="FF000000"/>
        <rFont val="Aptos Narrow"/>
      </rPr>
      <t>)</t>
    </r>
  </si>
  <si>
    <t>4175a32f-7303-4d39-8e84-975636a2333e</t>
  </si>
  <si>
    <t>CI-75898317</t>
  </si>
  <si>
    <t>Per PA review, Line5 and 6 Able to verify implants billed. Please repay these lines according to the Provider's contracted rate. FDOC#7103710115</t>
  </si>
  <si>
    <t>Completed-6/29/2026</t>
  </si>
  <si>
    <t>13ace1a8-2d62-4e64-842c-bff65906b194</t>
  </si>
  <si>
    <t>CI-75901318</t>
  </si>
  <si>
    <t>Per PA review for procedure code C1713. Able to substantiate 5 units with submitted documentation and remains denied the 2 units. Explanted items do not meet the enterprise implant definition. FDOC# 7103712770.</t>
  </si>
  <si>
    <t>ddc1e643-b6de-4c19-969d-895691524e9e</t>
  </si>
  <si>
    <t>CI-75863880</t>
  </si>
  <si>
    <t>Determination: OVERTURNED - Add. info received. Able to substantiate billed implant unit. New allowed amount=$2,627.10. Please reprocess &amp; repay.</t>
  </si>
  <si>
    <t>okay to adjust</t>
  </si>
  <si>
    <t>0701d5c6-4c8c-4bba-b099-4b65f5c2b830</t>
  </si>
  <si>
    <t xml:space="preserve">CI-76082554
</t>
  </si>
  <si>
    <t>Dispute overturned.​ Claim needs to be reprocessed as per recovery review, allowable amount is for $82585.10 . Please reprocess this claim base on the contract rate.</t>
  </si>
  <si>
    <t>3e0c9985-1fff-4d4f-bfc4-19f422c284ff</t>
  </si>
  <si>
    <t>CI-76049169</t>
  </si>
  <si>
    <t>DMO concept B300 with assistant surgeon indicator "0" with medical records. Please review approval for adjustment. Thanks</t>
  </si>
  <si>
    <t>ASST SURG IND is 0, please upheld</t>
  </si>
  <si>
    <t>96af76e2-624c-4b1c-a360-3cd6e75b9316</t>
  </si>
  <si>
    <t>CI-75862732</t>
  </si>
  <si>
    <t>Dispute Overturned. Reviewed by recovery we determined claim needs to be reprocessed as per provider audit response this claim has been overturned. Medical Records supported the 210 units J3111. Please reissue payment of $2345.70 to the provider. FDOC#7103847880.</t>
  </si>
  <si>
    <t>1aebd83f-a222-4787-b4e8-94b1ed116dd0</t>
  </si>
  <si>
    <t>CI-76060200</t>
  </si>
  <si>
    <t xml:space="preserve">Dispute overturned. Claim needs to be reprocessed as per recovery review, allowable amount is for $207.00 per pricing. </t>
  </si>
  <si>
    <t>Please follow Kernel claim workflow.</t>
  </si>
  <si>
    <t>fcdfa6ab-831f-411d-af10-739081aa5051</t>
  </si>
  <si>
    <t>CI-76061749</t>
  </si>
  <si>
    <t>Dispute overturned. Claim needs to be reprocessed as per recovery review. Request for reversal on claim due to per standalone pricing, correct allowed reimbursement on claim is $8665.65 However, claim only paid a total of $8569.44.</t>
  </si>
  <si>
    <t>Please review claim using ACR concept.</t>
  </si>
  <si>
    <t>73429a5d-55eb-45ac-80f0-6d9b296c8e06</t>
  </si>
  <si>
    <t>Per PA review. CLAIM 25248EF1706 DOS 6/13/2025 MODIFIED. UPHOLD $9156 2 UNITS C1713. OVERTURN 4 UNITS C1713 ALLOWED AMOUNT $54,694.  FDOC# 7103949953</t>
  </si>
  <si>
    <t>61223cea-930b-44c7-98d9-24cfdf8efa84</t>
  </si>
  <si>
    <t>CI-76070732</t>
  </si>
  <si>
    <t xml:space="preserve">Recovery Reviewed CPT Coding guidelines per reimbursement policy C-21005 states co-surgeons is permitted for CPT code 19303. The provider submitted medical records under MLH 2026155A51166 and MAI Indicator show 1. </t>
  </si>
  <si>
    <t>bde21088-792a-442a-9c25-f16bf75024eb</t>
  </si>
  <si>
    <t xml:space="preserve">CI-76066030
</t>
  </si>
  <si>
    <t xml:space="preserve">	
Dispute overturned.​ Claim needs to be reprocessed as per recovery review; allowable amount is for $7526.40. Please reprocess this claim base on the contract rate. For claim reversal.</t>
  </si>
  <si>
    <t xml:space="preserve">for upheld since per adjustment reimbursement should only be for 70 units and the provider incorrectly billed for 140. </t>
  </si>
  <si>
    <t>9e9492dd-5cb1-4cc9-8c16-b6bcca89e699</t>
  </si>
  <si>
    <t>CI-76075395</t>
  </si>
  <si>
    <t>Reversing claim per C6-S26-559B-X1, step 5 was not met as tax #111631746 is not on the list to recover | CI-76075395 | 06/25/2026 | |AH89140 | AFEJER | Recovery Disputes</t>
  </si>
  <si>
    <t>this is KRN claim we dont adj KRN claim, if this is for overturn please route to KRN basket</t>
  </si>
  <si>
    <t>Routed to prepay basket 6/26/2026</t>
  </si>
  <si>
    <t>69e8ab74-f824-4a48-800e-5348b5eee8e3</t>
  </si>
  <si>
    <t>CI-76077471</t>
  </si>
  <si>
    <t xml:space="preserve">Reversing claim per B531-X1, step 5, 99051 is not being billed along with CPT 99201-99215 | CI-76077471 | 06/25/2026 | |AH89140 | AFEJER | Recovery Disputes </t>
  </si>
  <si>
    <t>this is for upheld under step 3  -Yes (X1- Recover on CPT code(s) 99050-99051)</t>
  </si>
  <si>
    <t>92ccfa02-81a8-4c68-961d-7dec0c53733f</t>
  </si>
  <si>
    <t>CI-76078037</t>
  </si>
  <si>
    <t>As per recovery review, Denied history claim 2024144EH9484 was found within timely filing of 180 days. Kindly review Thank you</t>
  </si>
  <si>
    <t>Invalid POTF; MLH 2024144EH9484 is a claim form.</t>
  </si>
  <si>
    <t xml:space="preserve"> Completed 6/29/2026</t>
  </si>
  <si>
    <t>fda974d3-d606-4906-9f94-3b5191046443</t>
  </si>
  <si>
    <t>CI-75743618</t>
  </si>
  <si>
    <t>Dispute Overturn CL 19. Clinical supports payment.
L8699 billed under Rev Code 278 reimbursed at 100% of billed charges
FDOC 7104178327</t>
  </si>
  <si>
    <t>a1d2b345-b131-40fb-80e3-75c61a7b6952</t>
  </si>
  <si>
    <t>CI-75761048</t>
  </si>
  <si>
    <t>per PA response under FDOC 7104179635 to price line 4 $4,497.85</t>
  </si>
  <si>
    <t>Completed 6/30/2026</t>
  </si>
  <si>
    <t>626ca63f-98d6-4066-a558-fdd04a3d93b4</t>
  </si>
  <si>
    <t>CI-76082697</t>
  </si>
  <si>
    <t xml:space="preserve">As per recovery review, Exclude CPT code Q0138 found on B1505 Sepcialty Drug List and Approve auth found under UM82895207. </t>
  </si>
  <si>
    <t>8353617d-7649-4556-8569-7f76dc49c684</t>
  </si>
  <si>
    <t>CI-75858123 </t>
  </si>
  <si>
    <t>Per PA Review OVERTURN. DOCUMENTATION SUBMITTED SUPPORTS BILLED CHARGES. CLAIM LINE 5 C1713 $1091.36</t>
  </si>
  <si>
    <t>Kindly attach FDOC from PA.</t>
  </si>
  <si>
    <t>b38a8a1d-9b01-4ef2-9222-837612ddd129</t>
  </si>
  <si>
    <t>CI-75774079</t>
  </si>
  <si>
    <t xml:space="preserve">Dispute overturned. As per review, documentation supports billed charges. FDOC # 7107397617.  </t>
  </si>
  <si>
    <t>Completed with Ms Leah</t>
  </si>
  <si>
    <t>577acaec-7918-497d-b65d-7b5be4c4e0a8</t>
  </si>
  <si>
    <t>CI-75810524</t>
  </si>
  <si>
    <t xml:space="preserve">Provider Audit/CCA approved overturned. Received email, FDOC # 7107396668. Documentation received on appeal supports implants billed. </t>
  </si>
  <si>
    <t>Completed 06/29/2026</t>
  </si>
  <si>
    <t>12d445e4-6a4d-46ec-8b69-930a06009a90</t>
  </si>
  <si>
    <t>CI-76077251</t>
  </si>
  <si>
    <t>Reversing claim per review. Claim was received within the timely filing limit of 120 days, date of service from 10/09/2024 to 10/10/2024 and received date 01/16/2025.</t>
  </si>
  <si>
    <t>7fe07a1e-adb8-43fa-bacb-d103ee65b8cb</t>
  </si>
  <si>
    <t>CI-76077373</t>
  </si>
  <si>
    <t>Reversing claim per review. History claim 23187CK6454 was received on 07/06/2023 with date of service 06/07/2023. History claim was received within the timely filing limit of 180 days. Only line 6 of claim 23355CL5477 does not match to the history claim.</t>
  </si>
  <si>
    <t>898df6c3-ee94-453d-8fb1-b038fde2754d</t>
  </si>
  <si>
    <t>CI-75810516</t>
  </si>
  <si>
    <t xml:space="preserve">Payongayong Rizel </t>
  </si>
  <si>
    <t>Dispute overturned per procedure code C1713 in line 4 documentation received on appeal supports Implants billed. This is supported by documentation under MLH:
2026150A70201 Please see fdoc num:7107547282</t>
  </si>
  <si>
    <t>243697aa-41de-4c69-b76f-9456ce4bac9c</t>
  </si>
  <si>
    <t>CI-76438409</t>
  </si>
  <si>
    <t>Nido Brent</t>
  </si>
  <si>
    <t>Claim needs to be reprocessed as per recovery review, procedure code 64999 that was billed with modifier 82 is eligible to be paid as an assistant surgeon since the payment indicator for this service is 0. Provider is sending medical records to support this request. Please reconsider and reprocess. MLH:2026086RE0003.</t>
  </si>
  <si>
    <t>JAA</t>
  </si>
  <si>
    <t>ab54770f-6951-4c84-b0e3-aafa0522dde8</t>
  </si>
  <si>
    <t>CI-72513825</t>
  </si>
  <si>
    <t>Overturn as per PA FDOC#7000166710
Documentation supports 5 implant units were used in the procedure.</t>
  </si>
  <si>
    <t>a8c63869-1762-4fce-96f6-f0f48abced4d</t>
  </si>
  <si>
    <t>CI-76099025</t>
  </si>
  <si>
    <t xml:space="preserve">
B299
Dispute overturned. CPT 20680  ASST_SURG_IND = "0" and provider submit supporting documentation to prove medical necessity per MLH#  26105E0080070. 
</t>
  </si>
  <si>
    <t>Please follow RI PI</t>
  </si>
  <si>
    <t>99d1506e-7591-47f8-9a62-195a01ba58c9</t>
  </si>
  <si>
    <t>CI-75642961</t>
  </si>
  <si>
    <t>Overturn, PA response at FDOC# 7107408988</t>
  </si>
  <si>
    <t>1c649aa8-13bc-401c-86f5-2085eec90a9e</t>
  </si>
  <si>
    <t>CI-75867997</t>
  </si>
  <si>
    <t>Overturn, PA response at FDOC# 7107409046</t>
  </si>
  <si>
    <t>64556610-c88f-4d71-949b-0f6e253a4ed5</t>
  </si>
  <si>
    <t>CI-76123185</t>
  </si>
  <si>
    <t>Reversing claim per pricing due to claim allowed and stand alone amount mismatch | CI-76123185 | 06/28/2026 | |AH89140 | AFEJER | Recovery Disputes</t>
  </si>
  <si>
    <t>Non-DMO concept cliam is not for RI.</t>
  </si>
  <si>
    <t>365df84f-0ed7-4c70-819c-c88658cb6b4e</t>
  </si>
  <si>
    <t xml:space="preserve">CI-76124393
</t>
  </si>
  <si>
    <t xml:space="preserve"> Claim needs to be reprocessed as per recovery review, timely filing limit is 90 days. Provider submitted valid proof of timely filing under electronic remittance history , MLH 2026156RH3907 which states that this claim was submitted on 07/24/24. Date of service is 12/30/23.</t>
  </si>
  <si>
    <t>Upheld. Not a valid POTF</t>
  </si>
  <si>
    <t>1c6ad10a-e4e7-40a3-b4cf-df1bd0b0d832</t>
  </si>
  <si>
    <t>CI-76126308</t>
  </si>
  <si>
    <t>Reversing claim. Procedure code Q5103 has MUE indicator 3 and medical records under MLH#2026156A50964.</t>
  </si>
  <si>
    <t>Completed 7/6/2026</t>
  </si>
  <si>
    <t>82010f49-a6ad-4149-9c85-076bcf86464c</t>
  </si>
  <si>
    <t xml:space="preserve">	
CI-75975984</t>
  </si>
  <si>
    <t>PARTIALLY UPHELD
Claim #25051DY8395/Line 4/C1713/$10.565.62
Claim #25051DY8395/Line 5/C1776/4755.97
#864.57# PLEASE DENY 2 UNIT CL 4, HCPCS C1713. ITEMS BILLED DO NOT MEET IMPLANT POLICY DEFINITION. NEW ALLOWED AMOUNT $11,268.70
NST EN026J - 41.63% OF COVERED BILLED CHARGES
IMPLANT LOG - 77
11 HOLE RIGHT PLATE X1
3.5X14 LOCKING SCREW X2
3.5X16 LOCKING SCREW X2
3.5X2 LOCKING SCREW X3
GRAPPLER SUTURE ANCHOR ALL SUTURE 2.8MM P44-210-0028-SK X1
PINS/WIRES X2 $2076.80 NOT AN IMPLANT
C1776
R3FLEX™ STABILIZATION SYSTEM KIT P82-001-1237-SK X1</t>
  </si>
  <si>
    <t>39201a17-513c-4ae5-b96e-360b34ac9c70</t>
  </si>
  <si>
    <t xml:space="preserve">CI-76980075
</t>
  </si>
  <si>
    <t xml:space="preserve">Dispute overturned. Recovery reviewed. Overturned for Claim #25247ED1943/Line /C1713/$85247.04
Documentation submitted supports the implant charges billed. Please see Fdoc num:7109374202.
</t>
  </si>
  <si>
    <t>19b043f9-d1d0-4c27-ba29-ed4c3f183301</t>
  </si>
  <si>
    <t>CI-75972767</t>
  </si>
  <si>
    <t>Claim needs to be reprocessed as per audit response, Determination: Overturned. Documentation supports implant billed. Claim Line 4 with cpt code C1776 was verified implant billed. Provider Audit response in FDOC # 7109377655.</t>
  </si>
  <si>
    <t>476b12d2-d006-4c9c-9448-c2637198feb9</t>
  </si>
  <si>
    <t xml:space="preserve">CI-75471826
</t>
  </si>
  <si>
    <t>Dispute overturned. For Overturned Level 1 appeal review of CPT 27447 with modifier AS. Modifier AS is supported by submitted appeal documentation based on coding guidelines.Please see Fdoc num:7109380207</t>
  </si>
  <si>
    <t>22ed2477-4985-4ce1-9a62-de02ce898031</t>
  </si>
  <si>
    <t>CI-76136117</t>
  </si>
  <si>
    <t>Exclude service classification code  PHO for service code 92202-92014</t>
  </si>
  <si>
    <t>pay line 1</t>
  </si>
  <si>
    <t>f6be6169-345c-4b19-853e-3c199e6a16da</t>
  </si>
  <si>
    <t>CI-76137266</t>
  </si>
  <si>
    <t>cc60575b-86f1-45a7-b9df-682f89606a88</t>
  </si>
  <si>
    <t xml:space="preserve">	CI-75955469</t>
  </si>
  <si>
    <t xml:space="preserve">
Dispute overturned. As per PA response, documentation submitted supports the implant charges. FDOC# 7109259520
Claim #25356CK8738/Line 3/C1713/$2427.75
Fiberstitch 596.05x3=1788.15
FT BioComposite screw 319.80x2=638.16
2427.75-2426.31=1.44 under threshold
</t>
  </si>
  <si>
    <t>ITS host claim( RTO)</t>
  </si>
  <si>
    <t>86426f4a-2e15-4661-a315-71f64daca318</t>
  </si>
  <si>
    <t>CI-76109848</t>
  </si>
  <si>
    <t>NB</t>
  </si>
  <si>
    <t>For concept B1712X1 GNYHA RECORDS NOT RECEIVED TIMELY.Medical records was recieved on a timely manner. Provider submit a medical records MLH# 2025307HC6308 with the received date 11/03/2025. System requested medical records date 11/17/2025 -CI-66227621. Please handle according as Recovery Dispute team does not review medical records. Thank you.</t>
  </si>
  <si>
    <t>5dadda88-287e-4ed4-9bd2-815a2d6d7e25</t>
  </si>
  <si>
    <t>CI-76127345</t>
  </si>
  <si>
    <t>696cfd00-5f29-47df-8de5-7455d73146b0</t>
  </si>
  <si>
    <t>CI-76092820</t>
  </si>
  <si>
    <t>Pricing. Incorrect contract rate. Claim allowed $0 and should have allowed $5966.97.</t>
  </si>
  <si>
    <t>384d6ca4-ee1d-4804-9625-c0c42d297918</t>
  </si>
  <si>
    <t xml:space="preserve"> CI-75974292</t>
  </si>
  <si>
    <t>per provider audit review procedure code 1713 can be billed as implants. FDOC# 7111541927</t>
  </si>
  <si>
    <t>Completed w/ms leah 7/2/2026</t>
  </si>
  <si>
    <t>91d0d6df-dbb0-46b0-914d-d4df4d3eda2b</t>
  </si>
  <si>
    <t>CI-76094784</t>
  </si>
  <si>
    <t>Reversing claim per PA review, documentation submitted supports the implant charges billed. FDOC #7111552193 | CI-76094784 | 06/30/2026 | |AH89140 | AFEJER | Recovery Disputes</t>
  </si>
  <si>
    <t>e19f2b24-d8b5-4669-aa2f-ef3ac1133aee</t>
  </si>
  <si>
    <t>CI-76031570</t>
  </si>
  <si>
    <t>Reversing claim per PA review, documentation was provided and does support charges billed. FDOC#7111625004 | CI-76031570 | 06/30/2026 | |AH89140 | AFEJER | Recovery Disputes</t>
  </si>
  <si>
    <t>e60faf72-4efb-408e-b481-3e61bbcb8a83</t>
  </si>
  <si>
    <t>CI-76201987</t>
  </si>
  <si>
    <t>Reversing claim per DMO B6437-X1, step 10, billing NPI mismatch and no DX code matched | CI-76201987 | 06/30/2026 | |AH89140 | AFEJER | Recovery Disputes</t>
  </si>
  <si>
    <t>2c2b9223-dfea-41d6-861b-c88a91e04fd3</t>
  </si>
  <si>
    <t>CI-75978102</t>
  </si>
  <si>
    <t xml:space="preserve"> Overturned. Documentation supports implants billed., FDOC#7111711477</t>
  </si>
  <si>
    <t>Completed-7/2/026</t>
  </si>
  <si>
    <t>4b3d3881-b9e8-43a1-9487-e7f534650888</t>
  </si>
  <si>
    <t>CI-76211453</t>
  </si>
  <si>
    <t>Overturned. Reversal needed. B6473 with Co-surgeon MAI indicator "1" with medical records. Per process update, if MAI indicator is "1", overturned. Please verify for approval. Thanks.</t>
  </si>
  <si>
    <t>9744df75-7340-4005-a87b-dfba62fa5fa3</t>
  </si>
  <si>
    <t>CI-76208745</t>
  </si>
  <si>
    <t>Request for claim to be reprocessed since provider submitted the claim within the filing limit of 365 days. POTFL under MLH#2026091RI0740</t>
  </si>
  <si>
    <t>7375de9a-ebff-411a-b5cc-23c50bf95ccd</t>
  </si>
  <si>
    <t>CI-75063448</t>
  </si>
  <si>
    <t>Patially upheld/overturn. Per PA Response Documentation supports CPT 97810 and 97811 and should be priced. FDOC# 7111840578</t>
  </si>
  <si>
    <t>68dbc3bc-f54f-45c8-8cb5-1cacd5901fe4</t>
  </si>
  <si>
    <t>CI-75961365</t>
  </si>
  <si>
    <t>PARTIALLY UPHELD | FDOC PA RESPONCE:7111843589
Claim # 25028DQ2664/CL 6/UNK/$824.69
#1542.51# PLS DENY 3 UNITS CL 6 HCPCS UNK. DOCUMENTATION DOES NOT SUPPORT IMPLANTS BILLED. NEW ALLOWED AMOUNT $824.69
NST EN0469 - 58% OF COVERED BILLED CHARGES
DOCUMENTATION SUPPORTS 1 STENT IMPLANTED. RECOVER 3 ADDITIONAL STENTS BILLED
IB - 6 ,PROCEDURE REPORT - 58, IMPLANTS - 61, IMPLANTS PER IB, SYS COR STENTSNG MEGATRON 5MM 32MM $1421.88, NOT LISTED AS IMPLANTS, SYS COR STENT SNG XD MR 2.5MM 20MM DLV X1 $884.82, SYS COR STENT SNG XD MR 2.25MM 12MM DLV X1 $890.93, SYS COR STENT SNG XD MR 3MM 16MM DLV SYS $883.75</t>
  </si>
  <si>
    <t>9ea68207-2bf3-45e7-ae84-b238524757e1</t>
  </si>
  <si>
    <t>CI-75901994</t>
  </si>
  <si>
    <t>Dispute overturned. Claim needs to be reprocessed as per recovery reviewed since provider submitted the claim within the filing limit of 365 days. Letter from Blue Shield dated 04/21/2025 under MLH# 2026152RH4183. Claim's received date is 07/14/2025. 
Sutter CA claim.</t>
  </si>
  <si>
    <t>Completed 07/06/2026</t>
  </si>
  <si>
    <t>9de2dc11-0e6f-4f56-a9ec-a62d8e852cd4</t>
  </si>
  <si>
    <t xml:space="preserve">CI-76109152
</t>
  </si>
  <si>
    <t xml:space="preserve">Dispute overturn. Documentation supports billed charges. See PS response at FDOC 7111852645. </t>
  </si>
  <si>
    <t>67d38649-54ea-48ee-9199-e82cca2bc325</t>
  </si>
  <si>
    <t>CI-76204846</t>
  </si>
  <si>
    <t xml:space="preserve">Per Ansir B7817 step 2: Deny rev codes 960-989 when billed on UB-04. </t>
  </si>
  <si>
    <t>63f69997-d20d-4f2a-a353-99a9bcb4e012</t>
  </si>
  <si>
    <t>CI-76005267</t>
  </si>
  <si>
    <t>Provider Audit Overturned</t>
  </si>
  <si>
    <t>4250be29-0a12-4045-8bd5-d1427d2cf41c</t>
  </si>
  <si>
    <t>CI-76005434</t>
  </si>
  <si>
    <t>816ac0e6-077c-4ce8-b992-fe1e5225344b</t>
  </si>
  <si>
    <t>CI-76246133</t>
  </si>
  <si>
    <t xml:space="preserve">Reversing claim per B7117-X4 step 8, 99214 and 87804 should not be recovered | CI-76234836 | 06/30/2026 | |AH89140 | AFEJER | Recovery Disputes - For Prepay Basket once approved due to KRN claim
</t>
  </si>
  <si>
    <t>Rejected-this is KRN claim, please route to KRN basket</t>
  </si>
  <si>
    <t>954f8789-9145-4652-b769-5c9aaa722f9e</t>
  </si>
  <si>
    <t xml:space="preserve">CI-76246627
</t>
  </si>
  <si>
    <t xml:space="preserve">Concept: B7980-X1
Reference claim 2025192DJ2572 is not a dup to xref 2025188CS5922 
</t>
  </si>
  <si>
    <t>Upheld. Claim processed correctly</t>
  </si>
  <si>
    <t>738b4137-6dbd-470d-8727-a832d0865031</t>
  </si>
  <si>
    <t xml:space="preserve">CI-75222389
</t>
  </si>
  <si>
    <t xml:space="preserve">
Per PA review, Partially Upheld.
Appeal modified for CL 3 HCPCS C1713.  
Item x1 not supported in medical records.  
Upheld amount $45.90.  
Repayment amount $3,908.72.
FDOC#: 7112195296 
</t>
  </si>
  <si>
    <t>a98fb793-c624-4b3b-952a-30e97f7feba6</t>
  </si>
  <si>
    <t xml:space="preserve">CI-75283171
</t>
  </si>
  <si>
    <t xml:space="preserve">Per PA review, Overturned.
CL 11 HCPCS C1713. Additional documentation received that supports billed charges. Repayment amount $1,344.00.
FDOC: 7112195455 
</t>
  </si>
  <si>
    <t>094714d4-b49c-427a-b951-72d051fe42b8</t>
  </si>
  <si>
    <t xml:space="preserve">CI-75373549
</t>
  </si>
  <si>
    <t xml:space="preserve">Per PA review, Overturned.
CL 9. Clinical supports payment.
Line #9 - C1776 Joint device (implantable) - 1 unit - $3076.50 - allowed and paid $2608.87
FDOC#: 7112195949 
</t>
  </si>
  <si>
    <t>156258d9-acff-4722-8234-74140489d44c</t>
  </si>
  <si>
    <t>CI-76039198</t>
  </si>
  <si>
    <t>Overturned per PA response on FDOC#7113316297</t>
  </si>
  <si>
    <t>bd99f03e-351f-4fe9-a335-7e43e06ac002</t>
  </si>
  <si>
    <t xml:space="preserve">	CI-75617464</t>
  </si>
  <si>
    <t xml:space="preserve">
Overturned PA review FDOC# 7114024636
Appeal modified for CL 5 HCPCS C1713.  Invoice overpaid.  Upheld amount $462.70.  Repayment amount $1,388.10.
Invoice language - not to exceed invoice +5%
Plantar plate set x1 implanted at $1,322.00 invoice cost
$1,322 + 5% = $1,388.10
Paid amount $1,850.80 - $1,388.00 = $462.70
Overpayment of $462.70, please recover this amount.
</t>
  </si>
  <si>
    <t>Completed w/ms leah 7/6/2026</t>
  </si>
  <si>
    <t>acbfa34e-c092-4640-a2d3-33ae4625cba5</t>
  </si>
  <si>
    <t>CI-76038304</t>
  </si>
  <si>
    <t>Reversing claim per review.  Per provider audit  procedure code C1713  This is payable as this is supported by the documentation under MLH# 2026154RH2497. Fdoc num:7114011482. CASE#CI-76038304| 07/01/26 | AL87804| RizelP | Recovery Disputes.</t>
  </si>
  <si>
    <t>ae2299a2-6073-4c68-bee1-1e806fcf081b</t>
  </si>
  <si>
    <t xml:space="preserve">
Overturned PA review FDOC# 7114026327
Appeal overturned for CL 23 HCPCS UNK.  Additional documentation received.  Repayment amount $20,188.45.
</t>
  </si>
  <si>
    <t>Completed reversal with Miss Leah. 07/08/2026  
Pending high dollar review.</t>
  </si>
  <si>
    <t>3777e77a-ff26-4604-b6db-70c33d228a3b</t>
  </si>
  <si>
    <t>CI-76159046</t>
  </si>
  <si>
    <t>This was reviewed by PROVIDER AUDIT and determined claim can be allowed at the contracted rate. FDOC# 7114025340</t>
  </si>
  <si>
    <t>36859b98-13f4-4f3d-af69-3c618e053bd2</t>
  </si>
  <si>
    <t>CI-76099763</t>
  </si>
  <si>
    <t>This was reviewed by PROVIDER AUDIT and determined claim can be allowed at the contracted rate. FDOC# 7114025081</t>
  </si>
  <si>
    <t>be42ea4d-aa45-498c-8a2c-da4b7713433d</t>
  </si>
  <si>
    <t>CI-76103415</t>
  </si>
  <si>
    <t xml:space="preserve">
Overturned PA review FDOC# 7114028723
Partially Upheld
 Claim #25288CR4888
Line 11/C1713/$904.11
Line 12/C1776/$13263.02
Bone cement x2
2.5x25mm magneto screw x2
 Total knee x1=19122.00
19122.00*.6936=13263.02
Non-implant:
Knee Pack-1 x1=678.54 (ice pack/supply)
678.54*.6936=470.63
 EN026J O  ALL SERVICES     IRF001 – 69.36% OF COVERED BILLED CHARGES
Documentation supports 5 units; supplies are not considered implants.
</t>
  </si>
  <si>
    <t>ccb25dbd-a53b-4ef0-9fad-f4ad5b593201</t>
  </si>
  <si>
    <t xml:space="preserve">	CI-76048697</t>
  </si>
  <si>
    <t xml:space="preserve">
Overturned PA review FDOC# 7114029844
Claim #24362DY3834/Line 3/C1713/$5631.08
 Documentation submitted supports the implant charges billed.
</t>
  </si>
  <si>
    <t>Completed 7/8/2026</t>
  </si>
  <si>
    <t>f407615a-f61d-4c0f-8016-fd9fb84d1e33</t>
  </si>
  <si>
    <t>CI-76053393</t>
  </si>
  <si>
    <t>per provider audit review documentation supports charges billed. FDOC# 7114030524</t>
  </si>
  <si>
    <t>5d00a882-bcbb-455a-8cb5-6990ed4084a3</t>
  </si>
  <si>
    <t>CI-76994334</t>
  </si>
  <si>
    <t xml:space="preserve">
Overturned PA review FDOC# 7114031234
CL 10: 278/C1781 x2
Charges $1,288.00
Originally Paid $546.88 (has since recouped down to $0.00)
Determination: OVERTURNED - Add. info requested. Able to substantiate billed implants with submitted documentation. New allowed amount=$546.88.
CL 9: 278/C1889 x1
Charges $2,977.00
Originally Paid $1,264.03 (has since recouped down to $0.00)
Determination: UPHELD - Requested info not received. I-BILL requested yet not received. Unable to discern what was billed to CL 9. UPHELD.
 </t>
  </si>
  <si>
    <t>Completed w/ms leah 7/8/2026</t>
  </si>
  <si>
    <t>5f91c20b-bf3b-4f73-8332-5327da24b552</t>
  </si>
  <si>
    <t>CI-76102631</t>
  </si>
  <si>
    <t>Reversing claim per provider audit, overturned, claim can be allowed at the contracted rate. FDOC #7114034774 | CI-76102631 | 07/01/2026 | |AH89140 | AFEJER | Recovery Disputes</t>
  </si>
  <si>
    <t>24681749-8a5d-4d74-9e34-b2d1ad94da73</t>
  </si>
  <si>
    <t>CI-76058617</t>
  </si>
  <si>
    <t>As per PA documentation supports charges billed for procedure code C1713. FDOC# 7114034985</t>
  </si>
  <si>
    <t>ba86b9d6-9144-41f2-b76b-2508f436a0de</t>
  </si>
  <si>
    <t>CI-76100919</t>
  </si>
  <si>
    <t>Reversing claim per provider audit, overturned, claim can be allowed at the contracted rate. FDOC #7114035721 | CI-76100919 | 07/01/2026 | |AH89140 | AFEJER | Recovery Disputes</t>
  </si>
  <si>
    <t>d10224f4-a2af-4da5-9751-0652a78fb852</t>
  </si>
  <si>
    <t>CI-75606286</t>
  </si>
  <si>
    <t>Provider Audit/CCA approved overturned. Received email, FDOC # 7114038635. Documentation supports CPT 97811. Services are documented and aligned with guidelines.</t>
  </si>
  <si>
    <t>f1242c1f-9efe-46a3-a660-cc654f38528d</t>
  </si>
  <si>
    <t>CI-76003817</t>
  </si>
  <si>
    <t>Overturned per PA response on. FDOC #7111564386</t>
  </si>
  <si>
    <t>03b51fed-41fe-40be-827e-8b9f239caabc</t>
  </si>
  <si>
    <t>CI-76005861</t>
  </si>
  <si>
    <t>Overturned per PA response on. FDOC #7111627031</t>
  </si>
  <si>
    <t>Claim is in Pending Investigation. Can't assign to me.</t>
  </si>
  <si>
    <t>d509dd8e-7ce9-4622-9833-a07a7ec3ab32</t>
  </si>
  <si>
    <t>CI-75973450</t>
  </si>
  <si>
    <t>As per PA Partially upheld. The implant policy does not reimburse for non-implants. There is 1 verified implant and 1 non-implant (angioseal). Total Provider Repayment: $11960.00 Fdoc# 7114157457</t>
  </si>
  <si>
    <t>bdba8c31-4bf7-44af-ba8f-9d032d0913f3</t>
  </si>
  <si>
    <t>CI-76057535</t>
  </si>
  <si>
    <t>As per PA Overturned-Documentation supports charges billed. Fdco # 7114161372</t>
  </si>
  <si>
    <t>75910d55-2611-4721-ab85-b85a2f5b4dd3</t>
  </si>
  <si>
    <t xml:space="preserve">CI-75916916
</t>
  </si>
  <si>
    <t xml:space="preserve">Per PA review for overturned.
Claim #25280EP9067/Line 3/C1889/$1075.60
Original documentation submitted supports the implant charges billed.
FDOC#: 7114180410 
</t>
  </si>
  <si>
    <t>54219239-b6a0-464b-973f-bbd3e34c6596</t>
  </si>
  <si>
    <t xml:space="preserve">CI-75904011
</t>
  </si>
  <si>
    <t xml:space="preserve">Per PA review for overturned.
Claim #25051DU4565
Line 5/C1713/$5113.35
Line 6/C1776/$4657.50
Documentation submitted supports the implant charges billed.
FDOC#: 7114218748
</t>
  </si>
  <si>
    <t>82adba25-7f91-4941-8fa1-9e28c93cba19</t>
  </si>
  <si>
    <t xml:space="preserve">CI-75866638
</t>
  </si>
  <si>
    <t xml:space="preserve">Per PA review for overturned.
Claim #25121DZ3175/Line 4/C1713/$1113.75
Documentation submitted supports the implant charges billed.
FDOC#: 7114236131
</t>
  </si>
  <si>
    <t>2aca46e0-5d39-4b10-b461-bd91b8229105</t>
  </si>
  <si>
    <t>CI-76283967</t>
  </si>
  <si>
    <t>As per recovery reviewed C26-S156-59-B-X2 concept with medical records for assistant surgeon payment indicator is 0 for procedure code 67961. Medical records are attached to the claim's inquiry MLH # 2026160RH2616. Thank you.</t>
  </si>
  <si>
    <t>6116dac3-ea1a-4b89-b4fc-6cd701e2b7d6</t>
  </si>
  <si>
    <t>CI-76150225</t>
  </si>
  <si>
    <t>Reversing claim per PA review, documentation received on appeal supports charges billed. FDOC #7119116987 | CI-76150225 | 07/05/2026 | |AH89140 | AFEJER | Recovery Disputes</t>
  </si>
  <si>
    <t>2b40f270-8a8a-4881-aa83-3baf0a5a9372</t>
  </si>
  <si>
    <t>CI-76147685</t>
  </si>
  <si>
    <t>Reversing claim per PA review, documentation received on appeal supports charges billed. FDOC #7119117006 | CI-76147685 | 07/05/2026 | |AH89140 | AFEJER | Recovery Disputes</t>
  </si>
  <si>
    <t>2b736b7d-ff91-40fe-b4e6-1423c80ac081</t>
  </si>
  <si>
    <t>CI-76146347</t>
  </si>
  <si>
    <t xml:space="preserve">As per PA partially upheld for claim line 9. The implant policy does not reimburse for non-implants. FDOC# 7119116997. </t>
  </si>
  <si>
    <t>509142c8-deb4-4388-be54-ea4e87d2e2dd</t>
  </si>
  <si>
    <t>CI-76010504</t>
  </si>
  <si>
    <t xml:space="preserve">
PA overturned
FDOC# 7119117022
•            Claim line 1: REV Code 0683, HCPC G0390
•            Charges: $ 2,720.73
•            Determination:   Overturned-Documentation supports charges billed.
</t>
  </si>
  <si>
    <t>Rejected-we dont adj ITS host claim please RTO&gt;overturn</t>
  </si>
  <si>
    <t>78020198-07aa-453e-8e1b-bc18722a3d42</t>
  </si>
  <si>
    <t>CI-76238570</t>
  </si>
  <si>
    <t xml:space="preserve">As per recovery review, as per benefit it should apply deductible. </t>
  </si>
  <si>
    <t>Completed 07/07/2026</t>
  </si>
  <si>
    <t>06753eb6-3fdd-427f-a7a5-22cb465bbc2c</t>
  </si>
  <si>
    <t>CI-77237010</t>
  </si>
  <si>
    <t xml:space="preserve">
PA overturned
FDOC# 7119116902
OVERTURN. DOCUMENTATION SUPPORTS BILLED CHARGES. CLAIM LINE 2 L8699 $1117.48
</t>
  </si>
  <si>
    <t>7f11744d-056b-4086-a1bd-9b148e4c0058</t>
  </si>
  <si>
    <t>CI-76246377</t>
  </si>
  <si>
    <t xml:space="preserve">
PA Overturned 
FDOC# 7119117117
Determination: Modified - CL2 overpaid and will recover $1428.70. CL3 will be recovered in full as Augment does not meet implant policy
#1428.70# Line 2 HCPC C1713. Allowed amount not equal to invoice cost plus 5%. New allowed amount $4286.10
#4282.32# PLS RECOVER CL 3 HCPCS C1763 IN FULL. DOES NOT MEET IMPLANT POLICY"
</t>
  </si>
  <si>
    <t>Completed w/ Miss Leah 7/15/2026</t>
  </si>
  <si>
    <t>c458b080-5b60-4caa-a716-3b6cd4fbe42f</t>
  </si>
  <si>
    <t>CI-76017842</t>
  </si>
  <si>
    <t xml:space="preserve">
PA Overturned
FDOC# 7119117450
•            Claim line 2: C1713
•            Charges: $ 2,443.05
•            Determination:   Overturned- Documentation supports charges billed.
</t>
  </si>
  <si>
    <t>Completed 7/9/2026</t>
  </si>
  <si>
    <t>b5c51a60-aea4-419b-9434-bccb973a6c4e</t>
  </si>
  <si>
    <t>CI-76264571</t>
  </si>
  <si>
    <t>Request for claim to be reprocessed since provider submitted the claim within the filling limit of 90 days. Related claims 2022208CR0599 and 2022257CT0948 were found and both within TFL days. DOS is 07/21/2022 while receive dates are 09/14/2022 and 07/27/2022.</t>
  </si>
  <si>
    <t>392122b0-9d96-4fbd-b7d7-69fafbaf00b4</t>
  </si>
  <si>
    <t>CI-76259442</t>
  </si>
  <si>
    <t>Dispute overturned. Claim needs to be reprocessed as per recovery reviewed B1893-X1 (C20-S219-59-B-X1) concept. The APPLY_NONDIAGNOSTIC_LANGUAGE column of PAT list is No and revenue codes 361 and 636 needs to be paid.</t>
  </si>
  <si>
    <t>9e3034d9-9d42-4b6e-a483-feb5d934d433</t>
  </si>
  <si>
    <t xml:space="preserve">
CI-76142948</t>
  </si>
  <si>
    <t xml:space="preserve">Javier, Allysa Joy </t>
  </si>
  <si>
    <t xml:space="preserve">Dispute overturned. Documentation supports implants billed. See PA RESPONSE AT fdoc 7119137983. </t>
  </si>
  <si>
    <t>11ba89f6-7923-47ed-b2ce-ff5dc16cb320</t>
  </si>
  <si>
    <t>CI-76149967</t>
  </si>
  <si>
    <t>Dispute overturned. Documentatino supports implants billed as per PA response. FDOC#: 7119138545</t>
  </si>
  <si>
    <t>2f400110-4a8d-4e26-a0f2-58b8aaf73eb7</t>
  </si>
  <si>
    <t>CI-74972264</t>
  </si>
  <si>
    <t>Dispute overturned. Documentation supports the billed charge of 400U of J9325 as per PA response. FDOC#: 7119138944</t>
  </si>
  <si>
    <t>6e2db9bd-c29d-4e59-bbf1-fcd83d46b786</t>
  </si>
  <si>
    <t>CI-74751434</t>
  </si>
  <si>
    <t xml:space="preserve">
Dispute overturned. 
Reviewed by recovery and determined claim needs to be reprocessed. Member is still active for DOS 05/28/2024.
</t>
  </si>
  <si>
    <t>Non CA claim.  Member policy eligibility related claims are not workable under reversal intake. This can be routed directly to the adjustment team per workflow.</t>
  </si>
  <si>
    <t>d6096385-44af-4d61-8263-65c32b03b14f</t>
  </si>
  <si>
    <t>CI-75293010</t>
  </si>
  <si>
    <t xml:space="preserve">
Dispute Overturned.
Reviewed by recovery and determined claim needs to be reprocessed. Member is still active for DOS 07/29/2025.
</t>
  </si>
  <si>
    <t>e8330252-8b18-4e82-96d1-cb45516a0edd</t>
  </si>
  <si>
    <t>CI-75471502</t>
  </si>
  <si>
    <t xml:space="preserve">
Dispute overturned.
Reviewed by recovery and claim needs to be reprocessed. Original claim DCN has been voided due to different TAX and billing NPI.  The corrected claim DCN 2025205BW8758 was processed as fresh. There should be no denials for claimxten and line 01 should be reprocess and paid. 
</t>
  </si>
  <si>
    <t>448fa12c-3949-4a6f-9ce7-6e885f764825</t>
  </si>
  <si>
    <t>CI-75763707</t>
  </si>
  <si>
    <t>Reversing claim per DMO B330-X9, patient had an active coverage during service, DOS was 08/04/2024 while coverage is from 07/01/2023 to 12/31/9999 | CI-75763707 | 07/05/2026 | |AH89140 | AFEJER | Recovery Disputes</t>
  </si>
  <si>
    <t>for RTO&gt;overturn</t>
  </si>
  <si>
    <t>OVERTURNED || Please disregard this as we do not RI termed. Thanks</t>
  </si>
  <si>
    <t>f054abff-ecd6-4566-992c-8236370a15e2</t>
  </si>
  <si>
    <t>CI-76004631</t>
  </si>
  <si>
    <t>Reversing claim per DMO B299, procedure code 29881 indicator 0 and with medical record under MLH #2026154B60903 | CI-76004631 | 07/05/2026 | |AH89140 | AFEJER | Recovery Disputes</t>
  </si>
  <si>
    <t>238390a9-2b4f-4916-ba20-42bc431aba84</t>
  </si>
  <si>
    <t>CI-76305118</t>
  </si>
  <si>
    <t>Reversing claim per review. Per concept B5583's criteria, there is no corresponding approved inpatient facility claim for the same member and place of service, do not recover.</t>
  </si>
  <si>
    <t>Disregard: This is an ITS Host claim. For RTO-Overturn</t>
  </si>
  <si>
    <t>b82afbfb-b25e-4d63-9d51-d583341ff960</t>
  </si>
  <si>
    <t>CI-76104341</t>
  </si>
  <si>
    <t>Reversing claim per DMO B330-X6, patient had an active coverage during service, DOS was 01/24/2025 while coverage is from 03/01/2017 to 12/31/9999 | CI-76104341 | 07/05/2026 | |AH89140 | AFEJER | Recovery Disputes</t>
  </si>
  <si>
    <t>fdac7d0f-21c4-4514-b85c-127a99ca6fe6</t>
  </si>
  <si>
    <t>CI-76052597</t>
  </si>
  <si>
    <t xml:space="preserve">As per recovery review, claim 2026092ER0341 should process as fresh with a received date of 04/02/2026. claim 2026113GE4395 received date  04-23-2026 tagged as duplicate. </t>
  </si>
  <si>
    <t>9d7037b2-5583-430c-a75a-bd6f0f5d112f</t>
  </si>
  <si>
    <t>CI-76195616</t>
  </si>
  <si>
    <t>As per recovery review, claim should be pricing with the correct allowed amount of $2028.78.</t>
  </si>
  <si>
    <t>c1a3009b-8d37-4941-8ac0-3d7fc75a6349</t>
  </si>
  <si>
    <t>CI-76217366</t>
  </si>
  <si>
    <t>Reviewed by recovery we determined this needs to be reprocessed due to pricing update however, claim allowed and stand alone amount do not match. Claim allowed shows as $0 while stand alone is $731.79. Please review, thank you</t>
  </si>
  <si>
    <t>Rekeyed claim for upheld</t>
  </si>
  <si>
    <t>1e1c0570-126e-4a4e-84f1-16ad04caf54b</t>
  </si>
  <si>
    <t>CI-76072902</t>
  </si>
  <si>
    <t xml:space="preserve">"Provider audit/CCA approved overturn
This was already reviewed by the provider audit team. "Overturn. Documentation supports billed charges. Claim line 2, one unit c1713. $233.45. This was a 2nd level dispute which should now be completely overturned." Fdoc:7119157712
</t>
  </si>
  <si>
    <t>b4875a70-4653-4d34-98c3-f2ea0d96ae1f</t>
  </si>
  <si>
    <t xml:space="preserve">CI-76394577
</t>
  </si>
  <si>
    <t xml:space="preserve">B7912-X1 
Overturned.
Claims needs to be reprocessed as per recovery review, Itemized bill
was submitted with the claim.
</t>
  </si>
  <si>
    <t xml:space="preserve">Itemized bill found under MLH 2026161A50628 pages 553 and 554. </t>
  </si>
  <si>
    <t>1a5c84e0-83d9-47d4-befa-d7fb5e298cf1</t>
  </si>
  <si>
    <t>CI-76362715</t>
  </si>
  <si>
    <t xml:space="preserve">Reversing the claim process as the concept B398X16 frequency editing no longer applies. The referring claim 2025270CI5791 was already voided. 
</t>
  </si>
  <si>
    <t>e82b6212-efca-473a-8298-62ae2110fc3e</t>
  </si>
  <si>
    <t xml:space="preserve">CI-76311033  </t>
  </si>
  <si>
    <t xml:space="preserve">Dispute overturned. Claim needs to be reprocessed as per recovery review, allowable amount is for $	1095.00 per pricing. </t>
  </si>
  <si>
    <t>d326571a-b2ec-4648-a056-73dbdb3c3bd5</t>
  </si>
  <si>
    <t>CI-76316313</t>
  </si>
  <si>
    <t xml:space="preserve">Provider submitted an EOB and has history claim 2024281FB1188 that is within the filing limit of 180 days. Refer to MLH #2026161A80003. </t>
  </si>
  <si>
    <t>a310645a-5b81-4c0f-98a9-7e417d1ce918</t>
  </si>
  <si>
    <t>CI-76080290</t>
  </si>
  <si>
    <t>Per CCA audit Overturned | Fdoc: 7119357280
Claim #24327DV5139/Line 5/UNK/$5996.79
Documentation submitted supports the implant charges billed.</t>
  </si>
  <si>
    <t>46c55d88-8202-4e83-b394-8444c6680de8</t>
  </si>
  <si>
    <t>CI-76080994</t>
  </si>
  <si>
    <t>Per CCA audit Overturned | FDOC PA response: 7119357433
Claim #25050DT7481/Line 5/C1776/$7236.00
Documentation submitted supports the implant charges billed.</t>
  </si>
  <si>
    <t>b5afb4be-9bd9-40fc-91bd-cd106caaf03c</t>
  </si>
  <si>
    <t xml:space="preserve">Provider Audit/CCA approved overturned. Received email, FDOC # 7120859413, documentation was provided and does support charges billed. </t>
  </si>
  <si>
    <t xml:space="preserve">Pending | waiting for onshore. </t>
  </si>
  <si>
    <t>2819613e-78c1-48fa-83dd-51320ac9a9a5</t>
  </si>
  <si>
    <t>CI-76152394</t>
  </si>
  <si>
    <t>Reversing claim per provider audit review. Line 6 CPT C1713 with rev code 278 to be allowed at $2308.06 and is supported by the documentation under MLH# 2026157B00408. Please see FDOC# 7120872985</t>
  </si>
  <si>
    <t>080b7cf9-a6e4-4ffb-8461-c9f20bd22594</t>
  </si>
  <si>
    <t>CI-76151109</t>
  </si>
  <si>
    <t>As per PA procedure code C1713 documentation submitted supports the implant charges billed. FDOC# 7120911085.</t>
  </si>
  <si>
    <t>3e91b5c9-7875-4c58-81cc-12c485908616</t>
  </si>
  <si>
    <t>CI-76156565</t>
  </si>
  <si>
    <t xml:space="preserve">Claim needs to be reprocessed as per audit response, Partially Upheld - Add Info Submitted. For line 5: Able to substantiate 5 implant UNITS. New ALLOWED amount=$4,034.10. Remains denied=3 units, $1,393.61. For line 6:Able to substantiate billed implant UNIT. Billed implant AMOUNT invalid. New ALLOWED amount=$2,959.74 (IC + 5%). Remains denied=$443.60.  Provider Audit response in FDOC # 7120916513. For reversal approval. </t>
  </si>
  <si>
    <t>4ae3ba5c-3eca-4c24-bfcc-e244ff56f0be</t>
  </si>
  <si>
    <t>CI-76353555</t>
  </si>
  <si>
    <t>Dispute overturned. Procedure code 93597 ASST_SURG_IND = "0" and provider  submitted supporting documentation to prove medical necessity per MLH 2026161A50908. Please reprocess. Thank you</t>
  </si>
  <si>
    <t>Completed with Ms Avic 07/07/2026</t>
  </si>
  <si>
    <t>ba901b48-2a39-40e2-a80f-24f3d06a5477</t>
  </si>
  <si>
    <t>CI-76362106</t>
  </si>
  <si>
    <t xml:space="preserve">
B1677-X1
Reviewed by recovery and determined line 12 CPT J9206JW needs to be reprocessed. As per B1677-X1 concept to reprice the JW claim line using max unit value from the Max JW HCPCS grid. Line 12 CPT J9206 have 1 Max JW. Please review and reprocess for payment. Thank you.
</t>
  </si>
  <si>
    <t>170482a2-5dfa-4127-b460-250d50379eb8</t>
  </si>
  <si>
    <t xml:space="preserve">CI-76365990
</t>
  </si>
  <si>
    <t xml:space="preserve">As per concept C35-S604-59-B-X2
for overturned if there is no TMR edit.  
</t>
  </si>
  <si>
    <t>Upheld. Claim was processed correctly TM pop up is located on the 80th record.</t>
  </si>
  <si>
    <t>d93f3ebb-16d9-4930-a6f7-30fad8277bdb</t>
  </si>
  <si>
    <t>CI-76366670</t>
  </si>
  <si>
    <t>Claim needs to be reprocessed as per recovery review, Duplicate claim 2026015CX6096 is denied, claim should be paid.</t>
  </si>
  <si>
    <t>Non-DMO concept cliam is not for RI. Please review for possible RTO</t>
  </si>
  <si>
    <t>c0f5baa8-eccd-43e5-be86-cc2f5fdfd40b</t>
  </si>
  <si>
    <t>CI-76020730</t>
  </si>
  <si>
    <t xml:space="preserve">Overturn- ANSIR Step 6 The same TAX ID but Different Member code . </t>
  </si>
  <si>
    <t>rejected - for upheld for step 9</t>
  </si>
  <si>
    <t>ed394e04-9788-4ec2-817f-508fc12f6a5f</t>
  </si>
  <si>
    <t>CI-76343959</t>
  </si>
  <si>
    <t>B291-X5, Step 3 procedure code and tax ID for original claim did not match Xref claim.</t>
  </si>
  <si>
    <t xml:space="preserve">Kindly review inquiry with the correct reference number provided by ACR 21229BV5787. </t>
  </si>
  <si>
    <t>2b7a90d6-057b-495a-950f-4541bd073fb7</t>
  </si>
  <si>
    <t>CI-76387486</t>
  </si>
  <si>
    <t xml:space="preserve">Overturn- Valid POTF Dated 03/21/2025 is attached under MLH#2026148RI0210. And is within TFL Limit </t>
  </si>
  <si>
    <t>okay to adjust-medicare eob dated 11/12/2024 and 11/13/2024</t>
  </si>
  <si>
    <t>Upheld-Completed (Since EOB Date is 11/12 and 11/13/2024 and Received Date is 03/21/2025 Claim is outside 90 TFL Days.</t>
  </si>
  <si>
    <t>0b2e7539-850b-4eea-84cf-021b386abdea</t>
  </si>
  <si>
    <t>CI-76095366</t>
  </si>
  <si>
    <t xml:space="preserve">	
Log to RI tracker due to Dispute overturned. Claims needs to be reprocessed as per provider audit response, Overturned - Documentation submitted supports the implant charges billed. FDOC#7121655719.</t>
  </si>
  <si>
    <t>943ccc19-9b0f-40c6-b094-b10f7ad500c4</t>
  </si>
  <si>
    <t>CI-76342388</t>
  </si>
  <si>
    <t>Reversing claim per review. Initially, the claim was sent to other insurance. The date on the EOB from other insurance under MLH 2026161RH1793 is 12/09/2024 and claim was received by Anthem on 01/03/2025. Claim was received within the timely filing limit of 180 days.</t>
  </si>
  <si>
    <t>c2e01221-eb6d-43ca-bf85-3ec6bb7629cd</t>
  </si>
  <si>
    <t>CI-76353297</t>
  </si>
  <si>
    <t>Reversing claim per C7-S43-59-B-X2 due to contract rate but claim allowed shows $6,813.35 while stand alone is $17755.35 | CI-76353297 | 07/07/2026 | |AH89140 | AFEJER | Recovery Disputes</t>
  </si>
  <si>
    <t>okay to adjust-adjustment is due to line 16 has approved auth UM90618013</t>
  </si>
  <si>
    <t>ba9f06d9-71c4-4665-af26-d7f10b6ddde1</t>
  </si>
  <si>
    <t>CI-76397348</t>
  </si>
  <si>
    <t>Overturn-as per Concept C20-S131-59-B-X1 Step 8 only lines 5 to 11 can be recovered. Assoc recovered whole Claim</t>
  </si>
  <si>
    <t>83d184d1-30b0-41d7-942a-653602611f2f</t>
  </si>
  <si>
    <t>CI-76415617</t>
  </si>
  <si>
    <t>Recovery reviewed the claim and per findings, TFL is 90 days. Date of service is 04/08/2024 and the received date is 01/03/2025 however, there is a valid POTF found per MLH#  2026162R10476. Thank you.</t>
  </si>
  <si>
    <t>rejected- other claim on page 6 EOB date is 12/08/2024 vs received date 01/03/2025</t>
  </si>
  <si>
    <t>43254145-0a30-44b7-9b12-f3133d5bb983</t>
  </si>
  <si>
    <t xml:space="preserve">CI-76414753
</t>
  </si>
  <si>
    <t xml:space="preserve">
Dispute overturned.  Per B1554-X1 / C11-S55-59-B-X1 concept review, Recoverable claim 2025283ES2990 doesn't meet the Step 3 of P&amp;P criteria of having the same DOS from XREF 2025287DN9452. Claim needs to be reprocessed for payment. 
</t>
  </si>
  <si>
    <t>Completed w/ Miss Leah 7/16/2026</t>
  </si>
  <si>
    <t>3a8b69bc-48d4-439f-8174-5ddce2f94bb8</t>
  </si>
  <si>
    <t>CI-75984404</t>
  </si>
  <si>
    <t>per B1751-X1 job aid claim does not bill with code  99221, 99222 OR 99223, hence overturning the claim.</t>
  </si>
  <si>
    <t>5cd99359-eacc-4d73-85d4-3b08947b9268</t>
  </si>
  <si>
    <t>CI-76422152</t>
  </si>
  <si>
    <t>Per B299 concept. Dispute overturned. Procedure code 58301 ASST_SURG_IND = "0" and provider  submitted supporting documentation to prove medical necessity per MLH 2026162A50839. Please reprocess. Thank you</t>
  </si>
  <si>
    <t>Completed 07/12/2026</t>
  </si>
  <si>
    <t>2a98a2f9-f3c2-4a4e-9f05-a99563f49973</t>
  </si>
  <si>
    <t>CI-76427657</t>
  </si>
  <si>
    <t>Per B1672, We will only allow the first 48/96 hours (CA allows 1 extra day)  based on type of delivery. All other days will be recovered. The claim will need to be manually priced to allow at the Well Baby rate for the first 48/96 hours based on type of delivery. DOB is 08/29/2025, DOS 08/29/2025-09/01/2025. Please review for approval of reversal. Thank you.</t>
  </si>
  <si>
    <t>rejected-per PICM verification this is for upheld</t>
  </si>
  <si>
    <t>dde64ce9-6a67-422d-aee5-bb368c00fbae</t>
  </si>
  <si>
    <t>CI-76447905</t>
  </si>
  <si>
    <t xml:space="preserve">Dispute overturned. Claim needs to be reprocessed as per recovery review, allowable amount is for $266.88 per pricing. </t>
  </si>
  <si>
    <t>5ab0275d-592b-483f-9ec8-09de059d04e7</t>
  </si>
  <si>
    <t>CI-76436952</t>
  </si>
  <si>
    <t xml:space="preserve">
Dispute overturned. As per C6-S266-59-B-X1 NCCI EDITING concept review, Recoverable claim doesn't meet criteria for recovery. Recoverable CPT code - 90837 is not found in  Practitioner PTP Edits grid. 
</t>
  </si>
  <si>
    <t xml:space="preserve">Upheld. Both procedure code 90853 and 90837 are listed on Practitioner PTP Edits grid. </t>
  </si>
  <si>
    <t>Completed 7/10/2026</t>
  </si>
  <si>
    <t>ad1a98c8-51fa-4ef5-afb7-7ef23381b005</t>
  </si>
  <si>
    <t>CI-76409307</t>
  </si>
  <si>
    <t xml:space="preserve">Provider submitted an EOB  that is within the filing limit of 90 days. Refer to MLH #2026162RH1980. </t>
  </si>
  <si>
    <t>66a1b5ed-2817-499f-beac-2fd72939f0e0</t>
  </si>
  <si>
    <t>CI-76472425</t>
  </si>
  <si>
    <t>Recovery reviewed the claim and per findings, TFL is 90 days. Date of service is 05/21/2024 and the received date is 02/12/2025 however, there is a valid POTF found per MLH# 2026140A90571 showing that it was process by Medicare and it was denied on 02/12/2025. Please reconsider and reprocess accordingly.</t>
  </si>
  <si>
    <r>
      <rPr>
        <sz val="11"/>
        <color rgb="FF000000"/>
        <rFont val="Aptos Narrow"/>
        <scheme val="minor"/>
      </rPr>
      <t>Okay to adjust (</t>
    </r>
    <r>
      <rPr>
        <sz val="11"/>
        <color rgb="FFFF0000"/>
        <rFont val="Aptos Narrow"/>
        <scheme val="minor"/>
      </rPr>
      <t>TFL is 180 days kindly check TFL grid for Facility)</t>
    </r>
  </si>
  <si>
    <t>8aa8ced7-9c7c-4c7b-87e3-bebf9ae2b75d</t>
  </si>
  <si>
    <t>CI-76427848</t>
  </si>
  <si>
    <t xml:space="preserve">Dispute overturned. Claim needs to be reprocessed as per recovery reviewed due to the claim was received within the timely filing limit of 180 days. Check date from Buckeye Medicaid is 01/29/2025(page 6) from MLH# 2026162RH0583. Claim's received date was 02/26/2025. </t>
  </si>
  <si>
    <t>6740cd16-29ea-4402-89c5-66d533c504a7</t>
  </si>
  <si>
    <t>CI-76457423</t>
  </si>
  <si>
    <t xml:space="preserve">Dispute overturned. Claim needs to be reprocessed as per recovery review. Claim 2025240EA7038 was reprocessed due to being duplicate to xref claim 2025129EO7729 but the xref claim was also adjusted due to corrected claim 2026099BJ1956. </t>
  </si>
  <si>
    <t>5de52494-8957-4938-9cf9-3a59eaac0728</t>
  </si>
  <si>
    <t>As per PA review, Able to verify implants billed
Please repay this line according to the Provider's contracted rate
Fdoc#7125151688</t>
  </si>
  <si>
    <t>36f6128f-ee56-4ebd-9647-08aebdb736b4</t>
  </si>
  <si>
    <t>CI-76215264</t>
  </si>
  <si>
    <t xml:space="preserve">As per PA review for procedure code C1762 and C1713 documentation submitted supports the implant charges billed. FDOC# 7125183895. </t>
  </si>
  <si>
    <t>b536af2f-d38f-49d0-a161-82618ada0247</t>
  </si>
  <si>
    <t>CI-76304526</t>
  </si>
  <si>
    <t>As per PA response, Overturned, claim can be allowed at contracted rate. FDOC#7125184378</t>
  </si>
  <si>
    <t>74c20f4c-8e44-4aab-80e3-845284207cc1</t>
  </si>
  <si>
    <t>CI-76302213</t>
  </si>
  <si>
    <t xml:space="preserve">
As per PA review, claim can be allowed at the contracted rate. FDOC# 7125185392
</t>
  </si>
  <si>
    <t>0fa838e2-5f3c-438c-9812-8ad9598a0f1e</t>
  </si>
  <si>
    <t>CI-76236389</t>
  </si>
  <si>
    <t>As per PA review for procedure code C1889 documentation submitted supports the implant charges billed. FDOC# 7125187451.</t>
  </si>
  <si>
    <t>f0c5abc7-4cf4-4b9d-9bd0-f5141f4899ed</t>
  </si>
  <si>
    <t>CI-76242876</t>
  </si>
  <si>
    <t xml:space="preserve">As per PA review for procedure code C1713 able to verify implants billed correctly. FDOC# 7125189929. </t>
  </si>
  <si>
    <t>ec1454db-da84-402d-8c4f-07abb10a0f2c</t>
  </si>
  <si>
    <t>CI-76246769</t>
  </si>
  <si>
    <t>As per PA review, Determination: OVERTURNED - Add. info. Able to substantiate billed implant. New allowed amount=$3,136.25. FDOC# 7125198337</t>
  </si>
  <si>
    <t>rejected - this KRN claim please route to basket</t>
  </si>
  <si>
    <t>c6bb8f9f-83b4-4c36-ab52-3e03c37d74b6</t>
  </si>
  <si>
    <t>CI-76215140</t>
  </si>
  <si>
    <t>Berida, REchelle</t>
  </si>
  <si>
    <t>per provider audit review. Documentation supports 18 units; instruments and supplies do not meet Anthem's definition and guidelines to bill as implants. FDOC# 7125234178</t>
  </si>
  <si>
    <t>Completed w/ms leah</t>
  </si>
  <si>
    <t>17f089ce-bae2-4223-9357-a732b98b106b</t>
  </si>
  <si>
    <t>CI-76081978</t>
  </si>
  <si>
    <t>Melgar, Alvin</t>
  </si>
  <si>
    <t>Dispute overturned. Claim needs to be reprocessed as per recovery reviewed due to the claim was received within the timely filing limit. MLH#2026156B60009</t>
  </si>
  <si>
    <t>f8cadde6-f2c3-474a-b874-5f5ac717ace2</t>
  </si>
  <si>
    <t>CI-76200560</t>
  </si>
  <si>
    <t>Overturned per PA response on. FDOC #7125290106</t>
  </si>
  <si>
    <t>bbefe0ae-ced5-485d-ac9b-b86258235c1b</t>
  </si>
  <si>
    <t>CI-76215558</t>
  </si>
  <si>
    <t>This was reviewed by Provider Audit and the documentation submitted supports the implant charges billed. FDOC# 7125291324</t>
  </si>
  <si>
    <t>2d39e99d-0647-45fe-880e-2ddcaccd2bb7</t>
  </si>
  <si>
    <t xml:space="preserve">Reversing claim per B6489-X2 because the cross-reference claim 2023326CD8238 was denied as voided by claim 2024103CI7420. Therefore, claim 2024123BX6672 should be allowed and paid| CI-77581215 | 07/08/2026 | |AH89140 | AFEJER | Recovery Disputes
</t>
  </si>
  <si>
    <t>3eb67076-b554-4703-8a8b-401b29c9cbdc</t>
  </si>
  <si>
    <t>CI-76481206</t>
  </si>
  <si>
    <t xml:space="preserve">Dispute overturned. Claims needs to be reprocessed as per recovery reviewed CPT code 11981 if Asst Surg indicator shows "0" and medical records are present, do not recover. Indicator 1 and 9 are automatically upheld, medical records do not impact dispute decision. </t>
  </si>
  <si>
    <t>Okay to adjust (MLH 
2026163A50233)</t>
  </si>
  <si>
    <t>78fd4339-2593-41ca-88ed-0ef40cf2f5dc</t>
  </si>
  <si>
    <t>CI-76523718</t>
  </si>
  <si>
    <t>Reversing claim per pricing mismatch, allowed amount is $329.28 while stand alone is $335.83  | CI-76523718 | 07/08/2026 | |AH89140 | AFEJER | Recovery Disputes</t>
  </si>
  <si>
    <t>a916b105-1cfd-470c-a84e-7f5c0626c5bf</t>
  </si>
  <si>
    <t>29542de8-3d01-4a23-a5f6-2a03f22e7ebd</t>
  </si>
  <si>
    <t>CI-76216990</t>
  </si>
  <si>
    <t>CL 5: 278/UNK x3
Charges $27,446.00
Allowed/Paid Amount $16,467.60 (has since recouped down to $0.00)
Determination: OVERTURNED - able to substantiate billed implants. New allowed amount $16,467.60.Fdoc PA response: 7125692816</t>
  </si>
  <si>
    <t>41942b29-1dec-4389-b74a-d3d47d4d7556</t>
  </si>
  <si>
    <t xml:space="preserve">CI-76135784 </t>
  </si>
  <si>
    <t>Overturned, claim can be allowed at contracted rate.  Fdoc: 7125692710</t>
  </si>
  <si>
    <t>35e959be-07ad-4d17-aff1-52953db357ec</t>
  </si>
  <si>
    <t>CI-76500444</t>
  </si>
  <si>
    <t>Recovery reviewed the claim and per findings, TFL is 90 days. Date of service is 09/24/2024 and the received date is 02/24/2025 however, there is a valid POTF found per MLH# 2026164RH2457 other claim denied from PASSPORT BY MOLINA HEALTHCARE recoupment date is 02/20/2025. Thank you.</t>
  </si>
  <si>
    <t>218aed3a-fc56-489f-9a57-5d2e88c495d1</t>
  </si>
  <si>
    <t>CI-76078974</t>
  </si>
  <si>
    <t>Lines 1 and 4 should not be recovered as there is no duplicate found on XREF Claim.</t>
  </si>
  <si>
    <t>f90e5620-3685-4d67-82e0-03a88a9c8b42</t>
  </si>
  <si>
    <t>CI-75748125</t>
  </si>
  <si>
    <t>Line 4 - C1776
OVERTURN | PA Response FDOC 7125765865
Overturned-Documentation support charges billed.</t>
  </si>
  <si>
    <t>1bff97ec-9278-470f-b399-fbe110cb01ca</t>
  </si>
  <si>
    <t>CI-75849727</t>
  </si>
  <si>
    <t xml:space="preserve">Line 3 - C1713
OVERTURN | PA Response FDOC 7125767001
Overturned-Documentation was provided and does support charges billed.
bone fill allofuse
tiger occipital screw x 6
tiger occipital angle screw x 6
tiger occipital pre bent rod x 2
</t>
  </si>
  <si>
    <t>3df5053f-4190-4d5a-8dc5-bd6974b1b135</t>
  </si>
  <si>
    <t>CI-75959266</t>
  </si>
  <si>
    <t xml:space="preserve">Line 37 - C1713
OVERTURN | PA Response FDOC 7125764227
OVERTURN. DOCUMENTATION SUPPORTS BILLED CHARGES. CLAIM LINE 37, 10 UNITS C1713 $4136.30 
</t>
  </si>
  <si>
    <t>048b51ea-4a69-4747-be8f-c2f29b70fb94</t>
  </si>
  <si>
    <t>CI-75413261</t>
  </si>
  <si>
    <t xml:space="preserve">OVERTURN | PA Response FDOC 7125767225
Line #2 - C1713 Anchor/screw for opposing bone-to-bone or soft tissue-to-bone (implantable) - 1 unit - $15068.64 - allowed and paid $7384.32
</t>
  </si>
  <si>
    <t>e13a92cf-2edb-44b3-8c39-dc1e07e01ac2</t>
  </si>
  <si>
    <t>CI-75106515</t>
  </si>
  <si>
    <t xml:space="preserve">Line 4 - 0278
OVERTURN | PA Response FDOC 7125811088
OVERTURN. Able to verify implants billed
Please repay this line according to the Provider's contracted rate
</t>
  </si>
  <si>
    <t>94aa3939-525d-4914-8784-5357d89f8be6</t>
  </si>
  <si>
    <t>CI-76331893</t>
  </si>
  <si>
    <t>Overturn per PA response on FDOC#7126069001</t>
  </si>
  <si>
    <t>4195087a-3a39-4395-a559-1aa3e1df6508</t>
  </si>
  <si>
    <t>CI-76379474</t>
  </si>
  <si>
    <t>Reversing claim per PA review, modifier 62 is supported by submitted appeal documentation. Refer to FDOC #7127367261 | CI-76379474 | 07/09/2026 | |AH89140 | AFEJER | Recovery Disputes</t>
  </si>
  <si>
    <t>7/10/2026 Completed</t>
  </si>
  <si>
    <t>197d6a87-a458-467c-9c8f-2533ef6a16c2</t>
  </si>
  <si>
    <t>CI-76538084</t>
  </si>
  <si>
    <t xml:space="preserve">As per PA review determination partially upheld for revenue code 278 implant policy does not reimburse for non-implants. There is 1 verified implant and 8 non-implants. FDOC# 7127369888. </t>
  </si>
  <si>
    <t>2aa6edeb-0451-4084-afe5-d4daf8197fd0</t>
  </si>
  <si>
    <t>CI-76516537</t>
  </si>
  <si>
    <t>As per process update, B6473 with Co-Surgeon indicator "1" with medical record is overturn. Request approval for reversal. Thank you</t>
  </si>
  <si>
    <t>140b5578-1b9e-4ca0-999d-264a81d6226a</t>
  </si>
  <si>
    <t xml:space="preserve">CI-76256877
</t>
  </si>
  <si>
    <t xml:space="preserve">Per PA review for Partial Overturned,
Line 10 - 0278/C1889
OVERTURN - Able to verify the spinal cage paid on this line.
Please repay this line according to the Provider's contracted rate.
Line 11 - 0278/C1713
UPHELD - Ifactor and Morpheus bone putty do not meet the implant definition.
This line should remain recouped.
FDOC#: 7127520535 
</t>
  </si>
  <si>
    <t>f1b330c8-a296-47b9-b1b9-b91973738fa2</t>
  </si>
  <si>
    <t xml:space="preserve">CI-76288399
</t>
  </si>
  <si>
    <t xml:space="preserve">Per PA review for Overturned,
Line 4 - 0278/C1713
Able to verify implants billed
Please repay this line according to the Provider's contracted rate
FDOC#: 7127521331
</t>
  </si>
  <si>
    <t>8b1dea1b-c1b8-44b1-89c7-c1fefcab3dc5</t>
  </si>
  <si>
    <t>CI-76522420</t>
  </si>
  <si>
    <t>nb</t>
  </si>
  <si>
    <t>The claims need to be adjust. For concept ID B299-X15 Assistant Surgery Not Allowed "RAC P&amp;P update: If medical records are present and indicator is a 0, do not recover. Please see medical records 2026165B00229. Thank you.</t>
  </si>
  <si>
    <t>Completed7/10/2026</t>
  </si>
  <si>
    <t>879d874b-6a18-4bb6-8324-e017a3a54ced</t>
  </si>
  <si>
    <t>CI-76534205</t>
  </si>
  <si>
    <t>Proof of TFL submitted under 2026164B60117 includes record from clearing house.</t>
  </si>
  <si>
    <t>7d72f22a-787e-4f79-b27e-d93e767b56ca</t>
  </si>
  <si>
    <t>CI-76251301</t>
  </si>
  <si>
    <t xml:space="preserve">OVERTURNED | FDOC 7127835872
Records sent in by the provider indicate their use of J3300 for this claim has been reviewed by SIU.” Per SIU Case No. C-2025-12864 Anthem agreed to treat overpayments for code J3300 as educational and not pursue used as an “educational” and not to pursue repayment for J3300 claims if OSC changed its billing practice prospectively. OSC changed its billing practice effective February 17, 2026”
 </t>
  </si>
  <si>
    <t>947087ca-7077-49f2-83c9-2e73e39b85c7</t>
  </si>
  <si>
    <t>CI-76251359</t>
  </si>
  <si>
    <t>CCA AUDIt OVERTURNED | FDOC: 7127835802
Records sent in by the provider indicate their use of J3300 for this claim has been reviewed by SIU.” Per SIU Case No. C-2025-12864 Anthem agreed to treat overpayments for code J3300 as educational and not pursue used as an “educational” and not to pursue repayment for J3300 claims if OSC changed its billing practice prospectively. OSC changed its billing practice effective February 17, 2026”</t>
  </si>
  <si>
    <t>0d30725f-d44d-48a6-b20a-7ec534194ee1</t>
  </si>
  <si>
    <t xml:space="preserve">
CI-76545427
</t>
  </si>
  <si>
    <t>Dispute overturned. As per concept B7536X1 , claim is not eligible  for reimbursement when associated drug charges were denied. Reference claim 2025302BS2668 was overturned and paid. For claim reversal</t>
  </si>
  <si>
    <t>80dfa533-81f2-4f0a-9e5d-c4bf27dcab2b</t>
  </si>
  <si>
    <t>CI-76550017</t>
  </si>
  <si>
    <t>Claim needs to reprocess as per recovery reviewed C26-S156-59-B-X2 concept with medical records for assistant surgeon payment indicator is 0 for procedure code 28080. Medical records are attached to the claim's inquiry MLH # 2026165A51262. Thank you.</t>
  </si>
  <si>
    <t>1ce9df45-c197-4c1d-85a8-62d01e3fb6c7</t>
  </si>
  <si>
    <t>CI-76611560</t>
  </si>
  <si>
    <t>Reversing claim per DMO B6437-X1, step 15, handled claim's DOS is not within the DOS range of xref 2025304CO5426 and should not be recovered | CI-76611560 | 07/09/2026 | |AH89140 | AFEJER | Recovery Disputes</t>
  </si>
  <si>
    <t>Upheld per P&amp;P step 9.</t>
  </si>
  <si>
    <t>60221d7f-95ce-4aba-b697-ef71a29ea047</t>
  </si>
  <si>
    <t>CI-76536994</t>
  </si>
  <si>
    <t xml:space="preserve">70941 is on B194 grid </t>
  </si>
  <si>
    <t>rejected</t>
  </si>
  <si>
    <t>01fe824d-4749-42d7-b57d-051b38216a9c</t>
  </si>
  <si>
    <t xml:space="preserve">CI-76577050
</t>
  </si>
  <si>
    <t xml:space="preserve">Recovery reviewed and we identified claim needs to be reprocess (procedure code 29838) as per concept criteria, if Asst Surg indicator shows ""0"" and medical records are present. 
do not recover.
</t>
  </si>
  <si>
    <t>Okay to adjust (MLH# 2026113B81166)</t>
  </si>
  <si>
    <t>499c278b-facb-4778-80f4-adfa30b19961</t>
  </si>
  <si>
    <t>CI-76585801</t>
  </si>
  <si>
    <t xml:space="preserve">Claim is within the filing limit of 365 days and Provider submitted EOB that is within the TFL. Refer to MLH #
2026166RH2122. </t>
  </si>
  <si>
    <t>Okay to adjust TFL is 120 days</t>
  </si>
  <si>
    <t>9c69bb2d-140b-4da4-be6a-89bdfaf74755</t>
  </si>
  <si>
    <t>Fejer Alvin</t>
  </si>
  <si>
    <t>Reversing claim per PA response, medical records support the billing of 1200 total dose units of J2327 on 10/28/2024, refer to FDOC #7114475648 | CI-75512852 | 07/102026 | |AH89140 | AFEJER | Recovery Disputes</t>
  </si>
  <si>
    <t>8813b677-6112-4910-8236-a8a54919e6fb</t>
  </si>
  <si>
    <t>CI-74991043</t>
  </si>
  <si>
    <t xml:space="preserve">As per PA Response documentation submitted supports the modifier 62, FDOC# 7127985607. </t>
  </si>
  <si>
    <t>Completed 07/15/2026</t>
  </si>
  <si>
    <t>a6f613e3-d8a4-4f60-892e-86e1ef78ddd5</t>
  </si>
  <si>
    <t>CI-76423964</t>
  </si>
  <si>
    <t xml:space="preserve">As per PA Response documentation submitted supports implants billed for procedure codes C1776 and C1889, FDOC# 7127986934. </t>
  </si>
  <si>
    <t>Completed 07/14/2026</t>
  </si>
  <si>
    <t>1d47c267-907a-49e4-a5a8-6bd74f34b110</t>
  </si>
  <si>
    <t>CI-76561300</t>
  </si>
  <si>
    <t>Dispute overturned. Claim needs to be reprocessed as per recovery review due to claim's tax ID 800863895 is included in exclusion criteria for B1653-X2 concept.</t>
  </si>
  <si>
    <t>3d7a8c51-46da-47cd-a74b-2b4861a2dd26</t>
  </si>
  <si>
    <t>CI-76568186</t>
  </si>
  <si>
    <t xml:space="preserve">Dispute overturned. Claim needs to be reprocessed as per recovery review. Claim 2026009BP4369 was reprocessed due to being inclusive to xref claim 2026028DE3267 but the xref claim was also adjusted and not paid. </t>
  </si>
  <si>
    <t>PAM edit please make sure to look for an anpprove auth for proc that was denied before reversing the claim</t>
  </si>
  <si>
    <t>Completed 07/16/2026</t>
  </si>
  <si>
    <t>2b36806f-35a6-4cfc-b70a-4aa83eefc64c</t>
  </si>
  <si>
    <t>CI-76328463</t>
  </si>
  <si>
    <t>As per PA response, Overturn CL 22. FDOC#7130825092</t>
  </si>
  <si>
    <t>e784b15f-a023-4e67-8367-3cce427883b5</t>
  </si>
  <si>
    <t>CI-76420113</t>
  </si>
  <si>
    <t>As per PA review procedure code C1713 able to verify implants billed. FDOC# 7130825235.</t>
  </si>
  <si>
    <t>a9446faa-e6c7-4aa0-bc61-ff451373f48d</t>
  </si>
  <si>
    <t>CI-75811349</t>
  </si>
  <si>
    <t xml:space="preserve">
As per PA response Determination: Overturn CL 5. Clinical supports payment.  FDOC# 7130838179
</t>
  </si>
  <si>
    <t>9204be89-1388-4973-a65c-21c9f9572f7a</t>
  </si>
  <si>
    <t>CI-76303743</t>
  </si>
  <si>
    <t>AL64139`</t>
  </si>
  <si>
    <t>Provider Audit/CCA approved overturned. Received email, FDOC # 7130841271. Hemostatic powder does not qualify as an implant and will not be reimbursed. Allowing the cervical disc implant that billed 14874.00. Implants paid 45% of covered charges. New allowed amount 14,874.00 x 45% = 6,693.30 Please adjust this line to pay 6693.30</t>
  </si>
  <si>
    <t>Completed 07/15/2026 with Ms Leah</t>
  </si>
  <si>
    <t>f5a5a080-fc17-4df4-a2c1-da8c59a6fb17</t>
  </si>
  <si>
    <t>CI-76393515</t>
  </si>
  <si>
    <t>Provider Audit/CCA approved overturned. Received email, FDOC # 7130841520. Additional documentation received.  Repayment amount $773.39.  Suture anchor x1 implanted, pg 32.</t>
  </si>
  <si>
    <t>687ee451-c4bf-4288-a277-699e24a7f549</t>
  </si>
  <si>
    <t>CI-76600630</t>
  </si>
  <si>
    <t>Recovery reviewed the claim and per findings, TFL is 90 days. Date of service is 01/13/2025 to 01/15/2025 and the received date is 12/05/2025 however, there is a valid POTF found per MLH# 2026166RH5664 with recoupment notice from BUCKEYE COMMUNITY HEALTH PLAN on 09/16/2025.</t>
  </si>
  <si>
    <t>Okay to adjust TFL is 360 days</t>
  </si>
  <si>
    <t>5b1a4c51-1a62-4159-b9d7-4ce8339275ab</t>
  </si>
  <si>
    <t>CI-76478864</t>
  </si>
  <si>
    <t>Appeal modified for CL 3 HCPCS C1713.  Additional documentation received.  Invoice overpaid.  Upheld amount $389.85.  Repayment amount $$2,598.98.</t>
  </si>
  <si>
    <t>6fcc4f03-5df8-4f10-8bfe-2e6719534c7d</t>
  </si>
  <si>
    <t>CI-76600487</t>
  </si>
  <si>
    <t>B6473 - with medical records under MLH 2026166RH5349, MAI indicator 01</t>
  </si>
  <si>
    <t>39fc9562-b22e-418b-951d-aab5adc31da3</t>
  </si>
  <si>
    <t>CI-75973367</t>
  </si>
  <si>
    <t>CCA Audit overturned | FDOC: 7130857498
The op report found under DCN 2026154B81028 pg. 4- 8 , provide details of the surgical procedure with reference to the distinct role and individual contributions of the rendering provider Dr. Grossi. Modifier 62 is well supported.</t>
  </si>
  <si>
    <t>rejected - ITS host claim</t>
  </si>
  <si>
    <t>6fa638ab-e5ce-4f5d-961b-18b8c6df3248</t>
  </si>
  <si>
    <t>CI-76042629</t>
  </si>
  <si>
    <t>Dispute overturned. Claim needs to be reprocessed as per recovery review, provider billed more than maximum allowed unit for procedure codes C1889 with MAI indicator 3, sent medical records under MLH:26153E0018936. Please review.</t>
  </si>
  <si>
    <t>e6342ab3-f8b2-4922-a141-f70a8bed9bfb</t>
  </si>
  <si>
    <t>CI-76618946</t>
  </si>
  <si>
    <t xml:space="preserve">Jennifer Rutor </t>
  </si>
  <si>
    <t>Overturn-Valid POTF found with EOB Dated 05/29/26 , Received date is 04/24/26.</t>
  </si>
  <si>
    <t>Okay to adjust (POTF under MLH 
2026167A90397)</t>
  </si>
  <si>
    <t>5862befb-d32f-48ce-8b77-7ae5c6b30997</t>
  </si>
  <si>
    <t>CI-76619547</t>
  </si>
  <si>
    <t>Reversing claim per DMO C12-S64-59-B-X1, CPT 99204 is present in GRID under DENY tab but no CPT falls in SUPPORT tab from xref 2023258CF6381  | CI-76619547 | 07/13/2026 | |AH89140 | AFEJER | Recovery Disputes</t>
  </si>
  <si>
    <t>Upheld. proc code 99203 supports the deniel for proc code 99204.</t>
  </si>
  <si>
    <t>efea9364-4944-42c2-bfed-e972097efd75</t>
  </si>
  <si>
    <t>CI-76625279</t>
  </si>
  <si>
    <t xml:space="preserve">Overturn&gt;As per notes there is a Concept, but claim was denied for TFL and Provider is disputing on TFL Denial which means TFL should be followed. DOS 03/16/26 Received date is 03/26/26 -within TFL Days. </t>
  </si>
  <si>
    <t xml:space="preserve">Kindly review CI# per concept  B398-X15 provided in ACR. </t>
  </si>
  <si>
    <t>Completed /Overturn</t>
  </si>
  <si>
    <t>e057b7fc-ab2e-4585-9dda-0f13a8adcd50</t>
  </si>
  <si>
    <t>CI-76596460</t>
  </si>
  <si>
    <t>Dispute overturned. Claim needs to be reprocessed as per recovery reviewed since xref claim 2025255BY7073 was already adjusted due to vountary refund (F37). Sutter claim</t>
  </si>
  <si>
    <t>Completed 7/16/2026</t>
  </si>
  <si>
    <t>1f258b6c-9a0d-486c-9eec-b92573e59f7b</t>
  </si>
  <si>
    <t>CI-74676957</t>
  </si>
  <si>
    <t>incorrect pricing was made in the claim Allowed amount should be $3419.00</t>
  </si>
  <si>
    <t>oks to adjust (please prio as this is an escal case)</t>
  </si>
  <si>
    <t>b3b8422e-24d9-4110-a3e6-72da244d46a4</t>
  </si>
  <si>
    <t>CI-76752812</t>
  </si>
  <si>
    <t xml:space="preserve">
As per PA response: Partial Upheld
 FDOC# 7132802231
CL 5 - Upheld
CL 4 - Overturn
Upheld - 8 units billed yet only 5 units implanted for CL 5. Itemized still not provided so denial remains for CL 5
Overturn CL 4. Clinical supports payment.
</t>
  </si>
  <si>
    <t>ok to adjust</t>
  </si>
  <si>
    <t>Completed 7/17/2026 
updated FDOC# 7137393184</t>
  </si>
  <si>
    <t>7680015c-25e5-4416-9fbc-7f22bbc2267a</t>
  </si>
  <si>
    <t>CI-71816016</t>
  </si>
  <si>
    <t>REVERSAL INTAKE ID 84978 - Dispute overturned. Claim can be allowed as per contracted rate, doc supports. Per PA response in FDOC 6980636974</t>
  </si>
  <si>
    <t>Claim has been reversed under INTAKE ID#: 84978</t>
  </si>
  <si>
    <t>2ebbf141-dffc-4b0d-86fa-022b8c0019dc</t>
  </si>
  <si>
    <t>CI-73279128</t>
  </si>
  <si>
    <t>REVERSAL INTAKE ID 85630 - Overturned, Documentation was provided and does support charges billed. Per PA response in FDOC 7016084853</t>
  </si>
  <si>
    <t>6b53193c-9611-4d5c-aa84-1fe8864a6b06</t>
  </si>
  <si>
    <t>CI-73394323</t>
  </si>
  <si>
    <t>REVERSAL INTAKE ID 85622 - This claim is overturned. After receiving medical records, this HCPCS J2327 Dose is supported. Per PA response FDOC 7015779046</t>
  </si>
  <si>
    <t>Claim has been reversed under INTAKE ID#: 85622.</t>
  </si>
  <si>
    <t>6915f623-adf6-477d-b1d6-fcdaa72fed83</t>
  </si>
  <si>
    <t>CI-76554628</t>
  </si>
  <si>
    <t>Claim needs to be reprocessed as per audit response, Partially Upheld - Documentation supports 15 units; explanted items do not meet the implant policy definition. Line 2/UNK/$4024.35 new allowed amount. Provider Audit response in FDOC # 7132908823. For reversal approval.</t>
  </si>
  <si>
    <t>776c575f-a04a-4844-84d2-fad1d881e787</t>
  </si>
  <si>
    <t>CI-76438755</t>
  </si>
  <si>
    <t xml:space="preserve">Claim needs to be reprocessed as per audit response, Partially Upheld - Claim line 6  Clinical supports payment.C1713 Anchor/screw for opposing bone-to-bone or soft tissue-to-bone (implantable) -  4 units - $3565 - allowed and paid $1794.26. Upheld CL 7 - 5 joints billed but only 4 found in the operative note. No implant log or itemized provided. Denial remains for CL 7.  Provider Audit response in FDOC # 7132933205. For reversal approval. </t>
  </si>
  <si>
    <t>bd6da20f-117f-483d-a3e8-756d39c6915c</t>
  </si>
  <si>
    <t>CI-76556040</t>
  </si>
  <si>
    <t xml:space="preserve">Cuaton, Mark Anthony </t>
  </si>
  <si>
    <t>Claim needs to be reprocessed as per PA review. Determination: PARTIALLY UPHELD for Claim line 5: 278/C1713 x20: Able to substantiate 278/UNK x18 units as implants. New allowed amount=$4,689.24. Remains denied: 278/UNK x2 units. Would not qualify as implants. Amount that remains denied=$2,376.00. See Provider audit response. FDOC#7132975464</t>
  </si>
  <si>
    <t>77923104-c0c5-4320-82cd-9c40a111f30a</t>
  </si>
  <si>
    <t>CI-76494437</t>
  </si>
  <si>
    <t>Recovery reviewed. CPT C1776 $21734.54, Documentation submitted supports the implant charges billed. Per PA response under FDOC# 7132977681</t>
  </si>
  <si>
    <t>aad9e807-3113-405d-aadb-9139e90a4844</t>
  </si>
  <si>
    <t>CI-76648511</t>
  </si>
  <si>
    <t>Dispute overturned. Claim needs to be reprocessed as per recovery reviewed B446-X13  concept, procedure code is not listed in the B446 and B447 Master list.</t>
  </si>
  <si>
    <t>79314bc3-1b77-48d9-8bec-6b6d1d5b99fb</t>
  </si>
  <si>
    <t>CI-76648840</t>
  </si>
  <si>
    <t>b096d68d-daeb-49a0-994b-1878c876745e</t>
  </si>
  <si>
    <t>CI-76661536</t>
  </si>
  <si>
    <t>MIckee Vergara</t>
  </si>
  <si>
    <t>Reversing claim per review.  Procedure code 64708 CO_SURG_IND Indicator= 1 and provider submit supporting documentation to prove medical necessity per MLH 2026167R41397. Case#CI-76661536|07/14/26|AL87804|RizelP|Recovery Disputes.</t>
  </si>
  <si>
    <t>95e476a8-d885-4e60-b976-883034f2403a</t>
  </si>
  <si>
    <t>Domalaoco, Vee</t>
  </si>
  <si>
    <t>Dispute overturned. As per provider audit response,.  Line 3 - 0278/C1713 PARTIAL OVERTURN 7 anchors billed, but only 6 supported in the record Allowing 6 units at 770.00 each: New allowed charges = 4620.00 Implants pay 58% of charges.Please adjust this line to pay 2,679.60. See Provider Audit Response. FDOC #  7133268394</t>
  </si>
  <si>
    <t>ec3ca4f9-c454-41e2-901a-969c3c4ce98d</t>
  </si>
  <si>
    <t>For Reversal Intake as per concept B869-X1 with Procedure Code 84703 with MAI Indicator 3 and Medical Records with MLH 2026026HC6881</t>
  </si>
  <si>
    <t>af20ae91-2695-460c-80f2-27bfab6e3bce</t>
  </si>
  <si>
    <t>CI-73622584</t>
  </si>
  <si>
    <t>For Reversal Intake as per concept B299 for procedure code 29881 with modifier AS with MAI Indicator 0 with Medical Record with MLH 2026104R72520</t>
  </si>
  <si>
    <t>Okay to adjust( approved auth UM61420007)</t>
  </si>
  <si>
    <t>Completed 7/15/2026</t>
  </si>
  <si>
    <t>03eadaa3-9ad8-430d-af1b-c4c9275872b8</t>
  </si>
  <si>
    <t>CI-74898244</t>
  </si>
  <si>
    <t>For Reversal Intake as per concept  C26-S156-59-B-X2 with MAI Indicator 0 with medical records 2026131R70574</t>
  </si>
  <si>
    <t>d44d92f7-ea6b-4e95-9a6b-2a6052b0566d</t>
  </si>
  <si>
    <t>CI-74981731</t>
  </si>
  <si>
    <t>Dispute overturned. As per provider audit response, MEDICAL RECORDS SENT IN SUPPORTS 68MG/1 UNIT OF DRUG J7307 ADMINISTERED TO PATIENT ON DOS 4.24.2025. See Provider Audit Response. FDOC #  7133268302</t>
  </si>
  <si>
    <t>6a2b73b8-3d01-458c-be48-ee17dbcf5fb3</t>
  </si>
  <si>
    <t>CI-74966470</t>
  </si>
  <si>
    <t>Dispute overturned. As per provider audit response, claim can be allowed at contracted rate. . See Provider Audit Response. FDOC #  7133268353</t>
  </si>
  <si>
    <t>1d184bab-decb-43db-8e52-bdad3d0a9ecb</t>
  </si>
  <si>
    <t>CI-75025121</t>
  </si>
  <si>
    <t>For Reversal Intake as per concept C26-S156-59-B-X2 for Procedure Code 20680 with MAI Indicator 0 with Medical Records 2026134A50122</t>
  </si>
  <si>
    <t>0d820fa0-f689-4dcc-a4b6-5ed9b1393197</t>
  </si>
  <si>
    <t>CI-75238987</t>
  </si>
  <si>
    <t>For Reversal Intake, As per concept B6473 with Procedure Code  54530 with MAI Indicator 1 with Medical Records with MLH  2026138RL6663</t>
  </si>
  <si>
    <t>Please review claim per latest adjustment under corrected process.</t>
  </si>
  <si>
    <t>2b1317ec-742c-49d1-84af-8d36619262f3</t>
  </si>
  <si>
    <t>Dispute overturned. As per provider audit response, Able to verify implants billed,Please repay this line according to the Provider's contracted rate. See Provider Audit Response. FDOC #  7133268237</t>
  </si>
  <si>
    <t>3c546427-229e-45e8-a8ee-f72ebe43aa7b</t>
  </si>
  <si>
    <t>For Reversal Intake as per concept B869 with Procedure Code J1628 with MAI Indicator 3 with Medical Records with MLH 2026146RH5414</t>
  </si>
  <si>
    <t>349ee88b-527c-46d0-8002-65574e6e228f</t>
  </si>
  <si>
    <t>Dispute overturned. As per provider audit response, Documentation submitted supports the implant charges billed. Claim #25016EU2228/Line 3/L8699/$32.00. See Provider Audit Response. FDOC #  7133265864</t>
  </si>
  <si>
    <t>e8e3ddb8-e7a5-41f5-82b7-3c66e6a4cd2b</t>
  </si>
  <si>
    <t>Dispute overturned. As per provider audit response, Add info received. Able to substantiate billed implant. Please reprocess &amp; repay. New allowed amount=$618.50 . See Provider Audit Response. FDOC #  7133265905</t>
  </si>
  <si>
    <t>d92af18d-1fa7-44cd-9cc4-823b8b308b8e</t>
  </si>
  <si>
    <t>Dispute overturned. As per provider audit response, claim can be allowed at contracted rate. See Provider Audit Response. FDOC #  7133267948</t>
  </si>
  <si>
    <t>c9d7a081-b11a-4754-b75a-1c7893b67c33</t>
  </si>
  <si>
    <t>CI-76508067</t>
  </si>
  <si>
    <t>PA Overturned. Records sent in by the provider indicate their use of J3300 for this claim has been reviewed by SIU. Per SIU Case No. C-2025-12864 Anthem agreed to treat overpayments for code J3300 as educational and not pursue used as an “educational” and not to pursue repayment for J3300 claims if OSC changed its billing practice prospectively. OSC changed its billing practice effective February 17, 2026. Please repay the claim. FDOC 7133269288</t>
  </si>
  <si>
    <t>e8ce90b1-13e5-415c-abdf-975da9f845d3</t>
  </si>
  <si>
    <t>CI-76666452</t>
  </si>
  <si>
    <t xml:space="preserve">Overturn&gt;Claim is outside lookback period of 365 days. </t>
  </si>
  <si>
    <t>Upheld. Claim is Erisa ASO, LBP is 36 months.</t>
  </si>
  <si>
    <t>ae4b229f-0c06-427b-be42-39acfaa09492</t>
  </si>
  <si>
    <t>CI-76149925</t>
  </si>
  <si>
    <t xml:space="preserve">PA Partial Upheld&gt;For Line 7 Able to substantiate billed implant units with submitted documentation.
New allowed amount=$2,583.00
Remains denied=$387.45.....original paid amount exceeds implant language of Invoice Cost + 5%. FDOC# 
7135139546
 </t>
  </si>
  <si>
    <t>2d4b4ef8-f4d4-4e58-bac6-902a9f2d5727</t>
  </si>
  <si>
    <t>CI-76670450</t>
  </si>
  <si>
    <t>59264abb-4f13-495c-84d2-4bda22403958</t>
  </si>
  <si>
    <t>Dispute overturned. As per PA review. Appeal overturned for CL 4 HCPCS C1713.  Additional documentation received that supports billed charges.  Repayment amount $1,879.00.  Anchors x5 implanted.</t>
  </si>
  <si>
    <t>df22d6af-5d51-40b5-a271-0c77192338a1</t>
  </si>
  <si>
    <t>CI-76609893</t>
  </si>
  <si>
    <t>rejected - we dont adjust ITS host, please RTO &gt;&gt;overturn</t>
  </si>
  <si>
    <t>b110ee25-bfcd-4270-90c0-6e81c13f3044</t>
  </si>
  <si>
    <t>CI-76410653</t>
  </si>
  <si>
    <t xml:space="preserve">
Per PA response Overturned. 
FDOC# 7133404639
Determination: Overturn CL 5. Clinical supports payment.
Line #5 - C1889 Implantable/insertable device, not otherwise classified - 2 units - $1706 - allowed $767.70 - paid $763.15
</t>
  </si>
  <si>
    <t>Completed 7/21/2026</t>
  </si>
  <si>
    <t>1f4d453b-85f9-43ed-974e-5d68b93827a8</t>
  </si>
  <si>
    <t>CI-76586904</t>
  </si>
  <si>
    <t>PA Overturned. Please repay Line 1 - 0483 according to the Provider's contracted rate. FDOC 7134950604</t>
  </si>
  <si>
    <t>e4d3a1b2-5a30-485d-8c9d-07857c295d06</t>
  </si>
  <si>
    <t>CI-76398329</t>
  </si>
  <si>
    <t>This was reviewed by Provider Audit and the  claim line 6 and 7  is clinical supports payment.. FDOC# 7135044785</t>
  </si>
  <si>
    <t>59b5ca4c-b36c-4eb0-afac-58b862ad80ce</t>
  </si>
  <si>
    <t>CI-76317959</t>
  </si>
  <si>
    <t>Ag93888</t>
  </si>
  <si>
    <t>Overturned, documentation received on appeal supports Implants billed. Claim Line: 7 FDOC#7135043329</t>
  </si>
  <si>
    <t>e0201f68-95b2-47f1-94d8-1f6ba3ac58e9</t>
  </si>
  <si>
    <t>CI-76598660</t>
  </si>
  <si>
    <t>PARTIAL OVERTURN | FDOC 7135046351
Implants are to pay invoice cost per Provider's contract.
Phasix mesh
Invoice cost 12,369.00
Please adjust this line to allow 12,369.00</t>
  </si>
  <si>
    <t>rejected - ITS host claim. Please follow its workflow.</t>
  </si>
  <si>
    <t>3f8866d2-ad65-4c5d-b07c-d36a997ab1fb</t>
  </si>
  <si>
    <t>CI-76600941</t>
  </si>
  <si>
    <t>OVERTURN | FDOC 7135048104
Able to verify implants billed
Please repay this line according to the Provider's contracted rate</t>
  </si>
  <si>
    <t>72fa1a05-83db-4b2e-8ca6-873e5730da0a</t>
  </si>
  <si>
    <t>CI-76657529</t>
  </si>
  <si>
    <t xml:space="preserve">Provider submitted an EOB  that is within the filing limit of 180 days. Refer to MLH #2026167RH4017. </t>
  </si>
  <si>
    <t>Upheld. POTF provided is your EOB's handled claim, kindly review.</t>
  </si>
  <si>
    <t>ef1c02cf-aa3d-4633-91dd-b69f4a4c1e9d</t>
  </si>
  <si>
    <t xml:space="preserve">CI-76538022
</t>
  </si>
  <si>
    <t xml:space="preserve">DOCUMENTATION SUBMITTED TO SUPPORT IMPLANTS BILLED. SEE PA RESPONSE AT FDOC 7135143366 </t>
  </si>
  <si>
    <t>be635901-bd2f-4d3e-8ec5-b8f5a1e4251f</t>
  </si>
  <si>
    <t>CI-76604387</t>
  </si>
  <si>
    <t>Dispute overturned. Per recovery review, there's a valid surgery claim in history 2026033RI1318. Please review and reconsider.</t>
  </si>
  <si>
    <t>7fc6ad34-0305-48ee-a1d3-e2328cba41f1</t>
  </si>
  <si>
    <t>CI-76692465</t>
  </si>
  <si>
    <t>Okay to adjust (med recs under MLH# 2026168RH0807)</t>
  </si>
  <si>
    <t>2ec6271a-63dc-4d32-b27e-4b6f0b9449c5</t>
  </si>
  <si>
    <t>CI-76195174</t>
  </si>
  <si>
    <t>Dispute Overturn | as per CCA review, Overturned, claim can be allowed at contracted rate.
FDOC 7135476729</t>
  </si>
  <si>
    <t>0b9faf07-9c99-4b4f-8790-af2ec96cb40b</t>
  </si>
  <si>
    <t>CI-75456645</t>
  </si>
  <si>
    <t>Overturned per PA response on FDOC#7135508907</t>
  </si>
  <si>
    <t>a17d6cd1-d086-4978-a70c-5ba9cce91d4b</t>
  </si>
  <si>
    <t>CI-76693294</t>
  </si>
  <si>
    <t>Reversing claim per review, provider is disputing for CPT 0443U for claim 25175DY2723 under MLH 2026168A70142/2026168A70140. Per concept B446's criteria under step 3 scenario 1, CPT 0443U code is not listed on B446 grid, skip to Scenario 2 on Step 6. CPT 0443U code is also not listed on B447 grid. Therefore, no further validation required on all lines that answered no and there should be no recoupment of payment.</t>
  </si>
  <si>
    <t>0d3ff50c-b455-4960-b085-2fc93e7b1379</t>
  </si>
  <si>
    <t>CI-76529643</t>
  </si>
  <si>
    <t>"Provider audit/CCA approved overturn"This was already reviewed by the provider audit team. "Line 5, Overturned-Documentation provided supports billed charges " Please proceed on adjusting the claim. Thank you. Fdoc:7135531255</t>
  </si>
  <si>
    <t>1638f7b2-8ccf-4a16-899c-55284043d6a9</t>
  </si>
  <si>
    <t>CI-76694144</t>
  </si>
  <si>
    <t xml:space="preserve">Dalida, Joan Marie </t>
  </si>
  <si>
    <t xml:space="preserve">Dispute overturned. Per recovery review, claim needs to be reprocessed as lines 1 and 2 is not recoverable and line 3 when applied with multiple surgery reduction has $101.64 allowed less 50% = $50.82 new allowed. </t>
  </si>
  <si>
    <t>8ce5787a-afa8-49d1-adcb-576d8be2c11c</t>
  </si>
  <si>
    <t>CI-76602722</t>
  </si>
  <si>
    <t>Overturn as per provider audit response under FDOC# 7135645655</t>
  </si>
  <si>
    <t>Completed 7/17/2026</t>
  </si>
  <si>
    <t>4670b68d-0e99-46b6-81dd-b5c83e1e3421</t>
  </si>
  <si>
    <t>CI-76715300</t>
  </si>
  <si>
    <t>Reversing claim. Claim was submitted within the filing limit of 180 days.</t>
  </si>
  <si>
    <t>Okay to adjust (POTF MLH# 2026168RH5328)</t>
  </si>
  <si>
    <t>55ae4798-f062-47f2-88ae-1f7ef8991c0c</t>
  </si>
  <si>
    <t>CI-76727857</t>
  </si>
  <si>
    <t>POTFL attched transaction EOB, submitted to primary first before anthem</t>
  </si>
  <si>
    <t>Rejected - UHC denied eob date 11/15/24 and receipt date is 04/19/2025 which is outside of tfl days of 90days</t>
  </si>
  <si>
    <t>34e604a3-497e-4bee-8c64-b9ca55a56078</t>
  </si>
  <si>
    <t>CI-76728104</t>
  </si>
  <si>
    <t>POTFL, appealing that NOC from workers comp was 11/2025</t>
  </si>
  <si>
    <t>1938487e-725e-46c7-95b3-b2efd0176bd1</t>
  </si>
  <si>
    <t>CI-76727430</t>
  </si>
  <si>
    <t xml:space="preserve">Provider submitted an EOB  that is within the filing limit of 180 days. Refer to MLH #2026168R71499. </t>
  </si>
  <si>
    <t>81997e80-c1f8-4063-90b4-ce6d3c778c70</t>
  </si>
  <si>
    <t>CI-76727984</t>
  </si>
  <si>
    <t>Overturned, retired concept. adjusted after the retirement date</t>
  </si>
  <si>
    <t>627bb1e2-12e4-453c-882a-5c6f901db866</t>
  </si>
  <si>
    <t>CI-76724131</t>
  </si>
  <si>
    <t>Gacgacao Maria Fe</t>
  </si>
  <si>
    <t>Reversing claim per Procedure code 20680 CO_SURG_IND is "0" under CMS Physician Fee Schedule grid, with medical records under MLH 26140E0100093. Case# CI-76724131  | 07/15/2026 | AL66317 | MGACGACAO | Recovery Disputes.</t>
  </si>
  <si>
    <t>RI-PI</t>
  </si>
  <si>
    <t>a085ef67-11d7-4291-b990-fe09d4555f7c</t>
  </si>
  <si>
    <t>CI-76665759</t>
  </si>
  <si>
    <t xml:space="preserve">Reversing claim per provider audit review. Claim needs to be reprocessed as per audit response, Partially Upheld - Documentation supports 15 units; explanted items do not meet the implant policy definition. Line 2/UNK/$4024.35 new allowed amount. Provider Audit response in FDOC # 7137626980. For reversal approval. </t>
  </si>
  <si>
    <t>cc55dcf0-05ae-4916-a20e-ee862c139874</t>
  </si>
  <si>
    <t>CI-77982158</t>
  </si>
  <si>
    <t xml:space="preserve">Reversing claim per B1235-X7, step 4, with CEO escalation on file, related CI-75304497 with description, internal escalations  | CI-77982158 | 07/15/2026 | |AH89140 | AFEJER | Recovery Disputes
</t>
  </si>
  <si>
    <t>32f93595-2cd5-4712-ac5f-cf1636176b74</t>
  </si>
  <si>
    <t xml:space="preserve">CI-77982155
</t>
  </si>
  <si>
    <t xml:space="preserve">Overturn&gt; per checking there is a benefit for Chiropractic Manipulative Treatment CMT Spinal , since POS is Office and can't be found , we can use Unless otherwise with y100y 20 Limit </t>
  </si>
  <si>
    <t xml:space="preserve"> Okay to adjust </t>
  </si>
  <si>
    <t>Not Completed but no longer on dashboard</t>
  </si>
  <si>
    <t>bff50ab0-1b6f-4fb3-ad94-ea25620d9fcc</t>
  </si>
  <si>
    <t xml:space="preserve">
CI-76649218
</t>
  </si>
  <si>
    <t>Dispute overturned. Claim was received within the timely filing limit of 90 days. Claim's received date was 04/23/2025. Retraction date was 
04/10/2025. There's an attached valid proof of timely filing under MLH:2026167RH2185 Page 6.</t>
  </si>
  <si>
    <t>c2ee67b2-848c-4e20-a484-84dcd3ae917a</t>
  </si>
  <si>
    <t>CI-76769718</t>
  </si>
  <si>
    <t>Reversing claim. Duplicate claim 2026078CM4091 is already voided.</t>
  </si>
  <si>
    <t>fa61d5a5-946c-4517-b37e-9dbf13aa4319</t>
  </si>
  <si>
    <t>CI-76776101</t>
  </si>
  <si>
    <t>Pof tl submitted(records from clearing house)</t>
  </si>
  <si>
    <t>d8a7af57-3a32-4e74-abbf-c5d3a2ecd192</t>
  </si>
  <si>
    <t>CI-76658391</t>
  </si>
  <si>
    <t>Overturned per PA response on. FDOC #7139654054</t>
  </si>
  <si>
    <t>e7506bfd-0ed1-458e-b0c7-055d77f32924</t>
  </si>
  <si>
    <t>CI-77982154</t>
  </si>
  <si>
    <t>Dispute overturned, Claim denied incorrectly per B1235-X7 EMO edit, reviewed by recovery and benefits show no policy exclusion for the service.</t>
  </si>
  <si>
    <t>6ab528a1-285b-4b95-a41b-ca251e1d2eb6</t>
  </si>
  <si>
    <t>CI-76781662</t>
  </si>
  <si>
    <t>Claim needs to be reprocessed as per recovery review, Concept B446, Procedure code 0443U is not listed under B446 Master List Custom and B447 Master List.</t>
  </si>
  <si>
    <t>Completed w/ms leah 7/20/2026</t>
  </si>
  <si>
    <t>092be24d-79d1-4142-90f5-87da01f7d65a</t>
  </si>
  <si>
    <t>CI-76783455</t>
  </si>
  <si>
    <t xml:space="preserve"> As per recovery review, procedure code 0443U is not listed on B446 and B447 Master list grid therefore this procedure code 0443U needs to be paid. Thank you.</t>
  </si>
  <si>
    <t>56282fe7-4761-433d-ae8d-9a73597b46b7</t>
  </si>
  <si>
    <t xml:space="preserve">CI-76783914 </t>
  </si>
  <si>
    <t>Completed 07/19/2026</t>
  </si>
  <si>
    <t>9da0b311-76ca-4205-b212-acc5ab5ebaae</t>
  </si>
  <si>
    <t>CI-76806267</t>
  </si>
  <si>
    <t xml:space="preserve">As per recovery review. The claim recovery is invalid. Per concept C11-S666-59-B-X1 Duplicate Facility Medicaid Reclamation, step 2 there are no camera reel H1-H9, SA-SZ, ZA-ZZ OR HPD edit both recoverable and cross reference claim. No further validation required.   </t>
  </si>
  <si>
    <t>Rejected - Incorrect concept. Please review again CI again.</t>
  </si>
  <si>
    <t>Resolved- Upheld</t>
  </si>
  <si>
    <t>18cfce21-33a4-4f6c-b31f-a1ec9d8113d5</t>
  </si>
  <si>
    <t>CI-76772782</t>
  </si>
  <si>
    <t>Reversing claim per review. Initially, the claim was submitted with different member ID. The date on the EOB under MLH 2026169A51073 is 01/29/2025 and claim was received by Anthem on 02/17/2025. Claim was received within the timely filing limit of 90 days.</t>
  </si>
  <si>
    <t>POTF can be use for reversal. Kindly look for an approved auth for 7 and 8 due to PAM edit.</t>
  </si>
  <si>
    <t>63d927b5-b59e-4892-8d7c-40f248000c2c</t>
  </si>
  <si>
    <t xml:space="preserve">As per recovery review, line19 was denied and line23 allowed amount mismatch as per standalone. </t>
  </si>
  <si>
    <t>ACLOSE-PNJ Edit trigger</t>
  </si>
  <si>
    <t>fb484c8c-36db-4c6a-9355-4f3a16e39c56</t>
  </si>
  <si>
    <t>CI-76811600</t>
  </si>
  <si>
    <t>As per recovery review, Exclude procedure code 95941 when billed with TAXID 813972564 start of DOS is &gt;=11/01/2024 for GA state</t>
  </si>
  <si>
    <t>Upheld- Claim was processed correctly.</t>
  </si>
  <si>
    <t>Complete 7/20/2026</t>
  </si>
  <si>
    <t>19839025-9583-4bae-976c-6e62c5cdd710</t>
  </si>
  <si>
    <t>CI-76816066</t>
  </si>
  <si>
    <t>Espinas, jayson Dave</t>
  </si>
  <si>
    <t>CORRECT ALLOWED AMOUNT IS $3058.52</t>
  </si>
  <si>
    <t>0ec1a61e-4e94-446a-a075-3c8f916b7645</t>
  </si>
  <si>
    <t>CI-76819696</t>
  </si>
  <si>
    <t>Reversing claim per B446-X13, CPT 0443U is not present on both 446 and 447 master GRID list and should not be recovered | CI-76819696 | 07/17/2026 | |AH89140 | AFEJER | Recovery Disputes</t>
  </si>
  <si>
    <t>79b95005-fce0-46b0-80b3-1eb89a68ed24</t>
  </si>
  <si>
    <t>CI-76796201</t>
  </si>
  <si>
    <t>Dispute overturned. Claim needs to be reprocessed as per recovery review. Procedure code 27632 doesn't have modifiers listed on step 4 of C36-S301-59-B-X2 concept. Suter claim</t>
  </si>
  <si>
    <t>Kindly initiate another review modifier 78 is in P&amp;P step 4 bullet 2.</t>
  </si>
  <si>
    <t>b88bc648-9eb0-46e5-909b-ce10fc448d93</t>
  </si>
  <si>
    <t>CI-76819691</t>
  </si>
  <si>
    <t>Reviewed by recovery, Reversing claim per B446-X13, CPT 0443U is not present on both B446 and B447 master GRID list and should not be recovered</t>
  </si>
  <si>
    <t>530e7716-037e-401d-8335-6bea3bcdb7dd</t>
  </si>
  <si>
    <t>Claim needs to be reprocess. Line 6, revenue code 278 can be billed as implant. documentation received on appeal supports Implants billed. FDOC# 7143185623</t>
  </si>
  <si>
    <t>c9569baa-e48b-4e02-a973-18fc57cbe933</t>
  </si>
  <si>
    <t>CI-76896595</t>
  </si>
  <si>
    <t xml:space="preserve">Claim needs to be reprocessed as per recovery review, allowable amount should be $2,570.82. </t>
  </si>
  <si>
    <t>3ff4e8d5-f967-4f59-a957-0434812a37dc</t>
  </si>
  <si>
    <t xml:space="preserve">
Dispute overturned. Reviewed by recovery and determined claim needs to be reprocessed. As per Step 6 of C34-S609-59-B-X1-V2 note "If recoverable claim is outpatient and there is a voided inpatient claim found in history, DO NOT RECOVER" . Review of history claim and found a voided inpatient claim under DCN  2023101CW9208 which was submitted within timely filing limit of 180 days. 
</t>
  </si>
  <si>
    <t>SME sent email for clairification due to RTP edit</t>
  </si>
  <si>
    <t>cfc4e4db-327c-4888-aec5-e6f5a5775550</t>
  </si>
  <si>
    <t>CI-76760455</t>
  </si>
  <si>
    <t>49bc3d6b-8647-4537-8266-4a4441f51982</t>
  </si>
  <si>
    <t>CI-76673105 </t>
  </si>
  <si>
    <t>CCA Audit Overturned | Fdoc 7143202709
Original documentation submitted supports the implant charges billed.</t>
  </si>
  <si>
    <t>62343186-7523-4e58-91c9-13295ff4c749</t>
  </si>
  <si>
    <t>CI-76817027</t>
  </si>
  <si>
    <t xml:space="preserve">Per concept B446-X24's criteria under step 3 scenario 1, CPT 0443U code is not listed on B446 grid. </t>
  </si>
  <si>
    <t>3069f50b-7423-463c-ad1e-90e389321a68</t>
  </si>
  <si>
    <t>CI-74942870</t>
  </si>
  <si>
    <t>Nido, Brent</t>
  </si>
  <si>
    <t>a54b53ee-8764-43b2-9d02-13ac1c4c0f19</t>
  </si>
  <si>
    <t xml:space="preserve">
CI-76838475</t>
  </si>
  <si>
    <t>Dispute overturned. Reviewed by recovery we determined claim needs to be reprocessed as per concept C26-S156-59-B-X2's criteria for procedure codes 30465 and 61782, if Asst Surg indicator shows ""0"" and medical records are present, do not recover. Please see attached medical records on MLH 2026171A50347</t>
  </si>
  <si>
    <t>d6aaf319-86c3-45b8-8650-1c5902b871a6</t>
  </si>
  <si>
    <t xml:space="preserve">CI-76686872
</t>
  </si>
  <si>
    <t xml:space="preserve">Per PA review for Partial Overturn,
Implants are to pay invoice cost plus 5% per contract
Invoice cost of 876.00 plus 5% = 919.80
Please adjust this line to allow 919.80
FDOC#: 7143371580 </t>
  </si>
  <si>
    <t>16fc38a1-9301-4160-9ce3-5ddc96c3a01c</t>
  </si>
  <si>
    <t>CI-76662440</t>
  </si>
  <si>
    <t xml:space="preserve">Per PA review for Overturned,
Documentation supports charges billed.
FDOC#: 7143377607 
</t>
  </si>
  <si>
    <t>003565d9-d0dd-4319-b202-8c50533dd865</t>
  </si>
  <si>
    <t>Dispute overturned. Claim needs to be reprocessed as per recovery reviewed due to procedure code 	
28750 with MAI indicator 0 was billed with the appropriate modifier (AS) and is allowed to be billed as assistant surgeon. Medical Records under MLH# 2026154RH2937.</t>
  </si>
  <si>
    <t>32b5ea6c-0988-4f9e-aa02-46d9fd3ff4f2</t>
  </si>
  <si>
    <t>CI-76746302</t>
  </si>
  <si>
    <t>As per PA review partially upheld for revenue code 278 documentation supports 3 implants; Mynx and PICC lines do not meet the implant definition. FDOC# 7145145718.</t>
  </si>
  <si>
    <t>28e750fe-6d21-48f8-9140-fb82e125ae8d</t>
  </si>
  <si>
    <t>CI-76694639</t>
  </si>
  <si>
    <t xml:space="preserve">Reversing claim per provider audit review. Claim to be allowed at contracted rate and is supported by the documentation under MLH# 2026168B90444. Please see FDOC# 7145155058 </t>
  </si>
  <si>
    <t>31d2afdc-dd02-4e20-88ee-cbde96e7abc5</t>
  </si>
  <si>
    <t>CI-76914999</t>
  </si>
  <si>
    <t xml:space="preserve">
Dispute overturned. 
As per C11-S288-59-B-X5_Duplicate Professional-Same Provider review, Step 4 Does your recoverable and XREF have same following criteria? If NO - No further validation required. Recoverable claim 2025078CM9290 and XREF claim  2025042CU1970 doesn't meet the Step 4 P&amp;P criteria for recovery. XREF DOS  is 01/12/2025 - 02/09/2025 while recoverable claim DOS is 02/10/2025-03/11/2025. Claim can't be considered as duplicate as dOS is not the same not it overlaps.
</t>
  </si>
  <si>
    <t>Partial overturn (overlapping days, duplicate dos is 2/10/2025. kindly open the claim both recoverable and cross reference claim in WCF.) Please pay $157.18.</t>
  </si>
  <si>
    <t>Completed 7/28/2026</t>
  </si>
  <si>
    <t>89a830fa-9066-4a55-871c-ddd4b1b7ccdc</t>
  </si>
  <si>
    <t>CI-76920543</t>
  </si>
  <si>
    <t xml:space="preserve">Overturn&gt; line 4 falls on exclusion to recover on Step 4 cpt CODE 88305 with DOS 032023. </t>
  </si>
  <si>
    <t>d9bcbdc8-8812-45b0-963c-8d5f29417498</t>
  </si>
  <si>
    <t>CI-76924879</t>
  </si>
  <si>
    <t xml:space="preserve">Overturn&gt;new allowed amount is $1,836.78. But the Claim was recovered in full. </t>
  </si>
  <si>
    <t>Completed-Routed to KRN Basket</t>
  </si>
  <si>
    <t>03feb546-c7a7-414e-8a14-c7bb327c9b4c</t>
  </si>
  <si>
    <t>CI-76932702</t>
  </si>
  <si>
    <t>Claim needs to be reprocess. per NST EN03EB allowed amount is 2000 per DME anthem only paid $1,039 + $600 coins and under paid at $361. please reprocess for correct pricing</t>
  </si>
  <si>
    <t>Upheld. Claim was priced correctly after following step 7 bullet 2. Total allowed is $1,639.00</t>
  </si>
  <si>
    <t>Resolved - Completed</t>
  </si>
  <si>
    <t>c962cc53-a933-49c7-81c0-654cea4ae994</t>
  </si>
  <si>
    <t>CI-76936822</t>
  </si>
  <si>
    <t xml:space="preserve">oVERTURN&gt;Corrected Claim was not reflected on Original Claim. </t>
  </si>
  <si>
    <t>RTO Corrected process should apply to reference claim reflecting handled claim.</t>
  </si>
  <si>
    <t>0e4f0146-34e0-4422-8a5d-e3e2d66c11f4</t>
  </si>
  <si>
    <t>CI-76907443</t>
  </si>
  <si>
    <t xml:space="preserve"> Per review, the CLIA number has " D” in the 3rd position of the CLIA number. 
</t>
  </si>
  <si>
    <t>fb0f3db9-ad30-47cc-8a57-5478614d2039</t>
  </si>
  <si>
    <t>CI-76939394</t>
  </si>
  <si>
    <t xml:space="preserve">
Dispute overturn
As per B5562-X20 or C6-S266-59-B-X1 review of Step 3 - Do the recoverable clam/claim line(s) identified from step 2 fall under one of the exclusions below? Recoverable claim line 99233 mod 25 with modifier = 1 in PTP grid,  falls in  exclusion ""Claim line(s) on the Recoverable and/or Xref with any of the following modifiers in any position: 24, 25, 57, 58, 59, 78, 79, 91, XS, XP, XE, XU, E1-E4, F1-F9, FA, LC, LD, LM, LT, RC, RI, RT, T1-T9, or TA and the MODIFIER column (F) = 1 on the Practitioner PTP Edits grid. "" If YES - No further validation required.  
</t>
  </si>
  <si>
    <t>ITS host claim. Please follow its workflow.</t>
  </si>
  <si>
    <t>Completed 7/22/2026</t>
  </si>
  <si>
    <t>a4303a68-a682-41e0-b04d-d0beaa8d2fba</t>
  </si>
  <si>
    <t>CI-76949703</t>
  </si>
  <si>
    <t>As per recovery review under concept C6-S266-59-B-X1, in step2 CPT code 99213 not listed between the NOT_PAY_START_CPT and NOT_PAY_END_CP under CPT code 58301 HLTH_SRVC_CD_FROM column. No further validation is required.</t>
  </si>
  <si>
    <t>Upheld proc code 99213 is found under column D(NOT_PAY_START_CPT)</t>
  </si>
  <si>
    <t>4597dd15-5e75-4b58-a129-19fedf16cca1</t>
  </si>
  <si>
    <t xml:space="preserve">CI-76950099
</t>
  </si>
  <si>
    <t xml:space="preserve">Per concept B1653-X2 review, 
CPT code 00812 has modifier AA per back up under MLH#: 2026173A91333
</t>
  </si>
  <si>
    <t>RTO this will fall under corrected process per MLH 2026173A91333 page 4 the claim form has mod AA that needs to be added first.</t>
  </si>
  <si>
    <t>bc530640-0ace-421a-a0ec-a5c831068db1</t>
  </si>
  <si>
    <t>CI-76831413</t>
  </si>
  <si>
    <t>Per Provider audit determination: Overturned- Claim line 3 HCPCS C1713 Additional documentation received.  Repayment amount $508.41.  Screws x2 implanted. FDOC#: 7147406307.</t>
  </si>
  <si>
    <t>be9748ad-8b5d-47e4-85b5-8022ef27110b</t>
  </si>
  <si>
    <t xml:space="preserve">
CI-76742835</t>
  </si>
  <si>
    <t>Per Provider Audit Determination&gt;Overturn-MEDICAL RECORDS SENT IN SUPPORTS 210MG OF DRUG J9228 ADMINSITERED TO PATIENT AND 40 UNITS OF WASTE. 250 UNITS BILLED ON CLAIM LINE 03 IS APPROPRIATE. FDOC#7147598963</t>
  </si>
  <si>
    <t>cc87f86c-b7f5-4303-8fc3-ee1aefd66d50</t>
  </si>
  <si>
    <t>CI-76789053</t>
  </si>
  <si>
    <t>Provider Audit Reviewed Documentation supports the implants billed, including the Tightrope Internal Brace, Tightrope FiberTag, FiberStitch, SwiveLock, LoopLink Suture Tape, AlloSync Pure BioSurge, and FiberTak implants. However, the amnion cord membrane matrix tissue does not meet the implant definition and is not separately reimbursable. Per CNTW86 B Implants - OP/I IRF001, reimbursement is limited to 33.31% of covered billed charges; therefore, the tissue cost is not eligible for separate implant reimbursement. FDOC# 7147504096</t>
  </si>
  <si>
    <t>283afc03-3a19-47ab-a509-e88760d50a94</t>
  </si>
  <si>
    <t>CI-76973380</t>
  </si>
  <si>
    <t xml:space="preserve">	
Dispute overturned. As per concept B7536X1 drug administration codes paying when associated drug charge denied. Reference claim 2025259FM2426 was overturned and paying. Please review and reprocess.</t>
  </si>
  <si>
    <t>febdddcb-ce05-47fe-8a23-3280b8f2c171</t>
  </si>
  <si>
    <t>CI-76974906</t>
  </si>
  <si>
    <t xml:space="preserve">Dispute overturned. Claim needs to be reprocessed for cpt code 00126 (claim line 1) as per recovery review due to claim's tax ID 200044124 is included in exclusion criteria for B1653-X2 concept.
</t>
  </si>
  <si>
    <t>dff12658-3722-4e12-90cd-adb1d3c0363b</t>
  </si>
  <si>
    <t>CI-76868929</t>
  </si>
  <si>
    <t>Overturned per PA response on FDOC#7147603729</t>
  </si>
  <si>
    <t>83679ab9-7d22-48df-9028-543c00ff201e</t>
  </si>
  <si>
    <t>CI-76978038</t>
  </si>
  <si>
    <t>As per recovery review, procedure code 0443U is not listed on B446 and B447 Master list grid therefore this procedure code 0443U needs to be paid. Thank you.</t>
  </si>
  <si>
    <t>7071abd9-b561-4b5b-8d0b-8de0f0ab164c</t>
  </si>
  <si>
    <t>CI-76982714</t>
  </si>
  <si>
    <t>Claim needs to reprocess as per recovery reviewed C26-S156-59-B-X2 concept with medical records for assistant surgeon payment indicator is 0. Medical records are attached to the claim's inquiry MLH # 2026174RH1605. Thank you.</t>
  </si>
  <si>
    <t>96b39231-4c9c-441a-a7fa-a74d150d2edd</t>
  </si>
  <si>
    <t>CI-76967761</t>
  </si>
  <si>
    <t>Reversing claim per review. Per B7536's criteria, the associated drug code J1568 has been processed and paid under reference claim 25230ES0622. Therefore, no recoupment should be made for CPT codes 99601 and 99602.</t>
  </si>
  <si>
    <t>8aed49f7-0de4-483f-98ae-1642a622545b</t>
  </si>
  <si>
    <t>CI-76988258</t>
  </si>
  <si>
    <t xml:space="preserve">There is no Rekey Claim found , hence Claim need to Rekey </t>
  </si>
  <si>
    <t>2043f224-1019-45a7-a376-45ed7d441a32</t>
  </si>
  <si>
    <t xml:space="preserve">
CI-76997995</t>
  </si>
  <si>
    <t>Request for claim to be reprocessed since provider submitted the claim within the filing limit of 365 days. DOS is 07/30/2025. Received date is 02/19/2026. Please see proof of timely filing at 2026173RM0088. Denied EOB from another carrier dated 08/26/2025. This is within timely filing.</t>
  </si>
  <si>
    <t>7e193a60-fa09-45fc-ac71-bbd9d836faf6</t>
  </si>
  <si>
    <t>CI-77009317</t>
  </si>
  <si>
    <t>Reversing claim per B446-X13, CPT 0443U is not present on both 446 and 447 master GRID list and should not be recovered | CI-77009317 | 07/21/2026 | |AH89140 | AFEJER | Recovery Disputes</t>
  </si>
  <si>
    <t>bd4c8706-bfc1-41c5-8078-fe2c8bd2be9c</t>
  </si>
  <si>
    <t xml:space="preserve">CI-77011523
</t>
  </si>
  <si>
    <t>"Dispute overturned. Claim was received within the timely filing limit. Claim's checked date is 11/12/2025 with DOS of 10/03/2025. There's an attached valid proof of timely filing under MLH: 2026174A50909 ."</t>
  </si>
  <si>
    <t>POTF is beyond 90 days of TFL.</t>
  </si>
  <si>
    <t>8233e45b-907e-4817-9773-e667c081dd76</t>
  </si>
  <si>
    <t>CI-76739646</t>
  </si>
  <si>
    <t>Per PA response Overturned. 
FDOC# 7147406864
Overturned
Claim #25328EQ9649/Line 5/C1747/$3339.60
Separate reimbursement is appropriate for a Pass-through device with Status H indicator.</t>
  </si>
  <si>
    <t>Completed 07/31/2026</t>
  </si>
  <si>
    <t>e3de8e46-b56c-4877-8efd-9060b5b04539</t>
  </si>
  <si>
    <t>CI-76752721</t>
  </si>
  <si>
    <t xml:space="preserve">
Per PA response Overturned. 
FDOC# 7145047656
Overturned
Okay to allow payment on line 03 only. Our departmental review denied the claim line 03 for max waste. We did not deny any claims lines outside of line 03.  Please repay $957.60 for line 03 only.
</t>
  </si>
  <si>
    <t>Completed 7/23/2026</t>
  </si>
  <si>
    <t>389ae64d-bd1c-4560-a67e-9fc7f446423e</t>
  </si>
  <si>
    <t>CI-76779664</t>
  </si>
  <si>
    <t xml:space="preserve">Dispute overturned. Per recovery review, assistant surgeon procedure codes billed matched the procedure codes billed on the professional primary surgery claim 2025353EU9033. </t>
  </si>
  <si>
    <t>e9a1297d-1caf-4149-a9e2-0382c04866a4</t>
  </si>
  <si>
    <t>CI-78138637</t>
  </si>
  <si>
    <t>Dispute overturned. Claims needs to be reprocessed as per recovery reviewed due to DMO Concept B6473-X7 for procedure code 	
63064 with MAI Indicator 1 and has medical record.</t>
  </si>
  <si>
    <t>11e59e2d-6a69-4407-936c-bb5efae7f3bc</t>
  </si>
  <si>
    <t>CI-76772089</t>
  </si>
  <si>
    <t>Reversing claim per provider audit review. Claim to be allowed at contracted rate and is supported by the documentation under MLH# 2026169A51046. Please see FDOC# 7149700044</t>
  </si>
  <si>
    <t>c10177b7-4028-4132-bb4f-336009941462</t>
  </si>
  <si>
    <t>CI-76833603</t>
  </si>
  <si>
    <t>Per Provider audit determination: Overturned- Claim can be allowed at contracted rate.FDOC#: 7149819068.</t>
  </si>
  <si>
    <t>6cc19b41-a303-41c7-856d-e087cced37f5</t>
  </si>
  <si>
    <t>CI-77013523</t>
  </si>
  <si>
    <t xml:space="preserve">
DISPUTE OVERTURNED:
Claim needs to be reprocessed. Under SPI NOA - line 06 to allow TIN#: 863661185, NPI #: 1073272233  at the INN benefit level.
</t>
  </si>
  <si>
    <t>d0f04293-9175-4732-97c0-098239e104d9</t>
  </si>
  <si>
    <t xml:space="preserve">
CI-76837964</t>
  </si>
  <si>
    <t>Overturned per PA response, Appeal modified for CL 8 HCPCS UNK.  Additional documentation received.  Pls recover 3 units.  Items x3 do not meet implant policy.  Upheld amount $558.50.  Repayment amount $4,752.93. See FDOC 7149917382.</t>
  </si>
  <si>
    <t>e3b09e7a-48ea-4195-935e-5cbefdd897cc</t>
  </si>
  <si>
    <t>CI-76832505</t>
  </si>
  <si>
    <t>PA Determination:   Overturned-Provider limitation. FDOC# 7160398510</t>
  </si>
  <si>
    <t>746bb777-ea71-49c6-a88d-33aa569fdea1</t>
  </si>
  <si>
    <t>CI-77035595</t>
  </si>
  <si>
    <t xml:space="preserve">Dispute overturned As per concept B7849's criteria under Step2, if pricing method for revenue code 762 is not equal to PCT, do not recover. </t>
  </si>
  <si>
    <t>Rico</t>
  </si>
  <si>
    <t>Continue validation to step 3, not for RI for step 2.</t>
  </si>
  <si>
    <t>90200c03-05c4-4ac7-b69e-0ca7e860d77a</t>
  </si>
  <si>
    <t>CI-77040171</t>
  </si>
  <si>
    <t xml:space="preserve">Dispute overturned. As per concept C35-S604-59-B-X2 criteria under step 2, claim without TMR/TM edit should not be recover. </t>
  </si>
  <si>
    <t>Not for RI, for step 2 the TRM edit is present, so need to proceed to step 3, but the Timber reason code for all lines is 00W**, then need to upheld.</t>
  </si>
  <si>
    <t>1e288c84-98e8-4c30-aa97-f18bcf87a096</t>
  </si>
  <si>
    <t>CI-76759087</t>
  </si>
  <si>
    <t xml:space="preserve">xref 2026012CQ0138 with Jcode was paid. as per concept B7536X1 If associated drug charge paid, Do Not Recover </t>
  </si>
  <si>
    <t>5949f44e-0e09-4f3b-89e0-a221b4dec721</t>
  </si>
  <si>
    <t>CI-77008627</t>
  </si>
  <si>
    <t>Overturn&gt;Concept B7536 Step 4 , Reference Procedure code is not listed on the DRUG_CODE_FROM Column (B) of Excel B7536 Drug Administration Codes</t>
  </si>
  <si>
    <t>f62f6c21-6c38-42da-b27d-efe258fd4203</t>
  </si>
  <si>
    <t>CI-77053002</t>
  </si>
  <si>
    <t xml:space="preserve">
DISPUTE OVERTURNED
 C26-S156-59-B-X2 ASSISTANT SURGEON
CPT 24359   ASST_SURG_IND = "0" and provider submitted supporting documentation to prove medical necessity per MLH# 2026175RH2626.  
</t>
  </si>
  <si>
    <t>bfc97205-990d-470e-8021-8dac654d2a09</t>
  </si>
  <si>
    <t>CI-77059386</t>
  </si>
  <si>
    <r>
      <rPr>
        <sz val="11"/>
        <color rgb="FF000000"/>
        <rFont val="Aptos Narrow"/>
        <scheme val="minor"/>
      </rPr>
      <t xml:space="preserve">
DISPUTE OVERTURNED
 C20-S131-59-B-X1 PRE AD
Line 05 Rev Code 0343 is not on the list for recovery criteria on ECM. 
Per Step 8 -ANY Recoverable Claim Diagnosis = Xref Claim Diagnosis (any diagnosis - </t>
    </r>
    <r>
      <rPr>
        <b/>
        <sz val="11"/>
        <color rgb="FF000000"/>
        <rFont val="Aptos Narrow"/>
        <scheme val="minor"/>
      </rPr>
      <t>R188</t>
    </r>
    <r>
      <rPr>
        <sz val="11"/>
        <color rgb="FF000000"/>
        <rFont val="Aptos Narrow"/>
        <scheme val="minor"/>
      </rPr>
      <t xml:space="preserve">)  then Recoverable Claim Lines are those with any of the below Revenue Codes only:  If NO -  No further validation required.
Rev code 0343 is not listed on Anthem Diagnostic Service List.
</t>
    </r>
  </si>
  <si>
    <t>Upheld. Claim was processed correctly, line 5 was originally not paid. Please review.</t>
  </si>
  <si>
    <t>2bad092a-fc14-41b0-ae90-e43ad0f1f275</t>
  </si>
  <si>
    <t>CI-77068660</t>
  </si>
  <si>
    <t>B299 Concept. Dispute overturned. Procedure code 29881 ASST_SURG_IND = "0" and provider  submitted supporting documentation to prove medical necessity per MLH 2026175A51257. Please reprocess. Thank you</t>
  </si>
  <si>
    <t>Completed 07/26/2026</t>
  </si>
  <si>
    <t>a0b1a7df-5533-4d5f-a85f-fec9d3b5761b</t>
  </si>
  <si>
    <t>CI-77069372</t>
  </si>
  <si>
    <t>Reversing claim per C31-S246-59-B-X2 as CPT codes A0425 and A0429 are not on the list to recover | CI-77069372 | 07/22/2026 | |AH89140 | AFEJER | Recovery Disputes</t>
  </si>
  <si>
    <t xml:space="preserve">Upheld. recover claim line(s) billed with A0021- A9999 that are NOT billed with modifiers </t>
  </si>
  <si>
    <t>bb5176b9-0035-4d0a-87ac-6a2da0d02472</t>
  </si>
  <si>
    <t>CI-77070064</t>
  </si>
  <si>
    <t xml:space="preserve">Reversing claim per C35-S406-59-BX2, step 4, CPT code S9359 is on GRID and should be adjusted | CI-77070064 | 07/22/2026 | |AH89140 | AFEJER | Recovery Disputes
</t>
  </si>
  <si>
    <t>Please review no recovery made for line 2 procedure code S9359.</t>
  </si>
  <si>
    <t>4b1c184b-7885-4d5e-8702-b39b91b99e05</t>
  </si>
  <si>
    <t>CI-76760272</t>
  </si>
  <si>
    <t>Claim needs to be reprocessed as per audit response, Partially upheld. The implant policy does not reimburse for non-implants. There are 25 verified implants and there are 3 non-implants. Recovery amount for the non-implants: $7356.64. Total Provider Repayment: $19234.80 Provider Audit response in FDOC # 7150367569. For reversal approval</t>
  </si>
  <si>
    <t>addb7cc2-2083-49f2-a055-3b2d9c14d581</t>
  </si>
  <si>
    <t xml:space="preserve">CI-76833758
</t>
  </si>
  <si>
    <t xml:space="preserve">Per PA review for Overturned,
Claim can be allowed at contracted rate. 
FDOC#: 7150390875 
</t>
  </si>
  <si>
    <t>85ec83be-f296-42cb-8070-e437dddd55bb</t>
  </si>
  <si>
    <t xml:space="preserve">CI-76833941
</t>
  </si>
  <si>
    <t xml:space="preserve">Per PA review for Overturned,
Claim can be allowed at contracted rate. 
FDOC#: 7150390921
</t>
  </si>
  <si>
    <t>a0debd03-63cc-4b80-beec-b7b492b5b4cb</t>
  </si>
  <si>
    <t xml:space="preserve">CI-76813751
</t>
  </si>
  <si>
    <t xml:space="preserve">Per PA review for Overturned,
Claim Line: 2 C1713, 3 C1713
Initial paid amount: $6,003.20
The documentation received on appeal supports Implants billed.
FDOC#: 7150391107 
</t>
  </si>
  <si>
    <t>d6386361-3a4d-4f14-8e26-49349dfba4c9</t>
  </si>
  <si>
    <t>CI-76982032</t>
  </si>
  <si>
    <t>Overturn as per PA review under FDOC# 7150391896</t>
  </si>
  <si>
    <t>Completed 7/27/2026</t>
  </si>
  <si>
    <t>58fefc9f-5db4-4971-acf1-b00264907d3b</t>
  </si>
  <si>
    <t>CI-76945278</t>
  </si>
  <si>
    <t>Per PA review&gt;Overturned Claim #25245EN8906/Line 19/C1771/$965.72
Obtryx II sling x1=1041.47
Language: 33% billed charges with implants billed over $1000 combined reimbursed at cost
Documentation submitted supports the implant charges billed. FDOC# 7152097653.</t>
  </si>
  <si>
    <t>5f85f260-7464-48b8-92ee-57747776ed7b</t>
  </si>
  <si>
    <t> CI-76806936</t>
  </si>
  <si>
    <t>Per PA, Response is Overturned- Add. info received. Able to substantiate billed implants. New allowed amount=$4,282.04 FDOC: 7152207443</t>
  </si>
  <si>
    <t>2e17da82-d468-48f0-a5a4-eb65ad8ca37f</t>
  </si>
  <si>
    <t>CI-77715121</t>
  </si>
  <si>
    <t>Per PA Determination is OVERTURNED. Documentation was submitted to support the billing of C1713 x 12 see response under FDOC: 7152207642</t>
  </si>
  <si>
    <t>bcc625dd-808b-4322-a3ff-403f4bdc4f8d</t>
  </si>
  <si>
    <t xml:space="preserve">CI-77112402 </t>
  </si>
  <si>
    <t xml:space="preserve">Recovery review. After reviewing the claim with the information submitted, we have determined the processing to be incorrect.  The claim does qualify as proof of timely filing. Partial recovery. </t>
  </si>
  <si>
    <t>No POTF attach</t>
  </si>
  <si>
    <t>b6792344-4278-4ade-86cd-e7fac4f3bfbb</t>
  </si>
  <si>
    <t>CI-77123818</t>
  </si>
  <si>
    <t>Recovery reviewed the claim and per findings, TFL is 90 days. Date of service is 04/24/2024 and the received date is 01/03/2025 however, there is a valid POTF found per MLH# 2026176RH6906 (page 3 ),denial letter date on 11/18/20254.</t>
  </si>
  <si>
    <t>fa09560c-e152-4455-9122-a34ab1a6c1eb</t>
  </si>
  <si>
    <t xml:space="preserve">Recovery reviewed the claim and per findings, TFL is 180 days. Date of service is 01/22/2024 and the received date is 04/04/2025 however, there is a valid POTF found per MLH# 2026176RH7774 showing that it was process by other insurance UHC and payment was recovered on 11/27/2025 Please reconsider and reprocess accordingly.
</t>
  </si>
  <si>
    <t>FOD EMAIL SENT</t>
  </si>
  <si>
    <t>ddf7f530-8175-4c74-ba69-1ade3f606ce0</t>
  </si>
  <si>
    <t>CI-76988186</t>
  </si>
  <si>
    <t xml:space="preserve">Dispute overturned. Claim needs to be reprocessed as per recovery reviewed due to the claim was received within the timely filing limit of 15 months as per step 8A of concept C7-S782-59-B-X1. Date of service is 08/09/2023. Claim's received date was 06/21/2024. </t>
  </si>
  <si>
    <t xml:space="preserve">TFL is 180 days, 15 mos only applies to Calpers Non-Par provider only. </t>
  </si>
  <si>
    <t>6048c1c3-2e1c-4cc7-bd8e-b667f6d03321</t>
  </si>
  <si>
    <t>CI-77133514</t>
  </si>
  <si>
    <t xml:space="preserve">As per recovery review, Reference claim 2025240BC6762 billed with revenue code 0360 in line11 and the claims are paying at percent of charge . No further validation required. They are paying correctly allowing at percentage. </t>
  </si>
  <si>
    <t>Per review, it will only fall under exclusion if revenue code 360 is paying at  percent of charge. Kindly check step P&amp;P step 3 under Note*.</t>
  </si>
  <si>
    <t>a041b26f-ff48-441b-856a-566154ff7b84</t>
  </si>
  <si>
    <t>CI-76824957</t>
  </si>
  <si>
    <t>Reversing claim per provider audit review. Partially overturned, Line 7 CPT C1760 with rev code 278 to be allowed and paid at $425.26 and is supported by the documentation under MLH# 2026170RH6107. Please see FDOC# 7155536567</t>
  </si>
  <si>
    <t>c8545edc-5a80-46e5-ab2b-0ca3e60ceb3b</t>
  </si>
  <si>
    <t xml:space="preserve">Claim needs to be reprocessed as per recovery review, allowable amount is for $2089.26. Please reprocess this claim base on the contract rate. </t>
  </si>
  <si>
    <t>b7d5990f-a180-4c27-bb62-bd4014fdc8d3</t>
  </si>
  <si>
    <t>CI-77128520</t>
  </si>
  <si>
    <t>Reversing claim per review. Per B6473's criteria, procedure code 62223 is payable since this service is under co-surgeon indicator 1. This is supported by medical records under MLH 2026176A50748.</t>
  </si>
  <si>
    <t>b06b9b6b-fcaa-4ee4-91ad-28a991f2b1aa</t>
  </si>
  <si>
    <t>CI-77001883</t>
  </si>
  <si>
    <t>Dispute overturned. Recovery reviewed the claim and per findings, TFL is 180 days. Date of service is 05/01/2023 and the received date is 11/28/2023, however, there is a valid POTF found per MLH# 2026174RH4658 showing that it was processed by other insurance MOLINA HEALTHCARE OF OHIO with a recoupment notice on 01/08/2024. Please review and  reprocess. Thank You. For reversal approval</t>
  </si>
  <si>
    <t>40dd1991-0ef2-4cda-a002-f4d13689f7ff</t>
  </si>
  <si>
    <t>CI-76992816</t>
  </si>
  <si>
    <t>Claim needs to be reprocessed as per audit response, Partially upheld. As per PA review. PINS DO NOT MEET IMPLANT POLICY DEFINITION.</t>
  </si>
  <si>
    <t>8cf4518e-687a-437d-9954-b4a66728ac4a</t>
  </si>
  <si>
    <t xml:space="preserve">CI-76680180  </t>
  </si>
  <si>
    <t>Reversing claim per review.   Per provider audit  Procedure code C1713  This is payable as this is supported by the documentation under MLH#2025241EF6352. Case#CI-76699252|07/27/26|AL87804|RizelP|Recovery Disputes.</t>
  </si>
  <si>
    <t>Upheld per PA response FDOC# 7160126199.</t>
  </si>
  <si>
    <t>1c3043d5-a239-46f5-ae46-ea883cf5ad8b</t>
  </si>
  <si>
    <t>CI-77155159</t>
  </si>
  <si>
    <t>Reversing claim per review. Per B-Concept 6473, procedure code 62223 is payable since this service is under co-surgeon indicator 1. This is supported by medical records under MLH 2026143A21200.</t>
  </si>
  <si>
    <t>e49bdc88-6d1c-4509-9353-2eb339857338</t>
  </si>
  <si>
    <t xml:space="preserve">CI-78252183
</t>
  </si>
  <si>
    <t xml:space="preserve">Dispute overturned. Per concept B437, Payment for certain providers services should not exceed the contracted global allowance - Under the Delphi Group global reimbursement agreement. Per checking, reference claim 2025278BH9452 was not paid and denied. </t>
  </si>
  <si>
    <t>a53491ee-0e23-472f-ae75-b348ef1bbaf7</t>
  </si>
  <si>
    <t>CI-77169565</t>
  </si>
  <si>
    <t xml:space="preserve">
Dispute overturned. As per C23-S369-59-B-X1 concept review on ECM,  claim line 03 have pricing/amount under CP pop up. And as per criteria to Exclude Providers with COPPS contract language. Therefore,  line 03 should be reprocessed for payment.
</t>
  </si>
  <si>
    <t>Claim was processed correctly.</t>
  </si>
  <si>
    <t>Completed 8/5/2026</t>
  </si>
  <si>
    <t>cf284a8b-58bd-41b3-a80e-84666b1a4d36</t>
  </si>
  <si>
    <t>CI-77159238</t>
  </si>
  <si>
    <t xml:space="preserve">
Reviewed by recvery and determined claim needs to be reprocessed. As per B6473-X22 concept. CPT  51550 CO_SURG_IND Indicator= "1" and provider submit supporting documentation to prove medical necessity per MLH# 26126E0082226 &amp; 26126E0082236. Please reprocess. Thank you
</t>
  </si>
  <si>
    <t>Completed 7/29/2026</t>
  </si>
  <si>
    <t>738c6e4d-e814-49cf-bc0a-94e37bfbe076</t>
  </si>
  <si>
    <t>CI-77174790</t>
  </si>
  <si>
    <t>Dispute Overturned. Claim need to be reprocessed  as per  DMO concept  B437-X2 for procedure code 00731 need to be paid since the xref claim 2026013EV6273 is already  voided on claim 2026030DK5611.</t>
  </si>
  <si>
    <t>8f51ead9-f111-4218-b3c0-90ff23d31ad9</t>
  </si>
  <si>
    <t xml:space="preserve">Provider Audit/CCA approved overturned. Received email, FDOC #7155830690. Documentation supports charges billed. </t>
  </si>
  <si>
    <t xml:space="preserve">Pending due to FOD edit. </t>
  </si>
  <si>
    <t>15aff0c1-f898-4213-b8e8-98f7a0bc310b</t>
  </si>
  <si>
    <t>CI-77008724</t>
  </si>
  <si>
    <t>Provider Audit/CCA approved overturned. Received email, FDOC # 7155830964. Documentation submitted supports the implant charges billed.</t>
  </si>
  <si>
    <t>Completed 07/29/2026</t>
  </si>
  <si>
    <t>3c6cb193-8fd4-4b6d-b28e-3ba132f5f3f5</t>
  </si>
  <si>
    <t>CI-77080068</t>
  </si>
  <si>
    <t xml:space="preserve">Overturn&gt;Not a duplicate to DCN#24135DK4165 Different Patient name, no medical records attached. </t>
  </si>
  <si>
    <t>34695068-cb7a-4468-91f1-5d6d47aa9a81</t>
  </si>
  <si>
    <t>CI-77188087</t>
  </si>
  <si>
    <t xml:space="preserve">Reversing claim per C35-S429-59-B-X1 due to pricing mismatch, claim allowed is $239.00 while stand alone is $405.14 | CI-77188087 | 07/27/2026 | |AH89140 | AFEJER | Recovery Disputes
</t>
  </si>
  <si>
    <t>a7142b02-b56d-4fd8-ac55-e220166b1e40</t>
  </si>
  <si>
    <t>CI-77242464</t>
  </si>
  <si>
    <t>Reversing claim per DMO B299, CPT 28261 with 0 indicator and with medical record, MLH #2026173RH0053 | CI-77242464 | 07/27/2026 | |AH89140 | AFEJER | Recovery Disputes</t>
  </si>
  <si>
    <t>1a3ab5d8-a0de-46ea-b896-c1ac3f7d2ed5</t>
  </si>
  <si>
    <t>CI-76948592</t>
  </si>
  <si>
    <t>This was reviewed by Provider Audit and the claim documentation submitted supports the implant charges billed. FDOC# 7157523726</t>
  </si>
  <si>
    <t>cde7b463-6142-4efd-9cf9-7107111bbc00</t>
  </si>
  <si>
    <t>CI-76995929</t>
  </si>
  <si>
    <t>This was reviewed by Provider Audit and the claim documentation submitted supports the implant charges billed. FDOC# 7157614862</t>
  </si>
  <si>
    <t>dc3cd4f2-dd1d-47ac-8a46-901d17af0b7b</t>
  </si>
  <si>
    <t>CI-76879994</t>
  </si>
  <si>
    <t>Log to RI Tracker due to Dispute overturned. Claim needs to be reprocessed as per provider audit response claim is overturn able to verify implants billed. FDOC#7157651300.</t>
  </si>
  <si>
    <t>104b0241-5130-4b24-a9ec-819ca47c117a</t>
  </si>
  <si>
    <t>CI-77217971</t>
  </si>
  <si>
    <t>Dispute overturned as per B299 concept. Procedure code 26567 ASST_SURG_IND = "0" and provider  submitted supporting documentation to prove medical necessity per MLH 2026178RH0806. Please reprocess. Thank you</t>
  </si>
  <si>
    <t>764aae75-d056-4120-ae68-e83c5154c217</t>
  </si>
  <si>
    <t>CI-77074242</t>
  </si>
  <si>
    <t xml:space="preserve">	
Log to RI Tracker due to Dispute overturned. Claim needs to be reprocessed as per recovery review, allowable amount is for $216.66 which was already paid correctly prior the adjustment. Please reprocess this claim base on the contract rate.</t>
  </si>
  <si>
    <t>5e9f674f-9eb6-487e-9358-9a9ba22907a4</t>
  </si>
  <si>
    <t>CI-77070905</t>
  </si>
  <si>
    <t xml:space="preserve">	
Log to RI Tracker due to Dispute Overturned. Reviewed by recovery we determined claim needs to be reprocessed as per concept B299's criteria for procedure code 24359, if Asst Surg indicator shows "0" and medical records are present, do not recover. Please review.</t>
  </si>
  <si>
    <t>Okay to adjust med recs under MLH# 2026175RH4954</t>
  </si>
  <si>
    <t>cfc762ed-c3f0-4f70-9cdf-55c647342578</t>
  </si>
  <si>
    <t>CI-77026499</t>
  </si>
  <si>
    <t>Provider disputing that patient did not provide any proof of insurance until 01/14/2025. SEE MLH 2026175B60305.</t>
  </si>
  <si>
    <t>Insufficient POTF no billing history included.</t>
  </si>
  <si>
    <t>7028be60-e9e5-464b-b471-50e2b590d298</t>
  </si>
  <si>
    <t xml:space="preserve">	CI-77023149	</t>
  </si>
  <si>
    <t>Previously reversed, need to pay L1 as well.</t>
  </si>
  <si>
    <t>Claim has been reverse. No adjustment for line 1 procedure code 29882 due to ASST_SURG_IND is "1".</t>
  </si>
  <si>
    <t>8263770c-fa71-4f10-8d2b-edebb1afe77c</t>
  </si>
  <si>
    <t>CI-77234472</t>
  </si>
  <si>
    <t xml:space="preserve">
Dispute overturned. 
B869  X1
CPT 88165  MAI  Indicator= "3" and provider submitted supporting documentation to prove medical necessity per MLH# 2026178RL4459.   
(line 05 was split into 5 and 7 on adjustment and need to pay lline 7 as per concept)
</t>
  </si>
  <si>
    <t>Completed 8/6/2026</t>
  </si>
  <si>
    <t>8d1060e0-cc4b-45a7-818e-5dd43bf0e0bf</t>
  </si>
  <si>
    <t>CI-77217384</t>
  </si>
  <si>
    <t>Dispute overturned as per B299 concept. Procedure code 28810 ASST_SURG_IND = "0" and provider  submitted supporting documentation to prove medical necessity per MLH 2026178RH0975. Please reprocess. Thank you</t>
  </si>
  <si>
    <t>Competed</t>
  </si>
  <si>
    <t>b7c6837c-8cda-46ca-80e9-af0bcac06bfe</t>
  </si>
  <si>
    <t>CI-76822552</t>
  </si>
  <si>
    <t>PA Overturned. FDOC# 7155537334
Partially upheld, documentation received on appeal supports Implants billed on line 12.
Partially upheld, Line 13, C1713 only 1 screw is missing from the log. documentation received on appeal does not support Implants billed. New allowed amount 8,779.42.</t>
  </si>
  <si>
    <t>385a39d0-8573-4aee-8a96-2e91eb59366e</t>
  </si>
  <si>
    <t>CI-77025095</t>
  </si>
  <si>
    <t>Dispute overturned per Provider audit determination: Overturned for claim line 5 cpt C1889. Documentation supports implants billed. Total Provider Repayment: $3804.95. See Provider audit response. FDOC#7160021524</t>
  </si>
  <si>
    <t>80b22da9-657d-4efc-921e-fb9a03f73e3e</t>
  </si>
  <si>
    <t>CI-77030086</t>
  </si>
  <si>
    <t>Dispute overturned per Provider audit determination: Overturned for claim line 6 cpt C1713. Documentation supports implant billed. Total Provider Repayment: $429.00. See Provider audit response. FDOC# 7160023735</t>
  </si>
  <si>
    <t>aa2c2645-7989-40bf-a048-38bbc1d0de96</t>
  </si>
  <si>
    <t>CI-76623198</t>
  </si>
  <si>
    <t xml:space="preserve">
As per PA response FDOC# 7159978833
Overturned line 3, UNK, documentation received on appeal supports billed charges. -  $73,755.41
</t>
  </si>
  <si>
    <t>Pending High Dollar review 08/02/2026</t>
  </si>
  <si>
    <t>ebeb8e3d-bd23-4fff-8972-f58bd382496e</t>
  </si>
  <si>
    <t>CI-75974227</t>
  </si>
  <si>
    <t xml:space="preserve">
As per PA response FDOC# 7157517533
Partially Upheld. Documentation supports 3 of the 4 billed implant units. $958.93 new allowed amount
</t>
  </si>
  <si>
    <t>1b26bab8-600b-43a5-aade-8cd7a9db330e</t>
  </si>
  <si>
    <t xml:space="preserve">
As per PA response FDOC# 7157517757
Overturned. Documentation submitted supports the implant charges billed.$73996.20
</t>
  </si>
  <si>
    <t>Pending High Dollar Review - 7/31/2026</t>
  </si>
  <si>
    <t>e4faad67-b940-4486-981f-98fd5d8f2af7</t>
  </si>
  <si>
    <t>Concept: B299 | Code 19342 with ASST_SURG_IND = 0 and provider submitted medical records under MLH 2026180R70967.</t>
  </si>
  <si>
    <t>b2e085d5-cc78-4111-ac4e-08dea1e67ce5</t>
  </si>
  <si>
    <t>CI-77292184</t>
  </si>
  <si>
    <t>Concept: B6473 | Code 62223 with CO_SURG_IND = 1 and provider submitted medical records under MLH 2026180R70952.</t>
  </si>
  <si>
    <t>8c401b7d-a9b6-4884-abba-687cc437c1e1</t>
  </si>
  <si>
    <t>CI-78115207</t>
  </si>
  <si>
    <t>Concept : B9 | Both Diagnosis code S46011A and M25511 per B9 lateral Dx grid are billed with the correct mod code RT.</t>
  </si>
  <si>
    <t>Kernel claim. Please review, Claim was reprocessed due to corrected billing claim 2026154DW4235, reason why modifier from line 1 change from LT to RT.</t>
  </si>
  <si>
    <t>383b7ca1-a1d6-448a-8a90-acc774cb91e3</t>
  </si>
  <si>
    <t>CI-77292887</t>
  </si>
  <si>
    <t>Concept: B6473 | Code 62223 with CO_SURG_IND = 1 and provider submitted medical records under MLH 2026180R71117.</t>
  </si>
  <si>
    <t>ca8bdf0e-1bd5-4d5a-8aee-e3911ce787c7</t>
  </si>
  <si>
    <t xml:space="preserve">
Dispute overturned. As per B6485-X1 concept review,  Step 4 - an approved authorization is found under UM84689225. CPT 97112, 97110, 97530, 97140 is found under parent code 97110  of  AIM Procedure Codes  grid.
Per ECM review, Exclude if approved auth on file matching claim line within approved auth date range OR within 30 days of DOS when auth is open ended. UM84689225
</t>
  </si>
  <si>
    <t>Completed w/ Miss Leah 8/14/2026</t>
  </si>
  <si>
    <t>95dbe835-9d8f-4982-ad37-56d24a64ee07</t>
  </si>
  <si>
    <t>CI-76991995</t>
  </si>
  <si>
    <t>Documentation supports implants billed. See PA response at FDOC 7160177369</t>
  </si>
  <si>
    <t>bc89a97b-4c6b-460d-af32-a2496e4f30e4</t>
  </si>
  <si>
    <t xml:space="preserve">
CI-76944128
</t>
  </si>
  <si>
    <t xml:space="preserve">Documentation was provided and does support charges billed. See FDOC 7160180438. </t>
  </si>
  <si>
    <t>cf388248-5f47-49c2-afba-413632c34271</t>
  </si>
  <si>
    <t>CI-77009733</t>
  </si>
  <si>
    <t>As per PA response. PARTIALLY OVERTURNED - Add. Info Received. Able to substantiate 1 unit as an implant.
278/UNK x1 unit now allowed; NEW ALLOWED AMOUNT=$566.28
REMAINS DENIED: 278/UNK x1 unit; $5.72. FDOC#  7164682309.</t>
  </si>
  <si>
    <t>8d207147-340e-4fa5-9f9b-c5f44e6327c2</t>
  </si>
  <si>
    <t>CI-77314492</t>
  </si>
  <si>
    <t xml:space="preserve">	
Dispute overturned. Reviewed by recovery we determined claim needs to be reprocessed as per concept B6473's criteria for procedure code 50544, if Co Surg indicator shows ""1"" and medical records are present, do not recover. Medical record is under MLH 2026181RL1112.</t>
  </si>
  <si>
    <t>c80c459e-b4af-4f90-9230-50223ce0e10e</t>
  </si>
  <si>
    <t>CI-77299311</t>
  </si>
  <si>
    <t xml:space="preserve">Dispute overturned. Recovery review, claim needs to be reprocessed as claim has a pricing allowed amount of $216.66. Please reprocess this claim based on the contract rate. </t>
  </si>
  <si>
    <t>4a584cab-e33c-4057-83e1-bcd870cc702e</t>
  </si>
  <si>
    <t>CI-77328258</t>
  </si>
  <si>
    <t>Dispute Overturned. Recovery Review, Claim need to be reprocessed as claim has a pricing allowed amount of $3266.40. Based on the contract rate.</t>
  </si>
  <si>
    <t>Claim was processed correctly Coins $326.63 + MMpay 2,939.77 = Total allowed $3,266.40</t>
  </si>
  <si>
    <t>a6a1155e-d1f9-417a-9065-f8a0343ba4ad</t>
  </si>
  <si>
    <t>CI-77317467</t>
  </si>
  <si>
    <t>Dispute Overturned. Recovery Review, Claim need to be reprocessed. Valid due to claim billed correct service address.</t>
  </si>
  <si>
    <t xml:space="preserve">Claim was processed correctly. Per review, provider address didn't match please see claim image box 95. Address listed was: 15 Lund Rd Saco ME 040721806 which is not included in LD1533 Maine Facility NPI Grid .
</t>
  </si>
  <si>
    <t>ed56d47d-fde1-4f18-b5c8-54114e4c833c</t>
  </si>
  <si>
    <t xml:space="preserve">CI-76699252
</t>
  </si>
  <si>
    <t>Reversing claim per review.  Per provider audit  Procedure code C1713  This is payable as this is supported by the documentation under MLH#2026168A70169. Fdoc num:CI-76699252 Case#CI-7162516146|07/27/26|AL87804|RizelP|Recovery Disputes.</t>
  </si>
  <si>
    <t>01df0307-79ef-4f67-bdd4-dc7660a89f75</t>
  </si>
  <si>
    <t>CI-77330641</t>
  </si>
  <si>
    <t>Concept: B299 | Code 15839 with ASST_SURG_IND = 0 and provider submitted medical records under MLH 2026181R70660.</t>
  </si>
  <si>
    <t>4636c509-b62b-4357-8c5a-fd67b38db3ae</t>
  </si>
  <si>
    <t xml:space="preserve">
CI-77335590</t>
  </si>
  <si>
    <t>Overturn&gt;There is a Valid POTF attached dated 12/29/25 , Received Date is 03/24/2026 and is within 120 TFL Days as per Concept  C7-S781-59-B-X1 DATA SCIENCE FACILITY TIMELY FILING.</t>
  </si>
  <si>
    <t>3a680b5b-68f7-4c74-b419-4ad291b10dc0</t>
  </si>
  <si>
    <t>CI-77215550</t>
  </si>
  <si>
    <t xml:space="preserve">Claim lines 3-10 is within the filing limit of 180 days. </t>
  </si>
  <si>
    <t>Okay to adjust line 4-10</t>
  </si>
  <si>
    <t>1d7ebade-fa12-4bd5-ab7c-6654b38bf30c</t>
  </si>
  <si>
    <t xml:space="preserve">CI-77341673
</t>
  </si>
  <si>
    <t>Recovery reviewed and we identified claim needs to be reprocess (procedure code 29881) as per concept criteria, if Asst Surg indicator shows "0" and medical records are present. do not recover.</t>
  </si>
  <si>
    <t xml:space="preserve">No medical records attach </t>
  </si>
  <si>
    <t>d8b0eaf1-bac3-4c84-a819-d9d166027dec</t>
  </si>
  <si>
    <t>CI-77342121</t>
  </si>
  <si>
    <t xml:space="preserve">Claim is within the filing limit of 365 days and Provider submitted EOB that is within the TFL. Refer to MLH #
2026181RH6276. </t>
  </si>
  <si>
    <t>Denied EOB is your handled claim</t>
  </si>
  <si>
    <t>2eb2e96e-5725-40a9-acc8-0bee0ade32f7</t>
  </si>
  <si>
    <t>CI-77094026</t>
  </si>
  <si>
    <t>As per PA review for procedure code C1776 additional documentation received. Total shoulder replacement components implanted. FDOC# 7162144736.</t>
  </si>
  <si>
    <t>4210bba9-c466-4739-924c-fe1f6e2f2fcf</t>
  </si>
  <si>
    <t>CI-77082215</t>
  </si>
  <si>
    <t xml:space="preserve">Dispute overturned. Recovery reviewed the claim and per findings, TFL is 180 days. Date of service is 12/07/2023 and the received date is 06/07/2024 however, there is a valid POTF found per MLH# 2026176A50266 showing that it was processed by other insurance - Buckeye Community Health Plan with denied date 07/02/2024. </t>
  </si>
  <si>
    <t>9caa93e4-ee60-4219-b246-59e65de8c09a</t>
  </si>
  <si>
    <t>CI-76011745</t>
  </si>
  <si>
    <t>This was reviewed by Provider Audit and the claim documentation submitted supports the implant charges billed. FDOC# 7162224284</t>
  </si>
  <si>
    <t>701a8b0f-f707-4672-a731-2b0fd2b7a3fe</t>
  </si>
  <si>
    <t>CI-77191426</t>
  </si>
  <si>
    <t>Overturned per PA response on FDOC#7162276378</t>
  </si>
  <si>
    <t>bd216ef6-b3f4-4253-80c6-5859c21728e0</t>
  </si>
  <si>
    <t>Mickee Vegara</t>
  </si>
  <si>
    <t>Overturned per PA response on FDOC# 7162279798</t>
  </si>
  <si>
    <t>b6e7f1ea-5412-47de-b4fc-a6c231f8b792</t>
  </si>
  <si>
    <t xml:space="preserve">
CI-77358740
</t>
  </si>
  <si>
    <t xml:space="preserve">	
Dispute overturned. Reversal per concept B6366X1. Both Recoverable claim and reference claim was billed by the same provider.</t>
  </si>
  <si>
    <t>d9f9d8d0-4068-428c-98a7-4e2e28a42a60</t>
  </si>
  <si>
    <t>CI-77347448</t>
  </si>
  <si>
    <t xml:space="preserve">Dispute overturned. Recovery review, claim needs to be reprocessed as procedure code 88291 has 1 frequency editing unit allowed. Claim line 1 needs to be repaid. </t>
  </si>
  <si>
    <t>4be2972f-5cd8-436b-bf6d-b47ba262cf6e</t>
  </si>
  <si>
    <t>CI-77116134</t>
  </si>
  <si>
    <t xml:space="preserve">Overturn&gt;Need to reflect amount as per standalone pricing. Concept B6832 retired. As per Miss Melody amounts on standalone pricing should reflect. </t>
  </si>
  <si>
    <t>da8f73e7-54cd-4f23-9f20-148ba62dfec3</t>
  </si>
  <si>
    <t>CI-77012100</t>
  </si>
  <si>
    <t>Overturned per PA response on FDOC# 7162430799</t>
  </si>
  <si>
    <t>a3201d4f-ca1d-4dd3-b3e9-64e9da1109c5</t>
  </si>
  <si>
    <t xml:space="preserve">CI-77377814
</t>
  </si>
  <si>
    <t>Recovery reviewed and we identified claim needs to be reprocess (procedure code 19301) as per concept criteria, if Asst Surg indicator shows "0" and medical records are present. do not recover.</t>
  </si>
  <si>
    <t>Okay to adjust med recs MLH# 2026182RH1565</t>
  </si>
  <si>
    <t>0f9329db-1463-476a-a6e7-b4ac0ee1006e</t>
  </si>
  <si>
    <t>CI-77387314</t>
  </si>
  <si>
    <t>Dispute overturned. Claim with procedure code
19303 needs to be reprocessed as per recovery reviewed B6473-X7 concept with medical records for Co-Surgery payment indicator is 1. Medical records are attached to the claim's inquiry MLH #25132E0076853. Please reprocess. Thank You.</t>
  </si>
  <si>
    <t>No Medical records attach for the second surgery dated 03/18/2026. MLH# 25132E0076853 is for the initial surgery dated 03/06/2025.</t>
  </si>
  <si>
    <t>f65ee016-3dd6-4e6b-b5a8-2634d33ee9c3</t>
  </si>
  <si>
    <t>CI-77073029</t>
  </si>
  <si>
    <t>Overturned per PA response on FDOC# 7162574870</t>
  </si>
  <si>
    <t>Completed 8/3/2026</t>
  </si>
  <si>
    <t>ce732247-af03-4e05-af64-95be25f77f77</t>
  </si>
  <si>
    <t>CI-76913027</t>
  </si>
  <si>
    <t xml:space="preserve">
As per PA response FDOC# 7162082383
Overturned. Original documentation submitted supports the implant charges billed.
Claim #25066DS9778/Line 1/C1713/$3373.44
</t>
  </si>
  <si>
    <t>completed w/ Miss Leah 7/31/2026</t>
  </si>
  <si>
    <t>d914c1ba-3f17-472e-ab34-963a1e71d2af</t>
  </si>
  <si>
    <t>CI-76733064</t>
  </si>
  <si>
    <t xml:space="preserve">Determination: OVERTURNED - Add. info received. Able to substantiate billed implants. New allowed amount=$24,556.62.
Fdoc:7162596360.
</t>
  </si>
  <si>
    <t>f302a1a3-639c-46b2-b5f3-3f007fa926a7</t>
  </si>
  <si>
    <t>CI-76365030</t>
  </si>
  <si>
    <t xml:space="preserve">"Provider audit/CCA Approved overturn"
Determination: OVERTURNED - Documentation submitted supports the implant charges billed.Fdoc:7162596869
</t>
  </si>
  <si>
    <t>3255af18-4770-44a8-b6f4-9dd90772bf9a</t>
  </si>
  <si>
    <t>CI-77236952</t>
  </si>
  <si>
    <t>Reversing claim per PA response, overturn, documentation submitted supports the implant charges billed. refer to FDOC #7164521425 | CI-77236952 | 07/30/2026 | |AH89140 | AFEJER | Recovery Disputes</t>
  </si>
  <si>
    <t>babec8cf-b509-46e4-8d95-0cb176d89d2d</t>
  </si>
  <si>
    <t>CI-77437834</t>
  </si>
  <si>
    <t>Reversing claim per B1270-X5, claim receipt date 04/23/2025 is within the 90-day timely window from the previous carrier's 01/30/2025 check date (per EOB MLH #2026059RH1550). | CI-77437834 | 07/30/2026 | |AH89140 | AFEJER | Recovery Disputes</t>
  </si>
  <si>
    <t>197a9768-65a9-4bfa-8b01-abf2b2a39954</t>
  </si>
  <si>
    <t>CI-77270969</t>
  </si>
  <si>
    <t xml:space="preserve">Reversing claim for CPT J2357 has an approved authorization (UM48117523) and is covered per the CI comment. This is unrelated to the DMO C11-S288-59-B-X5 adjustment. | CI-77270969| 7/30/2026 | |AH89140 | AFEJER | Recovery Disputes
</t>
  </si>
  <si>
    <t>RTO</t>
  </si>
  <si>
    <t>53f54b74-24e7-447f-bd11-12f9c7b0f7cf</t>
  </si>
  <si>
    <t>CI-77277484</t>
  </si>
  <si>
    <t xml:space="preserve">
Provider Audit/CCA approved overturned. Received email, FDOC # 7164524149. Documentation submitted supports the implant charges billed.</t>
  </si>
  <si>
    <t>5937deb5-b414-4df0-80a3-617b5ff796c9</t>
  </si>
  <si>
    <t>CI-77164216</t>
  </si>
  <si>
    <t>As per recovery review, Claim line7 C1713 should be pay as per documentation submitted supports the implant charges billed. FDOC#7164528346</t>
  </si>
  <si>
    <t>2c75ce80-a982-4d6c-b50f-9a242b8a7be2</t>
  </si>
  <si>
    <t>CI-77237138</t>
  </si>
  <si>
    <t xml:space="preserve">As per PA response FDOC# 7164528320-CL 8: 278/L8699 x2
Charges $83,094.00
Originally Paid $46,200.27 (has since recouped down to $0.00)
Determination: OVERTURNED - Add info received. Able to substantiate billed implants. New allowed amount=$46,200.00
CL 9: 278/L8699 x6
Charges $75,521.12
Originally Paid $41,989.75 (has since recouped down to $0.00)
Determination: OVERTURNED - Add info received. Able to substantiate billed implants. New allowed amount=$41,989.50.
CL 10: 278/L8699 x1
Charges $14,720.86
Originally Paid $8,184.80 (has since recouped down to $0.00)
Determination: UPHELD - Requested info. not received. Manufacturer's Invoice requested but not received.
CL 11: 278/L8699 x1
Charges $4,430.43
Originally Paid $2,463.32 (has since recouped down to $0.00)
Determination: OVERTURNED - Add info received. Able to substantiate billed implant. New allowed amount=$2,463.30.
</t>
  </si>
  <si>
    <t>ITS host claim. Please follow ITS workflow.</t>
  </si>
  <si>
    <t>9ac7e94f-0187-4e5d-a3ee-076b7a36829d</t>
  </si>
  <si>
    <t>CI-77210018</t>
  </si>
  <si>
    <t>Partially upheld \ PA response FDOC:7164552428
Documentation supports other implant units; Surgifoam does not meet the implant definition.</t>
  </si>
  <si>
    <t>7e898c8f-0202-41b1-bac6-71ca1bc998af</t>
  </si>
  <si>
    <t>CI-77416253</t>
  </si>
  <si>
    <t>Concept B7117, Claim line 2 code 87804 is listed on HLTH_SRVC_CD B117_POL_List Grid. Reversal for L2.</t>
  </si>
  <si>
    <t xml:space="preserve">Kernel claim. </t>
  </si>
  <si>
    <t>32683e2b-3425-4049-b039-87cda6f2d8c6</t>
  </si>
  <si>
    <t>CI-77427875</t>
  </si>
  <si>
    <t xml:space="preserve">Dispute overturn. Per recovery review, claim is payable as the associated drug codes on xref 25105DN3883 has been paid. </t>
  </si>
  <si>
    <t>98a5a067-0ead-4a14-aa4a-4eac345bfa9a</t>
  </si>
  <si>
    <t>CI-77415406</t>
  </si>
  <si>
    <t>657e0845-ae41-47e2-bc91-1cde16089a71</t>
  </si>
  <si>
    <t>CI-77435505</t>
  </si>
  <si>
    <t>Overturn&gt;There is a Valid POTF and within 180 TFL Days.</t>
  </si>
  <si>
    <t>Kernel claim. No POTF attach</t>
  </si>
  <si>
    <t>1afd5357-f986-4290-b861-098a0f85a7cb</t>
  </si>
  <si>
    <t xml:space="preserve">CI-77104868
</t>
  </si>
  <si>
    <t xml:space="preserve">Dispute Overturn. As per PA review Repayment amount $2,052.26.  Biceps repair system and anchor implanted.
 </t>
  </si>
  <si>
    <t>No FDOC attach</t>
  </si>
  <si>
    <t>08e809d5-11c5-4117-9dcd-cb78c7363975</t>
  </si>
  <si>
    <t xml:space="preserve">CI-76046271
</t>
  </si>
  <si>
    <t>Dispute Overturn. As per PA review 
 Able to substantiate billed implants with submitted clinical. New allowed amount=$1,252.03</t>
  </si>
  <si>
    <t>9330e734-11ab-4d98-b203-761c3964a651</t>
  </si>
  <si>
    <t xml:space="preserve">CI-76502842
</t>
  </si>
  <si>
    <t>Partially Upheld. As per PA review. Documentation supports 1 unit; Vitoss foam pack is not considered an implant.</t>
  </si>
  <si>
    <t>93633ce1-de2b-4f74-a068-1b77e2107814</t>
  </si>
  <si>
    <t xml:space="preserve">CI-76033894
</t>
  </si>
  <si>
    <t>ee43bb8b-6be9-46cc-b97f-e225b29538d0</t>
  </si>
  <si>
    <t>CI-77427937</t>
  </si>
  <si>
    <t xml:space="preserve">Dispute overturned. Recovery review, claim lines 2 and 3 needs to be reprocessed as procedure codes 96127 and 96160 are not post-op codes therefore not recoverable. </t>
  </si>
  <si>
    <t>24a35f08-ffdf-41b5-8a13-c42ecb761bfe</t>
  </si>
  <si>
    <t>CI-77423889</t>
  </si>
  <si>
    <t>Reversing claim per review. Procedure code 26480 with modifier AS is payable since this service is under assistant surgeon indicator 0. This is supported by medical records under MLH 26086E0031625.</t>
  </si>
  <si>
    <t>d07090f0-f50a-47aa-a93c-b25b40a9d35e</t>
  </si>
  <si>
    <t>CI-78417989</t>
  </si>
  <si>
    <t xml:space="preserve">	
Log to RI Tracker due to Dispute overturned. Claim needs to be reprocessed as per provider audit response claim is overturned If the invoice cost of all implants billed are equal to or greater than $350, will reimburse at invoice cost. PA response here FDOC#7165230546.</t>
  </si>
  <si>
    <t>4ac60c3a-a317-4043-b122-f62a613df1dd</t>
  </si>
  <si>
    <t xml:space="preserve">CI-75669751
</t>
  </si>
  <si>
    <t xml:space="preserve">Per PA review for Overturned,
The documentation associated with DCN2026148A80015 contain op report for primary surgeon. The addendum describes the task performed by the Assistant Surgeon. Modifier AS is supported.
FDOC#: 7165842043
</t>
  </si>
  <si>
    <t>84660fe9-d4e9-40a3-8c23-4b3a640ab339</t>
  </si>
  <si>
    <t xml:space="preserve">CI-77454717
</t>
  </si>
  <si>
    <t xml:space="preserve">Request for claim to be reprocessed since provider submitted the claim within the filing limit of 90 days. DOS is 07/06/2024. Received date is
01/27/2025 and Per the attach denied EOB date: 01/21/2025. It was originally billed in a timely manner. please find the attach EOB in MLH#:
2026183RH2039
</t>
  </si>
  <si>
    <t>f168f552-ba46-4daa-badb-262879764d52</t>
  </si>
  <si>
    <t>CI-77432750</t>
  </si>
  <si>
    <t>Dispute overturned. Claim needs to be reprocessed as per recovery review. Procedure code J1552 is now paid in xref 2025105DN3883 which makes original claim 2025052CA0130 payable.</t>
  </si>
  <si>
    <t>3885182b-8409-47d9-8307-842e58e1d61b</t>
  </si>
  <si>
    <t>CI-77490112</t>
  </si>
  <si>
    <t>Claim needs to be reprocess. Procedure code 37258 with BILAT_SURG_IND is "1" should be overturned. Thank you</t>
  </si>
  <si>
    <t>Not for reversal. Procedure code 37258 is currently paid.</t>
  </si>
  <si>
    <t>4bfa61c9-5e81-4d68-bd34-60766938fae6</t>
  </si>
  <si>
    <t>CI-76684819</t>
  </si>
  <si>
    <t xml:space="preserve">As per recovery review handled claim 2024115CQ4186 process as fresh as received date is prior to the duplicate claim 2024132DE3954. </t>
  </si>
  <si>
    <t>Completed 8/4/2026</t>
  </si>
  <si>
    <t>c2e62737-4c1d-4fe5-b85d-544490d89770</t>
  </si>
  <si>
    <t>This was already reviewed by the provider audit team. "Documentation supports implants used; however, the approved implants exceeded invoice cost plus 5%; 1 missing invoice." Please proceed on adjusting the claim. Thank you.Fdoc:7168704068.</t>
  </si>
  <si>
    <t>Completed 8/7/2026</t>
  </si>
  <si>
    <t>d8318d5f-ee9c-41d1-9149-157ea9c7f7b3</t>
  </si>
  <si>
    <t xml:space="preserve">"Provider audit/CCA approved overturn"
Records sent in by the provider indicate their use of J3300 for this claim has been reviewed by SIU.” Per SIU Case No. C-2025-12864 Anthem agreed to treat overpayments for code J3300. Fdoc:7168704958
</t>
  </si>
  <si>
    <t>37c08767-161e-4536-9da7-aff0ecb56e80</t>
  </si>
  <si>
    <t>CI-77398334</t>
  </si>
  <si>
    <t xml:space="preserve">Upon reviewing the concept C16-S298-59-B-X2 -Maternity Global, the reference claim 26034FL4250 was billed with the id 809325255. The recoverable claim 2026057ER4266 was billed with the  Id 363W25582. No further validation is required if it was billed with different Id for global maternity the recovery is invalid. 
</t>
  </si>
  <si>
    <t>b52c0397-088f-47dc-9925-1ccdaa668ad6</t>
  </si>
  <si>
    <t>CI-77381457</t>
  </si>
  <si>
    <t xml:space="preserve">Reversing claim per provider audit review. Claim needs to be reprocessed as per audit response, Partially upheld.  CL 8 HCPCS C1713.  Pls recover 1 unit from CL 8 HCPCS C1713.  Item does not meet implant policy. Appeal overturned for CL 9 HCPCS C1776.  Able to verify implants.  Repayment amount $13,108.05.  Glenosphere, stem, bearing, and humerus implanted. Provider Audit response in FDOC # 7168886686.
</t>
  </si>
  <si>
    <t>a5e707a8-2baf-4ede-a5fd-e4bae982b48a</t>
  </si>
  <si>
    <t>CI-77452027</t>
  </si>
  <si>
    <t>Provider Audit/CCA approved overturned. Received email, FDOC # 7170877826, the provider's appeal documentation indicated that the patient received 60mg of Xgeva with 60mg of waste. Xgeva is the appropriate drug for the patient's diagnosis and therefore 60mg of waste is appropriate.</t>
  </si>
  <si>
    <t>f82384d0-bd82-4b9d-afdf-a04ae8853e31</t>
  </si>
  <si>
    <t>CI-77589218</t>
  </si>
  <si>
    <t>Recovery reviewed the claim and per findings, TFL is 90 days. Date of service is 01/20/2025 and the received date is 04/24/2025 however, there is a valid POTF found per MLH# 2026187A50845. Thank You.</t>
  </si>
  <si>
    <t>05e72b8a-58c7-42f3-a35e-4f3e7cd82f87</t>
  </si>
  <si>
    <t>CI-77416830</t>
  </si>
  <si>
    <t xml:space="preserve">
As per PA response on FDOC# 7170881049
Overturned. Documentation submitted supports the implant charges billed. 
Claim #25258BE4394
Line 6/C1768/$20905.70
Line 7/C1889/$5829.70
</t>
  </si>
  <si>
    <t>a3b9abb0-6d16-473c-a4b0-54775f0fd8d5</t>
  </si>
  <si>
    <t>CI-77360718</t>
  </si>
  <si>
    <t>Per Provider audit Determination: OVERTURNED. Claim line 4 revenue code 278/C1713 x10 charges $21,852.86 and allowed amount $15,515.53. Paid $12,828.54 (has since recouped down to $0.00). Additional information received. Able to substantiate billed implants. New allowed amount=$15,515.53. FDOC#:7170913962.</t>
  </si>
  <si>
    <t>a9e08eac-eac1-4c1d-9dc2-f0d373f83953</t>
  </si>
  <si>
    <t>CI-77602825</t>
  </si>
  <si>
    <t>Reversing claim per review. Procedure code 22855 is payable since this service is under co-surgeon indicator 1. This is supported by medical records under MLH 2026114B80016.</t>
  </si>
  <si>
    <t>Completed - Routed to Prepay workbasket</t>
  </si>
  <si>
    <t>3b47d564-400a-467b-be50-14dcb6dd0a87</t>
  </si>
  <si>
    <t>CI-77593553</t>
  </si>
  <si>
    <t xml:space="preserve">As per recovery review, State is NY and beyond lookback period of 1 year/365 days. Issue date  05-13-25 and adjusted date is 06-03-26 which is 386 days. </t>
  </si>
  <si>
    <t>Kernel claim is not for RI.</t>
  </si>
  <si>
    <t>56c9efda-a622-4da0-8db4-054aa4fe0d97</t>
  </si>
  <si>
    <t>Partial Overturn as per PA response found in FDOC# 7060824206.</t>
  </si>
  <si>
    <t>Send another review to PA to clarify the New allowed amount.</t>
  </si>
  <si>
    <t>c883f1b0-be7b-4e52-8042-2dbd7655ea16</t>
  </si>
  <si>
    <t>CI-77553310</t>
  </si>
  <si>
    <t xml:space="preserve">Per concept B531-X1 criteria under step 1 , CPT 99051 code with POS 11.  </t>
  </si>
  <si>
    <t>13b45cd6-559c-443f-83ca-e6f871cfe838</t>
  </si>
  <si>
    <t>CI-77606840</t>
  </si>
  <si>
    <t xml:space="preserve">As per recovery review, CPT code 90834 is found on B6571 Allowed virtual Visits and CPT modifier exclusion. No further validation required </t>
  </si>
  <si>
    <t>Reason for reversal is due to procedure code 90834 was included in B6571_Allowed Virtual Visit Codes, DOS is within the effective and end dates of the grid which is an exclusion. Pay line 1 and 2 on each original allowed amount.</t>
  </si>
  <si>
    <t>506c125e-e434-4b1c-8caa-c5d0399cc32e</t>
  </si>
  <si>
    <t>CI-77613706</t>
  </si>
  <si>
    <t xml:space="preserve">Dispute overturned as per lookback concept. Claim needs to be reprocessed as per recovery review. Claim's overpayment recovery is outside the lookback period of  days. Original processed date is 11-21/2023. Claim was adjusted on 06-19-20206. Please review and reprocess. </t>
  </si>
  <si>
    <t>Completed 08/07/2026</t>
  </si>
  <si>
    <t>df765601-0634-4b0d-9453-0ce9f4c13626</t>
  </si>
  <si>
    <t>CI-77627761</t>
  </si>
  <si>
    <t xml:space="preserve">Recovery reviewed the claim and per findings, TFL is 180 days. Date of service is 12/19/2023 and the received date is 07/24/2025 however, there is a valid POTF found per MLH# 2026188A50822. </t>
  </si>
  <si>
    <t>a84fb4ec-9182-4de2-b8f7-10276db3da0e</t>
  </si>
  <si>
    <t>Overturned per PA response on FDOC#7171484512</t>
  </si>
  <si>
    <t>73d3f1bb-6b1f-4bee-9075-5ba487cad4b6</t>
  </si>
  <si>
    <t>Per provider audit determination. The operative reports outline the procedures performed and identify all surgeons involved, including those billing as co-surgeons. Both reports are included. Dr. Thomas's operative note clearly delineates the specific tasks performed and establishes ownership of the work completed during the procedure by both surgeons. Dr. Samuel Pera's op note is also attached which indicate his role and distinct procedures performed during the surgical procedure. Modifier 62 is supported. FDOC#: 7171485560</t>
  </si>
  <si>
    <t>04e6046d-0314-4aa3-a42f-898450a8e6cf</t>
  </si>
  <si>
    <t>CI-77675171</t>
  </si>
  <si>
    <t>Reversing claim. Claim has an allowed amount of $264.00 per pricer.</t>
  </si>
  <si>
    <t>b86a073a-9048-4182-ac13-e591b7d2d6d2</t>
  </si>
  <si>
    <t>CI-77661531</t>
  </si>
  <si>
    <t>Dispute overturned. Recovery reviewed the claim and per findings, TFL is 150 days. Date of service is 02/01/2025 and the received date is 09/25/2025 however, there is a valid POTF found per MLH# 2026181RM1330 showing that it was processed by other insurance - Molina Healthcare with denied eob date 10/21/2025. Please review.</t>
  </si>
  <si>
    <t>fd019dd4-f0bf-4b25-8d3c-bc44c36e2583</t>
  </si>
  <si>
    <t>CI-77675162</t>
  </si>
  <si>
    <t>Reversing claim per DMO B6571-X1/C6-S1145-59-B-X1, step 2 exclusion, CPT 90834 should is covered, not for covid claim and modifier 93/FQ are not present hence should not be recovered | CI-77675162 | 8/4/2026 | |AH89140 | AFEJER | Recovery Disputes</t>
  </si>
  <si>
    <t>Reason for reversal is due to procedure code 90834 was included in B6571_Allowed Virtual Visit Codes, DOS is within the effective and end dates of the grid which is an exclusion. Pay line 1 to 5 on each original allowed amount.</t>
  </si>
  <si>
    <t>baf8f28c-13f8-46e8-bcd0-f9cf6e882da7</t>
  </si>
  <si>
    <t>CI-77679012</t>
  </si>
  <si>
    <t>Reversing claim. Claim has an allowed amount of $633.00 per pricer.</t>
  </si>
  <si>
    <t>Reason for reversal is due to procedure code 90834 and 99214 were included in B6571_Allowed Virtual Visit Codes, DOS is within the effective and end dates of the grid which is an exclusion. Pay line 1 and 2 on each original allowed amount.</t>
  </si>
  <si>
    <t>72817290-a380-4e7f-92b6-f00cd8c8ad88</t>
  </si>
  <si>
    <t>CI-77679020</t>
  </si>
  <si>
    <t>Reversing claim. Claim has an allowed amount of $342.00 per pricer.</t>
  </si>
  <si>
    <t>Reason for reversal is due to procedure code 99214 were included in B6571_Allowed Virtual Visit Codes, DOS is within the effective and end dates of the grid which is an exclusion. Pay line 1 on its original allowed amount.</t>
  </si>
  <si>
    <t>23925ea4-ba11-4578-8bd0-79df3cb415ad</t>
  </si>
  <si>
    <t>CI-77681888</t>
  </si>
  <si>
    <t>Reversing claim. Claim has an allowed amount of $2033.00 per pricer.</t>
  </si>
  <si>
    <t>a21ea483-9ef6-426d-8f41-459e79c0d4f5</t>
  </si>
  <si>
    <t>CI-77684664</t>
  </si>
  <si>
    <t xml:space="preserve">Dispute overturned as per concept B5562, step 2 exclusion procedure code 99222 is not mutually exclusive to procedure code 99232 and should not be recovered. </t>
  </si>
  <si>
    <t>Claim was processed correctly</t>
  </si>
  <si>
    <t>f051ae7f-6305-4210-9347-66d6cdf93dd7</t>
  </si>
  <si>
    <t>Overturned per PA response on FDOC#7174082254</t>
  </si>
  <si>
    <t>1d4f3c43-4168-4ec5-9516-99417d467bc5</t>
  </si>
  <si>
    <t>CI-78768941</t>
  </si>
  <si>
    <t xml:space="preserve">
As per PA response on FDOC# 7173507290
CL 4 - overturn - 6918.77
Determination: Overturned. Documentation supports implants billed.
CL 5 - partial upheld - 263.90
Determination: Partially upheld. The implant policy does not reimburse for non-implants.
There are 8 verified implants and 1 non-implant.
Recovery amount for non-implant: $60.90
</t>
  </si>
  <si>
    <t>6ad6b140-1e13-42b4-8a19-dc1b14066e33</t>
  </si>
  <si>
    <t xml:space="preserve">
As per PA response on FDOC# 7173513405
Overturned. The documentation provides details of the surgery and clear delineation of task performed by Dr. Wang. Modifier 80 is supported.
</t>
  </si>
  <si>
    <t>Completed 08/06/2026</t>
  </si>
  <si>
    <t>f025540a-6187-4971-8b48-90b5aad5fa09</t>
  </si>
  <si>
    <t>CI-77677491</t>
  </si>
  <si>
    <t xml:space="preserve">
Dispute overturned. As per B332X2 TERM MEMBER review, Step 7 Verify the cancel/effective date for the member on the claim.  Does the member have inactive coverage? If No - No further validation needed. Claim has end date of 12/31/9999.
</t>
  </si>
  <si>
    <t>Member policy eligibility related claims are not workable under reversal intake. This can be routed directly to the adjustment team per workflow.</t>
  </si>
  <si>
    <t>Completed 8/13/2026</t>
  </si>
  <si>
    <t>6db025a3-f247-4b7d-8f23-84b575038d93</t>
  </si>
  <si>
    <t>CI-77695846</t>
  </si>
  <si>
    <t>Reversing claim per C34-S609-59-B-X1. The claim's DOS of 09/04/2024 is within the 90-day timely window from the clearinghouse report submission and acceptance date of 09/09/2024 per MLH #2026189RH4187 | CI-77695846 | 08/04/2026 | |AH89140 | AFEJER | Recovery Disputes</t>
  </si>
  <si>
    <t>84bd06bc-2397-4b5b-943e-17ac94902ad6</t>
  </si>
  <si>
    <t xml:space="preserve"> CI-77067966</t>
  </si>
  <si>
    <t>Provider Audit/CCA approved overturned. Received email, FDOC # 7175649889. Additional information received. Able to substantiate an artificial disc was implanted. New allowed amount is $4,455.00.</t>
  </si>
  <si>
    <t>08fc78b9-5d3e-4c20-bf85-ee2ee26e685f</t>
  </si>
  <si>
    <t xml:space="preserve"> Provider Audit/CCA approved overturned. Claim #25009EM0978/Line 18/UNK/$9428.20. TOB 111 we do not review inpatient trauma, tech denial in error. Fdoc# 7175650186</t>
  </si>
  <si>
    <t>39d2dbb6-f397-47e8-95eb-4bac36182afc</t>
  </si>
  <si>
    <t>As per PA review revenue code 278 documentation received on appeal supports Implants billed. FDOC# 7175650702.</t>
  </si>
  <si>
    <t>e749f661-9ebf-44e9-8a6e-34d58bbf2e35</t>
  </si>
  <si>
    <t>Provider Audit/CCA approved overturned. Received email, FDOC # 7175651432. Documentation supports implant units billed however they exceeded invoice plus 2%. Line 2, L8699 new allowed amount is $816.00. Line 3, L8699 new allowed amount is $1479.00.</t>
  </si>
  <si>
    <t>1f4a3e76-57bf-4918-a2f2-5ebec5796c21</t>
  </si>
  <si>
    <t xml:space="preserve">
Reviewed by recovery and determined claim needs to be reprocessed. B7957-X1 concept review, to include XREF claim if same calendar  year as target claim but prior to target DOS. Xref claim if 2024 while recoverable claim is 2025 hence Xref shouldn't be used as refernce. Claim should not have been recovered.
As per 15050_16699_Workflow_Doc_B7957-X1 DMO-DetailedEvaluationForm, 97802 should only be used once a year. It was used in 2024 by Xref. It's now used by recoverable for 2025.
</t>
  </si>
  <si>
    <t>Completed prepay reversal 8/7/2026</t>
  </si>
  <si>
    <t>3ab4d0ab-06fc-4749-9f25-6255a3ea36a3</t>
  </si>
  <si>
    <t>As per Provider Audit Response&gt;OVERTURN Audit #529790
Claim #25340BG6177
DOS: 12/2/25
Received: 7/2/26
From Intake: 8/4/26
Line #3 - C1713 Anchor/screw for opposing bone-to-bone or soft tissue-to-bone (implantable) - 4 units - $20242.35 - allowed $10930.87 - paid $9837.78 Op Note: page 19
Arthrex swivelock x1
Speedplates x2
3.5 screw x1 FDOC#7175657741.</t>
  </si>
  <si>
    <t>40fa1ef9-a005-4604-ab87-572502f0c0ac</t>
  </si>
  <si>
    <t>As per Provider audit response&gt;Overturned -Claim can be allowed at contracted rate. FDOC# 7175673494</t>
  </si>
  <si>
    <t>e5a63579-a059-4387-9e0c-2be1a7a30d13</t>
  </si>
  <si>
    <t>Partially Upheld per PA response on. FDOC #7175664821</t>
  </si>
  <si>
    <t>ad09e31c-2ab5-4436-8c37-d15b32463151</t>
  </si>
  <si>
    <t>CI-77723536</t>
  </si>
  <si>
    <t xml:space="preserve">Provider submitted an EOB  that is within the filing limit of 180 days. Refer to MLH #2026190RH0114. </t>
  </si>
  <si>
    <t>51b75ef4-d526-4096-ae98-7275e65a9d28</t>
  </si>
  <si>
    <t>CI-77727998</t>
  </si>
  <si>
    <t>Cross reference is denied, concept B398</t>
  </si>
  <si>
    <t>e4213819-8881-4ff3-b0f8-86c188d2478c</t>
  </si>
  <si>
    <t>per provider Audit review. Modified - Clinical supports payment for 2 of 3 units. The 2 types of closure devices used do not meet policy (Mynx and Angioseal both implanted per the clinical). Recover 1 unit for $222.14. FDOC# 7175744676</t>
  </si>
  <si>
    <t>706928d3-4267-4022-a8ea-ec62f9808c43</t>
  </si>
  <si>
    <t>CI-77733849</t>
  </si>
  <si>
    <t xml:space="preserve">
Dispute overturned. As per B6571-X4 (B6571-X1, X4, X5, X6, X13, X17_Virtual Visits - Professional and Facility C-08002_WGS) concept review Step 6 - Is your CPT code(s) in question found on the allowed Virtual Visit Grid below with your date of service within the effective and end date?  If YES - No further validation required.
CPT 99422 is found in B6571 Virtual Visits C-08002  and is within the eff date and end date. Claim should reprocess for payment.
</t>
  </si>
  <si>
    <t>Completed 08/14/2026</t>
  </si>
  <si>
    <t>fe6f21f8-cac0-439f-a382-ee4c04212e1d</t>
  </si>
  <si>
    <t>CI-77369275</t>
  </si>
  <si>
    <t xml:space="preserve">Dispute overturned. Claim needs to be reprocessed as per recovery review, allowable amount is for $4,316.77 which was already paid correctly prior to the adjustment. Please reconsider reprocessing this claim based on the contract rate. </t>
  </si>
  <si>
    <t>84220143-b43f-4661-9d17-57ebc3b0c609</t>
  </si>
  <si>
    <t>CI-77757666</t>
  </si>
  <si>
    <r>
      <rPr>
        <sz val="11"/>
        <color rgb="FF000000"/>
        <rFont val="Aptos Narrow"/>
        <scheme val="minor"/>
      </rPr>
      <t xml:space="preserve">
Dispute overturned. As per C6-S29-59-B-X1 concept review, Step 3 - Scenario 3 - Potential overpayments on claims with add on codes that should not be billed with modifier 51. </t>
    </r>
    <r>
      <rPr>
        <b/>
        <sz val="11"/>
        <color rgb="FF000000"/>
        <rFont val="Aptos Narrow"/>
        <scheme val="minor"/>
      </rPr>
      <t>1</t>
    </r>
    <r>
      <rPr>
        <sz val="11"/>
        <color rgb="FF000000"/>
        <rFont val="Aptos Narrow"/>
        <scheme val="minor"/>
      </rPr>
      <t xml:space="preserve">. Does the recovery line (s) CPT Code have modifier 51 billed in any of the modifier fields? *Make sure to check DS pop up for additional modifiers billed. •	If yes, continue to next step.  </t>
    </r>
    <r>
      <rPr>
        <b/>
        <sz val="11"/>
        <color rgb="FF000000"/>
        <rFont val="Aptos Narrow"/>
        <scheme val="minor"/>
      </rPr>
      <t>2</t>
    </r>
    <r>
      <rPr>
        <sz val="11"/>
        <color rgb="FF000000"/>
        <rFont val="Aptos Narrow"/>
        <scheme val="minor"/>
      </rPr>
      <t xml:space="preserve">.  Use the RIA Add on Codes Grid. Locate recovery line (s) CPT code in (Column A) Add on CPT on RIA Add on Codes Grid; then based on the DOS on the recovery line (s) select the correct effective date f(Column C) and correct end date (Column D) . •	If not found, no further validation is required. 
</t>
    </r>
  </si>
  <si>
    <t>Completed 8/11/2026</t>
  </si>
  <si>
    <t>f6314c5f-4d95-4163-a253-c1469c6a2237</t>
  </si>
  <si>
    <t>CI-77723125</t>
  </si>
  <si>
    <t>Reversing claim per review. Initially, the claim was sent to other insurance. The date on the EOB from other insurance under MLH 2026190B90150 is 12/24/2025 and claim was received by Anthem on 02/23/2026. Claim was received within the timely filing limit of 90 days.</t>
  </si>
  <si>
    <t>9491b1d6-3611-4164-b377-9deab2100bf5</t>
  </si>
  <si>
    <t>CI-77766193</t>
  </si>
  <si>
    <t>For Reversal Intake as per concept B869-X1 with HCPCS 96402 with MAI Indicator 3 and Medical Records with MLH 2026190A51050.</t>
  </si>
  <si>
    <t>Kindly review the claim on its latest adjustment, corrected process.</t>
  </si>
  <si>
    <t>52c87dab-8664-48cd-a2a9-cd5fcbb5d987</t>
  </si>
  <si>
    <t>CI-75987423</t>
  </si>
  <si>
    <t xml:space="preserve">
Dispute overturned. As per B6996-X4 Add-On Code concept review, Step 6 - Does the Xref claim - 24138CU0494 (can be same or different claim) meet the criteria below? If NO - No further validation. Primary CPT 22558 is not denied. CPT 22853 didn't meet criteria for P&amp;P recovery. 
</t>
  </si>
  <si>
    <t>af8c78f3-f7ee-4991-9da5-97ff027aba18</t>
  </si>
  <si>
    <t>CI-78758855</t>
  </si>
  <si>
    <t xml:space="preserve">
As per PA response on 
FDOC# 7176322992
Overturned. Claim can be allowed at contracted rate. 
</t>
  </si>
  <si>
    <t>b8a9a855-e2f1-4a34-b154-1fe8f0052441</t>
  </si>
  <si>
    <t xml:space="preserve">CI-77435126
</t>
  </si>
  <si>
    <t xml:space="preserve">Per PA review for Overturned,
Claim can be allowed at contracted rate.
FDOC#: 7178483891 
</t>
  </si>
  <si>
    <t>1cac68d0-3a5b-4114-8b74-25457c3a97d3</t>
  </si>
  <si>
    <t>Overturn per PA response on. FDOC #7178073175</t>
  </si>
  <si>
    <t>d92dfea8-2a84-45d2-aac6-d43f747caa3b</t>
  </si>
  <si>
    <t>CI-77710866</t>
  </si>
  <si>
    <t>Claim needs to be reprocessed as per audit response, Overturned, documentation received on appeal supports trauma activation. Provider Audit response in FDOC # 7178118827. For reversal approval</t>
  </si>
  <si>
    <t>fc5a6772-9a57-4a6c-8dc7-10f68da4c5b4</t>
  </si>
  <si>
    <t xml:space="preserve">Provider Audit/CCA approved overturned. Received email, FDOC # 7178148523. Documentation supports implants billed. </t>
  </si>
  <si>
    <t>42f6d3b6-6772-44e8-87e8-60848b25d48b</t>
  </si>
  <si>
    <t>CI-77795311</t>
  </si>
  <si>
    <t>Concept B1849 (Antepartum) overturn as per step 4 scenario 1, recoverable claim does not bill with the CPT on the list, xref does not bill with codes 59400, 59510, 59610, 59618. Billed with different provider(Diff. TAX ID)</t>
  </si>
  <si>
    <t>597a6e20-cd06-4352-a24f-f5ff2f3d0738</t>
  </si>
  <si>
    <t>CI-77846945</t>
  </si>
  <si>
    <t xml:space="preserve">Reversing claim per review. Per B6996's criteria, 90836 add on code is listed on the grid and the primary cpt 98005 is billed with allowed amount, therefore, no recovery of payment should be made. </t>
  </si>
  <si>
    <t>50090795-6190-459b-801e-64592e20c05a</t>
  </si>
  <si>
    <t>This was already reviewed by the provider audit team. "Determination: Overturned. Documentation supports implants billed. " Please proceed on adjusting the claim. Thank you.Fdoc:7178316659</t>
  </si>
  <si>
    <t>c54311a5-e1e0-4d38-9f68-ba1a4eac8a3d</t>
  </si>
  <si>
    <t>CI-77797341</t>
  </si>
  <si>
    <t>Proof of TFL attached to MLH 2026173RL3983</t>
  </si>
  <si>
    <t>Okay to adjust TFL is 180 days</t>
  </si>
  <si>
    <t>bb3c059d-f07b-4cc2-85c2-559160d9e99f</t>
  </si>
  <si>
    <t>CI-77804025</t>
  </si>
  <si>
    <t>Reversing claim.Original claim 2025223DT7136 don’t have procedure codes 84402 and 84403 and were denied incorrectly as duplicate.</t>
  </si>
  <si>
    <t xml:space="preserve">Corrected process, please review </t>
  </si>
  <si>
    <t>e8422d90-addd-4057-a08a-9e6453b16a76</t>
  </si>
  <si>
    <t xml:space="preserve">
As per PA response on FDOC# 7178026816
OVERTURN. DOCUMENTATION SUPPORTS 2 DRUG ELUTING STENTS. CLAIM LINE 5 REV CODE 278 $16,612
</t>
  </si>
  <si>
    <t>9daf7791-c40d-43fc-b4cc-821141b6bbc7</t>
  </si>
  <si>
    <t xml:space="preserve">CI-77391852
</t>
  </si>
  <si>
    <t xml:space="preserve">Per PA review for Overturned,
Documentation supports charges billed.
FDOC#: 7178484702  
</t>
  </si>
  <si>
    <t>86560ffa-31a3-438d-8938-8cc9964640b4</t>
  </si>
  <si>
    <t>Per PA response Overturn CL 6. Clinical supports payment. FDOC#7190144290</t>
  </si>
  <si>
    <t>No FDOC</t>
  </si>
  <si>
    <t>643a6e0e-1f78-4d55-9d15-f15caa06fd1a</t>
  </si>
  <si>
    <t>CI-77846654</t>
  </si>
  <si>
    <t>Reversing claim per review. Per B6996's criteria, 90838 add on code is listed on the grid and the primary cpt 98005 is billed with allowed amount, therefore, no recovery of payment should be made.</t>
  </si>
  <si>
    <t>Upheld. Claim was process correctly. Kindly review claim through PICM no reference claim.</t>
  </si>
  <si>
    <t>14244e19-828e-4919-b539-ca19daf1ff00</t>
  </si>
  <si>
    <t>CI-77860028</t>
  </si>
  <si>
    <t>Dela pena, Karla</t>
  </si>
  <si>
    <t>Recovery review Dispute Overturned. Per provider audit, allow at contracted rate. Fdco#7181885963</t>
  </si>
  <si>
    <t>7476113e-1033-49fa-9677-0fc2e5b0470c</t>
  </si>
  <si>
    <t>Reversing claim per review.  Per provider audit  Line 6 revenue code 278  This is payable as this is supported by the documentation under MLH#2025330RH6881 and 2025333RH4332. Fdoc num:7181906421 Case#CI-77569637 |08/10/26|AL87804|RizelP|Recovery Disputes.</t>
  </si>
  <si>
    <t>f1ba5586-4e54-4789-9edf-714f2e581cf4</t>
  </si>
  <si>
    <t>CI-77662308</t>
  </si>
  <si>
    <t>Provider Audit/CCA approved partially overturned. Received email, FDOC # 7181929916. Documentation supports 5 units, exceeds invoice plus 5%. New allowed amount for Line 6 is $3808.35.</t>
  </si>
  <si>
    <t>Completed 08/10/2026</t>
  </si>
  <si>
    <t>409f7e73-eebf-4e87-b0b5-085ad2696b98</t>
  </si>
  <si>
    <t>Overturn per PA response on. FDOC #7181930362</t>
  </si>
  <si>
    <t>ea1613f6-51a2-40e7-8bdd-281ad11c5f54</t>
  </si>
  <si>
    <t>CI-77741674</t>
  </si>
  <si>
    <t xml:space="preserve">Recovery reviewed the claim and per findings, TFL is 180 days. Date of service is 03/04/2024 and the received date is 04/25/2025 however, there is a valid POTF found per MLH# 2026190A50544. </t>
  </si>
  <si>
    <t>7a4dceac-4a34-4dfa-9c1e-beb0db07c658</t>
  </si>
  <si>
    <t>CI-77882122</t>
  </si>
  <si>
    <t>Dispute overturned. Claim needs to be reprocessed as per recovery reviewed due to procedure code 43281 with MAI Indicator 1 was billed with the appropriate modifier 62 and is allowed to be billed as co-surgery. Medical records under MLH# 26182E0006136, 26182E0006134.</t>
  </si>
  <si>
    <t>a0d46d55-5c12-42b6-8825-382ab6cff663</t>
  </si>
  <si>
    <t>CI-77852339</t>
  </si>
  <si>
    <t xml:space="preserve">Dispute overturned. Claim needs to be reprocessed as per recovery review, allowable amount is for $2919.00 which was over the prior allowed amount. Please reconsider reprocessing this claim based on the contract rate. </t>
  </si>
  <si>
    <t>This is a non dmo adjustment. Please review for possible RTO</t>
  </si>
  <si>
    <t>99091e38-d882-401d-a317-12c73e3ac27b</t>
  </si>
  <si>
    <t>CI-77735101</t>
  </si>
  <si>
    <t>Dispute overturned. claim needs to be reprocessed as per recovery reviewed, claim denied due to C6-S266-59-B-X1 that procedure code 84591  is inclusive to procedure code 84590 but no billed procedure code 84591 in this claim. Reference claim 2026056BM3525</t>
  </si>
  <si>
    <t>Kindly review handled claim per provided reference claim in ACR</t>
  </si>
  <si>
    <t>291404ec-7563-4406-8b47-7416958e88a9</t>
  </si>
  <si>
    <t>CI-77961513</t>
  </si>
  <si>
    <t>Reversing claim per DMO  B5724-X1 validation, criteria in step 3 was not met as handled claim has frequency 1 | CI-77961513 | 08/10/2026 | |AH89140 | AFEJER | Recovery Disputes</t>
  </si>
  <si>
    <t>Okay to adjust.</t>
  </si>
  <si>
    <t>bb704cc6-9ae3-4784-abbb-371433157e1c</t>
  </si>
  <si>
    <t>CI-77919532</t>
  </si>
  <si>
    <t>Dispute overturned. Procedure code 19342 ASST_SURG_IND = "0" and provider submitted supporting documentation to prove medical necessity per MLH 2026194A50638. Please reprocess. Thank you</t>
  </si>
  <si>
    <t>14dfd419-0d92-419f-9b8a-11a8dc35180a</t>
  </si>
  <si>
    <t xml:space="preserve">CI-77730327
</t>
  </si>
  <si>
    <t>Dispute overturned. Claim lines 3 and 4, procedure codes 96375 and 96376 are the only recoverable codes present on Hospital PTP Edits Grid, NOT_PAY_START_CPT and NOT_PAY_END_CPT column. The claim was incorrectly denied as full and other lines are payable.</t>
  </si>
  <si>
    <t>9a5469b3-cce6-4a2c-8a63-ba81115f66a9</t>
  </si>
  <si>
    <t>CI-77798032</t>
  </si>
  <si>
    <t>CCA Audit Overturned | PA response FDOC: 7184024685</t>
  </si>
  <si>
    <t>58f7cf19-50ed-4dc6-a0dd-a0330e382bd5</t>
  </si>
  <si>
    <t>As per Provider Audit Rresponse&gt;OVERTURNED-DOCUMENTATION SUPPORTS BILLED CHARGES CLAIM LINE 4 AND 5, $2400 AND $1775. FDOC# 7184245286</t>
  </si>
  <si>
    <t>0b37d9ff-9993-4bfa-b039-3df6d96f4f8d</t>
  </si>
  <si>
    <t>CI-77859006</t>
  </si>
  <si>
    <t>Dispute overturned. Reviewed by recovery we determined claim needs to be reprocessed as per concept B869's criteria for procedure code 82962, if MUE  indicator shows "3" and medical records are present, do not recover. Medical record is under 2026192RL5790.</t>
  </si>
  <si>
    <t>41415b2c-d602-4b3b-b702-b734264a25e7</t>
  </si>
  <si>
    <t>CI-78026803</t>
  </si>
  <si>
    <t xml:space="preserve">Recovery reviewed the claim and per findings, TFL is 90 days. Date of service is 11/26/2024 and the received date is 02/27/2025 however, there is a valid POTF found per MLH# 
2026196RH5388 showing that it was process by Workers Compensation and  it was denied on 01/08/2025. Please reconsider and reprocess accordingly.
</t>
  </si>
  <si>
    <t>a9d0dbe4-2923-466f-9286-8035a9121c54</t>
  </si>
  <si>
    <t>CI-78031902</t>
  </si>
  <si>
    <t>Reversing claim. Claim has an allowed amount of $20153.61 per pricing.</t>
  </si>
  <si>
    <t>3fd575e5-1f53-4ab3-ad93-33f3d051bdf6</t>
  </si>
  <si>
    <t xml:space="preserve">
CI-78033927</t>
  </si>
  <si>
    <t>Overturned&gt;Outside Lookback period of 36 months - Check issue date is 07-14-23</t>
  </si>
  <si>
    <t>Reject. Claim is Erisa FI, recovery is up to 36 months. claim is within the lookback period of 36 months.</t>
  </si>
  <si>
    <t xml:space="preserve">Completed-UPHELD </t>
  </si>
  <si>
    <t>55203b3c-07ba-46ff-a67e-8219684ff9d7</t>
  </si>
  <si>
    <t>CI-78033357</t>
  </si>
  <si>
    <t xml:space="preserve">
Reviewed by recovery and determined claim needs to be reprocessed. As per B1677-X2  / C10-S472-59-B-X1  ECM concept review to exclude  JW and non-JW line  if NDC codes match. Line 03 and 04 NDC codes, 72907181805, matches. Line 04 - J3300JW with 120 units should not be recovered and should be paid.
</t>
  </si>
  <si>
    <t>767faeac-7c11-4dd6-9b56-2498da24d2b4</t>
  </si>
  <si>
    <t>CI-77799810</t>
  </si>
  <si>
    <t>AG89690</t>
  </si>
  <si>
    <t>Antenor, Elle Rose R.</t>
  </si>
  <si>
    <t>Mikee Vergara</t>
  </si>
  <si>
    <t>Overturned&gt;Outside Lookback period of 12 months - original paid date is 07-12-23</t>
  </si>
  <si>
    <t>595ebe6f-d49c-4952-a3c0-246c910363c1</t>
  </si>
  <si>
    <t>CI-77924295</t>
  </si>
  <si>
    <t>Dispute overturned. Claim needs to be reprocessed as per recovery review. Procedure code J0585 is now paid in xref 2026019BB2129 which makes procedure code 64616 payable.</t>
  </si>
  <si>
    <t>76ce9204-7952-41b9-8aa4-c7742236b7fd</t>
  </si>
  <si>
    <t>CI-78009246</t>
  </si>
  <si>
    <t xml:space="preserve">Dispute overturned. Claim needs to be reprocessed as per recovery reviewed due to the claim was received within the timely filing limit of 90 days. EOB date from Healthscope Benefits is 05/18/2026(page 2) from MLH# 2026196RH1811. Claim's received date was 05/26/2026. </t>
  </si>
  <si>
    <t>85c12d02-c07d-4de7-8f3a-be4f25a5c223</t>
  </si>
  <si>
    <t>CI-78050195</t>
  </si>
  <si>
    <t xml:space="preserve">Claim needs to be reprocessed as per recovery review, procedure code  35631, 35638 and 35905 that was billed with modifier 62 is eligible to be paid as an Co-surgeon since the payment indicator for this service is 1. Provider is sending medical records to support this request. MLH: 25345E0049599. </t>
  </si>
  <si>
    <t>75a292a2-f88d-4bf1-a6a0-a490ee7bb0ee</t>
  </si>
  <si>
    <t>CI-78035042</t>
  </si>
  <si>
    <t>CCA AUDIT OVTRND - FDOC: 7186513484
Previous records sent in by the provider indicate their use of J3300 for this claim has been reviewed by SIU.” Per SIU Case No. C-2025-12864 Anthem agreed to treat overpayments for code J3300 as educational and not pursue repayment for J3300 claims if OSC changed its billing practice prospectively. OSC changed its billing practice effective February 17, 2026”</t>
  </si>
  <si>
    <t>7ad85853-6ac3-4f02-aa38-0a4019486784</t>
  </si>
  <si>
    <t>CI-77853956</t>
  </si>
  <si>
    <t>Provider Audit/CCA approved overturned. Received email, FDOC # 7186580623. The provider sent in medical records supporting 1200mg of SKYRIZI J2327 administered to patient on DOS 11/04/2024.</t>
  </si>
  <si>
    <t>Completed with Sir Rico</t>
  </si>
  <si>
    <t>57a277fc-3f6f-4f24-a073-79e719a94fa1</t>
  </si>
  <si>
    <t>CI-78033372</t>
  </si>
  <si>
    <t>Per Provider audit Determination-OVERTURNED - J3300 OSC. Previous records sent in by the provider indicate their use of J3300 for this claim has been reviewed by SIU. Per SIU Case No. C-2025-12864 Anthem agreed to treat overpayments for code J3300 as educational and not pursue repayment for J3300 claims if OSC changed its billing practice prospectively. OSC changed its billing practice effective February 17, 2026. Please repay the claim lines. See Provider Audit Appeals response FDOC#:7186601787.</t>
  </si>
  <si>
    <t>d7253115-7fdd-4614-b5f5-1a0906448e27</t>
  </si>
  <si>
    <t>CI-77686499</t>
  </si>
  <si>
    <t xml:space="preserve">Provider Audit/CCA approved overturned. Received email, FDOC # 7186602134. Additional documentation/implant log received.  Repayment amount $2,803.20. Plate x1 and screws x6 implanted - verified by log. </t>
  </si>
  <si>
    <t>250f615d-2607-4d55-80e1-274325039822</t>
  </si>
  <si>
    <t>CI-77791728</t>
  </si>
  <si>
    <t>Provider Audit/CCA approved overturned. Received email, FDOC #7 186602852. Claim is partially upheld. New allowed amount is $6492.57. Documentation supports 11 implant units; pins are temporary and do not meet implant definition.</t>
  </si>
  <si>
    <t>f26272ca-207f-45bc-9919-66ce1032fabc</t>
  </si>
  <si>
    <t>CI-78032424</t>
  </si>
  <si>
    <t>Per CCA/OVERTURNED-Previous records sent in by the provider indicate their use of J3300 for this claim has been reviewed by SIU.” Per SIU Case No. C-2025-12864 Anthem agreed to treat overpayments for code J3300 as educational and not pursue repayment for J3300 claims if OSC changed its billing practice prospectively. OSC changed its billing practice effective February 17, 2026”	FDOC#7186602992</t>
  </si>
  <si>
    <t>Completed 8/12/2026</t>
  </si>
  <si>
    <t>ec3f1d78-52cd-4f45-87ac-1378f24c5ae8</t>
  </si>
  <si>
    <t xml:space="preserve">CI-78034231	</t>
  </si>
  <si>
    <t>Per CCA/OVERTURNED-Previous records sent in by the provider indicate their use of J3300 for this claim has been reviewed by SIU.” Per SIU Case No. C-2025-12864 Anthem agreed to treat overpayments for code J3300 as educational and not pursue repayment for J3300 claims if OSC changed its billing practice prospectively. OSC changed its billing practice effective February 17, 2026”FDOC#7186603030</t>
  </si>
  <si>
    <t>fccb919f-ed2f-432b-925a-6c66f44c279d</t>
  </si>
  <si>
    <t>CI-78032417</t>
  </si>
  <si>
    <t>Reversing claim per PA response, Overturned: Per SIU Case C-2025-12864, Anthem waived J3300 overpayments as educational because OSC corrected its billing practices prospectively on February 17, 2026, refer to FDOC #7186606615 | CI-78032417 | 08/11/2026 | |AH89140 | AFEJER | Recovery Disputes</t>
  </si>
  <si>
    <t>7e59733d-8eb0-4a0a-9a38-30957b7a3984</t>
  </si>
  <si>
    <t xml:space="preserve">Sevilla, Dwena Joy </t>
  </si>
  <si>
    <t xml:space="preserve">Overturned-Documentation was provided and does support charges billed.
PA response FDOC 7186607439
</t>
  </si>
  <si>
    <t>38f98580-c27b-4204-9ae5-48e6bddec8bf</t>
  </si>
  <si>
    <t>CI-78033661</t>
  </si>
  <si>
    <t>Claim needs to be reprocessed as per audit response, OVERTURNED - J3300 OSC Previous records sent in by the provider indicate their use of J3300 for this claim has been reviewed by SIU.” Per SIU Case No. C-2025-12864 Anthem agreed to treat overpayments for code J3300 as educational and not pursue repayment for J3300 claims if OSC changed its billing practice prospectively. OSC changed its billing practice effective February 17, 2026” Provider Audit response in FDOC # 7186608711. For reversal approval</t>
  </si>
  <si>
    <t>e7b6db72-492c-4c79-97a3-c345d882c95a</t>
  </si>
  <si>
    <t>CI-78067578</t>
  </si>
  <si>
    <t>Per CCA/overturned- CL 10 HCPCS C1713.  Additional documentation received.  Repayment amount $2820.90.  Anchors x2, screws x2, and washers x2 implanted, pg 57. CL 9 HCPCS C1763.  Additional documentation received.  Repayment amount $7,538.34.   Distal tibia fresh aseptic bone graft implanted, pg 60. FDOC#7186995986</t>
  </si>
  <si>
    <t>bf3ae1cd-37e3-4e8e-b890-0ec5c8fbc8c7</t>
  </si>
  <si>
    <t>CI-78032525</t>
  </si>
  <si>
    <t>per PA review for procedure code J3300. Per SIU Case No. C-2025-12864 Anthem agreed to treat overpayments for code J3300 as educational and not pursue repayment for J3300 claims if OSC changed its billing practice prospectively. OSC changed its billing practice effective February 17, 2026. FDOC# 7186609171.</t>
  </si>
  <si>
    <t>7e21f4a4-04ed-45c2-9be7-471da4182936</t>
  </si>
  <si>
    <t>CI-78033992</t>
  </si>
  <si>
    <t xml:space="preserve">Claim needs to be reprocessed as per audit response, OVERTURNED - J3300 OSC. Previous records sent in by the provider indicate their use of J3300 for this claim has been reviewed by SIU.” Per SIU Case No. C-2025-12864 Anthem agreed to treat overpayments for code J3300 as educational and not pursue repayment for J3300 claims if OSC changed its billing practice prospectively. OSC changed its billing practice effective February 17, 2026.  Provider Audit response in FDOC # 7186609318. For reversal approval
</t>
  </si>
  <si>
    <t>e59947e8-ecf1-48bf-bac8-64e7aa322774</t>
  </si>
  <si>
    <t>CI-78033021</t>
  </si>
  <si>
    <t>per PA review for procedure code J3300. Per SIU Case No. C-2025-12864 Anthem agreed to treat overpayments for code J3300 as educational and not pursue repayment for J3300 claims if OSC changed its billing practice prospectively. OSC changed its billing practice effective February 17, 2026. FDOC# 7186610000.</t>
  </si>
  <si>
    <t>f531b4f9-776f-4154-ae15-b5a24bb270c1</t>
  </si>
  <si>
    <t>CI-78033360</t>
  </si>
  <si>
    <t>per PA review for procedure code J3300. Per SIU Case No. C-2025-12864 Anthem agreed to treat overpayments for code J3300 as educational and not pursue repayment for J3300 claims if OSC changed its billing practice prospectively. OSC changed its billing practice effective February 17, 2026. FDOC# 7186610102.</t>
  </si>
  <si>
    <t>7317b869-483b-4921-b649-3877d83cd774</t>
  </si>
  <si>
    <t>CI-78034056</t>
  </si>
  <si>
    <t>per PA review for procedure code J3300. Per SIU Case No. C-2025-12864 Anthem agreed to treat overpayments for code J3300 as educational and not pursue repayment for J3300 claims if OSC changed its billing practice prospectively. OSC changed its billing practice effective February 17, 2026. FDOC# 7186611252.</t>
  </si>
  <si>
    <t>daa5107d-f79a-40f8-bc4e-19d784cb588d</t>
  </si>
  <si>
    <t>CI-78033664</t>
  </si>
  <si>
    <t>Provider Audit/CCA approved. OVERTURNED - J3300 OSC. Previous records sent in by the provider indicate their use of J3300 for this claim has been reviewed by SIU.” Per SIU Case No. C-2025-12864 Anthem agreed to treat overpayments for code J3300 as educational and not pursue repayment for J3300 claims if OSC changed its billing practice prospectively. OSC changed its billing practice effective February 17, 2026. Fdoc#7186610057</t>
  </si>
  <si>
    <t>0d32a660-c005-47c1-aece-23e057d3d0c9</t>
  </si>
  <si>
    <t>CI-78034253</t>
  </si>
  <si>
    <t>per PA review for procedure code J3300. Per SIU Case No. C-2025-12864 Anthem agreed to treat overpayments for code J3300 as educational and not pursue repayment for J3300 claims if OSC changed its billing practice prospectively. OSC changed its billing practice effective February 17, 2026. FDOC# 7186637410.</t>
  </si>
  <si>
    <t>88ca789d-c16a-4735-8ffc-b1a8b250e77e</t>
  </si>
  <si>
    <t>CI-78032399</t>
  </si>
  <si>
    <t>Per PA audit. Previous records sent in by the provider indicate their use of J3300 for this claim has been reviewed by SIU.” Per SIU Case No. C-2025-12864 Anthem agreed to treat overpayments for code J3300 as educational and not pursue repayment for J3300 claims if OSC changed its billing practice prospectively. OSC changed its billing practice effective February 17, 2026”. FDOC# 7186690101</t>
  </si>
  <si>
    <t>a93e94fb-584c-41fb-83ca-858c609cf77a</t>
  </si>
  <si>
    <t>CI-77930725</t>
  </si>
  <si>
    <t xml:space="preserve">Consad,Marichu </t>
  </si>
  <si>
    <t>Provider Audit/CCA approved. OVERTURNED as per P.A. FDOC# 7186688322.
Denial of HCPCS code C1889 is overturned.</t>
  </si>
  <si>
    <t>f2669b97-ba56-49b6-957a-fd8b5cf8d485</t>
  </si>
  <si>
    <t xml:space="preserve">
CI-77763882
</t>
  </si>
  <si>
    <t>Per Pa response , documentation supports 38 implant units; Stimulan bone fill does not meet implant definition. See PA response at FDOC 7186695176</t>
  </si>
  <si>
    <t>5d01b0d0-06c6-4669-add0-ce1ad31bea7e</t>
  </si>
  <si>
    <t xml:space="preserve">CI-76609239
</t>
  </si>
  <si>
    <t xml:space="preserve">Per PA response, Able to verify implants billed. Please repay this line according to the Provider's contracted rate. See PA response at FDOC 7186695792. </t>
  </si>
  <si>
    <t>08c05187-b19f-43f0-a4da-fbece43cad18</t>
  </si>
  <si>
    <t>CI-78064272</t>
  </si>
  <si>
    <t>Concept: TFL | Original claim 2024107DZ5764 with dos 03/18/2024 and receipt date of 04/16/2024 was denied due to not medically necessary. submitted potfl under MLH 2026197RH1750</t>
  </si>
  <si>
    <t>Invalid POTF</t>
  </si>
  <si>
    <t>e35619da-47b4-47a3-9ee5-f40f6363dec7</t>
  </si>
  <si>
    <t>CI-78135599</t>
  </si>
  <si>
    <t xml:space="preserve">Provider submitted an EOB  that is within the filing limit of 180 days. Refer to MLH #2026198R40394. </t>
  </si>
  <si>
    <t>7d75dfce-280a-4032-888e-112808bc52a2</t>
  </si>
  <si>
    <t>CI-78134524</t>
  </si>
  <si>
    <t>Claim is within the filing limit of 90 days.</t>
  </si>
  <si>
    <t>No CIW#</t>
  </si>
  <si>
    <t>350338ed-e23b-4756-acb5-2968d331895e</t>
  </si>
  <si>
    <t xml:space="preserve">
CI-77400602
</t>
  </si>
  <si>
    <t>Per Provider Audit Response, Appeal overturned for CL 2 HCPCS C1713.  Additional documentation received.  Repayment amount $1,009.59. FDOC# 7187305422</t>
  </si>
  <si>
    <t>eb423534-6d16-49b1-8f7c-875c1ece333f</t>
  </si>
  <si>
    <t xml:space="preserve">CI-77771746
</t>
  </si>
  <si>
    <t xml:space="preserve">Per PA review for Overturned,
line 3, C1713, documentation received on appeal supports billed charges.
FDOC#: 7187309031 
</t>
  </si>
  <si>
    <t>535517cf-978a-4f72-baee-4e76e14c11f7</t>
  </si>
  <si>
    <t>CI-77996222</t>
  </si>
  <si>
    <t>CCA Audit overturn \ FDOC:7188114869
CLAIM LINE 4, DOCUMENTATION SUPPORTS BILLED CHARGES. C1889 $15,229.80
UPHOLD CLAIM LINE 6. ITEM BILLED DOES NOT MEET IMPLANT POLICY. C1889 $202.50</t>
  </si>
  <si>
    <t>588674b6-a9ff-4d39-b0ba-d1e3f83a4655</t>
  </si>
  <si>
    <t>CI-77961634</t>
  </si>
  <si>
    <t xml:space="preserve">Provider Audit/CCA approved overturned. Received email, FDOC # 7189060390. Claim can be allowed at contracted rate. </t>
  </si>
  <si>
    <t>8bb74de3-3f2a-40d8-aed2-f940021e0c49</t>
  </si>
  <si>
    <t>CI-77848017</t>
  </si>
  <si>
    <t>PA Overturned - allow at contracted rate. FDOC 7189057767</t>
  </si>
  <si>
    <t>2356485b-de11-4991-91ba-05ad07f249d5</t>
  </si>
  <si>
    <t>CI-77847839</t>
  </si>
  <si>
    <t>PA Overturned - allow at contracted rate. FDOC 7189060888</t>
  </si>
  <si>
    <t>27ab0b85-a5e3-4fb3-8384-da744619f47d</t>
  </si>
  <si>
    <t>CI-77961649</t>
  </si>
  <si>
    <t>Claim needs to be reprocessed as per audit response, Overturned, claim can be allowed at contracted rate.  Provider Audit response in FDOC # 7189111676. For reversal approval</t>
  </si>
  <si>
    <t>15be5db6-3e4b-4e51-abbe-88a155875c6b</t>
  </si>
  <si>
    <t>CI-78006554</t>
  </si>
  <si>
    <t>PA partially overturned - MODIFIED. UPHOLD $115.50 ONE UNIT C1713. OVERTURN 2 UNITS C1713 $1732.50. BILLED AMOUNT EXCEEDS IMPLANT COST PLUS FIVE PERCENT. FDOC 7189161870</t>
  </si>
  <si>
    <t>3ea80d8e-56b1-4988-aebb-59dd328bfd8d</t>
  </si>
  <si>
    <t>CI-77959374</t>
  </si>
  <si>
    <t>PA partially upheld - DOCUMENTATION SUBMITTED SUPPORTS IMPLANTS BILLED FOR C1713 AND C1776. L8699 DOES NOT MEET IMPLANT POLICY DEFINITION. FDOC 7189168272</t>
  </si>
  <si>
    <t>0772aadb-6635-44e9-8175-8aaa78934ca2</t>
  </si>
  <si>
    <t>Upheld. no POTF provided. Claim was beyond the TFL of 180 days DOS 01/27/2025 - 01/30/2025 Received date 11/03/2025.</t>
  </si>
  <si>
    <t>8d52e9ee-49b5-4f34-87c2-f1a4fef975c1</t>
  </si>
  <si>
    <t>CI-77765832</t>
  </si>
  <si>
    <t>Overturned per PA response on FDOC#7189462148</t>
  </si>
  <si>
    <t>9b209cc8-2fe5-4fab-828c-5cb206cb7ea3</t>
  </si>
  <si>
    <t>CI-78191884</t>
  </si>
  <si>
    <t xml:space="preserve">Reversing claim per DMO C16-S298-59-B-X2 validation, step 6, scenario 3 was not met as CPT's 59400, 59510, 59610, 59618 is not billed on xref 2025359BS8313, hence should not be recovered | CI-78191884 | 08/12/2026 | |AH89140 | AFEJER | Recovery Disputes
</t>
  </si>
  <si>
    <t>Okay to adjust. Under Scenario 6- Step 9, Proc code 59426 was recovered in same concept.</t>
  </si>
  <si>
    <t>8d10c0d6-dde7-4444-aa75-5e772cc581dd</t>
  </si>
  <si>
    <t xml:space="preserve">CI-78173705
</t>
  </si>
  <si>
    <t>Claim needs to be reprocessed as per recovery review. Claim was denied due to inappropriate diagnosis was billed on claim. Per checking diagnosis 	
O09899 is not on the list. Please review and reprocess.</t>
  </si>
  <si>
    <t>RTO. Kernel claim</t>
  </si>
  <si>
    <t>93e85939-3df7-4964-bd48-cafdde528c55</t>
  </si>
  <si>
    <t xml:space="preserve">CI-78180105
</t>
  </si>
  <si>
    <t>Dispute overturned. Claim needs to be reprocessed as per recovery review as provider submitted itemized bill under MLH# 
2026199A70032.</t>
  </si>
  <si>
    <t>07bb13ff-c017-48b6-aae4-f2ff4375a63d</t>
  </si>
  <si>
    <t xml:space="preserve"> CI-78195963</t>
  </si>
  <si>
    <t>Claim needs to be reprocessed as per recovery review, Start date for recoverable claim does not match the cross-reference (Xref) claim for the admission and discharge dates. Thank you.</t>
  </si>
  <si>
    <t>4def7a5f-83f8-4a60-86ca-18241e750cf9</t>
  </si>
  <si>
    <t>CI-78196943</t>
  </si>
  <si>
    <t>Dispute overturned. Claim needs to be reprocessed as per recovery reviewed C26-S156-59-B-X2 (B299) concept with medical records for assistant surgeon payment indicator is 0. Medical records are attached to the claim's inquiry MLH #2026200B60485. Thank You.</t>
  </si>
  <si>
    <t>f073811a-2cfd-42b2-ae41-0c528e001a84</t>
  </si>
  <si>
    <t>CI-77783313</t>
  </si>
  <si>
    <t>PA Overturned - documentation received on appeal supports Implants billed.. FDOC 7189738670</t>
  </si>
  <si>
    <t>713ba3cc-04f5-4c99-9ec5-88c3ca224f03</t>
  </si>
  <si>
    <t xml:space="preserve">CI-77859931
</t>
  </si>
  <si>
    <t xml:space="preserve">Per PA review for Overturned,
claim can be allowed at contracted rate. 
FDOC#: 7189840467
</t>
  </si>
  <si>
    <t>d50168a9-8fca-48eb-abd1-a8463c01ec22</t>
  </si>
  <si>
    <t xml:space="preserve">CI-77871251
</t>
  </si>
  <si>
    <t xml:space="preserve">Per PA review for Overturned,
allow at contracted rate. 
FDOC#: 7189841082
</t>
  </si>
  <si>
    <t>45fb2799-6b74-4a14-a094-401cfc82e9a1</t>
  </si>
  <si>
    <t>CI-78186989</t>
  </si>
  <si>
    <t>Dispute overturned. Claim needs to be reprocessed as per recovery reviewed due to procedure codes 36415 and 86235 with MAI Indicator 3. Medical records under MLH# 2026200A50322.</t>
  </si>
  <si>
    <t>Please pay for line 11 only procedure code 86235.</t>
  </si>
  <si>
    <t>Completed 8/14/2026</t>
  </si>
  <si>
    <t>86d7b723-a149-42c1-bc97-5539714e3d77</t>
  </si>
  <si>
    <t xml:space="preserve">CI-77647196
</t>
  </si>
  <si>
    <t>Claim is within the filing limit of 180 days.</t>
  </si>
  <si>
    <t>Upheld. no POTF provided. Claim was beyond the TFL of 180 days DOS 05/02/2023 Received date 11/01/2023.</t>
  </si>
  <si>
    <t>64b34e1c-1d6c-4bf9-9f53-3807dbbad8b0</t>
  </si>
  <si>
    <t>CI-78155232</t>
  </si>
  <si>
    <t>Concept: B7803 | Code not listed on grid, hence overturning the claim and repay L1.</t>
  </si>
  <si>
    <t>9f409f9b-440e-41da-adb8-9b2e61389526</t>
  </si>
  <si>
    <t>CI-77936009</t>
  </si>
  <si>
    <t>Reyes, Irishlynn</t>
  </si>
  <si>
    <t>PA - Overturned
DOCUMENTATION SUPPORTS BILLED CHARGES. CLAIM LINE 4 C1713 $2689.25
FDOC 7191653131</t>
  </si>
  <si>
    <t>24c139b9-a744-43e1-bced-bb8b1a2370da</t>
  </si>
  <si>
    <t>CI-78007997</t>
  </si>
  <si>
    <t>Overturned | PA FDOC: 7191750226
Claim #25230ED9907/Line 6/UNK/$28427.39
Documentation submitted supports the implant charges billed.</t>
  </si>
  <si>
    <t>in-progress - waiting for sme's response to fix edits</t>
  </si>
  <si>
    <t>8e6e6c04-1653-4ce8-a071-9e7aa50ff3d2</t>
  </si>
  <si>
    <t>CI-78275767</t>
  </si>
  <si>
    <t>Reversing claim per B1270-X5, provider submitted acceptable proof of timely filing under MLH #2026202A50141 for claim #2023016CN3779 that has been requested to be restored as it is currently archived, with a check/issue date of 01/30/2025. The claim is within the 180-day filing limit based on the received date of 02/26/2025. | CI-78275767 | 08/13/2026 | |AH89140 | AFEJER | Recovery Disputes</t>
  </si>
  <si>
    <t>3a870d51-a88d-409e-a01f-de8826794845</t>
  </si>
  <si>
    <t>CI-78388663</t>
  </si>
  <si>
    <t>Medical records were recived within the timely filing period 80 days form the Requested date 04/30/2026. Medical records MLH# 2026200B80650 received date 07/17/2026.</t>
  </si>
  <si>
    <t>This is a non dmo claim. Please review for possible RTO.</t>
  </si>
  <si>
    <t>acca045d-069d-4ea5-a14e-2285f7f926ac</t>
  </si>
  <si>
    <t>CI-78444667</t>
  </si>
  <si>
    <t xml:space="preserve">Medical records were received within the timely filing period 80 days form the Requested date 04/30/2026. Medical records MLH# 
2026200B80765 received date 07/17/2026.
</t>
  </si>
  <si>
    <t>78624641-ac17-4c2a-9582-4aa85e039ab2</t>
  </si>
  <si>
    <t>CI-78293649</t>
  </si>
  <si>
    <t>Per ansir B1787 step 5, cross reference claim 2025311EP6541 does not contain DRG.</t>
  </si>
  <si>
    <t>Upheld. Reference claim contain Drug Related Group 807. Kindly check on reference claim under claim image data- claim header in CIW.</t>
  </si>
  <si>
    <t>79f99de8-f4e4-4576-bc48-b20bd7edda0e</t>
  </si>
  <si>
    <t>CI-78293888</t>
  </si>
  <si>
    <t>New allowed amount doesn't match the current allowed amount</t>
  </si>
  <si>
    <t>Upheld. Claim was priced correctly.</t>
  </si>
  <si>
    <t>533aec6d-0636-4b71-bffb-6ba518ea1415</t>
  </si>
  <si>
    <t>CI-78158210</t>
  </si>
  <si>
    <t>Reversing claim per review. Originally, the claim was billed as an inpatient claim under 24141BK7497 but it was converted to an outpatient claim 25143BT0003. Per C34-S609-59-B-X1's criteria, if recoverable claim is outpatient and there is a voided inpatient claim found in history, DO NOT RECOVER.</t>
  </si>
  <si>
    <t>Upheld. Please note that total charge for the line(s) being reviewed should match including CPT/HCPCS codes. Claim in history 24141BK7497, is not a voided claim.</t>
  </si>
  <si>
    <t>92167559-061c-4838-92a9-8fb0a0272b77</t>
  </si>
  <si>
    <t>Reversing claim per review. Per C26-S323-59-B-X1's criteria, if recoverable and xref claim have different rendering NPI (If Rendering ID is blank – no adjustment). Xref claim 24195CA8994 does not have rendering npi, therefore, no adjustment should be made.</t>
  </si>
  <si>
    <t>Upheld. Claim was priced correctly. Different NPI. Kindly open both claim in WCF and check NPI under box 17b.</t>
  </si>
  <si>
    <t>ab2a2e20-164d-40c8-b085-771a4e03c603</t>
  </si>
  <si>
    <t>CI-78205881</t>
  </si>
  <si>
    <t>Reversing claim per PA response, The provider sent in medical records that support the billing of 1200 units of J2327, refer to FDOC #7196559819  | CI-78205881| 08/16/2026 | |AH89140 | AFEJER | Recovery Disputes</t>
  </si>
  <si>
    <t>8cf92c6a-2f33-4b4d-bbb4-7dd677b7d864</t>
  </si>
  <si>
    <t>CI-78132108</t>
  </si>
  <si>
    <t>Overturn per PA response on. FDOC #7196559829</t>
  </si>
  <si>
    <t>afd8188e-10a9-4c72-bf87-ad9844d41f34</t>
  </si>
  <si>
    <t>CI-78292917</t>
  </si>
  <si>
    <t>Per B7819, New allowed amount doesn't match the current allowed amount</t>
  </si>
  <si>
    <t>cf959724-8170-492a-82a7-c285811ecca4</t>
  </si>
  <si>
    <t>CI-78157842</t>
  </si>
  <si>
    <t>Claim needs to be reprocessed as per audit response, This has been reviewed: Line 8 - 0278/C1713 PARTIAL OVERTURN. Denying 2 units that are not implants. Please adjust this line to allow 3,775.07. Line 9 - 0278/C1776 OVERTURN. Able to verify implants billed. Please repay this line according to the Provider's contracted rate. Provider Audit response in FDOC # 7196560979. For reversal approval</t>
  </si>
  <si>
    <t>1672f017-5369-4859-92c7-91ce38f01a03</t>
  </si>
  <si>
    <t>CI-78065226</t>
  </si>
  <si>
    <t>CCA AUDIT OVERTURNED | FDOC: 7196561461
Claim: 2025265FE8336
CL4 / HCPCS C1713
Total Charges: $4194.82
Determination: Overturned. Documentation supports implants billed.
Total Provider Repayment: $4194.82</t>
  </si>
  <si>
    <t>4a707820-0174-4baa-91f6-14416581b491</t>
  </si>
  <si>
    <t> CI-77989814</t>
  </si>
  <si>
    <t>Overturn- PA response FODC# 7196591828</t>
  </si>
  <si>
    <t>Okay to adjust. PAM edit on claim. Please make sure to look for an approved auth before adjusting the claim.</t>
  </si>
  <si>
    <t>e823f52f-e60c-4c57-8ab5-429ce98569f5</t>
  </si>
  <si>
    <t> CI-77990003</t>
  </si>
  <si>
    <t>Overturn- PA response FDOC# 7196592425</t>
  </si>
  <si>
    <t>49b2ad22-1ae4-4b01-bd46-b37f272e4f4f</t>
  </si>
  <si>
    <t>CI-78032049</t>
  </si>
  <si>
    <t>Clarisa, Alfonso</t>
  </si>
  <si>
    <t xml:space="preserve">Overturned&gt;As per PA response found in FDOC#7196577564, OVERTURNED - J3300 OSC
Previous records sent in by the provider indicate their use of J3300 for this claim has been reviewed by SIU.” Per SIU Case No. C-2025-12864 Anthem agreed to treat overpayments for code J3300 as educational and not pursue repayment for J3300 claims if OSC changed its billing practice prospectively. OSC changed its billing practice effective February 17, 2026”
Please repay the claim.
 </t>
  </si>
  <si>
    <t>a3435c20-8542-4941-b2cb-87f2cdd337c2</t>
  </si>
  <si>
    <t>CI-78105737</t>
  </si>
  <si>
    <t>Reversing claim per review. Provider has contract agreement with Anthem that says they have a 12 Month Timely Filing period under MLH 2026198RH0223. Claim was received on 01/09/2025 and within the timely filing limit of 12 Months.</t>
  </si>
  <si>
    <t>14563e3f-bec0-4d90-9519-18e5dcdeaf56</t>
  </si>
  <si>
    <t>CI-78166120</t>
  </si>
  <si>
    <t>4822d6a4-986c-4ae6-8984-f1c207addcdf</t>
  </si>
  <si>
    <t>CI-78186106</t>
  </si>
  <si>
    <t>Dispute overturned. Claim needs to be reprocessed as per recovery review. Claim 2025343DA8168 was denied due to B398-X15 concept referencing back to original claim which was already denied.</t>
  </si>
  <si>
    <t>cf679118-7b67-48e1-b7cb-558fa0b4d236</t>
  </si>
  <si>
    <t>CI-78335369</t>
  </si>
  <si>
    <t>Concept B869: Overturned | With medical records on MLH 2026202RM0464| MAI indicator 3.</t>
  </si>
  <si>
    <t>ac55469e-0d6e-4960-a1b8-134b90ff8ad8</t>
  </si>
  <si>
    <t>PER PA RESPONSE OVERTURN. Able to verify implants billed.Please repay this line according to the Provider's contracted rate. FDOC#7196592878</t>
  </si>
  <si>
    <t>230ba357-ff7f-4e1d-b4d9-5176b5cb74fe</t>
  </si>
  <si>
    <t>Per PA response Overturned, documentation received on appeal supports Implants billed. FDOC#7196593038</t>
  </si>
  <si>
    <t>d602296d-7352-4f14-afba-add2ca54d1bc</t>
  </si>
  <si>
    <t>Per PA response Overturned.
Claim #24005DZ9661/Line 2/C1713/$3531.48
Documentation submitted supports the implant charges billed. FDOC#7196597102</t>
  </si>
  <si>
    <t>f476fabd-9918-4471-b39a-72c2f11f4ae1</t>
  </si>
  <si>
    <t>CI-77790873</t>
  </si>
  <si>
    <t>Per PA response. Overturned.
Claim #24225CU1584/Line/UNK $9449.64
Documentation submitted supports the implant charges billed. FDOC#7196598343</t>
  </si>
  <si>
    <t>6a04a85e-5c8e-4d7a-94fc-98c009033e99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</si>
</sst>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theme="1"/>
      <name val="Aptos Narrow"/>
      <family val="2"/>
      <scheme val="minor"/>
    </font>
    <font>
      <sz val="11"/>
      <color rgb="FF10132E"/>
      <name val="OpenSans"/>
      <charset val="1"/>
    </font>
    <font>
      <sz val="11"/>
      <color rgb="FF000000"/>
      <name val="Aptos Narrow"/>
      <family val="2"/>
    </font>
    <font>
      <b/>
      <sz val="11"/>
      <color theme="0"/>
      <name val="Aptos Narrow"/>
      <family val="2"/>
      <scheme val="minor"/>
    </font>
    <font>
      <sz val="11"/>
      <color theme="1"/>
      <name val="Arial"/>
      <family val="2"/>
    </font>
    <font>
      <sz val="11"/>
      <color theme="1"/>
      <name val="OpenSans"/>
      <charset val="1"/>
    </font>
    <font>
      <sz val="11"/>
      <color rgb="FF000000"/>
      <name val="Aptos Narrow"/>
      <family val="2"/>
      <scheme val="minor"/>
    </font>
    <font>
      <sz val="11"/>
      <color rgb="FFFF0000"/>
      <name val="Aptos Narrow"/>
      <family val="2"/>
      <scheme val="minor"/>
    </font>
    <font>
      <sz val="11"/>
      <color rgb="FF10132E"/>
      <name val="Aptos Narrow"/>
      <family val="2"/>
      <scheme val="minor"/>
    </font>
    <font>
      <sz val="10.5"/>
      <color theme="1"/>
      <name val="OpenSans"/>
      <charset val="1"/>
    </font>
    <font>
      <sz val="10"/>
      <color rgb="FF000000"/>
      <name val="Arial"/>
      <family val="2"/>
    </font>
    <font>
      <sz val="10"/>
      <color rgb="FF10132E"/>
      <name val="Arial"/>
      <family val="2"/>
    </font>
    <font>
      <sz val="11"/>
      <color rgb="FF242424"/>
      <name val="Aptos Narrow"/>
      <family val="2"/>
    </font>
    <font>
      <sz val="10"/>
      <color rgb="FF10132E"/>
      <name val="OpenSans"/>
      <charset val="1"/>
    </font>
    <font>
      <b/>
      <sz val="9"/>
      <color rgb="FF666666"/>
      <name val="OpenSans"/>
      <charset val="1"/>
    </font>
    <font>
      <sz val="12"/>
      <color theme="1"/>
      <name val="Aptos"/>
      <family val="2"/>
    </font>
    <font>
      <sz val="11"/>
      <color theme="1"/>
      <name val="Segoe UI"/>
      <family val="2"/>
    </font>
    <font>
      <sz val="11"/>
      <color rgb="FF000000"/>
      <name val="Calibri"/>
      <family val="2"/>
    </font>
    <font>
      <b/>
      <sz val="11"/>
      <color rgb="FF000000"/>
      <name val="Aptos Narrow"/>
      <family val="2"/>
      <scheme val="minor"/>
    </font>
    <font>
      <sz val="11"/>
      <name val="Aptos Narrow"/>
      <family val="2"/>
    </font>
    <font>
      <sz val="11"/>
      <color rgb="FF000000"/>
      <name val="Aptos Display"/>
      <family val="2"/>
    </font>
    <font>
      <sz val="11.5"/>
      <color rgb="FF000000"/>
      <name val="Segoe UI"/>
      <family val="2"/>
    </font>
    <font>
      <sz val="12"/>
      <color rgb="FF000000"/>
      <name val="Elevance Sans"/>
      <family val="3"/>
    </font>
    <font>
      <sz val="11"/>
      <color theme="1"/>
      <name val="Calibri"/>
      <family val="2"/>
    </font>
    <font>
      <sz val="11"/>
      <color rgb="FF10132E"/>
      <name val="OpenSans"/>
      <family val="2"/>
      <charset val="1"/>
    </font>
    <font>
      <sz val="12"/>
      <color rgb="FF10132E"/>
      <name val="Arial"/>
      <family val="2"/>
    </font>
    <font>
      <sz val="11"/>
      <color theme="1"/>
      <name val="Aptos Narrow"/>
      <family val="2"/>
      <scheme val="minor"/>
    </font>
    <font>
      <sz val="11"/>
      <color theme="1"/>
      <name val="OpenSans"/>
      <family val="2"/>
      <charset val="1"/>
    </font>
    <font>
      <sz val="12"/>
      <color rgb="FF292929"/>
      <name val="Aptos"/>
      <family val="2"/>
    </font>
    <font>
      <sz val="12"/>
      <color rgb="FF2F2F2F"/>
      <name val="Aptos"/>
      <family val="2"/>
    </font>
    <font>
      <b/>
      <sz val="11"/>
      <color rgb="FF000000"/>
      <name val="Aptos Narrow"/>
      <scheme val="minor"/>
    </font>
    <font>
      <b/>
      <sz val="11"/>
      <color rgb="FFFF0000"/>
      <name val="Aptos Narrow"/>
      <scheme val="minor"/>
    </font>
    <font>
      <b/>
      <sz val="11"/>
      <color rgb="FFFF0000"/>
      <name val="Aptos Narrow"/>
      <family val="2"/>
      <scheme val="minor"/>
    </font>
    <font>
      <sz val="11"/>
      <color rgb="FF000000"/>
      <name val="Aptos Narrow"/>
    </font>
    <font>
      <sz val="11"/>
      <color rgb="FFFF0000"/>
      <name val="Aptos Narrow"/>
    </font>
    <font>
      <sz val="11"/>
      <color theme="1"/>
      <name val="Aptos Narrow"/>
    </font>
    <font>
      <b/>
      <sz val="11"/>
      <color theme="1"/>
      <name val="Aptos Narrow"/>
      <scheme val="minor"/>
    </font>
    <font>
      <sz val="12"/>
      <color rgb="FF292929"/>
      <name val="Aptos"/>
      <charset val="1"/>
    </font>
    <font>
      <sz val="11"/>
      <color rgb="FF000000"/>
      <name val="Aptos Narrow"/>
      <charset val="1"/>
    </font>
    <font>
      <sz val="11"/>
      <color rgb="FF000000"/>
      <name val="Aptos Narrow"/>
      <scheme val="minor"/>
    </font>
    <font>
      <sz val="11"/>
      <color rgb="FFFF0000"/>
      <name val="Aptos Narrow"/>
      <scheme val="minor"/>
    </font>
    <font>
      <sz val="12"/>
      <color rgb="FF000000"/>
      <name val="Elevance Sans"/>
      <charset val="1"/>
    </font>
    <font>
      <sz val="11"/>
      <color theme="1"/>
      <name val="Aptos Narrow"/>
      <scheme val="minor"/>
    </font>
    <font>
      <sz val="12"/>
      <color rgb="FF10132E"/>
      <name val="Arial"/>
    </font>
    <font>
      <sz val="11"/>
      <color rgb="FF000000"/>
      <name val="Cambria"/>
      <family val="1"/>
      <charset val="1"/>
    </font>
    <font>
      <sz val="10"/>
      <color rgb="FF10132E"/>
      <name val="OpenSans"/>
      <family val="2"/>
      <charset val="1"/>
    </font>
    <font>
      <b/>
      <sz val="9"/>
      <color rgb="FF666666"/>
      <name val="OpenSans"/>
      <family val="2"/>
      <charset val="1"/>
    </font>
    <font>
      <sz val="11"/>
      <color rgb="FF000000"/>
      <name val="Arial"/>
    </font>
    <font>
      <sz val="7"/>
      <color rgb="FF10132E"/>
      <name val="Arial"/>
      <family val="2"/>
    </font>
    <font>
      <sz val="11"/>
      <color theme="1"/>
      <name val="Calibri"/>
      <charset val="1"/>
    </font>
    <font>
      <sz val="11"/>
      <color rgb="FF10132E"/>
      <name val="Arial"/>
      <family val="2"/>
    </font>
    <font>
      <sz val="12"/>
      <color rgb="FF000000"/>
      <name val="Calibri"/>
    </font>
    <font>
      <sz val="11"/>
      <color theme="1"/>
      <name val="Aptos Display"/>
      <scheme val="major"/>
    </font>
    <font>
      <sz val="9"/>
      <color rgb="FF00008B"/>
      <name val="Tahoma"/>
      <charset val="1"/>
    </font>
    <font>
      <sz val="12"/>
      <color rgb="FF10132E"/>
      <name val="OpenSans"/>
      <charset val="1"/>
    </font>
    <font>
      <b/>
      <sz val="12"/>
      <color rgb="FF666666"/>
      <name val="OpenSans"/>
      <charset val="1"/>
    </font>
    <font>
      <b/>
      <sz val="10"/>
      <color rgb="FFFFFFFF"/>
      <name val="Elevance Sans"/>
      <family val="3"/>
    </font>
    <font>
      <sz val="8"/>
      <name val="Aptos Narrow"/>
      <family val="2"/>
      <scheme val="minor"/>
    </font>
    <font>
      <sz val="11"/>
      <color rgb="FF323130"/>
      <name val="Segoe UI"/>
      <charset val="1"/>
    </font>
  </fonts>
  <fills count="10">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theme="4"/>
        <bgColor theme="4"/>
      </patternFill>
    </fill>
    <fill>
      <patternFill patternType="solid">
        <fgColor theme="9" tint="0.79998168889431442"/>
        <bgColor indexed="64"/>
      </patternFill>
    </fill>
    <fill>
      <patternFill patternType="solid">
        <fgColor rgb="FF002060"/>
        <bgColor rgb="FF000000"/>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indexed="64"/>
      </left>
      <right style="thin">
        <color indexed="64"/>
      </right>
      <top/>
      <bottom style="thin">
        <color indexed="64"/>
      </bottom>
      <diagonal/>
    </border>
    <border>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style="thin">
        <color theme="3" tint="0.24994659260841701"/>
      </top>
      <bottom/>
      <diagonal/>
    </border>
    <border>
      <left style="thin">
        <color theme="3" tint="0.24994659260841701"/>
      </left>
      <right style="thin">
        <color theme="3" tint="0.24994659260841701"/>
      </right>
      <top/>
      <bottom style="thin">
        <color theme="3" tint="0.24994659260841701"/>
      </bottom>
      <diagonal/>
    </border>
    <border>
      <left style="thin">
        <color theme="3" tint="0.24994659260841701"/>
      </left>
      <right/>
      <top style="thin">
        <color theme="3" tint="0.24994659260841701"/>
      </top>
      <bottom style="thin">
        <color theme="3" tint="0.24994659260841701"/>
      </bottom>
      <diagonal/>
    </border>
    <border>
      <left/>
      <right style="thin">
        <color indexed="64"/>
      </right>
      <top/>
      <bottom style="thin">
        <color indexed="64"/>
      </bottom>
      <diagonal/>
    </border>
    <border>
      <left/>
      <right/>
      <top/>
      <bottom style="thin">
        <color rgb="FF000000"/>
      </bottom>
      <diagonal/>
    </border>
    <border>
      <left/>
      <right style="thin">
        <color rgb="FF000000"/>
      </right>
      <top/>
      <bottom style="thin">
        <color rgb="FF000000"/>
      </bottom>
      <diagonal/>
    </border>
    <border>
      <left/>
      <right/>
      <top style="medium">
        <color rgb="FFCCCCCC"/>
      </top>
      <bottom/>
      <diagonal/>
    </border>
    <border>
      <left style="dotted">
        <color theme="2"/>
      </left>
      <right style="dotted">
        <color theme="2"/>
      </right>
      <top style="dotted">
        <color theme="2"/>
      </top>
      <bottom style="dotted">
        <color theme="2"/>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top/>
      <bottom style="thin">
        <color theme="3" tint="0.24994659260841701"/>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rgb="FF44B3E1"/>
      </left>
      <right/>
      <top style="thin">
        <color rgb="FF44B3E1"/>
      </top>
      <bottom/>
      <diagonal/>
    </border>
    <border>
      <left/>
      <right/>
      <top style="thin">
        <color rgb="FF44B3E1"/>
      </top>
      <bottom/>
      <diagonal/>
    </border>
  </borders>
  <cellStyleXfs count="1">
    <xf numFmtId="0" fontId="0" fillId="0" borderId="0"/>
  </cellStyleXfs>
  <cellXfs count="194">
    <xf numFmtId="0" fontId="0" fillId="0" borderId="0" xfId="0"/>
    <xf numFmtId="0" fontId="0" fillId="0" borderId="0" xfId="0" pivotButton="1"/>
    <xf numFmtId="0" fontId="0" fillId="2" borderId="0" xfId="0" applyFill="1"/>
    <xf numFmtId="14" fontId="0" fillId="0" borderId="0" xfId="0" applyNumberFormat="1" applyAlignment="1">
      <alignment horizontal="left"/>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xf>
    <xf numFmtId="14" fontId="0" fillId="2" borderId="3" xfId="0" applyNumberFormat="1" applyFill="1" applyBorder="1" applyAlignment="1">
      <alignment horizontal="center" vertical="center"/>
    </xf>
    <xf numFmtId="0" fontId="0" fillId="0" borderId="1" xfId="0" applyBorder="1"/>
    <xf numFmtId="0" fontId="0" fillId="6" borderId="1" xfId="0" applyFill="1" applyBorder="1"/>
    <xf numFmtId="0" fontId="0" fillId="0" borderId="18" xfId="0" applyBorder="1"/>
    <xf numFmtId="0" fontId="0" fillId="0" borderId="15" xfId="0" applyBorder="1"/>
    <xf numFmtId="0" fontId="0" fillId="8" borderId="0" xfId="0" applyFill="1" applyAlignment="1">
      <alignment horizontal="center"/>
    </xf>
    <xf numFmtId="0" fontId="56" fillId="9" borderId="18" xfId="0" applyFont="1" applyFill="1" applyBorder="1"/>
    <xf numFmtId="0" fontId="0" fillId="0" borderId="1" xfId="0" applyBorder="1" applyAlignment="1">
      <alignment horizontal="left"/>
    </xf>
    <xf numFmtId="0" fontId="0" fillId="0" borderId="0" xfId="0" applyAlignment="1">
      <alignment horizontal="left" wrapText="1"/>
    </xf>
    <xf numFmtId="0" fontId="6" fillId="0" borderId="0" xfId="0" applyFont="1" applyAlignment="1">
      <alignment horizontal="left"/>
    </xf>
    <xf numFmtId="0" fontId="3" fillId="7" borderId="7" xfId="0" applyFont="1" applyFill="1" applyBorder="1" applyAlignment="1">
      <alignment horizontal="center" vertical="center"/>
    </xf>
    <xf numFmtId="0" fontId="3" fillId="7" borderId="7" xfId="0" applyFont="1" applyFill="1" applyBorder="1" applyAlignment="1">
      <alignment horizontal="center" vertical="center" wrapText="1"/>
    </xf>
    <xf numFmtId="14" fontId="3" fillId="7" borderId="7" xfId="0" applyNumberFormat="1" applyFont="1" applyFill="1" applyBorder="1"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14" fontId="6" fillId="0" borderId="3" xfId="0" applyNumberFormat="1" applyFont="1" applyBorder="1" applyAlignment="1">
      <alignment horizontal="center" vertical="center" wrapText="1"/>
    </xf>
    <xf numFmtId="0" fontId="5"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1" fillId="0" borderId="0" xfId="0" applyFont="1" applyAlignment="1">
      <alignment wrapText="1"/>
    </xf>
    <xf numFmtId="0" fontId="2" fillId="0" borderId="0" xfId="0" applyFont="1" applyAlignment="1">
      <alignment vertical="center" wrapText="1"/>
    </xf>
    <xf numFmtId="0" fontId="6" fillId="0" borderId="0" xfId="0" applyFont="1" applyAlignment="1">
      <alignment horizontal="center" vertical="center"/>
    </xf>
    <xf numFmtId="0" fontId="8" fillId="0" borderId="0" xfId="0" applyFont="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horizontal="center" vertical="center"/>
    </xf>
    <xf numFmtId="14" fontId="0" fillId="0" borderId="1" xfId="0" applyNumberFormat="1" applyBorder="1" applyAlignment="1">
      <alignment horizontal="center" vertical="center"/>
    </xf>
    <xf numFmtId="0" fontId="5" fillId="0" borderId="1" xfId="0" applyFont="1" applyBorder="1" applyAlignment="1">
      <alignment horizontal="center" wrapText="1"/>
    </xf>
    <xf numFmtId="0" fontId="0" fillId="0" borderId="1" xfId="0" applyBorder="1" applyAlignment="1">
      <alignment horizontal="center" vertical="center"/>
    </xf>
    <xf numFmtId="0" fontId="9" fillId="0" borderId="1" xfId="0" applyFont="1" applyBorder="1"/>
    <xf numFmtId="0" fontId="0" fillId="0" borderId="5" xfId="0" applyBorder="1" applyAlignment="1">
      <alignment horizontal="center" vertical="center"/>
    </xf>
    <xf numFmtId="0" fontId="2" fillId="0" borderId="2" xfId="0" applyFont="1" applyBorder="1" applyAlignment="1">
      <alignment horizontal="center"/>
    </xf>
    <xf numFmtId="0" fontId="0" fillId="0" borderId="1" xfId="0" applyBorder="1" applyAlignment="1">
      <alignment horizontal="center" vertical="center" wrapText="1"/>
    </xf>
    <xf numFmtId="14"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10" fillId="0" borderId="2" xfId="0" applyFont="1" applyBorder="1" applyAlignment="1">
      <alignment horizontal="center"/>
    </xf>
    <xf numFmtId="0" fontId="11" fillId="0" borderId="4" xfId="0" applyFont="1" applyBorder="1" applyAlignment="1">
      <alignment horizontal="center"/>
    </xf>
    <xf numFmtId="0" fontId="12" fillId="0" borderId="0" xfId="0" applyFont="1" applyAlignment="1">
      <alignment horizontal="center"/>
    </xf>
    <xf numFmtId="14" fontId="0" fillId="0" borderId="3" xfId="0" applyNumberFormat="1" applyBorder="1" applyAlignment="1">
      <alignment horizontal="center" vertical="center" wrapText="1"/>
    </xf>
    <xf numFmtId="0" fontId="11" fillId="0" borderId="4" xfId="0" applyFont="1" applyBorder="1" applyAlignment="1">
      <alignment horizontal="center" vertical="center"/>
    </xf>
    <xf numFmtId="14" fontId="0" fillId="0" borderId="8" xfId="0" applyNumberFormat="1" applyBorder="1" applyAlignment="1">
      <alignment horizontal="center" vertical="center"/>
    </xf>
    <xf numFmtId="0" fontId="13" fillId="0" borderId="1" xfId="0" applyFont="1" applyBorder="1" applyAlignment="1">
      <alignment horizontal="center"/>
    </xf>
    <xf numFmtId="0" fontId="14" fillId="0" borderId="1" xfId="0" applyFont="1" applyBorder="1" applyAlignment="1">
      <alignment horizontal="center"/>
    </xf>
    <xf numFmtId="0" fontId="0" fillId="0" borderId="1" xfId="0" applyBorder="1" applyAlignment="1">
      <alignment horizontal="center"/>
    </xf>
    <xf numFmtId="0" fontId="12" fillId="0" borderId="0" xfId="0" applyFont="1"/>
    <xf numFmtId="0" fontId="2" fillId="0" borderId="0" xfId="0" applyFont="1" applyAlignment="1">
      <alignment wrapText="1"/>
    </xf>
    <xf numFmtId="0" fontId="5" fillId="0" borderId="1" xfId="0" applyFont="1" applyBorder="1" applyAlignment="1">
      <alignment horizontal="center" vertical="center" wrapText="1"/>
    </xf>
    <xf numFmtId="0" fontId="1" fillId="0" borderId="0" xfId="0" applyFont="1" applyAlignment="1">
      <alignment horizontal="center" vertical="center" wrapText="1"/>
    </xf>
    <xf numFmtId="0" fontId="16" fillId="0" borderId="0" xfId="0" applyFont="1" applyAlignment="1">
      <alignment wrapText="1"/>
    </xf>
    <xf numFmtId="0" fontId="6" fillId="0" borderId="3" xfId="0" applyFont="1" applyBorder="1" applyAlignment="1">
      <alignment horizontal="left" vertical="center" wrapText="1"/>
    </xf>
    <xf numFmtId="0" fontId="1" fillId="0" borderId="0" xfId="0" applyFont="1"/>
    <xf numFmtId="0" fontId="6" fillId="0" borderId="0" xfId="0" applyFont="1"/>
    <xf numFmtId="0" fontId="15" fillId="0" borderId="0" xfId="0" applyFont="1"/>
    <xf numFmtId="0" fontId="5" fillId="0" borderId="0" xfId="0" applyFont="1" applyAlignment="1">
      <alignment wrapText="1"/>
    </xf>
    <xf numFmtId="0" fontId="1" fillId="0" borderId="0" xfId="0" applyFont="1" applyAlignment="1">
      <alignment horizontal="center" wrapText="1"/>
    </xf>
    <xf numFmtId="0" fontId="2" fillId="0" borderId="9" xfId="0" applyFont="1" applyBorder="1" applyAlignment="1">
      <alignment wrapText="1"/>
    </xf>
    <xf numFmtId="0" fontId="0" fillId="0" borderId="0" xfId="0" applyAlignment="1">
      <alignment vertical="center"/>
    </xf>
    <xf numFmtId="0" fontId="5" fillId="0" borderId="10" xfId="0" applyFont="1" applyBorder="1" applyAlignment="1">
      <alignment wrapText="1"/>
    </xf>
    <xf numFmtId="0" fontId="0" fillId="0" borderId="0" xfId="0" applyAlignment="1">
      <alignment wrapText="1"/>
    </xf>
    <xf numFmtId="0" fontId="17" fillId="0" borderId="11" xfId="0" applyFont="1" applyBorder="1"/>
    <xf numFmtId="0" fontId="0" fillId="0" borderId="1" xfId="0" applyBorder="1" applyAlignment="1">
      <alignment wrapText="1"/>
    </xf>
    <xf numFmtId="0" fontId="19" fillId="0" borderId="0" xfId="0" applyFont="1" applyAlignment="1">
      <alignment horizontal="center" vertical="center"/>
    </xf>
    <xf numFmtId="0" fontId="17" fillId="0" borderId="0" xfId="0" applyFont="1" applyAlignment="1">
      <alignment horizontal="center" vertical="center"/>
    </xf>
    <xf numFmtId="0" fontId="1" fillId="0" borderId="0" xfId="0" applyFont="1" applyAlignment="1">
      <alignment horizontal="center"/>
    </xf>
    <xf numFmtId="0" fontId="24" fillId="0" borderId="0" xfId="0" applyFont="1"/>
    <xf numFmtId="0" fontId="20" fillId="0" borderId="12" xfId="0" applyFont="1" applyBorder="1" applyAlignment="1">
      <alignment wrapText="1"/>
    </xf>
    <xf numFmtId="0" fontId="2" fillId="0" borderId="0" xfId="0" applyFont="1"/>
    <xf numFmtId="0" fontId="21" fillId="0" borderId="0" xfId="0" applyFont="1" applyAlignment="1">
      <alignment horizontal="center" vertical="center"/>
    </xf>
    <xf numFmtId="14" fontId="18" fillId="0" borderId="3" xfId="0" applyNumberFormat="1" applyFont="1" applyBorder="1" applyAlignment="1">
      <alignment horizontal="center" vertical="center" wrapText="1"/>
    </xf>
    <xf numFmtId="0" fontId="0" fillId="0" borderId="13" xfId="0" applyBorder="1" applyAlignment="1">
      <alignment horizontal="center" vertical="center" wrapText="1"/>
    </xf>
    <xf numFmtId="14" fontId="36" fillId="0" borderId="3" xfId="0" applyNumberFormat="1" applyFont="1" applyBorder="1" applyAlignment="1">
      <alignment horizontal="center" vertical="center" wrapText="1"/>
    </xf>
    <xf numFmtId="0" fontId="13"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0" fillId="0" borderId="14" xfId="0" applyBorder="1" applyAlignment="1">
      <alignment horizontal="center" vertical="center"/>
    </xf>
    <xf numFmtId="0" fontId="22" fillId="0" borderId="0" xfId="0" applyFont="1" applyAlignment="1">
      <alignment wrapText="1"/>
    </xf>
    <xf numFmtId="0" fontId="23" fillId="0" borderId="0" xfId="0" applyFont="1" applyAlignment="1">
      <alignment wrapText="1"/>
    </xf>
    <xf numFmtId="0" fontId="2" fillId="0" borderId="2" xfId="0" applyFont="1" applyBorder="1" applyAlignment="1">
      <alignment horizontal="center" vertical="center"/>
    </xf>
    <xf numFmtId="0" fontId="26" fillId="0" borderId="3"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 xfId="0" applyFont="1" applyBorder="1" applyAlignment="1">
      <alignment horizontal="center" vertical="center"/>
    </xf>
    <xf numFmtId="14" fontId="32" fillId="0" borderId="3" xfId="0" applyNumberFormat="1" applyFont="1" applyBorder="1" applyAlignment="1">
      <alignment horizontal="center" vertical="center"/>
    </xf>
    <xf numFmtId="0" fontId="25" fillId="0" borderId="0" xfId="0" applyFont="1"/>
    <xf numFmtId="0" fontId="9" fillId="0" borderId="0" xfId="0" applyFont="1"/>
    <xf numFmtId="0" fontId="27" fillId="0" borderId="10" xfId="0" applyFont="1" applyBorder="1" applyAlignment="1">
      <alignment horizontal="center" vertical="center" wrapText="1"/>
    </xf>
    <xf numFmtId="0" fontId="0" fillId="0" borderId="10" xfId="0" applyBorder="1" applyAlignment="1">
      <alignment horizontal="center" vertical="center"/>
    </xf>
    <xf numFmtId="0" fontId="35" fillId="0" borderId="3" xfId="0" applyFont="1" applyBorder="1" applyAlignment="1">
      <alignment horizontal="left" vertical="center" wrapText="1"/>
    </xf>
    <xf numFmtId="0" fontId="2" fillId="0" borderId="0" xfId="0" applyFont="1" applyAlignment="1">
      <alignment horizontal="center"/>
    </xf>
    <xf numFmtId="0" fontId="2" fillId="0" borderId="1" xfId="0" applyFont="1" applyBorder="1" applyAlignment="1">
      <alignment horizontal="center" vertical="center"/>
    </xf>
    <xf numFmtId="14" fontId="0" fillId="0" borderId="15" xfId="0" applyNumberFormat="1" applyBorder="1" applyAlignment="1">
      <alignment horizontal="center"/>
    </xf>
    <xf numFmtId="0" fontId="9" fillId="0" borderId="15" xfId="0" applyFont="1" applyBorder="1" applyAlignment="1">
      <alignment horizontal="center"/>
    </xf>
    <xf numFmtId="0" fontId="0" fillId="0" borderId="15" xfId="0" applyBorder="1" applyAlignment="1">
      <alignment horizontal="center"/>
    </xf>
    <xf numFmtId="0" fontId="23" fillId="0" borderId="1" xfId="0" applyFont="1" applyBorder="1" applyAlignment="1">
      <alignment horizontal="left" wrapText="1"/>
    </xf>
    <xf numFmtId="14" fontId="0" fillId="0" borderId="1" xfId="0" applyNumberFormat="1" applyBorder="1" applyAlignment="1">
      <alignment horizontal="center"/>
    </xf>
    <xf numFmtId="0" fontId="28" fillId="0" borderId="1" xfId="0" applyFont="1" applyBorder="1"/>
    <xf numFmtId="0" fontId="0" fillId="0" borderId="16" xfId="0" applyBorder="1" applyAlignment="1">
      <alignment horizontal="center"/>
    </xf>
    <xf numFmtId="0" fontId="29" fillId="0" borderId="1" xfId="0" applyFont="1" applyBorder="1" applyAlignment="1">
      <alignment wrapText="1"/>
    </xf>
    <xf numFmtId="14" fontId="7" fillId="0" borderId="3" xfId="0" applyNumberFormat="1" applyFont="1" applyBorder="1" applyAlignment="1">
      <alignment horizontal="center" vertical="center"/>
    </xf>
    <xf numFmtId="14" fontId="0" fillId="0" borderId="18" xfId="0" applyNumberFormat="1" applyBorder="1" applyAlignment="1">
      <alignment horizontal="center" vertical="center"/>
    </xf>
    <xf numFmtId="0" fontId="2" fillId="0" borderId="18" xfId="0" applyFont="1" applyBorder="1" applyAlignment="1">
      <alignment horizontal="center" vertical="center"/>
    </xf>
    <xf numFmtId="0" fontId="0" fillId="0" borderId="18" xfId="0" applyBorder="1" applyAlignment="1">
      <alignment horizontal="center" vertical="center"/>
    </xf>
    <xf numFmtId="0" fontId="33" fillId="0" borderId="0" xfId="0" applyFont="1" applyAlignment="1">
      <alignment horizontal="center"/>
    </xf>
    <xf numFmtId="0" fontId="7" fillId="0" borderId="3" xfId="0" applyFont="1" applyBorder="1" applyAlignment="1">
      <alignment horizontal="left" vertical="center" wrapText="1"/>
    </xf>
    <xf numFmtId="14" fontId="0" fillId="0" borderId="3" xfId="0" applyNumberFormat="1" applyBorder="1" applyAlignment="1">
      <alignment horizontal="left" vertical="center" wrapText="1"/>
    </xf>
    <xf numFmtId="0" fontId="0" fillId="0" borderId="0" xfId="0" applyAlignment="1">
      <alignment horizontal="center" vertical="center" wrapText="1"/>
    </xf>
    <xf numFmtId="14" fontId="42" fillId="0" borderId="3" xfId="0" applyNumberFormat="1" applyFont="1" applyBorder="1" applyAlignment="1">
      <alignment horizontal="center" vertical="center" wrapText="1"/>
    </xf>
    <xf numFmtId="0" fontId="6" fillId="0" borderId="0" xfId="0" applyFont="1" applyAlignment="1">
      <alignment horizontal="center"/>
    </xf>
    <xf numFmtId="0" fontId="33" fillId="0" borderId="1" xfId="0" applyFont="1" applyBorder="1" applyAlignment="1">
      <alignment horizontal="center" vertical="center"/>
    </xf>
    <xf numFmtId="0" fontId="33" fillId="0" borderId="2" xfId="0" applyFont="1" applyBorder="1" applyAlignment="1">
      <alignment horizontal="center" wrapText="1"/>
    </xf>
    <xf numFmtId="0" fontId="33" fillId="0" borderId="17" xfId="0" applyFont="1" applyBorder="1" applyAlignment="1">
      <alignment horizontal="center" wrapText="1"/>
    </xf>
    <xf numFmtId="0" fontId="37" fillId="0" borderId="1" xfId="0" applyFont="1" applyBorder="1"/>
    <xf numFmtId="0" fontId="0" fillId="0" borderId="5" xfId="0" applyBorder="1" applyAlignment="1">
      <alignment horizontal="center"/>
    </xf>
    <xf numFmtId="0" fontId="0" fillId="0" borderId="3" xfId="0" applyBorder="1" applyAlignment="1">
      <alignment horizontal="center" wrapText="1"/>
    </xf>
    <xf numFmtId="14" fontId="0" fillId="0" borderId="7" xfId="0" applyNumberFormat="1" applyBorder="1" applyAlignment="1">
      <alignment horizontal="center"/>
    </xf>
    <xf numFmtId="0" fontId="0" fillId="0" borderId="7" xfId="0" applyBorder="1" applyAlignment="1">
      <alignment horizontal="center" wrapText="1"/>
    </xf>
    <xf numFmtId="0" fontId="0" fillId="0" borderId="7" xfId="0" applyBorder="1" applyAlignment="1">
      <alignment horizontal="center"/>
    </xf>
    <xf numFmtId="0" fontId="0" fillId="0" borderId="3" xfId="0" applyBorder="1" applyAlignment="1">
      <alignment horizontal="center"/>
    </xf>
    <xf numFmtId="14" fontId="0" fillId="0" borderId="3" xfId="0" applyNumberFormat="1" applyBorder="1" applyAlignment="1">
      <alignment horizontal="center"/>
    </xf>
    <xf numFmtId="14" fontId="0" fillId="0" borderId="6" xfId="0" applyNumberFormat="1" applyBorder="1" applyAlignment="1">
      <alignment horizontal="center"/>
    </xf>
    <xf numFmtId="0" fontId="38"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wrapText="1"/>
    </xf>
    <xf numFmtId="0" fontId="0" fillId="0" borderId="6" xfId="0" applyBorder="1" applyAlignment="1">
      <alignment horizontal="left" vertical="center" wrapText="1"/>
    </xf>
    <xf numFmtId="0" fontId="6" fillId="0" borderId="18" xfId="0" applyFont="1" applyBorder="1" applyAlignment="1">
      <alignment horizontal="center" vertical="center" wrapText="1"/>
    </xf>
    <xf numFmtId="0" fontId="0" fillId="0" borderId="15" xfId="0" applyBorder="1" applyAlignment="1">
      <alignment horizontal="center" vertical="center"/>
    </xf>
    <xf numFmtId="0" fontId="0" fillId="0" borderId="15" xfId="0" applyBorder="1" applyAlignment="1">
      <alignment horizontal="center" vertical="center" wrapText="1"/>
    </xf>
    <xf numFmtId="0" fontId="0" fillId="0" borderId="7" xfId="0" applyBorder="1" applyAlignment="1">
      <alignment horizontal="left" vertical="center" wrapText="1"/>
    </xf>
    <xf numFmtId="0" fontId="14" fillId="0" borderId="0" xfId="0" applyFont="1" applyAlignment="1">
      <alignment horizontal="center" vertical="center"/>
    </xf>
    <xf numFmtId="0" fontId="9" fillId="0" borderId="0" xfId="0" applyFont="1" applyAlignment="1">
      <alignment horizontal="center"/>
    </xf>
    <xf numFmtId="0" fontId="41" fillId="0" borderId="0" xfId="0" applyFont="1" applyAlignment="1">
      <alignment wrapText="1"/>
    </xf>
    <xf numFmtId="0" fontId="13" fillId="0" borderId="0" xfId="0" applyFont="1"/>
    <xf numFmtId="0" fontId="14" fillId="0" borderId="0" xfId="0" applyFont="1"/>
    <xf numFmtId="0" fontId="38" fillId="0" borderId="0" xfId="0" applyFont="1"/>
    <xf numFmtId="0" fontId="13" fillId="0" borderId="1" xfId="0" applyFont="1" applyBorder="1"/>
    <xf numFmtId="0" fontId="14" fillId="0" borderId="1" xfId="0" applyFont="1" applyBorder="1"/>
    <xf numFmtId="0" fontId="0" fillId="0" borderId="1" xfId="0" applyBorder="1" applyAlignment="1">
      <alignment horizontal="left" vertical="center" indent="2"/>
    </xf>
    <xf numFmtId="0" fontId="0" fillId="0" borderId="2" xfId="0" applyBorder="1" applyAlignment="1">
      <alignment horizontal="center" wrapText="1"/>
    </xf>
    <xf numFmtId="0" fontId="0" fillId="0" borderId="2" xfId="0" applyBorder="1" applyAlignment="1">
      <alignment wrapText="1"/>
    </xf>
    <xf numFmtId="0" fontId="43" fillId="0" borderId="0" xfId="0" applyFont="1"/>
    <xf numFmtId="0" fontId="44" fillId="0" borderId="0" xfId="0" applyFont="1"/>
    <xf numFmtId="0" fontId="45" fillId="0" borderId="1" xfId="0" applyFont="1" applyBorder="1"/>
    <xf numFmtId="0" fontId="46" fillId="0" borderId="1" xfId="0" applyFont="1" applyBorder="1"/>
    <xf numFmtId="0" fontId="45" fillId="0" borderId="1" xfId="0" applyFont="1" applyBorder="1" applyAlignment="1">
      <alignment wrapText="1"/>
    </xf>
    <xf numFmtId="0" fontId="5" fillId="0" borderId="1" xfId="0" applyFont="1" applyBorder="1" applyAlignment="1">
      <alignment wrapText="1"/>
    </xf>
    <xf numFmtId="0" fontId="13" fillId="0" borderId="0" xfId="0" applyFont="1" applyAlignment="1">
      <alignment horizontal="center"/>
    </xf>
    <xf numFmtId="0" fontId="13" fillId="0" borderId="0" xfId="0" applyFont="1" applyAlignment="1">
      <alignment wrapText="1"/>
    </xf>
    <xf numFmtId="0" fontId="47" fillId="0" borderId="0" xfId="0" applyFont="1" applyAlignment="1">
      <alignment wrapText="1"/>
    </xf>
    <xf numFmtId="0" fontId="6" fillId="0" borderId="3" xfId="0" applyFont="1" applyBorder="1" applyAlignment="1">
      <alignment horizontal="center" vertical="center" wrapText="1"/>
    </xf>
    <xf numFmtId="0" fontId="48" fillId="0" borderId="0" xfId="0" applyFont="1"/>
    <xf numFmtId="14" fontId="40" fillId="0" borderId="3" xfId="0" applyNumberFormat="1" applyFont="1" applyBorder="1" applyAlignment="1">
      <alignment horizontal="center" vertical="center"/>
    </xf>
    <xf numFmtId="14" fontId="0" fillId="0" borderId="0" xfId="0" applyNumberFormat="1" applyAlignment="1">
      <alignment horizontal="center"/>
    </xf>
    <xf numFmtId="0" fontId="49" fillId="0" borderId="0" xfId="0" applyFont="1" applyAlignment="1">
      <alignment horizontal="center" wrapText="1"/>
    </xf>
    <xf numFmtId="0" fontId="50" fillId="0" borderId="0" xfId="0" applyFont="1" applyAlignment="1">
      <alignment horizontal="center"/>
    </xf>
    <xf numFmtId="0" fontId="51" fillId="0" borderId="0" xfId="0" applyFont="1"/>
    <xf numFmtId="0" fontId="52" fillId="0" borderId="1" xfId="0" applyFont="1" applyBorder="1" applyAlignment="1">
      <alignment horizontal="center" vertical="center" wrapText="1"/>
    </xf>
    <xf numFmtId="0" fontId="53" fillId="0" borderId="0" xfId="0" applyFont="1" applyAlignment="1">
      <alignment horizontal="center" wrapText="1"/>
    </xf>
    <xf numFmtId="0" fontId="45" fillId="0" borderId="0" xfId="0" applyFont="1" applyAlignment="1">
      <alignment wrapText="1"/>
    </xf>
    <xf numFmtId="0" fontId="54" fillId="0" borderId="0" xfId="0" applyFont="1" applyAlignment="1">
      <alignment horizontal="center"/>
    </xf>
    <xf numFmtId="0" fontId="55" fillId="0" borderId="0" xfId="0" applyFont="1" applyAlignment="1">
      <alignment horizontal="center"/>
    </xf>
    <xf numFmtId="0" fontId="0" fillId="0" borderId="19" xfId="0" applyBorder="1" applyAlignment="1">
      <alignment horizontal="center" vertical="center"/>
    </xf>
    <xf numFmtId="11" fontId="0" fillId="0" borderId="0" xfId="0" applyNumberFormat="1"/>
    <xf numFmtId="0" fontId="2" fillId="0" borderId="20" xfId="0" applyFont="1" applyBorder="1" applyAlignment="1">
      <alignment horizontal="left"/>
    </xf>
    <xf numFmtId="0" fontId="2" fillId="0" borderId="21" xfId="0" applyFont="1" applyBorder="1" applyAlignment="1">
      <alignment horizontal="left"/>
    </xf>
    <xf numFmtId="22" fontId="2" fillId="0" borderId="21" xfId="0" applyNumberFormat="1" applyFont="1" applyBorder="1" applyAlignment="1">
      <alignment horizontal="left"/>
    </xf>
    <xf numFmtId="14" fontId="2" fillId="0" borderId="21" xfId="0" applyNumberFormat="1" applyFont="1" applyBorder="1" applyAlignment="1">
      <alignment horizontal="left"/>
    </xf>
    <xf numFmtId="0" fontId="2" fillId="0" borderId="21" xfId="0" quotePrefix="1" applyFont="1" applyBorder="1" applyAlignment="1">
      <alignment horizontal="left"/>
    </xf>
    <xf numFmtId="0" fontId="2" fillId="0" borderId="22" xfId="0" applyFont="1" applyBorder="1" applyAlignment="1">
      <alignment horizontal="left"/>
    </xf>
    <xf numFmtId="0" fontId="2" fillId="0" borderId="23" xfId="0" applyFont="1" applyBorder="1" applyAlignment="1">
      <alignment horizontal="left"/>
    </xf>
    <xf numFmtId="22" fontId="2" fillId="0" borderId="23" xfId="0" applyNumberFormat="1" applyFont="1" applyBorder="1" applyAlignment="1">
      <alignment horizontal="left"/>
    </xf>
    <xf numFmtId="14" fontId="2" fillId="0" borderId="23" xfId="0" applyNumberFormat="1" applyFont="1" applyBorder="1" applyAlignment="1">
      <alignment horizontal="left"/>
    </xf>
    <xf numFmtId="14" fontId="0" fillId="0" borderId="1" xfId="0" applyNumberFormat="1" applyBorder="1"/>
    <xf numFmtId="14" fontId="6" fillId="0" borderId="0" xfId="0" applyNumberFormat="1" applyFont="1" applyAlignment="1">
      <alignment horizontal="left"/>
    </xf>
    <xf numFmtId="14" fontId="0" fillId="0" borderId="0" xfId="0" applyNumberFormat="1"/>
    <xf numFmtId="0" fontId="58" fillId="0" borderId="0" xfId="0" applyFont="1"/>
    <xf numFmtId="11" fontId="0" fillId="0" borderId="0" xfId="0" applyNumberFormat="1" applyAlignment="1">
      <alignment horizontal="left"/>
    </xf>
  </cellXfs>
  <cellStyles count="1">
    <cellStyle name="Normal" xfId="0" builtinId="0"/>
  </cellStyles>
  <dxfs count="152">
    <dxf>
      <fill>
        <patternFill patternType="none"/>
      </fill>
    </dxf>
    <dxf>
      <fill>
        <patternFill patternType="none"/>
      </fill>
    </dxf>
    <dxf>
      <numFmt numFmtId="19" formatCode="m/d/yyyy"/>
      <fill>
        <patternFill patternType="none">
          <fgColor indexed="64"/>
          <bgColor theme="5" tint="0.79998168889431442"/>
        </patternFill>
      </fill>
      <alignment horizontal="center" vertical="center" textRotation="0" wrapText="0" indent="0" justifyLastLine="0" shrinkToFit="0" readingOrder="0"/>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numFmt numFmtId="19" formatCode="m/d/yyyy"/>
      <fill>
        <patternFill patternType="none"/>
      </fill>
      <alignment horizontal="center" vertical="center" textRotation="0" wrapText="0" indent="0" justifyLastLine="0" shrinkToFit="0" readingOrder="0"/>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fill>
        <patternFill patternType="none"/>
      </fill>
      <alignment horizontal="left" vertical="center" textRotation="0" wrapText="1" indent="0" justifyLastLine="0" shrinkToFit="0" readingOrder="0"/>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fill>
        <patternFill patternType="none"/>
      </fill>
      <alignment horizontal="center" vertical="center" textRotation="0" wrapText="0" indent="0" justifyLastLine="0" shrinkToFit="0" readingOrder="0"/>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fill>
        <patternFill patternType="none"/>
      </fill>
      <alignment horizontal="center" vertical="center" textRotation="0" wrapText="1" indent="0" justifyLastLine="0" shrinkToFit="0" readingOrder="0"/>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fill>
        <patternFill patternType="none"/>
      </fill>
      <alignment horizontal="center" vertical="center" textRotation="0" wrapText="0" indent="0" justifyLastLine="0" shrinkToFit="0" readingOrder="0"/>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fill>
        <patternFill patternType="none"/>
      </fill>
      <alignment horizontal="center" vertical="center" textRotation="0" wrapText="0" indent="0" justifyLastLine="0" shrinkToFit="0" readingOrder="0"/>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fill>
        <patternFill patternType="none"/>
      </fill>
      <alignment horizontal="center" vertical="center" textRotation="0" wrapText="0" indent="0" justifyLastLine="0" shrinkToFit="0" readingOrder="0"/>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fill>
        <patternFill patternType="none"/>
      </fill>
      <alignment horizontal="center" vertical="center" textRotation="0" wrapText="0" indent="0" justifyLastLine="0" shrinkToFit="0" readingOrder="0"/>
      <border diagonalUp="0" diagonalDown="0">
        <left style="thin">
          <color theme="3" tint="0.24994659260841701"/>
        </left>
        <right style="thin">
          <color theme="3" tint="0.24994659260841701"/>
        </right>
        <top style="thin">
          <color theme="3" tint="0.24994659260841701"/>
        </top>
        <bottom/>
        <vertical/>
        <horizontal/>
      </border>
    </dxf>
    <dxf>
      <numFmt numFmtId="19" formatCode="m/d/yyyy"/>
      <fill>
        <patternFill patternType="none"/>
      </fill>
      <alignment horizontal="center" vertical="center" textRotation="0" wrapText="0" indent="0" justifyLastLine="0" shrinkToFit="0" readingOrder="0"/>
      <border diagonalUp="0" diagonalDown="0">
        <left style="thin">
          <color theme="3" tint="0.24994659260841701"/>
        </left>
        <right style="thin">
          <color theme="3" tint="0.24994659260841701"/>
        </right>
        <top style="thin">
          <color theme="3" tint="0.24994659260841701"/>
        </top>
        <bottom style="thin">
          <color theme="3" tint="0.24994659260841701"/>
        </bottom>
        <vertical/>
        <horizontal/>
      </border>
    </dxf>
    <dxf>
      <border outline="0">
        <bottom style="thin">
          <color theme="3" tint="0.24994659260841701"/>
        </bottom>
      </border>
    </dxf>
    <dxf>
      <border outline="0">
        <top style="thin">
          <color theme="3" tint="0.24994659260841701"/>
        </top>
        <bottom style="thin">
          <color theme="3" tint="0.24994659260841701"/>
        </bottom>
      </border>
    </dxf>
    <dxf>
      <fill>
        <patternFill patternType="none"/>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numFmt numFmtId="19" formatCode="m/d/yyyy"/>
      <fill>
        <patternFill patternType="none">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m/d/yyyy"/>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numFmt numFmtId="19" formatCode="m/d/yyyy"/>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numFmt numFmtId="0" formatCode="General"/>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fill>
        <patternFill patternType="none">
          <bgColor auto="1"/>
        </patternFill>
      </fill>
      <alignment horizontal="left" vertical="bottom" textRotation="0" wrapText="0" indent="0" justifyLastLine="0" shrinkToFit="0" readingOrder="0"/>
    </dxf>
    <dxf>
      <numFmt numFmtId="19" formatCode="m/d/yyyy"/>
      <fill>
        <patternFill patternType="none">
          <bgColor auto="1"/>
        </patternFill>
      </fill>
      <alignment horizontal="left" vertical="bottom" textRotation="0" wrapText="0" indent="0" justifyLastLine="0" shrinkToFit="0" readingOrder="0"/>
    </dxf>
    <dxf>
      <numFmt numFmtId="0" formatCode="General"/>
      <fill>
        <patternFill patternType="none">
          <bgColor auto="1"/>
        </patternFill>
      </fill>
      <alignment horizontal="left" vertical="bottom" textRotation="0" wrapText="0" indent="0" justifyLastLine="0" shrinkToFit="0" readingOrder="0"/>
    </dxf>
    <dxf>
      <numFmt numFmtId="0" formatCode="General"/>
      <fill>
        <patternFill patternType="none">
          <bgColor auto="1"/>
        </patternFill>
      </fill>
      <alignment horizontal="left" vertical="bottom" textRotation="0" wrapText="0" indent="0" justifyLastLine="0" shrinkToFit="0" readingOrder="0"/>
    </dxf>
    <dxf>
      <border>
        <bottom style="thin">
          <color rgb="FF000000"/>
        </bottom>
      </border>
    </dxf>
    <dxf>
      <fill>
        <patternFill patternType="none">
          <bgColor auto="1"/>
        </patternFill>
      </fill>
      <alignment horizontal="left" vertical="bottom" textRotation="0" wrapText="0" indent="0" justifyLastLine="0" shrinkToFit="0" readingOrder="0"/>
    </dxf>
    <dxf>
      <alignment wrapText="0"/>
      <border>
        <left style="thin">
          <color rgb="FF000000"/>
        </left>
        <right style="thin">
          <color rgb="FF000000"/>
        </right>
        <top/>
        <bottom/>
        <vertical style="thin">
          <color rgb="FF000000"/>
        </vertical>
        <horizontal style="thin">
          <color rgb="FF000000"/>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fill>
        <patternFill patternType="solid">
          <bgColor theme="7" tint="0.79998168889431442"/>
        </patternFill>
      </fill>
    </dxf>
    <dxf>
      <fill>
        <patternFill patternType="solid">
          <bgColor theme="7" tint="0.79998168889431442"/>
        </patternFill>
      </fill>
    </dxf>
    <dxf>
      <alignment horizontal="center"/>
    </dxf>
    <dxf>
      <alignment horizontal="center"/>
    </dxf>
    <dxf>
      <fill>
        <patternFill patternType="solid">
          <bgColor theme="8" tint="0.79998168889431442"/>
        </patternFill>
      </fill>
    </dxf>
    <dxf>
      <fill>
        <patternFill patternType="solid">
          <bgColor theme="8" tint="0.79998168889431442"/>
        </patternFill>
      </fill>
    </dxf>
    <dxf>
      <alignment horizontal="center"/>
    </dxf>
    <dxf>
      <alignment horizontal="center"/>
    </dxf>
    <dxf>
      <fill>
        <patternFill patternType="solid">
          <bgColor theme="6" tint="0.79998168889431442"/>
        </patternFill>
      </fill>
    </dxf>
    <dxf>
      <fill>
        <patternFill patternType="solid">
          <bgColor theme="6" tint="0.79998168889431442"/>
        </patternFill>
      </fill>
    </dxf>
    <dxf>
      <alignment horizontal="center"/>
    </dxf>
    <dxf>
      <alignment horizontal="center"/>
    </dxf>
    <dxf>
      <fill>
        <patternFill patternType="solid">
          <bgColor theme="8" tint="0.79998168889431442"/>
        </patternFill>
      </fill>
    </dxf>
    <dxf>
      <fill>
        <patternFill patternType="solid">
          <bgColor theme="8" tint="0.79998168889431442"/>
        </patternFill>
      </fill>
    </dxf>
    <dxf>
      <alignment horizontal="center"/>
    </dxf>
    <dxf>
      <alignment horizontal="center"/>
    </dxf>
    <dxf>
      <fill>
        <patternFill patternType="solid">
          <bgColor theme="7" tint="0.79998168889431442"/>
        </patternFill>
      </fill>
    </dxf>
    <dxf>
      <fill>
        <patternFill patternType="solid">
          <bgColor theme="7" tint="0.79998168889431442"/>
        </patternFill>
      </fill>
    </dxf>
    <dxf>
      <alignment horizontal="center"/>
    </dxf>
    <dxf>
      <alignment horizontal="center"/>
    </dxf>
    <dxf>
      <fill>
        <patternFill patternType="solid">
          <bgColor theme="6" tint="0.79998168889431442"/>
        </patternFill>
      </fill>
    </dxf>
    <dxf>
      <fill>
        <patternFill patternType="solid">
          <bgColor theme="6" tint="0.79998168889431442"/>
        </patternFill>
      </fill>
    </dxf>
    <dxf>
      <alignment horizontal="center"/>
    </dxf>
    <dxf>
      <alignment horizontal="center"/>
    </dxf>
    <dxf>
      <alignment horizontal="center" indent="0"/>
    </dxf>
    <dxf>
      <alignment horizontal="center" indent="0"/>
    </dxf>
    <dxf>
      <alignment horizontal="center" indent="0"/>
    </dxf>
    <dxf>
      <alignment horizontal="center" indent="0"/>
    </dxf>
    <dxf>
      <alignment horizontal="center"/>
    </dxf>
    <dxf>
      <fill>
        <patternFill patternType="solid">
          <bgColor theme="9" tint="0.79998168889431442"/>
        </patternFill>
      </fill>
    </dxf>
    <dxf>
      <fill>
        <patternFill patternType="solid">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sv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13</xdr:col>
      <xdr:colOff>1152525</xdr:colOff>
      <xdr:row>0</xdr:row>
      <xdr:rowOff>47625</xdr:rowOff>
    </xdr:from>
    <xdr:to>
      <xdr:col>15</xdr:col>
      <xdr:colOff>801759</xdr:colOff>
      <xdr:row>14</xdr:row>
      <xdr:rowOff>142875</xdr:rowOff>
    </xdr:to>
    <mc:AlternateContent xmlns:mc="http://schemas.openxmlformats.org/markup-compatibility/2006" xmlns:a14="http://schemas.microsoft.com/office/drawing/2010/main">
      <mc:Choice Requires="a14">
        <xdr:graphicFrame macro="">
          <xdr:nvGraphicFramePr>
            <xdr:cNvPr id="3" name="Assigned To">
              <a:extLst>
                <a:ext uri="{FF2B5EF4-FFF2-40B4-BE49-F238E27FC236}">
                  <a16:creationId xmlns:a16="http://schemas.microsoft.com/office/drawing/2014/main" id="{BE4690E5-CAF9-51A7-4097-37CF161AB9D0}"/>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16230600" y="19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123825</xdr:colOff>
      <xdr:row>0</xdr:row>
      <xdr:rowOff>9525</xdr:rowOff>
    </xdr:from>
    <xdr:to>
      <xdr:col>12</xdr:col>
      <xdr:colOff>1773167</xdr:colOff>
      <xdr:row>10</xdr:row>
      <xdr:rowOff>38100</xdr:rowOff>
    </xdr:to>
    <mc:AlternateContent xmlns:mc="http://schemas.openxmlformats.org/markup-compatibility/2006" xmlns:a14="http://schemas.microsoft.com/office/drawing/2010/main">
      <mc:Choice Requires="a14">
        <xdr:graphicFrame macro="">
          <xdr:nvGraphicFramePr>
            <xdr:cNvPr id="5" name="Manager">
              <a:extLst>
                <a:ext uri="{FF2B5EF4-FFF2-40B4-BE49-F238E27FC236}">
                  <a16:creationId xmlns:a16="http://schemas.microsoft.com/office/drawing/2014/main" id="{52E9814F-7C70-2130-CC9A-FF4EA3599C14}"/>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4344650" y="9525"/>
              <a:ext cx="180975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1</xdr:row>
      <xdr:rowOff>19050</xdr:rowOff>
    </xdr:from>
    <xdr:to>
      <xdr:col>2</xdr:col>
      <xdr:colOff>152399</xdr:colOff>
      <xdr:row>6</xdr:row>
      <xdr:rowOff>123951</xdr:rowOff>
    </xdr:to>
    <xdr:pic>
      <xdr:nvPicPr>
        <xdr:cNvPr id="2" name="Picture 1">
          <a:extLst>
            <a:ext uri="{FF2B5EF4-FFF2-40B4-BE49-F238E27FC236}">
              <a16:creationId xmlns:a16="http://schemas.microsoft.com/office/drawing/2014/main" id="{DAC59188-EE31-448A-8AE4-34D60CEB8860}"/>
            </a:ext>
          </a:extLst>
        </xdr:cNvPr>
        <xdr:cNvPicPr>
          <a:picLocks noChangeAspect="1"/>
        </xdr:cNvPicPr>
      </xdr:nvPicPr>
      <xdr:blipFill>
        <a:blip xmlns:r="http://schemas.openxmlformats.org/officeDocument/2006/relationships" r:embed="rId1"/>
        <a:stretch>
          <a:fillRect/>
        </a:stretch>
      </xdr:blipFill>
      <xdr:spPr>
        <a:xfrm>
          <a:off x="219075" y="209550"/>
          <a:ext cx="2657474" cy="1057401"/>
        </a:xfrm>
        <a:prstGeom prst="rect">
          <a:avLst/>
        </a:prstGeom>
      </xdr:spPr>
    </xdr:pic>
    <xdr:clientData/>
  </xdr:twoCellAnchor>
  <xdr:oneCellAnchor>
    <xdr:from>
      <xdr:col>0</xdr:col>
      <xdr:colOff>123825</xdr:colOff>
      <xdr:row>0</xdr:row>
      <xdr:rowOff>19050</xdr:rowOff>
    </xdr:from>
    <xdr:ext cx="2896178" cy="311496"/>
    <xdr:sp macro="" textlink="">
      <xdr:nvSpPr>
        <xdr:cNvPr id="3" name="Rectangle 2">
          <a:extLst>
            <a:ext uri="{FF2B5EF4-FFF2-40B4-BE49-F238E27FC236}">
              <a16:creationId xmlns:a16="http://schemas.microsoft.com/office/drawing/2014/main" id="{7509928C-5E07-4A2D-879D-C9184F0CA599}"/>
            </a:ext>
          </a:extLst>
        </xdr:cNvPr>
        <xdr:cNvSpPr/>
      </xdr:nvSpPr>
      <xdr:spPr>
        <a:xfrm>
          <a:off x="123825" y="19050"/>
          <a:ext cx="2896178" cy="311496"/>
        </a:xfrm>
        <a:prstGeom prst="rect">
          <a:avLst/>
        </a:prstGeom>
        <a:noFill/>
      </xdr:spPr>
      <xdr:txBody>
        <a:bodyPr wrap="none" lIns="91440" tIns="45720" rIns="91440" bIns="45720">
          <a:spAutoFit/>
        </a:bodyPr>
        <a:lstStyle/>
        <a:p>
          <a:pPr algn="ctr"/>
          <a:r>
            <a:rPr lang="en-US" sz="1400" b="0" cap="none" spc="0">
              <a:ln w="22225">
                <a:solidFill>
                  <a:schemeClr val="accent2"/>
                </a:solidFill>
                <a:prstDash val="solid"/>
              </a:ln>
              <a:solidFill>
                <a:schemeClr val="accent2">
                  <a:lumMod val="40000"/>
                  <a:lumOff val="60000"/>
                </a:schemeClr>
              </a:solidFill>
              <a:effectLst/>
            </a:rPr>
            <a:t>AGEING-PEND</a:t>
          </a:r>
          <a:r>
            <a:rPr lang="en-US" sz="1400" b="0" cap="none" spc="0" baseline="0">
              <a:ln w="22225">
                <a:solidFill>
                  <a:schemeClr val="accent2"/>
                </a:solidFill>
                <a:prstDash val="solid"/>
              </a:ln>
              <a:solidFill>
                <a:schemeClr val="accent2">
                  <a:lumMod val="40000"/>
                  <a:lumOff val="60000"/>
                </a:schemeClr>
              </a:solidFill>
              <a:effectLst/>
            </a:rPr>
            <a:t> CLAIMS DASHBOARD</a:t>
          </a:r>
          <a:endParaRPr lang="en-US" sz="1400" b="0"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2</xdr:col>
      <xdr:colOff>838200</xdr:colOff>
      <xdr:row>18</xdr:row>
      <xdr:rowOff>85725</xdr:rowOff>
    </xdr:from>
    <xdr:ext cx="914400" cy="914400"/>
    <xdr:pic>
      <xdr:nvPicPr>
        <xdr:cNvPr id="5" name="Graphic 4" descr="Advertising with solid fill">
          <a:extLst>
            <a:ext uri="{FF2B5EF4-FFF2-40B4-BE49-F238E27FC236}">
              <a16:creationId xmlns:a16="http://schemas.microsoft.com/office/drawing/2014/main" id="{E5B7C43D-F1B6-485D-A5ED-1ACCD93AF87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62350" y="2181225"/>
          <a:ext cx="914400" cy="914400"/>
        </a:xfrm>
        <a:prstGeom prst="rect">
          <a:avLst/>
        </a:prstGeom>
      </xdr:spPr>
    </xdr:pic>
    <xdr:clientData/>
  </xdr:oneCellAnchor>
  <xdr:oneCellAnchor>
    <xdr:from>
      <xdr:col>4</xdr:col>
      <xdr:colOff>857250</xdr:colOff>
      <xdr:row>18</xdr:row>
      <xdr:rowOff>95250</xdr:rowOff>
    </xdr:from>
    <xdr:ext cx="914400" cy="914400"/>
    <xdr:pic>
      <xdr:nvPicPr>
        <xdr:cNvPr id="7" name="Graphic 6" descr="Advertising with solid fill">
          <a:extLst>
            <a:ext uri="{FF2B5EF4-FFF2-40B4-BE49-F238E27FC236}">
              <a16:creationId xmlns:a16="http://schemas.microsoft.com/office/drawing/2014/main" id="{0CDF9D4D-3EDF-48E6-BFC2-F72AB6CA9B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305550" y="2190750"/>
          <a:ext cx="914400" cy="914400"/>
        </a:xfrm>
        <a:prstGeom prst="rect">
          <a:avLst/>
        </a:prstGeom>
      </xdr:spPr>
    </xdr:pic>
    <xdr:clientData/>
  </xdr:oneCellAnchor>
  <xdr:oneCellAnchor>
    <xdr:from>
      <xdr:col>0</xdr:col>
      <xdr:colOff>885825</xdr:colOff>
      <xdr:row>18</xdr:row>
      <xdr:rowOff>85725</xdr:rowOff>
    </xdr:from>
    <xdr:ext cx="914400" cy="914400"/>
    <xdr:pic>
      <xdr:nvPicPr>
        <xdr:cNvPr id="9" name="Graphic 8" descr="Advertising with solid fill">
          <a:extLst>
            <a:ext uri="{FF2B5EF4-FFF2-40B4-BE49-F238E27FC236}">
              <a16:creationId xmlns:a16="http://schemas.microsoft.com/office/drawing/2014/main" id="{2D6B160A-6E5D-4A55-8802-BC5EC96E935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85825" y="2181225"/>
          <a:ext cx="914400" cy="914400"/>
        </a:xfrm>
        <a:prstGeom prst="rect">
          <a:avLst/>
        </a:prstGeom>
      </xdr:spPr>
    </xdr:pic>
    <xdr:clientData/>
  </xdr:oneCellAnchor>
  <xdr:oneCellAnchor>
    <xdr:from>
      <xdr:col>8</xdr:col>
      <xdr:colOff>320992</xdr:colOff>
      <xdr:row>10</xdr:row>
      <xdr:rowOff>142875</xdr:rowOff>
    </xdr:from>
    <xdr:ext cx="1882758" cy="311496"/>
    <xdr:sp macro="" textlink="">
      <xdr:nvSpPr>
        <xdr:cNvPr id="8" name="Rectangle 9">
          <a:extLst>
            <a:ext uri="{FF2B5EF4-FFF2-40B4-BE49-F238E27FC236}">
              <a16:creationId xmlns:a16="http://schemas.microsoft.com/office/drawing/2014/main" id="{DDCA4673-07E4-46B7-B39F-3932D416FA5F}"/>
            </a:ext>
            <a:ext uri="{147F2762-F138-4A5C-976F-8EAC2B608ADB}">
              <a16:predDERef xmlns:a16="http://schemas.microsoft.com/office/drawing/2014/main" pred="{2D6B160A-6E5D-4A55-8802-BC5EC96E935F}"/>
            </a:ext>
          </a:extLst>
        </xdr:cNvPr>
        <xdr:cNvSpPr/>
      </xdr:nvSpPr>
      <xdr:spPr>
        <a:xfrm>
          <a:off x="11217592" y="2047875"/>
          <a:ext cx="1882758" cy="311496"/>
        </a:xfrm>
        <a:prstGeom prst="rect">
          <a:avLst/>
        </a:prstGeom>
        <a:noFill/>
      </xdr:spPr>
      <xdr:txBody>
        <a:bodyPr wrap="none" lIns="91440" tIns="45720" rIns="91440" bIns="45720">
          <a:spAutoFit/>
        </a:bodyPr>
        <a:lstStyle/>
        <a:p>
          <a:pPr algn="ctr"/>
          <a:r>
            <a:rPr lang="en-US" sz="1400" b="0" cap="none" spc="0">
              <a:ln w="22225">
                <a:solidFill>
                  <a:schemeClr val="accent2"/>
                </a:solidFill>
                <a:prstDash val="solid"/>
              </a:ln>
              <a:solidFill>
                <a:schemeClr val="accent2">
                  <a:lumMod val="40000"/>
                  <a:lumOff val="60000"/>
                </a:schemeClr>
              </a:solidFill>
              <a:effectLst/>
            </a:rPr>
            <a:t>TOTAL</a:t>
          </a:r>
          <a:r>
            <a:rPr lang="en-US" sz="1400" b="0" cap="none" spc="0" baseline="0">
              <a:ln w="22225">
                <a:solidFill>
                  <a:schemeClr val="accent2"/>
                </a:solidFill>
                <a:prstDash val="solid"/>
              </a:ln>
              <a:solidFill>
                <a:schemeClr val="accent2">
                  <a:lumMod val="40000"/>
                  <a:lumOff val="60000"/>
                </a:schemeClr>
              </a:solidFill>
              <a:effectLst/>
            </a:rPr>
            <a:t> </a:t>
          </a:r>
          <a:r>
            <a:rPr lang="en-US" sz="1400" b="0" cap="none" spc="0">
              <a:ln w="22225">
                <a:solidFill>
                  <a:schemeClr val="accent2"/>
                </a:solidFill>
                <a:prstDash val="solid"/>
              </a:ln>
              <a:solidFill>
                <a:schemeClr val="accent2">
                  <a:lumMod val="40000"/>
                  <a:lumOff val="60000"/>
                </a:schemeClr>
              </a:solidFill>
              <a:effectLst/>
            </a:rPr>
            <a:t>PENDED</a:t>
          </a:r>
          <a:r>
            <a:rPr lang="en-US" sz="1400" b="0" cap="none" spc="0" baseline="0">
              <a:ln w="22225">
                <a:solidFill>
                  <a:schemeClr val="accent2"/>
                </a:solidFill>
                <a:prstDash val="solid"/>
              </a:ln>
              <a:solidFill>
                <a:schemeClr val="accent2">
                  <a:lumMod val="40000"/>
                  <a:lumOff val="60000"/>
                </a:schemeClr>
              </a:solidFill>
              <a:effectLst/>
            </a:rPr>
            <a:t> CLAIMS</a:t>
          </a:r>
        </a:p>
      </xdr:txBody>
    </xdr:sp>
    <xdr:clientData/>
  </xdr:oneCellAnchor>
  <xdr:oneCellAnchor>
    <xdr:from>
      <xdr:col>2</xdr:col>
      <xdr:colOff>410053</xdr:colOff>
      <xdr:row>10</xdr:row>
      <xdr:rowOff>123825</xdr:rowOff>
    </xdr:from>
    <xdr:ext cx="1876475" cy="311496"/>
    <xdr:sp macro="" textlink="">
      <xdr:nvSpPr>
        <xdr:cNvPr id="11" name="Rectangle 10">
          <a:extLst>
            <a:ext uri="{FF2B5EF4-FFF2-40B4-BE49-F238E27FC236}">
              <a16:creationId xmlns:a16="http://schemas.microsoft.com/office/drawing/2014/main" id="{65B58F49-35C6-4B05-8761-3C1594AF682D}"/>
            </a:ext>
          </a:extLst>
        </xdr:cNvPr>
        <xdr:cNvSpPr/>
      </xdr:nvSpPr>
      <xdr:spPr>
        <a:xfrm>
          <a:off x="3134203" y="2028825"/>
          <a:ext cx="1876475" cy="311496"/>
        </a:xfrm>
        <a:prstGeom prst="rect">
          <a:avLst/>
        </a:prstGeom>
        <a:noFill/>
      </xdr:spPr>
      <xdr:txBody>
        <a:bodyPr wrap="none" lIns="91440" tIns="45720" rIns="91440" bIns="45720">
          <a:spAutoFit/>
        </a:bodyPr>
        <a:lstStyle/>
        <a:p>
          <a:pPr algn="ctr"/>
          <a:r>
            <a:rPr lang="en-US" sz="1400" b="0" cap="none" spc="0">
              <a:ln w="22225">
                <a:solidFill>
                  <a:schemeClr val="accent2"/>
                </a:solidFill>
                <a:prstDash val="solid"/>
              </a:ln>
              <a:solidFill>
                <a:schemeClr val="accent2">
                  <a:lumMod val="40000"/>
                  <a:lumOff val="60000"/>
                </a:schemeClr>
              </a:solidFill>
              <a:effectLst/>
            </a:rPr>
            <a:t>TOTAL</a:t>
          </a:r>
          <a:r>
            <a:rPr lang="en-US" sz="1400" b="0" cap="none" spc="0" baseline="0">
              <a:ln w="22225">
                <a:solidFill>
                  <a:schemeClr val="accent2"/>
                </a:solidFill>
                <a:prstDash val="solid"/>
              </a:ln>
              <a:solidFill>
                <a:schemeClr val="accent2">
                  <a:lumMod val="40000"/>
                  <a:lumOff val="60000"/>
                </a:schemeClr>
              </a:solidFill>
              <a:effectLst/>
            </a:rPr>
            <a:t> </a:t>
          </a:r>
          <a:r>
            <a:rPr lang="en-US" sz="1400" b="0" cap="none" spc="0">
              <a:ln w="22225">
                <a:solidFill>
                  <a:schemeClr val="accent2"/>
                </a:solidFill>
                <a:prstDash val="solid"/>
              </a:ln>
              <a:solidFill>
                <a:schemeClr val="accent2">
                  <a:lumMod val="40000"/>
                  <a:lumOff val="60000"/>
                </a:schemeClr>
              </a:solidFill>
              <a:effectLst/>
            </a:rPr>
            <a:t>AGEING</a:t>
          </a:r>
          <a:r>
            <a:rPr lang="en-US" sz="1400" b="0" cap="none" spc="0" baseline="0">
              <a:ln w="22225">
                <a:solidFill>
                  <a:schemeClr val="accent2"/>
                </a:solidFill>
                <a:prstDash val="solid"/>
              </a:ln>
              <a:solidFill>
                <a:schemeClr val="accent2">
                  <a:lumMod val="40000"/>
                  <a:lumOff val="60000"/>
                </a:schemeClr>
              </a:solidFill>
              <a:effectLst/>
            </a:rPr>
            <a:t> CLAIMS</a:t>
          </a:r>
          <a:endParaRPr lang="en-US" sz="1400" b="0"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8</xdr:col>
      <xdr:colOff>885825</xdr:colOff>
      <xdr:row>18</xdr:row>
      <xdr:rowOff>95250</xdr:rowOff>
    </xdr:from>
    <xdr:ext cx="914400" cy="914400"/>
    <xdr:pic>
      <xdr:nvPicPr>
        <xdr:cNvPr id="13" name="Graphic 12" descr="Advertising with solid fill">
          <a:extLst>
            <a:ext uri="{FF2B5EF4-FFF2-40B4-BE49-F238E27FC236}">
              <a16:creationId xmlns:a16="http://schemas.microsoft.com/office/drawing/2014/main" id="{A152678E-0598-400C-A57B-B7D1EF9C75B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782425" y="2190750"/>
          <a:ext cx="914400" cy="914400"/>
        </a:xfrm>
        <a:prstGeom prst="rect">
          <a:avLst/>
        </a:prstGeom>
      </xdr:spPr>
    </xdr:pic>
    <xdr:clientData/>
  </xdr:oneCellAnchor>
  <xdr:oneCellAnchor>
    <xdr:from>
      <xdr:col>10</xdr:col>
      <xdr:colOff>914400</xdr:colOff>
      <xdr:row>18</xdr:row>
      <xdr:rowOff>104775</xdr:rowOff>
    </xdr:from>
    <xdr:ext cx="914400" cy="914400"/>
    <xdr:pic>
      <xdr:nvPicPr>
        <xdr:cNvPr id="15" name="Graphic 14" descr="Advertising with solid fill">
          <a:extLst>
            <a:ext uri="{FF2B5EF4-FFF2-40B4-BE49-F238E27FC236}">
              <a16:creationId xmlns:a16="http://schemas.microsoft.com/office/drawing/2014/main" id="{376A3494-091C-4EBA-A028-300EF173D1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35150" y="2200275"/>
          <a:ext cx="914400" cy="914400"/>
        </a:xfrm>
        <a:prstGeom prst="rect">
          <a:avLst/>
        </a:prstGeom>
      </xdr:spPr>
    </xdr:pic>
    <xdr:clientData/>
  </xdr:oneCellAnchor>
  <xdr:oneCellAnchor>
    <xdr:from>
      <xdr:col>6</xdr:col>
      <xdr:colOff>876300</xdr:colOff>
      <xdr:row>18</xdr:row>
      <xdr:rowOff>85725</xdr:rowOff>
    </xdr:from>
    <xdr:ext cx="914400" cy="914400"/>
    <xdr:pic>
      <xdr:nvPicPr>
        <xdr:cNvPr id="17" name="Graphic 16" descr="Advertising with solid fill">
          <a:extLst>
            <a:ext uri="{FF2B5EF4-FFF2-40B4-BE49-F238E27FC236}">
              <a16:creationId xmlns:a16="http://schemas.microsoft.com/office/drawing/2014/main" id="{BE0843E2-3B95-48B1-8D03-2D0FC3C01E8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048750" y="2181225"/>
          <a:ext cx="914400" cy="914400"/>
        </a:xfrm>
        <a:prstGeom prst="rect">
          <a:avLst/>
        </a:prstGeom>
      </xdr:spPr>
    </xdr:pic>
    <xdr:clientData/>
  </xdr:oneCellAnchor>
  <xdr:twoCellAnchor editAs="oneCell">
    <xdr:from>
      <xdr:col>0</xdr:col>
      <xdr:colOff>819150</xdr:colOff>
      <xdr:row>17</xdr:row>
      <xdr:rowOff>66675</xdr:rowOff>
    </xdr:from>
    <xdr:to>
      <xdr:col>0</xdr:col>
      <xdr:colOff>1876573</xdr:colOff>
      <xdr:row>18</xdr:row>
      <xdr:rowOff>171491</xdr:rowOff>
    </xdr:to>
    <xdr:pic>
      <xdr:nvPicPr>
        <xdr:cNvPr id="18" name="Picture 17">
          <a:extLst>
            <a:ext uri="{FF2B5EF4-FFF2-40B4-BE49-F238E27FC236}">
              <a16:creationId xmlns:a16="http://schemas.microsoft.com/office/drawing/2014/main" id="{C0943E5D-7161-4C40-97CD-DD1B90A75028}"/>
            </a:ext>
          </a:extLst>
        </xdr:cNvPr>
        <xdr:cNvPicPr>
          <a:picLocks noChangeAspect="1"/>
        </xdr:cNvPicPr>
      </xdr:nvPicPr>
      <xdr:blipFill>
        <a:blip xmlns:r="http://schemas.openxmlformats.org/officeDocument/2006/relationships" r:embed="rId4"/>
        <a:stretch>
          <a:fillRect/>
        </a:stretch>
      </xdr:blipFill>
      <xdr:spPr>
        <a:xfrm>
          <a:off x="819150" y="1971675"/>
          <a:ext cx="1057423" cy="295316"/>
        </a:xfrm>
        <a:prstGeom prst="rect">
          <a:avLst/>
        </a:prstGeom>
      </xdr:spPr>
    </xdr:pic>
    <xdr:clientData/>
  </xdr:twoCellAnchor>
  <xdr:twoCellAnchor editAs="oneCell">
    <xdr:from>
      <xdr:col>2</xdr:col>
      <xdr:colOff>847725</xdr:colOff>
      <xdr:row>17</xdr:row>
      <xdr:rowOff>47625</xdr:rowOff>
    </xdr:from>
    <xdr:to>
      <xdr:col>2</xdr:col>
      <xdr:colOff>1686042</xdr:colOff>
      <xdr:row>18</xdr:row>
      <xdr:rowOff>161968</xdr:rowOff>
    </xdr:to>
    <xdr:pic>
      <xdr:nvPicPr>
        <xdr:cNvPr id="19" name="Picture 18">
          <a:extLst>
            <a:ext uri="{FF2B5EF4-FFF2-40B4-BE49-F238E27FC236}">
              <a16:creationId xmlns:a16="http://schemas.microsoft.com/office/drawing/2014/main" id="{5D0E0075-6830-4ED1-8D33-5EBA25F608FB}"/>
            </a:ext>
          </a:extLst>
        </xdr:cNvPr>
        <xdr:cNvPicPr>
          <a:picLocks noChangeAspect="1"/>
        </xdr:cNvPicPr>
      </xdr:nvPicPr>
      <xdr:blipFill>
        <a:blip xmlns:r="http://schemas.openxmlformats.org/officeDocument/2006/relationships" r:embed="rId5"/>
        <a:stretch>
          <a:fillRect/>
        </a:stretch>
      </xdr:blipFill>
      <xdr:spPr>
        <a:xfrm>
          <a:off x="3571875" y="1952625"/>
          <a:ext cx="838317" cy="304843"/>
        </a:xfrm>
        <a:prstGeom prst="rect">
          <a:avLst/>
        </a:prstGeom>
      </xdr:spPr>
    </xdr:pic>
    <xdr:clientData/>
  </xdr:twoCellAnchor>
  <xdr:twoCellAnchor editAs="oneCell">
    <xdr:from>
      <xdr:col>4</xdr:col>
      <xdr:colOff>962025</xdr:colOff>
      <xdr:row>17</xdr:row>
      <xdr:rowOff>28575</xdr:rowOff>
    </xdr:from>
    <xdr:to>
      <xdr:col>4</xdr:col>
      <xdr:colOff>1762237</xdr:colOff>
      <xdr:row>18</xdr:row>
      <xdr:rowOff>152444</xdr:rowOff>
    </xdr:to>
    <xdr:pic>
      <xdr:nvPicPr>
        <xdr:cNvPr id="20" name="Picture 19">
          <a:extLst>
            <a:ext uri="{FF2B5EF4-FFF2-40B4-BE49-F238E27FC236}">
              <a16:creationId xmlns:a16="http://schemas.microsoft.com/office/drawing/2014/main" id="{25878EC6-1A18-4678-826A-069C58218DC2}"/>
            </a:ext>
          </a:extLst>
        </xdr:cNvPr>
        <xdr:cNvPicPr>
          <a:picLocks noChangeAspect="1"/>
        </xdr:cNvPicPr>
      </xdr:nvPicPr>
      <xdr:blipFill>
        <a:blip xmlns:r="http://schemas.openxmlformats.org/officeDocument/2006/relationships" r:embed="rId6"/>
        <a:stretch>
          <a:fillRect/>
        </a:stretch>
      </xdr:blipFill>
      <xdr:spPr>
        <a:xfrm>
          <a:off x="6410325" y="1933575"/>
          <a:ext cx="800212" cy="314369"/>
        </a:xfrm>
        <a:prstGeom prst="rect">
          <a:avLst/>
        </a:prstGeom>
      </xdr:spPr>
    </xdr:pic>
    <xdr:clientData/>
  </xdr:twoCellAnchor>
  <xdr:twoCellAnchor editAs="oneCell">
    <xdr:from>
      <xdr:col>6</xdr:col>
      <xdr:colOff>781050</xdr:colOff>
      <xdr:row>17</xdr:row>
      <xdr:rowOff>66675</xdr:rowOff>
    </xdr:from>
    <xdr:to>
      <xdr:col>6</xdr:col>
      <xdr:colOff>1838473</xdr:colOff>
      <xdr:row>18</xdr:row>
      <xdr:rowOff>171491</xdr:rowOff>
    </xdr:to>
    <xdr:pic>
      <xdr:nvPicPr>
        <xdr:cNvPr id="21" name="Picture 20">
          <a:extLst>
            <a:ext uri="{FF2B5EF4-FFF2-40B4-BE49-F238E27FC236}">
              <a16:creationId xmlns:a16="http://schemas.microsoft.com/office/drawing/2014/main" id="{B6C44C7B-8ABE-41A4-B78B-752B21C4F7A8}"/>
            </a:ext>
          </a:extLst>
        </xdr:cNvPr>
        <xdr:cNvPicPr>
          <a:picLocks noChangeAspect="1"/>
        </xdr:cNvPicPr>
      </xdr:nvPicPr>
      <xdr:blipFill>
        <a:blip xmlns:r="http://schemas.openxmlformats.org/officeDocument/2006/relationships" r:embed="rId4"/>
        <a:stretch>
          <a:fillRect/>
        </a:stretch>
      </xdr:blipFill>
      <xdr:spPr>
        <a:xfrm>
          <a:off x="8953500" y="1971675"/>
          <a:ext cx="1057423" cy="295316"/>
        </a:xfrm>
        <a:prstGeom prst="rect">
          <a:avLst/>
        </a:prstGeom>
      </xdr:spPr>
    </xdr:pic>
    <xdr:clientData/>
  </xdr:twoCellAnchor>
  <xdr:twoCellAnchor editAs="oneCell">
    <xdr:from>
      <xdr:col>8</xdr:col>
      <xdr:colOff>876300</xdr:colOff>
      <xdr:row>17</xdr:row>
      <xdr:rowOff>57150</xdr:rowOff>
    </xdr:from>
    <xdr:to>
      <xdr:col>8</xdr:col>
      <xdr:colOff>1714617</xdr:colOff>
      <xdr:row>18</xdr:row>
      <xdr:rowOff>171493</xdr:rowOff>
    </xdr:to>
    <xdr:pic>
      <xdr:nvPicPr>
        <xdr:cNvPr id="22" name="Picture 21">
          <a:extLst>
            <a:ext uri="{FF2B5EF4-FFF2-40B4-BE49-F238E27FC236}">
              <a16:creationId xmlns:a16="http://schemas.microsoft.com/office/drawing/2014/main" id="{892087F9-E2F3-44EA-816B-76E32CCB37C9}"/>
            </a:ext>
          </a:extLst>
        </xdr:cNvPr>
        <xdr:cNvPicPr>
          <a:picLocks noChangeAspect="1"/>
        </xdr:cNvPicPr>
      </xdr:nvPicPr>
      <xdr:blipFill>
        <a:blip xmlns:r="http://schemas.openxmlformats.org/officeDocument/2006/relationships" r:embed="rId5"/>
        <a:stretch>
          <a:fillRect/>
        </a:stretch>
      </xdr:blipFill>
      <xdr:spPr>
        <a:xfrm>
          <a:off x="11772900" y="1962150"/>
          <a:ext cx="838317" cy="304843"/>
        </a:xfrm>
        <a:prstGeom prst="rect">
          <a:avLst/>
        </a:prstGeom>
      </xdr:spPr>
    </xdr:pic>
    <xdr:clientData/>
  </xdr:twoCellAnchor>
  <xdr:twoCellAnchor editAs="oneCell">
    <xdr:from>
      <xdr:col>10</xdr:col>
      <xdr:colOff>1009650</xdr:colOff>
      <xdr:row>17</xdr:row>
      <xdr:rowOff>57150</xdr:rowOff>
    </xdr:from>
    <xdr:to>
      <xdr:col>10</xdr:col>
      <xdr:colOff>1809862</xdr:colOff>
      <xdr:row>19</xdr:row>
      <xdr:rowOff>44</xdr:rowOff>
    </xdr:to>
    <xdr:pic>
      <xdr:nvPicPr>
        <xdr:cNvPr id="23" name="Picture 22">
          <a:extLst>
            <a:ext uri="{FF2B5EF4-FFF2-40B4-BE49-F238E27FC236}">
              <a16:creationId xmlns:a16="http://schemas.microsoft.com/office/drawing/2014/main" id="{F71412A8-F84C-48E3-9F80-65A2C3CA4F3B}"/>
            </a:ext>
          </a:extLst>
        </xdr:cNvPr>
        <xdr:cNvPicPr>
          <a:picLocks noChangeAspect="1"/>
        </xdr:cNvPicPr>
      </xdr:nvPicPr>
      <xdr:blipFill>
        <a:blip xmlns:r="http://schemas.openxmlformats.org/officeDocument/2006/relationships" r:embed="rId6"/>
        <a:stretch>
          <a:fillRect/>
        </a:stretch>
      </xdr:blipFill>
      <xdr:spPr>
        <a:xfrm>
          <a:off x="14630400" y="1962150"/>
          <a:ext cx="800212" cy="314369"/>
        </a:xfrm>
        <a:prstGeom prst="rect">
          <a:avLst/>
        </a:prstGeom>
      </xdr:spPr>
    </xdr:pic>
    <xdr:clientData/>
  </xdr:twoCellAnchor>
  <xdr:twoCellAnchor>
    <xdr:from>
      <xdr:col>0</xdr:col>
      <xdr:colOff>990600</xdr:colOff>
      <xdr:row>19</xdr:row>
      <xdr:rowOff>85725</xdr:rowOff>
    </xdr:from>
    <xdr:to>
      <xdr:col>0</xdr:col>
      <xdr:colOff>1685925</xdr:colOff>
      <xdr:row>21</xdr:row>
      <xdr:rowOff>57150</xdr:rowOff>
    </xdr:to>
    <xdr:sp macro="" textlink="Data!C5">
      <xdr:nvSpPr>
        <xdr:cNvPr id="25" name="Rectangle: Rounded Corners 24">
          <a:extLst>
            <a:ext uri="{FF2B5EF4-FFF2-40B4-BE49-F238E27FC236}">
              <a16:creationId xmlns:a16="http://schemas.microsoft.com/office/drawing/2014/main" id="{B562754F-1AD7-8AAA-5247-CD3B9966D076}"/>
            </a:ext>
          </a:extLst>
        </xdr:cNvPr>
        <xdr:cNvSpPr/>
      </xdr:nvSpPr>
      <xdr:spPr>
        <a:xfrm>
          <a:off x="990600" y="2371725"/>
          <a:ext cx="695325" cy="35242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0D7F79-392C-498C-949D-8FCD30507DF7}" type="TxLink">
            <a:rPr lang="en-US" sz="1800" b="1" i="0" u="none" strike="noStrike">
              <a:solidFill>
                <a:srgbClr val="000000"/>
              </a:solidFill>
              <a:latin typeface="Aptos Narrow"/>
            </a:rPr>
            <a:pPr algn="ctr"/>
            <a:t>1</a:t>
          </a:fld>
          <a:endParaRPr lang="en-US" sz="1800" b="1"/>
        </a:p>
      </xdr:txBody>
    </xdr:sp>
    <xdr:clientData/>
  </xdr:twoCellAnchor>
  <xdr:twoCellAnchor>
    <xdr:from>
      <xdr:col>2</xdr:col>
      <xdr:colOff>952500</xdr:colOff>
      <xdr:row>19</xdr:row>
      <xdr:rowOff>76200</xdr:rowOff>
    </xdr:from>
    <xdr:to>
      <xdr:col>2</xdr:col>
      <xdr:colOff>1628775</xdr:colOff>
      <xdr:row>21</xdr:row>
      <xdr:rowOff>38100</xdr:rowOff>
    </xdr:to>
    <xdr:sp macro="" textlink="Data!F5">
      <xdr:nvSpPr>
        <xdr:cNvPr id="26" name="Rectangle: Rounded Corners 25">
          <a:extLst>
            <a:ext uri="{FF2B5EF4-FFF2-40B4-BE49-F238E27FC236}">
              <a16:creationId xmlns:a16="http://schemas.microsoft.com/office/drawing/2014/main" id="{DC61F447-7E96-4964-A9F5-DCBC9F9E8FCE}"/>
            </a:ext>
          </a:extLst>
        </xdr:cNvPr>
        <xdr:cNvSpPr/>
      </xdr:nvSpPr>
      <xdr:spPr>
        <a:xfrm>
          <a:off x="3676650" y="2362200"/>
          <a:ext cx="676275" cy="3429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AB66BB-0A26-4028-93BF-096F1DB5F948}" type="TxLink">
            <a:rPr lang="en-US" sz="1800" b="1" i="0" u="none" strike="noStrike">
              <a:solidFill>
                <a:srgbClr val="000000"/>
              </a:solidFill>
              <a:latin typeface="Aptos Narrow"/>
            </a:rPr>
            <a:pPr algn="ctr"/>
            <a:t>59</a:t>
          </a:fld>
          <a:endParaRPr lang="en-US" sz="1800" b="1"/>
        </a:p>
      </xdr:txBody>
    </xdr:sp>
    <xdr:clientData/>
  </xdr:twoCellAnchor>
  <xdr:twoCellAnchor>
    <xdr:from>
      <xdr:col>4</xdr:col>
      <xdr:colOff>981076</xdr:colOff>
      <xdr:row>19</xdr:row>
      <xdr:rowOff>95250</xdr:rowOff>
    </xdr:from>
    <xdr:to>
      <xdr:col>4</xdr:col>
      <xdr:colOff>1657350</xdr:colOff>
      <xdr:row>21</xdr:row>
      <xdr:rowOff>57150</xdr:rowOff>
    </xdr:to>
    <xdr:sp macro="" textlink="Data!I5">
      <xdr:nvSpPr>
        <xdr:cNvPr id="27" name="Rectangle: Rounded Corners 26">
          <a:extLst>
            <a:ext uri="{FF2B5EF4-FFF2-40B4-BE49-F238E27FC236}">
              <a16:creationId xmlns:a16="http://schemas.microsoft.com/office/drawing/2014/main" id="{27D1A865-419E-4B09-8456-CB0C044C4816}"/>
            </a:ext>
          </a:extLst>
        </xdr:cNvPr>
        <xdr:cNvSpPr/>
      </xdr:nvSpPr>
      <xdr:spPr>
        <a:xfrm>
          <a:off x="6429376" y="2381250"/>
          <a:ext cx="676274" cy="3429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FA6DFC-A3F7-49F0-B57C-BAD36649E15F}" type="TxLink">
            <a:rPr lang="en-US" sz="1800" b="1" i="0" u="none" strike="noStrike">
              <a:solidFill>
                <a:srgbClr val="000000"/>
              </a:solidFill>
              <a:latin typeface="Aptos Narrow"/>
            </a:rPr>
            <a:pPr algn="ctr"/>
            <a:t>172</a:t>
          </a:fld>
          <a:endParaRPr lang="en-US" sz="1800" b="1"/>
        </a:p>
      </xdr:txBody>
    </xdr:sp>
    <xdr:clientData/>
  </xdr:twoCellAnchor>
  <xdr:twoCellAnchor>
    <xdr:from>
      <xdr:col>6</xdr:col>
      <xdr:colOff>981074</xdr:colOff>
      <xdr:row>19</xdr:row>
      <xdr:rowOff>76200</xdr:rowOff>
    </xdr:from>
    <xdr:to>
      <xdr:col>6</xdr:col>
      <xdr:colOff>1676399</xdr:colOff>
      <xdr:row>21</xdr:row>
      <xdr:rowOff>28575</xdr:rowOff>
    </xdr:to>
    <xdr:sp macro="" textlink="Data!C12">
      <xdr:nvSpPr>
        <xdr:cNvPr id="28" name="Rectangle: Rounded Corners 27">
          <a:extLst>
            <a:ext uri="{FF2B5EF4-FFF2-40B4-BE49-F238E27FC236}">
              <a16:creationId xmlns:a16="http://schemas.microsoft.com/office/drawing/2014/main" id="{F526090A-E4D4-4389-AB7D-3E360E2CE05D}"/>
            </a:ext>
          </a:extLst>
        </xdr:cNvPr>
        <xdr:cNvSpPr/>
      </xdr:nvSpPr>
      <xdr:spPr>
        <a:xfrm>
          <a:off x="9153524" y="2362200"/>
          <a:ext cx="695325" cy="33337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8D779E-F8FA-433A-89A2-9636D9069ED7}" type="TxLink">
            <a:rPr lang="en-US" sz="1800" b="1" i="0" u="none" strike="noStrike">
              <a:solidFill>
                <a:srgbClr val="000000"/>
              </a:solidFill>
              <a:latin typeface="Aptos Narrow"/>
            </a:rPr>
            <a:pPr algn="ctr"/>
            <a:t>1</a:t>
          </a:fld>
          <a:endParaRPr lang="en-US" sz="1800" b="1"/>
        </a:p>
      </xdr:txBody>
    </xdr:sp>
    <xdr:clientData/>
  </xdr:twoCellAnchor>
  <xdr:twoCellAnchor>
    <xdr:from>
      <xdr:col>8</xdr:col>
      <xdr:colOff>1000125</xdr:colOff>
      <xdr:row>19</xdr:row>
      <xdr:rowOff>95251</xdr:rowOff>
    </xdr:from>
    <xdr:to>
      <xdr:col>8</xdr:col>
      <xdr:colOff>1695450</xdr:colOff>
      <xdr:row>21</xdr:row>
      <xdr:rowOff>38100</xdr:rowOff>
    </xdr:to>
    <xdr:sp macro="" textlink="Data!F12">
      <xdr:nvSpPr>
        <xdr:cNvPr id="29" name="Rectangle: Rounded Corners 28">
          <a:extLst>
            <a:ext uri="{FF2B5EF4-FFF2-40B4-BE49-F238E27FC236}">
              <a16:creationId xmlns:a16="http://schemas.microsoft.com/office/drawing/2014/main" id="{A33AA4B8-2041-4928-8C0A-5D61926F0DCA}"/>
            </a:ext>
          </a:extLst>
        </xdr:cNvPr>
        <xdr:cNvSpPr/>
      </xdr:nvSpPr>
      <xdr:spPr>
        <a:xfrm>
          <a:off x="11896725" y="2381251"/>
          <a:ext cx="695325" cy="32384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29CE8E-2035-4810-9117-82B17190FB20}" type="TxLink">
            <a:rPr lang="en-US" sz="1800" b="1" i="0" u="none" strike="noStrike">
              <a:solidFill>
                <a:srgbClr val="000000"/>
              </a:solidFill>
              <a:latin typeface="Aptos Narrow"/>
            </a:rPr>
            <a:pPr algn="ctr"/>
            <a:t>5</a:t>
          </a:fld>
          <a:endParaRPr lang="en-US" sz="1800" b="1"/>
        </a:p>
      </xdr:txBody>
    </xdr:sp>
    <xdr:clientData/>
  </xdr:twoCellAnchor>
  <xdr:twoCellAnchor>
    <xdr:from>
      <xdr:col>10</xdr:col>
      <xdr:colOff>1038224</xdr:colOff>
      <xdr:row>19</xdr:row>
      <xdr:rowOff>95250</xdr:rowOff>
    </xdr:from>
    <xdr:to>
      <xdr:col>10</xdr:col>
      <xdr:colOff>1733549</xdr:colOff>
      <xdr:row>21</xdr:row>
      <xdr:rowOff>38100</xdr:rowOff>
    </xdr:to>
    <xdr:sp macro="" textlink="Data!I12">
      <xdr:nvSpPr>
        <xdr:cNvPr id="30" name="Rectangle: Rounded Corners 29">
          <a:extLst>
            <a:ext uri="{FF2B5EF4-FFF2-40B4-BE49-F238E27FC236}">
              <a16:creationId xmlns:a16="http://schemas.microsoft.com/office/drawing/2014/main" id="{0E03FA11-DEE2-452D-B6F2-04B7E6829376}"/>
            </a:ext>
          </a:extLst>
        </xdr:cNvPr>
        <xdr:cNvSpPr/>
      </xdr:nvSpPr>
      <xdr:spPr>
        <a:xfrm>
          <a:off x="14658974" y="2381250"/>
          <a:ext cx="695325" cy="32385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434D3D-943B-49D1-B050-BDFA0C9A6254}" type="TxLink">
            <a:rPr lang="en-US" sz="1800" b="1" i="0" u="none" strike="noStrike">
              <a:solidFill>
                <a:srgbClr val="000000"/>
              </a:solidFill>
              <a:latin typeface="Aptos Narrow"/>
            </a:rPr>
            <a:pPr algn="ctr"/>
            <a:t>58</a:t>
          </a:fld>
          <a:endParaRPr lang="en-US" sz="1800" b="1"/>
        </a:p>
      </xdr:txBody>
    </xdr:sp>
    <xdr:clientData/>
  </xdr:twoCellAnchor>
  <xdr:twoCellAnchor>
    <xdr:from>
      <xdr:col>2</xdr:col>
      <xdr:colOff>1304925</xdr:colOff>
      <xdr:row>15</xdr:row>
      <xdr:rowOff>28575</xdr:rowOff>
    </xdr:from>
    <xdr:to>
      <xdr:col>2</xdr:col>
      <xdr:colOff>1304925</xdr:colOff>
      <xdr:row>16</xdr:row>
      <xdr:rowOff>28575</xdr:rowOff>
    </xdr:to>
    <xdr:cxnSp macro="">
      <xdr:nvCxnSpPr>
        <xdr:cNvPr id="12" name="Straight Connector 11">
          <a:extLst>
            <a:ext uri="{FF2B5EF4-FFF2-40B4-BE49-F238E27FC236}">
              <a16:creationId xmlns:a16="http://schemas.microsoft.com/office/drawing/2014/main" id="{C7D66587-24A8-AEA0-C350-1220DD3A9274}"/>
            </a:ext>
          </a:extLst>
        </xdr:cNvPr>
        <xdr:cNvCxnSpPr/>
      </xdr:nvCxnSpPr>
      <xdr:spPr>
        <a:xfrm>
          <a:off x="4029075" y="2886075"/>
          <a:ext cx="0" cy="190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1428750</xdr:colOff>
      <xdr:row>16</xdr:row>
      <xdr:rowOff>38100</xdr:rowOff>
    </xdr:from>
    <xdr:to>
      <xdr:col>4</xdr:col>
      <xdr:colOff>1362075</xdr:colOff>
      <xdr:row>16</xdr:row>
      <xdr:rowOff>38100</xdr:rowOff>
    </xdr:to>
    <xdr:cxnSp macro="">
      <xdr:nvCxnSpPr>
        <xdr:cNvPr id="14" name="Straight Connector 13">
          <a:extLst>
            <a:ext uri="{FF2B5EF4-FFF2-40B4-BE49-F238E27FC236}">
              <a16:creationId xmlns:a16="http://schemas.microsoft.com/office/drawing/2014/main" id="{CBCF3E83-C2EE-44A5-8302-61D00E948E32}"/>
            </a:ext>
          </a:extLst>
        </xdr:cNvPr>
        <xdr:cNvCxnSpPr/>
      </xdr:nvCxnSpPr>
      <xdr:spPr>
        <a:xfrm>
          <a:off x="1428750" y="1943100"/>
          <a:ext cx="538162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1447800</xdr:colOff>
      <xdr:row>16</xdr:row>
      <xdr:rowOff>28575</xdr:rowOff>
    </xdr:from>
    <xdr:to>
      <xdr:col>0</xdr:col>
      <xdr:colOff>1447800</xdr:colOff>
      <xdr:row>17</xdr:row>
      <xdr:rowOff>95250</xdr:rowOff>
    </xdr:to>
    <xdr:cxnSp macro="">
      <xdr:nvCxnSpPr>
        <xdr:cNvPr id="35" name="Straight Connector 34">
          <a:extLst>
            <a:ext uri="{FF2B5EF4-FFF2-40B4-BE49-F238E27FC236}">
              <a16:creationId xmlns:a16="http://schemas.microsoft.com/office/drawing/2014/main" id="{24479ADC-82EC-4124-9101-770A8C503F18}"/>
            </a:ext>
          </a:extLst>
        </xdr:cNvPr>
        <xdr:cNvCxnSpPr/>
      </xdr:nvCxnSpPr>
      <xdr:spPr>
        <a:xfrm>
          <a:off x="1447800" y="1933575"/>
          <a:ext cx="0" cy="2571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1304925</xdr:colOff>
      <xdr:row>16</xdr:row>
      <xdr:rowOff>28575</xdr:rowOff>
    </xdr:from>
    <xdr:to>
      <xdr:col>2</xdr:col>
      <xdr:colOff>1304925</xdr:colOff>
      <xdr:row>17</xdr:row>
      <xdr:rowOff>95250</xdr:rowOff>
    </xdr:to>
    <xdr:cxnSp macro="">
      <xdr:nvCxnSpPr>
        <xdr:cNvPr id="40" name="Straight Connector 39">
          <a:extLst>
            <a:ext uri="{FF2B5EF4-FFF2-40B4-BE49-F238E27FC236}">
              <a16:creationId xmlns:a16="http://schemas.microsoft.com/office/drawing/2014/main" id="{A7584804-98FB-4CE8-A87D-FCA7A745A085}"/>
            </a:ext>
          </a:extLst>
        </xdr:cNvPr>
        <xdr:cNvCxnSpPr/>
      </xdr:nvCxnSpPr>
      <xdr:spPr>
        <a:xfrm>
          <a:off x="4029075" y="1933575"/>
          <a:ext cx="0" cy="2571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1343025</xdr:colOff>
      <xdr:row>16</xdr:row>
      <xdr:rowOff>38100</xdr:rowOff>
    </xdr:from>
    <xdr:to>
      <xdr:col>4</xdr:col>
      <xdr:colOff>1343025</xdr:colOff>
      <xdr:row>17</xdr:row>
      <xdr:rowOff>104775</xdr:rowOff>
    </xdr:to>
    <xdr:cxnSp macro="">
      <xdr:nvCxnSpPr>
        <xdr:cNvPr id="41" name="Straight Connector 40">
          <a:extLst>
            <a:ext uri="{FF2B5EF4-FFF2-40B4-BE49-F238E27FC236}">
              <a16:creationId xmlns:a16="http://schemas.microsoft.com/office/drawing/2014/main" id="{17B8F821-6EA5-4B62-9A54-98CEFFD384DB}"/>
            </a:ext>
          </a:extLst>
        </xdr:cNvPr>
        <xdr:cNvCxnSpPr/>
      </xdr:nvCxnSpPr>
      <xdr:spPr>
        <a:xfrm>
          <a:off x="6791325" y="1943100"/>
          <a:ext cx="0" cy="2571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1466850</xdr:colOff>
      <xdr:row>16</xdr:row>
      <xdr:rowOff>47625</xdr:rowOff>
    </xdr:from>
    <xdr:to>
      <xdr:col>10</xdr:col>
      <xdr:colOff>1400175</xdr:colOff>
      <xdr:row>16</xdr:row>
      <xdr:rowOff>47625</xdr:rowOff>
    </xdr:to>
    <xdr:cxnSp macro="">
      <xdr:nvCxnSpPr>
        <xdr:cNvPr id="43" name="Straight Connector 42">
          <a:extLst>
            <a:ext uri="{FF2B5EF4-FFF2-40B4-BE49-F238E27FC236}">
              <a16:creationId xmlns:a16="http://schemas.microsoft.com/office/drawing/2014/main" id="{E7217AA5-AE6E-4B0E-A3F0-9B359FB49000}"/>
            </a:ext>
          </a:extLst>
        </xdr:cNvPr>
        <xdr:cNvCxnSpPr/>
      </xdr:nvCxnSpPr>
      <xdr:spPr>
        <a:xfrm>
          <a:off x="9639300" y="1952625"/>
          <a:ext cx="538162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1485900</xdr:colOff>
      <xdr:row>16</xdr:row>
      <xdr:rowOff>38100</xdr:rowOff>
    </xdr:from>
    <xdr:to>
      <xdr:col>6</xdr:col>
      <xdr:colOff>1485900</xdr:colOff>
      <xdr:row>17</xdr:row>
      <xdr:rowOff>104775</xdr:rowOff>
    </xdr:to>
    <xdr:cxnSp macro="">
      <xdr:nvCxnSpPr>
        <xdr:cNvPr id="44" name="Straight Connector 43">
          <a:extLst>
            <a:ext uri="{FF2B5EF4-FFF2-40B4-BE49-F238E27FC236}">
              <a16:creationId xmlns:a16="http://schemas.microsoft.com/office/drawing/2014/main" id="{A78155A4-8CE5-41BC-BA7D-D64148808FC3}"/>
            </a:ext>
          </a:extLst>
        </xdr:cNvPr>
        <xdr:cNvCxnSpPr/>
      </xdr:nvCxnSpPr>
      <xdr:spPr>
        <a:xfrm>
          <a:off x="9658350" y="1943100"/>
          <a:ext cx="0" cy="2571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1343025</xdr:colOff>
      <xdr:row>16</xdr:row>
      <xdr:rowOff>38100</xdr:rowOff>
    </xdr:from>
    <xdr:to>
      <xdr:col>8</xdr:col>
      <xdr:colOff>1343025</xdr:colOff>
      <xdr:row>17</xdr:row>
      <xdr:rowOff>104775</xdr:rowOff>
    </xdr:to>
    <xdr:cxnSp macro="">
      <xdr:nvCxnSpPr>
        <xdr:cNvPr id="45" name="Straight Connector 44">
          <a:extLst>
            <a:ext uri="{FF2B5EF4-FFF2-40B4-BE49-F238E27FC236}">
              <a16:creationId xmlns:a16="http://schemas.microsoft.com/office/drawing/2014/main" id="{1D1D3C07-9805-4163-B0B9-46695FDCEB1D}"/>
            </a:ext>
          </a:extLst>
        </xdr:cNvPr>
        <xdr:cNvCxnSpPr/>
      </xdr:nvCxnSpPr>
      <xdr:spPr>
        <a:xfrm>
          <a:off x="12239625" y="1943100"/>
          <a:ext cx="0" cy="2571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1381125</xdr:colOff>
      <xdr:row>16</xdr:row>
      <xdr:rowOff>47625</xdr:rowOff>
    </xdr:from>
    <xdr:to>
      <xdr:col>10</xdr:col>
      <xdr:colOff>1381125</xdr:colOff>
      <xdr:row>17</xdr:row>
      <xdr:rowOff>114300</xdr:rowOff>
    </xdr:to>
    <xdr:cxnSp macro="">
      <xdr:nvCxnSpPr>
        <xdr:cNvPr id="46" name="Straight Connector 45">
          <a:extLst>
            <a:ext uri="{FF2B5EF4-FFF2-40B4-BE49-F238E27FC236}">
              <a16:creationId xmlns:a16="http://schemas.microsoft.com/office/drawing/2014/main" id="{54BE5482-26EE-42C1-9250-998AF5125B43}"/>
            </a:ext>
          </a:extLst>
        </xdr:cNvPr>
        <xdr:cNvCxnSpPr/>
      </xdr:nvCxnSpPr>
      <xdr:spPr>
        <a:xfrm>
          <a:off x="15001875" y="1952625"/>
          <a:ext cx="0" cy="2571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381000</xdr:colOff>
      <xdr:row>0</xdr:row>
      <xdr:rowOff>76200</xdr:rowOff>
    </xdr:from>
    <xdr:to>
      <xdr:col>3</xdr:col>
      <xdr:colOff>95250</xdr:colOff>
      <xdr:row>10</xdr:row>
      <xdr:rowOff>104775</xdr:rowOff>
    </xdr:to>
    <mc:AlternateContent xmlns:mc="http://schemas.openxmlformats.org/markup-compatibility/2006" xmlns:a14="http://schemas.microsoft.com/office/drawing/2010/main">
      <mc:Choice Requires="a14">
        <xdr:graphicFrame macro="">
          <xdr:nvGraphicFramePr>
            <xdr:cNvPr id="4" name="Manager 1">
              <a:extLst>
                <a:ext uri="{FF2B5EF4-FFF2-40B4-BE49-F238E27FC236}">
                  <a16:creationId xmlns:a16="http://schemas.microsoft.com/office/drawing/2014/main" id="{6E9E880F-9ED4-4B1A-9F6E-937B478E0D01}"/>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3105150" y="76200"/>
              <a:ext cx="182880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142874</xdr:colOff>
      <xdr:row>0</xdr:row>
      <xdr:rowOff>76200</xdr:rowOff>
    </xdr:from>
    <xdr:to>
      <xdr:col>12</xdr:col>
      <xdr:colOff>152400</xdr:colOff>
      <xdr:row>10</xdr:row>
      <xdr:rowOff>104775</xdr:rowOff>
    </xdr:to>
    <mc:AlternateContent xmlns:mc="http://schemas.openxmlformats.org/markup-compatibility/2006" xmlns:a14="http://schemas.microsoft.com/office/drawing/2010/main">
      <mc:Choice Requires="a14">
        <xdr:graphicFrame macro="">
          <xdr:nvGraphicFramePr>
            <xdr:cNvPr id="6" name="Assigned To 1">
              <a:extLst>
                <a:ext uri="{FF2B5EF4-FFF2-40B4-BE49-F238E27FC236}">
                  <a16:creationId xmlns:a16="http://schemas.microsoft.com/office/drawing/2014/main" id="{FEA55520-5ADA-4828-930C-2FEBAF490BEA}"/>
                </a:ext>
              </a:extLst>
            </xdr:cNvPr>
            <xdr:cNvGraphicFramePr/>
          </xdr:nvGraphicFramePr>
          <xdr:xfrm>
            <a:off x="0" y="0"/>
            <a:ext cx="0" cy="0"/>
          </xdr:xfrm>
          <a:graphic>
            <a:graphicData uri="http://schemas.microsoft.com/office/drawing/2010/slicer">
              <sle:slicer xmlns:sle="http://schemas.microsoft.com/office/drawing/2010/slicer" name="Assigned To 1"/>
            </a:graphicData>
          </a:graphic>
        </xdr:graphicFrame>
      </mc:Choice>
      <mc:Fallback xmlns="">
        <xdr:sp macro="" textlink="">
          <xdr:nvSpPr>
            <xdr:cNvPr id="0" name=""/>
            <xdr:cNvSpPr>
              <a:spLocks noTextEdit="1"/>
            </xdr:cNvSpPr>
          </xdr:nvSpPr>
          <xdr:spPr>
            <a:xfrm>
              <a:off x="4981574" y="76200"/>
              <a:ext cx="5810251"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666750</xdr:colOff>
      <xdr:row>12</xdr:row>
      <xdr:rowOff>9525</xdr:rowOff>
    </xdr:from>
    <xdr:to>
      <xdr:col>2</xdr:col>
      <xdr:colOff>1924050</xdr:colOff>
      <xdr:row>15</xdr:row>
      <xdr:rowOff>142875</xdr:rowOff>
    </xdr:to>
    <xdr:pic>
      <xdr:nvPicPr>
        <xdr:cNvPr id="16" name="Graphic 15" descr="Clipboard with solid fill">
          <a:extLst>
            <a:ext uri="{FF2B5EF4-FFF2-40B4-BE49-F238E27FC236}">
              <a16:creationId xmlns:a16="http://schemas.microsoft.com/office/drawing/2014/main" id="{7B36342B-307D-91B4-E6D2-77C8CA67685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90900" y="2295525"/>
          <a:ext cx="1257300" cy="704850"/>
        </a:xfrm>
        <a:prstGeom prst="rect">
          <a:avLst/>
        </a:prstGeom>
      </xdr:spPr>
    </xdr:pic>
    <xdr:clientData/>
  </xdr:twoCellAnchor>
  <xdr:twoCellAnchor>
    <xdr:from>
      <xdr:col>2</xdr:col>
      <xdr:colOff>962025</xdr:colOff>
      <xdr:row>12</xdr:row>
      <xdr:rowOff>171450</xdr:rowOff>
    </xdr:from>
    <xdr:to>
      <xdr:col>2</xdr:col>
      <xdr:colOff>1647825</xdr:colOff>
      <xdr:row>15</xdr:row>
      <xdr:rowOff>47625</xdr:rowOff>
    </xdr:to>
    <xdr:sp macro="" textlink="Data!J5">
      <xdr:nvSpPr>
        <xdr:cNvPr id="32" name="Rectangle: Rounded Corners 31">
          <a:extLst>
            <a:ext uri="{FF2B5EF4-FFF2-40B4-BE49-F238E27FC236}">
              <a16:creationId xmlns:a16="http://schemas.microsoft.com/office/drawing/2014/main" id="{BDF5AB43-CBD1-0345-56DC-BF8347828A50}"/>
            </a:ext>
          </a:extLst>
        </xdr:cNvPr>
        <xdr:cNvSpPr/>
      </xdr:nvSpPr>
      <xdr:spPr>
        <a:xfrm>
          <a:off x="3686175" y="2457450"/>
          <a:ext cx="685800" cy="44767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B41DB3-7845-447F-BC5B-9F7C5EFA6B48}" type="TxLink">
            <a:rPr lang="en-US" sz="2000" b="1" i="0" u="none" strike="noStrike">
              <a:solidFill>
                <a:srgbClr val="000000"/>
              </a:solidFill>
              <a:latin typeface="Aptos Narrow"/>
            </a:rPr>
            <a:pPr algn="ctr"/>
            <a:t>232</a:t>
          </a:fld>
          <a:endParaRPr lang="en-US" sz="2000" b="1"/>
        </a:p>
      </xdr:txBody>
    </xdr:sp>
    <xdr:clientData/>
  </xdr:twoCellAnchor>
  <xdr:twoCellAnchor>
    <xdr:from>
      <xdr:col>8</xdr:col>
      <xdr:colOff>1343025</xdr:colOff>
      <xdr:row>15</xdr:row>
      <xdr:rowOff>38100</xdr:rowOff>
    </xdr:from>
    <xdr:to>
      <xdr:col>8</xdr:col>
      <xdr:colOff>1343025</xdr:colOff>
      <xdr:row>16</xdr:row>
      <xdr:rowOff>38100</xdr:rowOff>
    </xdr:to>
    <xdr:cxnSp macro="">
      <xdr:nvCxnSpPr>
        <xdr:cNvPr id="33" name="Straight Connector 32">
          <a:extLst>
            <a:ext uri="{FF2B5EF4-FFF2-40B4-BE49-F238E27FC236}">
              <a16:creationId xmlns:a16="http://schemas.microsoft.com/office/drawing/2014/main" id="{9070EE29-1782-48D9-A736-35F114BD9738}"/>
            </a:ext>
          </a:extLst>
        </xdr:cNvPr>
        <xdr:cNvCxnSpPr/>
      </xdr:nvCxnSpPr>
      <xdr:spPr>
        <a:xfrm>
          <a:off x="12239625" y="2895600"/>
          <a:ext cx="0" cy="190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8</xdr:col>
      <xdr:colOff>704850</xdr:colOff>
      <xdr:row>12</xdr:row>
      <xdr:rowOff>19050</xdr:rowOff>
    </xdr:from>
    <xdr:to>
      <xdr:col>8</xdr:col>
      <xdr:colOff>1962150</xdr:colOff>
      <xdr:row>15</xdr:row>
      <xdr:rowOff>152400</xdr:rowOff>
    </xdr:to>
    <xdr:pic>
      <xdr:nvPicPr>
        <xdr:cNvPr id="34" name="Graphic 33" descr="Clipboard with solid fill">
          <a:extLst>
            <a:ext uri="{FF2B5EF4-FFF2-40B4-BE49-F238E27FC236}">
              <a16:creationId xmlns:a16="http://schemas.microsoft.com/office/drawing/2014/main" id="{90A74FE2-7497-4777-BBF8-6111C960B49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01450" y="2305050"/>
          <a:ext cx="1257300" cy="704850"/>
        </a:xfrm>
        <a:prstGeom prst="rect">
          <a:avLst/>
        </a:prstGeom>
      </xdr:spPr>
    </xdr:pic>
    <xdr:clientData/>
  </xdr:twoCellAnchor>
  <xdr:twoCellAnchor>
    <xdr:from>
      <xdr:col>8</xdr:col>
      <xdr:colOff>1000125</xdr:colOff>
      <xdr:row>12</xdr:row>
      <xdr:rowOff>180975</xdr:rowOff>
    </xdr:from>
    <xdr:to>
      <xdr:col>8</xdr:col>
      <xdr:colOff>1685925</xdr:colOff>
      <xdr:row>15</xdr:row>
      <xdr:rowOff>57150</xdr:rowOff>
    </xdr:to>
    <xdr:sp macro="" textlink="Data!J12">
      <xdr:nvSpPr>
        <xdr:cNvPr id="36" name="Rectangle: Rounded Corners 35">
          <a:extLst>
            <a:ext uri="{FF2B5EF4-FFF2-40B4-BE49-F238E27FC236}">
              <a16:creationId xmlns:a16="http://schemas.microsoft.com/office/drawing/2014/main" id="{32C7EA55-5DA6-4694-9570-C034C0466DF1}"/>
            </a:ext>
          </a:extLst>
        </xdr:cNvPr>
        <xdr:cNvSpPr/>
      </xdr:nvSpPr>
      <xdr:spPr>
        <a:xfrm>
          <a:off x="11896725" y="2466975"/>
          <a:ext cx="685800" cy="44767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7901B0-0C4B-49DD-98A7-61D0E967B52A}" type="TxLink">
            <a:rPr lang="en-US" sz="2000" b="1" i="0" u="none" strike="noStrike">
              <a:solidFill>
                <a:srgbClr val="000000"/>
              </a:solidFill>
              <a:latin typeface="Aptos Narrow"/>
            </a:rPr>
            <a:pPr algn="ctr"/>
            <a:t>64</a:t>
          </a:fld>
          <a:endParaRPr lang="en-US" sz="2000" b="1"/>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E6B3454-B415-4934-A18E-AF987B4C2742}">
    <nsvFilter filterId="{DAF1C3FC-B34A-464D-BEC7-72CAC0CB0F73}" ref="A1:CI789" tableId="1">
      <columnFilter colId="55" id="{ED7B7CE3-669C-47BF-B5F6-6C0BAECFB589}">
        <filter colId="55">
          <x:filters>
            <x:filter val="Ralfh Roger Bobiles"/>
          </x:filters>
        </filter>
      </columnFilter>
      <sortRules>
        <sortRule colId="0" id="{42441A2E-B01E-4C36-9806-27B7637861B5}">
          <sortCondition ref="A1:A789"/>
        </sortRule>
      </sortRules>
    </nsvFilter>
  </namedSheetView>
  <namedSheetView name="View2" id="{6F3F6DAC-E3F9-4982-80CC-3487FE91F0F2}">
    <nsvFilter filterId="{DAF1C3FC-B34A-464D-BEC7-72CAC0CB0F73}" ref="A1:CI789" tableId="1"/>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40.949031365744" createdVersion="8" refreshedVersion="8" minRefreshableVersion="3" recordCount="296" xr:uid="{65C5ACF9-5431-4D81-8A60-71E52027CC7B}">
  <cacheSource type="worksheet">
    <worksheetSource name="Table2"/>
  </cacheSource>
  <cacheFields count="79">
    <cacheField name="Status" numFmtId="0">
      <sharedItems containsBlank="1" count="56">
        <s v="Pending"/>
        <m/>
        <s v="Completed"/>
        <s v="Hold" u="1"/>
        <s v="Awaiting CCA Response " u="1"/>
        <s v="Completed on 7/14" u="1"/>
        <s v="Pending " u="1"/>
        <s v="Completed on 7/15" u="1"/>
        <s v="Hold " u="1"/>
        <s v="Resolved" u="1"/>
        <s v="Complete" u="1"/>
        <s v="On hold" u="1"/>
        <s v="Resolved-Complete" u="1"/>
        <s v="Pend" u="1"/>
        <s v="Completed " u="1"/>
        <s v="REsolved " u="1"/>
        <s v="close" u="1"/>
        <s v="resolve " u="1"/>
        <s v="a" u="1"/>
        <s v="Still waiting for PA " u="1"/>
        <s v="RTO PA OTV(ITS)" u="1"/>
        <s v="Pend " u="1"/>
        <s v="pended" u="1"/>
        <s v="cResolved" u="1"/>
        <s v="Workable " u="1"/>
        <s v="Resolve" u="1"/>
        <s v="Hold -" u="1"/>
        <s v="PEND - PA" u="1"/>
        <s v="PEND - RI" u="1"/>
        <s v="RTO" u="1"/>
        <s v="PA review" u="1"/>
        <s v="Re-assigned" u="1"/>
        <s v="Pending - Investigation" u="1"/>
        <s v="Closed" u="1"/>
        <s v="Additional Research" u="1"/>
        <s v="In progress" u="1"/>
        <s v="Awaiting Medical Review" u="1"/>
        <s v="Reassigned" u="1"/>
        <s v="Additional Reasearch" u="1"/>
        <s v="Additional REsearch " u="1"/>
        <s v="Please Remove" u="1"/>
        <s v="Routed to JAA" u="1"/>
        <s v="Hold reversal intake" u="1"/>
        <s v="Hold Additional research" u="1"/>
        <s v="Awating Medical Review" u="1"/>
        <s v="Re assigned" u="1"/>
        <s v="Comltedted" u="1"/>
        <s v="PEND - SME" u="1"/>
        <s v="Needs to route to the right dept." u="1"/>
        <s v="Resolved-paid" u="1"/>
        <s v="Working" u="1"/>
        <s v="routed back to original owner" u="1"/>
        <s v="Awaiting Med review" u="1"/>
        <s v="JAA claim" u="1"/>
        <s v="Open" u="1"/>
        <s v="CI-73166401" u="1"/>
      </sharedItems>
    </cacheField>
    <cacheField name="Remarks" numFmtId="0">
      <sharedItems containsBlank="1"/>
    </cacheField>
    <cacheField name="Date" numFmtId="14">
      <sharedItems containsNonDate="0" containsDate="1" containsString="0" containsBlank="1" minDate="2026-05-04T00:00:00" maxDate="2026-08-08T00:00:00" count="17">
        <d v="2026-06-10T00:00:00"/>
        <d v="2026-06-15T00:00:00"/>
        <d v="2026-06-23T00:00:00"/>
        <d v="2026-05-04T00:00:00"/>
        <d v="2026-05-11T00:00:00"/>
        <d v="2026-06-04T00:00:00"/>
        <d v="2026-06-05T00:00:00"/>
        <d v="2026-06-12T00:00:00"/>
        <d v="2026-06-25T00:00:00"/>
        <d v="2026-06-29T00:00:00"/>
        <d v="2026-07-06T00:00:00"/>
        <d v="2026-08-06T00:00:00"/>
        <d v="2026-07-14T00:00:00"/>
        <d v="2026-07-21T00:00:00"/>
        <d v="2026-07-29T00:00:00"/>
        <m/>
        <d v="2026-08-07T00:00:00"/>
      </sharedItems>
    </cacheField>
    <cacheField name="Category" numFmtId="0">
      <sharedItems containsBlank="1" count="6">
        <s v="Ageing"/>
        <s v="Pends"/>
        <m u="1"/>
        <s v="Hold" u="1"/>
        <s v="CI-75222432" u="1"/>
        <s v="CI-74275413" u="1"/>
      </sharedItems>
    </cacheField>
    <cacheField name="Inquiry number2" numFmtId="0">
      <sharedItems containsBlank="1" count="4725">
        <s v="CI-74813377"/>
        <s v="CI-74947234"/>
        <s v="CI-75259664"/>
        <s v="CI-72333600"/>
        <s v="CI-73192667"/>
        <s v="CI-74340488"/>
        <s v="CI-74579006"/>
        <s v="CI-74857711"/>
        <s v="CI-74472929"/>
        <s v="CI-75304956"/>
        <s v="CI-75257047"/>
        <s v="CI-75257376"/>
        <s v="CI-75429810"/>
        <s v="CI-75429030"/>
        <s v="CI-75385554"/>
        <s v="CI-75187323"/>
        <s v="CI-75319745"/>
        <s v="CI-75372898"/>
        <s v="CI-71873217"/>
        <s v="CI-75442325"/>
        <s v="CI-75364493"/>
        <s v="CI-75419995"/>
        <s v="CI-75288658"/>
        <s v="CI-75453552"/>
        <s v="CI-75305740"/>
        <s v="CI-75515305"/>
        <s v="CI-75699843"/>
        <s v="CI-75515044"/>
        <s v="CI-74541109"/>
        <s v="CI-75480088"/>
        <s v="CI-75261311"/>
        <s v="CI-75275205"/>
        <s v="CI-75428545"/>
        <s v="CI-75322097"/>
        <s v="CI-75509288"/>
        <s v="CI-76216103"/>
        <s v="CI-75042496"/>
        <s v="CI-75509409"/>
        <s v="CI-74717111"/>
        <s v="CI-75807218"/>
        <s v="CI-76056207"/>
        <s v="CI-75760705"/>
        <s v="CI-75486874"/>
        <s v="CI-76139777"/>
        <s v="CI-76075267"/>
        <s v="CI-76065567"/>
        <s v="CI-75819862"/>
        <s v="CI-75900201"/>
        <s v="CI-76033894"/>
        <s v="CI-76075365"/>
        <s v="CI-75904307"/>
        <s v="CI-75886528"/>
        <s v="CI-75808930"/>
        <s v="CI-76046271"/>
        <s v="CI-74879535"/>
        <s v="CI-74809411"/>
        <s v="CI-75148722"/>
        <s v="CI-76267703"/>
        <s v="CI-76408143"/>
        <s v="CI-76366545"/>
        <s v="CI-76392373"/>
        <s v="CI-76367384"/>
        <s v="CI-76147627"/>
        <s v="CI-76160836"/>
        <s v="CI-76342778"/>
        <s v="CI-76342727"/>
        <s v="CI-76426945"/>
        <s v="CI-76314829"/>
        <s v="CI-76423174"/>
        <s v="CI-76353090"/>
        <s v="CI-75249124"/>
        <s v="CI-75593913"/>
        <s v="CI-75512852"/>
        <s v="CI-76724954"/>
        <s v="CI-76714238"/>
        <s v="CI-76700546"/>
        <s v="CI-76833427"/>
        <s v="CI-76699252"/>
        <s v="CI-76706448"/>
        <s v="CI-76830318"/>
        <s v="CI-76684568"/>
        <s v="CI-76678481"/>
        <s v="CI-76609239"/>
        <s v="CI-76600612"/>
        <s v="CI-76743155"/>
        <s v="CI-76760450"/>
        <s v="CI-76618335"/>
        <s v="CI-76738006"/>
        <s v="CI-76789243"/>
        <s v="CI-76784425"/>
        <s v="CI-76814619"/>
        <s v="CI-76806872"/>
        <s v="CI-78048943"/>
        <s v="CI-77283179"/>
        <s v="CI-77335937"/>
        <s v="CI-77342193"/>
        <s v="CI-77569637"/>
        <s v="CI-76833575"/>
        <s v="CI-76951530"/>
        <s v="CI-76913485"/>
        <s v="CI-76863791"/>
        <s v="CI-76880050"/>
        <s v="CI-77124024"/>
        <s v="CI-77009302"/>
        <s v="CI-76834893"/>
        <s v="CI-77183849"/>
        <s v="CI-76949684"/>
        <s v="CI-76166717"/>
        <s v="CI-76195236"/>
        <s v="CI-74667456"/>
        <s v="CI-75188467"/>
        <s v="CI-73886884"/>
        <s v="CI-74039155"/>
        <s v="sample"/>
        <s v="sample1"/>
        <s v="CI-77492633"/>
        <s v="CI-77497749"/>
        <s v="CI-77596019"/>
        <s v="CI-77622082"/>
        <s v="CI-77237019"/>
        <s v="CI-77471677"/>
        <s v="CI-77210550"/>
        <s v="CI-77111649"/>
        <s v="CI-76918575"/>
        <s v="CI-77350116"/>
        <s v="CI-77302742"/>
        <s v="CI-77338295"/>
        <s v="CI-77234628"/>
        <s v="CI-77419335"/>
        <s v="CI-77318740"/>
        <s v="CI-77074180"/>
        <s v="CI-77104868"/>
        <s v="CI-77091605"/>
        <s v="CI-77115766"/>
        <s v="CI-77372391"/>
        <s v="CI-77407692"/>
        <s v="CI-77561467"/>
        <s v="CI-77212851"/>
        <s v="CI-77488545"/>
        <s v="CI-77463097"/>
        <s v="CI-77350226"/>
        <s v="CI-77210739"/>
        <s v="CI-77028011"/>
        <s v="CI-77558365"/>
        <s v="CI-77511352"/>
        <s v="CI-78861864"/>
        <s v="CI-77572613"/>
        <s v="CI-77181752"/>
        <s v="CI-77434514"/>
        <s v="CI-77589861"/>
        <s v="CI-77267598"/>
        <s v="CI-77461252"/>
        <s v="CI-77582596"/>
        <s v="CI-77596853"/>
        <s v="CI-77474495"/>
        <s v="CI-77282008"/>
        <s v="CI-77216035"/>
        <s v="CI-77109272"/>
        <s v="CI-77129129"/>
        <s v="CI-77573545"/>
        <s v="CI-77650164"/>
        <s v="CI-77575227"/>
        <s v="CI-77571836"/>
        <s v="CI-78206742"/>
        <s v="CI-77220203"/>
        <s v="CI-77117964"/>
        <s v="CI-77595073"/>
        <s v="CI-77155553"/>
        <s v="CI-77371975"/>
        <s v="CI-77342154"/>
        <s v="CI-77539954"/>
        <s v="CI-77320900"/>
        <s v="CI-77392157"/>
        <s v="CI-77030119"/>
        <s v="CI-77983654"/>
        <s v="CI-77376035"/>
        <s v="CI-77113620"/>
        <s v="CI-77263536"/>
        <s v="CI-76992273"/>
        <s v="CI-77389178"/>
        <s v="CI-77221174"/>
        <s v="CI-77367968"/>
        <s v="CI-78890101"/>
        <s v="CI-77154739"/>
        <s v="CI-77600784"/>
        <s v="CI-76991273"/>
        <s v="CI-77211036"/>
        <s v="CI-77595560"/>
        <s v="CI-77467462"/>
        <s v="CI-77315491"/>
        <s v="CI-77531227"/>
        <s v="CI-77008581"/>
        <s v="CI-77400602"/>
        <s v="CI-77617711"/>
        <s v="CI-77300285"/>
        <s v="CI-77427950"/>
        <s v="CI-77377534"/>
        <s v="CI-77144004"/>
        <s v="CI-77295074"/>
        <s v="CI-77131940"/>
        <s v="CI-77187324"/>
        <s v="CI-77291851"/>
        <s v="CI-77448559"/>
        <s v="CI-76946241"/>
        <s v="CI-77337880"/>
        <s v="CI-77314397"/>
        <s v="CI-77627757"/>
        <s v="CI-77070564"/>
        <s v="CI-77315494"/>
        <s v="CI-77313302"/>
        <s v="CI-77395083"/>
        <s v="CI-77212029"/>
        <s v="CI-77435126"/>
        <s v="CI-77135494"/>
        <s v="CI-77236028"/>
        <s v="CI-77544213"/>
        <s v="CI-77292200"/>
        <s v="CI-77591148"/>
        <s v="CI-77471153"/>
        <s v="CI-77133308"/>
        <s v="CI-77554295"/>
        <s v="CI-77185642"/>
        <s v="CI-77249726"/>
        <s v="CI-77577496"/>
        <s v="CI-77276364"/>
        <s v="CI-77413723"/>
        <s v="CI-77275413"/>
        <s v="CI-77391852"/>
        <s v="CI-77213158"/>
        <s v="CI-77539515"/>
        <s v="CI-77332220"/>
        <s v="CI-77574217"/>
        <s v="CI-77601092"/>
        <s v="CI-77613158"/>
        <s v="CI-77290744"/>
        <s v="CI-77570996"/>
        <s v="CI-77127722"/>
        <s v="CI-77326820"/>
        <s v="CI-77530969"/>
        <s v="CI-77293660"/>
        <s v="CI-77581215"/>
        <s v="CI-79082184"/>
        <s v="CI-76645885"/>
        <s v="CI-79101402"/>
        <s v="CI-76900862"/>
        <s v="CI-76785148"/>
        <s v="CI-79079948"/>
        <s v="CI-75599183"/>
        <s v="CI-74122663"/>
        <s v="CI-74552889"/>
        <s v="CI-73636806"/>
        <s v="CI-74753973"/>
        <s v="CI-74104607"/>
        <s v="CI-78564981"/>
        <s v="CI-78489695"/>
        <s v="CI-78440208"/>
        <s v="CI-78358746"/>
        <s v="CI-78486620"/>
        <s v="CI-78454033"/>
        <s v="CI-77668795"/>
        <s v="CI-77678344"/>
        <s v="CI-77755816"/>
        <s v="CI-77739170"/>
        <s v="CI-77628387"/>
        <s v="CI-77848463"/>
        <s v="CI-77768684"/>
        <s v="CI-77833940"/>
        <s v="CI-77671398"/>
        <s v="CI-78068263"/>
        <s v="CI-77636920"/>
        <s v="CI-77657836"/>
        <s v="CI-77775199"/>
        <s v="CI-77936446"/>
        <s v="CI-77658150"/>
        <s v="CI-77786723"/>
        <s v="CI-77658286"/>
        <s v="CI-77661186"/>
        <s v="CI-78130324"/>
        <s v="CI-78191657"/>
        <s v="CI-77760422"/>
        <s v="CI-77660235"/>
        <s v="CI-77768712"/>
        <s v="CI-78068088"/>
        <s v="CI-77781659"/>
        <s v="CI-77616077"/>
        <s v="CI-77659529"/>
        <s v="CI-77660331"/>
        <s v="CI-77661478"/>
        <s v="CI-77740566"/>
        <s v="CI-77772794"/>
        <s v="CI-77657685"/>
        <s v="CI-77783124"/>
        <s v="CI-77722719"/>
        <s v="CI-77834104"/>
        <s v="CI-77772081"/>
        <s v="CI-77657905"/>
        <s v="CI-72280224" u="1"/>
        <s v="CI-72513825" u="1"/>
        <s v="CI-74813246" u="1"/>
        <s v="CI-74195272" u="1"/>
        <s v="CI-74101596" u="1"/>
        <s v="CI-74220315" u="1"/>
        <s v="CI-75495749" u="1"/>
        <s v="CI-75348805" u="1"/>
        <s v="CI-75345370" u="1"/>
        <s v="CI-75433952" u="1"/>
        <s v="CI-75089022" u="1"/>
        <s v="CI-75404373" u="1"/>
        <s v="CI-72823870" u="1"/>
        <s v="CI-74285763" u="1"/>
        <s v="CI-74754145" u="1"/>
        <s v="CI-74778400" u="1"/>
        <s v="CI-74966470" u="1"/>
        <s v="CI-74981731" u="1"/>
        <s v="CI-75025121" u="1"/>
        <s v="CI-75480745" u="1"/>
        <s v="CI-75435311" u="1"/>
        <s v="CI-75430185" u="1"/>
        <s v="CI-75430254" u="1"/>
        <s v="CI-75408906" u="1"/>
        <s v="CI-75314603" u="1"/>
        <s v="CI-75413039" u="1"/>
        <s v="CI-75402364" u="1"/>
        <s v="CI-75577207" u="1"/>
        <s v="CI-75300869" u="1"/>
        <s v="CI-73442900" u="1"/>
        <s v="CI-75605820" u="1"/>
        <s v="CI-75704498" u="1"/>
        <s v="CI-75647841" u="1"/>
        <s v="CI-75450470" u="1"/>
        <s v="CI-75669907" u="1"/>
        <s v="CI-75640778" u="1"/>
        <s v="CI-75591631" u="1"/>
        <s v="CI-73639162" u="1"/>
        <s v="CI-75745622" u="1"/>
        <s v="CI-75967337" u="1"/>
        <s v="CI-75920903" u="1"/>
        <s v="CI-76054199" u="1"/>
        <s v="CI-76018340" u="1"/>
        <s v="CI-75843922" u="1"/>
        <s v="CI-75968986" u="1"/>
        <s v="CI-75657210" u="1"/>
        <s v="CI-75974227" u="1"/>
        <s v="CI-75891488" u="1"/>
        <s v="CI-75903890" u="1"/>
        <s v="CI-76011745" u="1"/>
        <s v="CI-75891450" u="1"/>
        <s v="CI-75653305" u="1"/>
        <s v="CI-75978739" u="1"/>
        <s v="CI-75960172" u="1"/>
        <s v="CI-75965854" u="1"/>
        <s v="CI-75777312" u="1"/>
        <s v="CI-74739369" u="1"/>
        <s v="CI-77298428" u="1"/>
        <s v="CI-74966318" u="1"/>
        <s v="CI-73919385" u="1"/>
        <s v="CI-73999424" u="1"/>
        <s v="CI-74759928" u="1"/>
        <s v="CI-74767212" u="1"/>
        <s v="CI-76381886" u="1"/>
        <s v="CI-76041615" u="1"/>
        <s v="CI-75951992" u="1"/>
        <s v="CI-76157416" u="1"/>
        <s v="CI-76141341" u="1"/>
        <s v="CI-76330595" u="1"/>
        <s v="CI-76075219" u="1"/>
        <s v="CI-76306164" u="1"/>
        <s v="CI-77877358" u="1"/>
        <s v="CI-76305615" u="1"/>
        <s v="CI-76565894" u="1"/>
        <s v="CI-76126987" u="1"/>
        <s v="CI-75778350" u="1"/>
        <s v="CI-76331912" u="1"/>
        <s v="CI-76301390" u="1"/>
        <s v="CI-76300733" u="1"/>
        <s v="CI-76332289" u="1"/>
        <s v="CI-76079793" u="1"/>
        <s v="CI-76309369" u="1"/>
        <s v="CI-75455584" u="1"/>
        <s v="CI-75117720" u="1"/>
        <s v="CI-75451563" u="1"/>
        <s v="CI-75079878" u="1"/>
        <s v="CI-75374857" u="1"/>
        <s v="CI-75010440" u="1"/>
        <s v="CI-76720526" u="1"/>
        <s v="CI-76552346" u="1"/>
        <s v="CI-76714087" u="1"/>
        <s v="CI-76712787" u="1"/>
        <s v="CI-76529643" u="1"/>
        <s v="CI-76709714" u="1"/>
        <s v="CI-76898122" u="1"/>
        <s v="CI-76530861" u="1"/>
        <s v="CI-76702725" u="1"/>
        <s v="CI-76520517" u="1"/>
        <s v="CI-76547455" u="1"/>
        <s v="CI-76552805" u="1"/>
        <s v="CI-76829210" u="1"/>
        <s v="CI-76832505" u="1"/>
        <s v="CI-76841351" u="1"/>
        <s v="CI-76831601" u="1"/>
        <s v="CI-76695636" u="1"/>
        <s v="CI-76365030" u="1"/>
        <s v="CI-76831782" u="1"/>
        <s v="CI-76710474" u="1"/>
        <s v="CI-76367339" u="1"/>
        <s v="CI-76500200" u="1"/>
        <s v="CI-76512574" u="1"/>
        <s v="CI-76367656" u="1"/>
        <s v="CI-76364438" u="1"/>
        <s v="CI-76501843" u="1"/>
        <s v="CI-76502842" u="1"/>
        <s v="CI-76496029" u="1"/>
        <s v="CI-76501352" u="1"/>
        <s v="CI-76501326" u="1"/>
        <s v="CI-76499059" u="1"/>
        <s v="CI-76664446" u="1"/>
        <s v="CI-76826774" u="1"/>
        <s v="CI-76825632" u="1"/>
        <s v="CI-76825988" u="1"/>
        <s v="CI-76824843" u="1"/>
        <s v="CI-76824957" u="1"/>
        <s v="CI-76668322" u="1"/>
        <s v="CI-76662747" u="1"/>
        <s v="CI-76778767" u="1"/>
        <s v="CI-76129765" u="1"/>
        <s v="CI-76684819" u="1"/>
        <s v="CI-76682895" u="1"/>
        <s v="CI-76683216" u="1"/>
        <s v="CI-76623218" u="1"/>
        <s v="CI-76800228" u="1"/>
        <s v="CI-76748849" u="1"/>
        <s v="CI-76608948" u="1"/>
        <s v="CI-76623198" u="1"/>
        <s v="CI-76745558" u="1"/>
        <s v="CI-76759087" u="1"/>
        <s v="CI-76744358" u="1"/>
        <s v="CI-76779915" u="1"/>
        <s v="CI-76760272" u="1"/>
        <s v="CI-76809152" u="1"/>
        <s v="CI-76998849" u="1"/>
        <s v="CI-76816066" u="1"/>
        <s v="CI-76733064" u="1"/>
        <s v="CI-76804079" u="1"/>
        <s v="CI-76763567" u="1"/>
        <s v="CI-76345999" u="1"/>
        <s v="CI-76822552" u="1"/>
        <s v="CI-76428208" u="1"/>
        <s v="CI-76669812" u="1"/>
        <s v="CI-76753607" u="1"/>
        <s v="CI-76789053" u="1"/>
        <s v="CI-76812040" u="1"/>
        <s v="CI-76656673" u="1"/>
        <s v="CI-76806936" u="1"/>
        <s v="CI-76818851" u="1"/>
        <s v="CI-76629409" u="1"/>
        <s v="CI-76763996" u="1"/>
        <s v="CI-76817322" u="1"/>
        <s v="CI-76811158" u="1"/>
        <s v="CI-76739646" u="1"/>
        <s v="CI-76752860" u="1"/>
        <s v="CI-76619900" u="1"/>
        <s v="CI-76813751" u="1"/>
        <s v="CI-78036374" u="1"/>
        <s v="CI-75845163" u="1"/>
        <s v="CI-78172540" u="1"/>
        <s v="CI-77277627" u="1"/>
        <s v="CI-77290072" u="1"/>
        <s v="CI-77405331" u="1"/>
        <s v="CI-77235943" u="1"/>
        <s v="CI-77334259" u="1"/>
        <s v="CI-77284411" u="1"/>
        <s v="CI-77235713" u="1"/>
        <s v="CI-77275930" u="1"/>
        <s v="CI-77235706" u="1"/>
        <s v="CI-77442150" u="1"/>
        <s v="CI-77284552" u="1"/>
        <s v="CI-77284543" u="1"/>
        <s v="CI-77269325" u="1"/>
        <s v="CI-77237138" u="1"/>
        <s v="CI-77236926" u="1"/>
        <s v="CI-77715121" u="1"/>
        <s v="CI-76951175" u="1"/>
        <s v="CI-76676072" u="1"/>
        <s v="CI-77215932" u="1"/>
        <s v="CI-77028359" u="1"/>
        <s v="CI-76954160" u="1"/>
        <s v="CI-76860561" u="1"/>
        <s v="CI-77130065" u="1"/>
        <s v="CI-76953576" u="1"/>
        <s v="CI-76946000" u="1"/>
        <s v="CI-76944128" u="1"/>
        <s v="CI-76981484" u="1"/>
        <s v="CI-76913027" u="1"/>
        <s v="CI-76865197" u="1"/>
        <s v="CI-77159238" u="1"/>
        <s v="CI-76981878" u="1"/>
        <s v="CI-77213130" u="1"/>
        <s v="CI-76864224" u="1"/>
        <s v="CI-77213122" u="1"/>
        <s v="CI-76604470" u="1"/>
        <s v="CI-77121742" u="1"/>
        <s v="CI-77127048" u="1"/>
        <s v="CI-77072766" u="1"/>
        <s v="CI-76988258" u="1"/>
        <s v="CI-77116134" u="1"/>
        <s v="CI-76945278" u="1"/>
        <s v="CI-76117211" u="1"/>
        <s v="CI-76192745" u="1"/>
        <s v="CI-76141421" u="1"/>
        <s v="CI-75959266" u="1"/>
        <s v="CI-76195191" u="1"/>
        <s v="CI-76163739" u="1"/>
        <s v="CI-76473263" u="1"/>
        <s v="CI-76362106" u="1"/>
        <s v="CI-75791976" u="1"/>
        <s v="CI-75654076" u="1"/>
        <s v="CI-75083785" u="1"/>
        <s v="CI-75626399" u="1"/>
        <s v="CI-73870250" u="1"/>
        <s v="CI-73209755" u="1"/>
        <m u="1"/>
        <s v="CI-73192606" u="1"/>
        <s v="CI-73335671" u="1"/>
        <s v="CI-74765015" u="1"/>
        <s v="CI-73855567" u="1"/>
        <s v="CI-74124333" u="1"/>
        <s v="CI-74891989" u="1"/>
        <s v="CI-74942440" u="1"/>
        <s v="CI-75477366" u="1"/>
        <s v="CI-75416054" u="1"/>
        <s v="CI-75106515" u="1"/>
        <s v="CI-75422363" u="1"/>
        <s v="CI-75618925" u="1"/>
        <s v="CI-75669751" u="1"/>
        <s v="CI-74156427" u="1"/>
        <s v="CI-75766944" u="1"/>
        <s v="CI-75672184" u="1"/>
        <s v="CI-75428699" u="1"/>
        <s v="CI-75696868" u="1"/>
        <s v="CI-75112260" u="1"/>
        <s v="CI-75131194" u="1"/>
        <s v="CI-75130209" u="1"/>
        <s v="CI-75131819" u="1"/>
        <s v="CI-75723759" u="1"/>
        <s v="CI-75647404" u="1"/>
        <s v="CI-76121757" u="1"/>
        <s v="CI-75962270" u="1"/>
        <s v="CI-75948668" u="1"/>
        <s v="CI-75599765" u="1"/>
        <s v="CI-75616424" u="1"/>
        <s v="CI-75959470" u="1"/>
        <s v="CI-76005861" u="1"/>
        <s v="CI-75845833" u="1"/>
        <s v="CI-74883465" u="1"/>
        <s v="CI-77154010" u="1"/>
        <s v="CI-77161784" u="1"/>
        <s v="CI-76931875" u="1"/>
        <s v="CI-77065175" u="1"/>
        <s v="CI-77317105" u="1"/>
        <s v="CI-77296207" u="1"/>
        <s v="CI-76624691" u="1"/>
        <s v="CI-76275640" u="1"/>
        <s v="CI-76289635" u="1"/>
        <s v="CI-76127824" u="1"/>
        <s v="CI-76107536" u="1"/>
        <s v="CI-76137475" u="1"/>
        <s v="CI-76311294" u="1"/>
        <s v="CI-76369365" u="1"/>
        <s v="CI-76244380" u="1"/>
        <s v="CI-76369998" u="1"/>
        <s v="CI-76366969" u="1"/>
        <s v="CI-76395160" u="1"/>
        <s v="CI-76405679" u="1"/>
        <s v="CI-76410653" u="1"/>
        <s v="CI-76286967" u="1"/>
        <s v="CI-76495410" u="1"/>
        <s v="CI-76288690" u="1"/>
        <s v="CI-76076790" u="1"/>
        <s v="CI-76470476" u="1"/>
        <s v="CI-76311302" u="1"/>
        <s v="CI-76142948" u="1"/>
        <s v="CI-76313119" u="1"/>
        <s v="CI-76313864" u="1"/>
        <s v="CI-75719540" u="1"/>
        <s v="CI-75189971" u="1"/>
        <s v="CI-77625370" u="1"/>
        <s v="CI-74904669" u="1"/>
        <s v="CI-76723453" u="1"/>
        <s v="CI-76720853" u="1"/>
        <s v="CI-76853406" u="1"/>
        <s v="CI-76858428" u="1"/>
        <s v="CI-76896595" u="1"/>
        <s v="CI-76707561" u="1"/>
        <s v="CI-77628936" u="1"/>
        <s v="CI-76868929" u="1"/>
        <s v="CI-76834088" u="1"/>
        <s v="CI-76857871" u="1"/>
        <s v="CI-76830956" u="1"/>
        <s v="CI-76828686" u="1"/>
        <s v="CI-76500191" u="1"/>
        <s v="CI-76830034" u="1"/>
        <s v="CI-76694144" u="1"/>
        <s v="CI-76829932" u="1"/>
        <s v="CI-76692356" u="1"/>
        <s v="CI-76866207" u="1"/>
        <s v="CI-76694639" u="1"/>
        <s v="CI-76829592" u="1"/>
        <s v="CI-76499872" u="1"/>
        <s v="CI-76831413" u="1"/>
        <s v="CI-76500046" u="1"/>
        <s v="CI-76500232" u="1"/>
        <s v="CI-76826971" u="1"/>
        <s v="CI-76826296" u="1"/>
        <s v="CI-76823564" u="1"/>
        <s v="CI-76781904" u="1"/>
        <s v="CI-76824673" u="1"/>
        <s v="CI-76686872" u="1"/>
        <s v="CI-76823097" u="1"/>
        <s v="CI-76662440" u="1"/>
        <s v="CI-76662485" u="1"/>
        <s v="CI-76821914" u="1"/>
        <s v="CI-76684311" u="1"/>
        <s v="CI-76773439" u="1"/>
        <s v="CI-76680180" u="1"/>
        <s v="CI-76772089" u="1"/>
        <s v="CI-76772782" u="1"/>
        <s v="CI-76604387" u="1"/>
        <s v="CI-76762544" u="1"/>
        <s v="CI-76657519" u="1"/>
        <s v="CI-76748909" u="1"/>
        <s v="CI-76799832" u="1"/>
        <s v="CI-76820864" u="1"/>
        <s v="CI-76820610" u="1"/>
        <s v="CI-76820219" u="1"/>
        <s v="CI-76760162" u="1"/>
        <s v="CI-76820180" u="1"/>
        <s v="CI-76815636" u="1"/>
        <s v="CI-76820145" u="1"/>
        <s v="CI-76820129" u="1"/>
        <s v="CI-76661536" u="1"/>
        <s v="CI-76819708" u="1"/>
        <s v="CI-76742835" u="1"/>
        <s v="CI-76741938" u="1"/>
        <s v="CI-76786372" u="1"/>
        <s v="CI-76746302" u="1"/>
        <s v="CI-76809741" u="1"/>
        <s v="CI-76779664" u="1"/>
        <s v="CI-76804461" u="1"/>
        <s v="CI-76618614" u="1"/>
        <s v="CI-76750184" u="1"/>
        <s v="CI-76750014" u="1"/>
        <s v="CI-76824275" u="1"/>
        <s v="CI-76768211" u="1"/>
        <s v="CI-76617590" u="1"/>
        <s v="CI-76754571" u="1"/>
        <s v="CI-76819340" u="1"/>
        <s v="CI-76767459" u="1"/>
        <s v="CI-76669697" u="1"/>
        <s v="CI-76806840" u="1"/>
        <s v="CI-76769105" u="1"/>
        <s v="CI-76807276" u="1"/>
        <s v="CI-76762203" u="1"/>
        <s v="CI-76586727" u="1"/>
        <s v="CI-76669571" u="1"/>
        <s v="CI-76747827" u="1"/>
        <s v="CI-76817027" u="1"/>
        <s v="CI-76649218" u="1"/>
        <s v="CI-76807560" u="1"/>
        <s v="CI-76822417" u="1"/>
        <s v="CI-76926686" u="1"/>
        <s v="CI-76954462" u="1"/>
        <s v="CI-77046249" u="1"/>
        <s v="CI-76992292" u="1"/>
        <s v="CI-76935416" u="1"/>
        <s v="CI-77056538" u="1"/>
        <s v="CI-76993940" u="1"/>
        <s v="CI-77017004" u="1"/>
        <s v="CI-77135545" u="1"/>
        <s v="CI-77038640" u="1"/>
        <s v="CI-77042771" u="1"/>
        <s v="CI-77191128" u="1"/>
        <s v="CI-76951801" u="1"/>
        <s v="CI-77017423" u="1"/>
        <s v="CI-76959141" u="1"/>
        <s v="CI-76958137" u="1"/>
        <s v="CI-77067691" u="1"/>
        <s v="CI-77006758" u="1"/>
        <s v="CI-77064102" u="1"/>
        <s v="CI-76833603" u="1"/>
        <s v="CI-76843851" u="1"/>
        <s v="CI-76833758" u="1"/>
        <s v="CI-76894124" u="1"/>
        <s v="CI-76880007" u="1"/>
        <s v="CI-76869711" u="1"/>
        <s v="CI-76832403" u="1"/>
        <s v="CI-76838475" u="1"/>
        <s v="CI-76840947" u="1"/>
        <s v="CI-76833941" u="1"/>
        <s v="CI-76849682" u="1"/>
        <s v="CI-76850959" u="1"/>
        <s v="CI-77073699" u="1"/>
        <s v="CI-76849745" u="1"/>
        <s v="CI-76850618" u="1"/>
        <s v="CI-76849423" u="1"/>
        <s v="CI-76851553" u="1"/>
        <s v="CI-77071822" u="1"/>
        <s v="CI-76851447" u="1"/>
        <s v="CI-76849452" u="1"/>
        <s v="CI-77066682" u="1"/>
        <s v="CI-76855778" u="1"/>
        <s v="CI-76847224" u="1"/>
        <s v="CI-76903004" u="1"/>
        <s v="CI-76849650" u="1"/>
        <s v="CI-76846374" u="1"/>
        <s v="CI-76895010" u="1"/>
        <s v="CI-76837964" u="1"/>
        <s v="CI-76877360" u="1"/>
        <s v="CI-76879994" u="1"/>
        <s v="CI-77212197" u="1"/>
        <s v="CI-77242345" u="1"/>
        <s v="CI-77202020" u="1"/>
        <s v="CI-77201570" u="1"/>
        <s v="CI-77201916" u="1"/>
        <s v="CI-77089098" u="1"/>
        <s v="CI-77200851" u="1"/>
        <s v="CI-77199387" u="1"/>
        <s v="CI-77199846" u="1"/>
        <s v="CI-77204177" u="1"/>
        <s v="CI-77200025" u="1"/>
        <s v="CI-77193976" u="1"/>
        <s v="CI-77197387" u="1"/>
        <s v="CI-77197421" u="1"/>
        <s v="CI-77190391" u="1"/>
        <s v="CI-77194006" u="1"/>
        <s v="CI-77198242" u="1"/>
        <s v="CI-77197742" u="1"/>
        <s v="CI-77138676" u="1"/>
        <s v="CI-77197502" u="1"/>
        <s v="CI-77197393" u="1"/>
        <s v="CI-77136682" u="1"/>
        <s v="CI-77139214" u="1"/>
        <s v="CI-77197997" u="1"/>
        <s v="CI-77174101" u="1"/>
        <s v="CI-77138431" u="1"/>
        <s v="CI-77158404" u="1"/>
        <s v="CI-77197449" u="1"/>
        <s v="CI-77195466" u="1"/>
        <s v="CI-77195354" u="1"/>
        <s v="CI-77154806" u="1"/>
        <s v="CI-77165804" u="1"/>
        <s v="CI-73855573" u="1"/>
        <s v="CI-73728385" u="1"/>
        <s v="CI-74942870" u="1"/>
        <s v="CI-74751936" u="1"/>
        <s v="CI-71238638" u="1"/>
        <s v="CI-75507018" u="1"/>
        <s v="CI-74718246" u="1"/>
        <s v="CI-74284148" u="1"/>
        <s v="CI-74769681" u="1"/>
        <s v="CI-73622584" u="1"/>
        <s v="CI-72144958" u="1"/>
        <s v="CI-74898244" u="1"/>
        <s v="CI-74861851" u="1"/>
        <s v="CI-74108479" u="1"/>
        <s v="CI-75896585" u="1"/>
        <s v="CI-74671821" u="1"/>
        <s v="CI-74593847" u="1"/>
        <s v="CI-74870807" u="1"/>
        <s v="CI-74858967" u="1"/>
        <s v="CI-75044571" u="1"/>
        <s v="CI-75028026" u="1"/>
        <s v="CI-75428006" u="1"/>
        <s v="CI-75858123" u="1"/>
        <s v="CI-74991043" u="1"/>
        <s v="CI-74953954" u="1"/>
        <s v="CI-75224153" u="1"/>
        <s v="CI-75512683" u="1"/>
        <s v="CI-75413261" u="1"/>
        <s v="CI-75748125" u="1"/>
        <s v="CI-75126618" u="1"/>
        <s v="CI-75762046" u="1"/>
        <s v="CI-75964297" u="1"/>
        <s v="CI-75124251" u="1"/>
        <s v="CI-75473829" u="1"/>
        <s v="CI-75456645" u="1"/>
        <s v="CI-75457992" u="1"/>
        <s v="CI-75204442" u="1"/>
        <s v="CI-75198218" u="1"/>
        <s v="CI-75178621" u="1"/>
        <s v="CI-75238987" u="1"/>
        <s v="CI-75226557" u="1"/>
        <s v="CI-75714206" u="1"/>
        <s v="CI-75763163" u="1"/>
        <s v="CI-75883553" u="1"/>
        <s v="CI-76007884" u="1"/>
        <s v="CI-75969632" u="1"/>
        <s v="CI-75849727" u="1"/>
        <s v="CI-75884468" u="1"/>
        <s v="CI-76042629" u="1"/>
        <s v="CI-75929159" u="1"/>
        <s v="CI-75915948" u="1"/>
        <s v="CI-76057111" u="1"/>
        <s v="CI-75626614" u="1"/>
        <s v="CI-76047538" u="1"/>
        <s v="CI-75916408" u="1"/>
        <s v="CI-76078974" u="1"/>
        <s v="CI-75626621" u="1"/>
        <s v="CI-75002055" u="1"/>
        <s v="CI-75082524" u="1"/>
        <s v="CI-74779325" u="1"/>
        <s v="CI-74736301" u="1"/>
        <s v="CI-77368975" u="1"/>
        <s v="CI-73826866" u="1"/>
        <s v="CI-77350295" u="1"/>
        <s v="CI-73760277" u="1"/>
        <s v="CI-73849222" u="1"/>
        <s v="CI-74353687" u="1"/>
        <s v="CI-74497928" u="1"/>
        <s v="CI-74776826" u="1"/>
        <s v="CI-74421505" u="1"/>
        <s v="CI-73603775" u="1"/>
        <s v="CI-77072841" u="1"/>
        <s v="CI-76463905" u="1"/>
        <s v="CI-77496036" u="1"/>
        <s v="CI-77475462" u="1"/>
        <s v="CI-77468378" u="1"/>
        <s v="CI-77460796" u="1"/>
        <s v="CI-76637279" u="1"/>
        <s v="CI-76637205" u="1"/>
        <s v="CI-76636684" u="1"/>
        <s v="CI-76617416" u="1"/>
        <s v="CI-76634692" u="1"/>
        <s v="CI-76625279" u="1"/>
        <s v="CI-76618946" u="1"/>
        <s v="CI-76635667" u="1"/>
        <s v="CI-76638400" u="1"/>
        <s v="CI-76636140" u="1"/>
        <s v="CI-76627819" u="1"/>
        <s v="CI-76493691" u="1"/>
        <s v="CI-76604545" u="1"/>
        <s v="CI-76603686" u="1"/>
        <s v="CI-76602988" u="1"/>
        <s v="CI-76603471" u="1"/>
        <s v="CI-76601536" u="1"/>
        <s v="CI-76604556" u="1"/>
        <s v="CI-76638545" u="1"/>
        <s v="CI-76638538" u="1"/>
        <s v="CI-76603628" u="1"/>
        <s v="CI-76604010" u="1"/>
        <s v="CI-76602032" u="1"/>
        <s v="CI-76624274" u="1"/>
        <s v="CI-76601339" u="1"/>
        <s v="CI-76638336" u="1"/>
        <s v="CI-77180322" u="1"/>
        <s v="CI-77070463" u="1"/>
        <s v="CI-76414643" u="1"/>
        <s v="CI-76413980" u="1"/>
        <s v="CI-76256877" u="1"/>
        <s v="CI-76414010" u="1"/>
        <s v="CI-76280151" u="1"/>
        <s v="CI-76249263" u="1"/>
        <s v="CI-76291312" u="1"/>
        <s v="CI-76246377" u="1"/>
        <s v="CI-76288399" u="1"/>
        <s v="CI-75856970" u="1"/>
        <s v="CI-76094499" u="1"/>
        <s v="CI-76095791" u="1"/>
        <s v="CI-76108452" u="1"/>
        <s v="CI-76326176" u="1"/>
        <s v="CI-76151251" u="1"/>
        <s v="CI-76155594" u="1"/>
        <s v="CI-76302947" u="1"/>
        <s v="CI-76195174" u="1"/>
        <s v="CI-76302213" u="1"/>
        <s v="CI-76136539" u="1"/>
        <s v="CI-76150495" u="1"/>
        <s v="CI-75811349" u="1"/>
        <s v="CI-75625648" u="1"/>
        <s v="CI-75551320" u="1"/>
        <s v="CI-76298097" u="1"/>
        <s v="CI-76552499" u="1"/>
        <s v="CI-76414753" u="1"/>
        <s v="CI-76551929" u="1"/>
        <s v="CI-76538022" u="1"/>
        <s v="CI-76548978" u="1"/>
        <s v="CI-76406404" u="1"/>
        <s v="CI-76414632" u="1"/>
        <s v="CI-76538084" u="1"/>
        <s v="CI-76404707" u="1"/>
        <s v="CI-76295310" u="1"/>
        <s v="CI-75771035" u="1"/>
        <s v="CI-76404486" u="1"/>
        <s v="CI-76398329" u="1"/>
        <s v="CI-76535153" u="1"/>
        <s v="CI-76296746" u="1"/>
        <s v="CI-76398125" u="1"/>
        <s v="CI-76402561" u="1"/>
        <s v="CI-76371846" u="1"/>
        <s v="CI-76402555" u="1"/>
        <s v="CI-76375501" u="1"/>
        <s v="CI-76271843" u="1"/>
        <s v="CI-76518546" u="1"/>
        <s v="CI-76525368" u="1"/>
        <s v="CI-76373597" u="1"/>
        <s v="CI-76284796" u="1"/>
        <s v="CI-76380636" u="1"/>
        <s v="CI-76247168" u="1"/>
        <s v="CI-76412473" u="1"/>
        <s v="CI-76368655" u="1"/>
        <s v="CI-76507851" u="1"/>
        <s v="CI-76366808" u="1"/>
        <s v="CI-76245701" u="1"/>
        <s v="CI-76366999" u="1"/>
        <s v="CI-76243908" u="1"/>
        <s v="CI-76368527" u="1"/>
        <s v="CI-76408155" u="1"/>
        <s v="CI-76394577" u="1"/>
        <s v="CI-76392238" u="1"/>
        <s v="CI-76284965" u="1"/>
        <s v="CI-76482426" u="1"/>
        <s v="CI-76289410" u="1"/>
        <s v="CI-76410786" u="1"/>
        <s v="CI-76480626" u="1"/>
        <s v="CI-76483912" u="1"/>
        <s v="CI-76495451" u="1"/>
        <s v="CI-76531256" u="1"/>
        <s v="CI-76393515" u="1"/>
        <s v="CI-76477924" u="1"/>
        <s v="CI-75960479" u="1"/>
        <s v="CI-75952439" u="1"/>
        <s v="CI-75961793" u="1"/>
        <s v="CI-76146367" u="1"/>
        <s v="CI-76478864" u="1"/>
        <s v="CI-76476434" u="1"/>
        <s v="CI-76478721" u="1"/>
        <s v="CI-76480527" u="1"/>
        <s v="CI-76357551" u="1"/>
        <s v="CI-76129373" u="1"/>
        <s v="CI-76460140" u="1"/>
        <s v="CI-76354085" u="1"/>
        <s v="CI-76156825" u="1"/>
        <s v="CI-76352517" u="1"/>
        <s v="CI-76445184" u="1"/>
        <s v="CI-75810253" u="1"/>
        <s v="CI-76471880" u="1"/>
        <s v="CI-77425948" u="1"/>
        <s v="CI-76140482" u="1"/>
        <s v="CI-76471841" u="1"/>
        <s v="CI-76438755" u="1"/>
        <s v="CI-76341357" u="1"/>
        <s v="CI-76328463" u="1"/>
        <s v="CI-76432606" u="1"/>
        <s v="CI-76093537" u="1"/>
        <s v="CI-76425382" u="1"/>
        <s v="CI-76320948" u="1"/>
        <s v="CI-76317959" u="1"/>
        <s v="CI-76303743" u="1"/>
        <s v="CI-76323019" u="1"/>
        <s v="CI-75896231" u="1"/>
        <s v="CI-76321713" u="1"/>
        <s v="CI-76426689" u="1"/>
        <s v="CI-76461447" u="1"/>
        <s v="CI-76312228" u="1"/>
        <s v="CI-76569051" u="1"/>
        <s v="CI-76470492" u="1"/>
        <s v="CI-76058157" u="1"/>
        <s v="CI-76461991" u="1"/>
        <s v="CI-76469702" u="1"/>
        <s v="CI-75777942" u="1"/>
        <s v="CI-76461374" u="1"/>
        <s v="CI-76337158" u="1"/>
        <s v="CI-76193080" u="1"/>
        <s v="CI-76347782" u="1"/>
        <s v="CI-76149925" u="1"/>
        <s v="CI-76459618" u="1"/>
        <s v="CI-76423218" u="1"/>
        <s v="CI-76423964" u="1"/>
        <s v="CI-76054938" u="1"/>
        <s v="CI-76422603" u="1"/>
        <s v="CI-76429246" u="1"/>
        <s v="CI-76423751" u="1"/>
        <s v="CI-75777399" u="1"/>
        <s v="CI-76085969" u="1"/>
        <s v="CI-76211130" u="1"/>
        <s v="CI-76081978" u="1"/>
        <s v="CI-76333385" u="1"/>
        <s v="CI-76420839" u="1"/>
        <s v="CI-76420113" u="1"/>
        <s v="CI-76994004" u="1"/>
        <s v="CI-76301780" u="1"/>
        <s v="CI-76472598" u="1"/>
        <s v="CI-76156594" u="1"/>
        <s v="CI-76329005" u="1"/>
        <s v="CI-76192799" u="1"/>
        <s v="CI-76120950" u="1"/>
        <s v="CI-76153077" u="1"/>
        <s v="CI-76120525" u="1"/>
        <s v="CI-76420760" u="1"/>
        <s v="CI-76310261" u="1"/>
        <s v="CI-76215687" u="1"/>
        <s v="CI-76752812" u="1"/>
        <s v="CI-76331841" u="1"/>
        <s v="CI-76631452" u="1"/>
        <s v="CI-75775964" u="1"/>
        <s v="CI-76469815" u="1"/>
        <s v="CI-77815511" u="1"/>
        <s v="CI-75453755" u="1"/>
        <s v="CI-75730837" u="1"/>
        <s v="CI-75077841" u="1"/>
        <s v="CI-75719850" u="1"/>
        <s v="CI-75717682" u="1"/>
        <s v="CI-75076501" u="1"/>
        <s v="CI-75190682" u="1"/>
        <s v="CI-75235849" u="1"/>
        <s v="CI-77879644" u="1"/>
        <s v="CI-75190720" u="1"/>
        <s v="CI-75501220" u="1"/>
        <s v="CI-75701326" u="1"/>
        <s v="CI-75056630" u="1"/>
        <s v="CI-75347143" u="1"/>
        <s v="CI-75131379" u="1"/>
        <s v="CI-75021564" u="1"/>
        <s v="CI-74676957" u="1"/>
        <s v="CI-74178284" u="1"/>
        <s v="CI-75962558" u="1"/>
        <s v="CI-75617464" u="1"/>
        <s v="CI-73764529" u="1"/>
        <s v="CI-73632133" u="1"/>
        <s v="CI-73433765" u="1"/>
        <s v="CI-71846401" u="1"/>
        <s v="CI-71237323" u="1"/>
        <s v="CI-75257219" u="1"/>
        <s v="CI-74562693" u="1"/>
        <s v="CI-74104931" u="1"/>
        <s v="CI-74359284" u="1"/>
        <s v="CI-74800349" u="1"/>
        <s v="CI-74742577" u="1"/>
        <s v="CI-73169086" u="1"/>
        <s v="CI-74548588" u="1"/>
        <s v="CI-74972264" u="1"/>
        <s v="CI-72887507" u="1"/>
        <s v="CI-75905649" u="1"/>
        <s v="CI-75111537" u="1"/>
        <s v="CI-75152108" u="1"/>
        <s v="CI-75164838" u="1"/>
        <s v="CI-75089281" u="1"/>
        <s v="CI-75283171" u="1"/>
        <s v="CI-75445533" u="1"/>
        <s v="CI-75430040" u="1"/>
        <s v="CI-75107357" u="1"/>
        <s v="CI-75222389" u="1"/>
        <s v="CI-75373549" u="1"/>
        <s v="CI-75422668" u="1"/>
        <s v="CI-75482074" u="1"/>
        <s v="CI-75588356" u="1"/>
        <s v="CI-75385528" u="1"/>
        <s v="CI-75378606" u="1"/>
        <s v="CI-75063448" u="1"/>
        <s v="CI-75308697" u="1"/>
        <s v="CI-75307380" u="1"/>
        <s v="CI-74776367" u="1"/>
        <s v="CI-75513667" u="1"/>
        <s v="CI-75690243" u="1"/>
        <s v="CI-75493141" u="1"/>
        <s v="CI-75777141" u="1"/>
        <s v="CI-75500946" u="1"/>
        <s v="CI-73379378" u="1"/>
        <s v="CI-73770279" u="1"/>
        <s v="CI-75606286" u="1"/>
        <s v="CI-75627668" u="1"/>
        <s v="CI-76679428" u="1"/>
        <s v="CI-76614570" u="1"/>
        <s v="CI-75840478" u="1"/>
        <s v="CI-75764027" u="1"/>
        <s v="CI-73671585" u="1"/>
        <s v="CI-74474134" u="1"/>
        <s v="CI-75964607" u="1"/>
        <s v="CI-75961509" u="1"/>
        <s v="CI-76438409" u="1"/>
        <s v="CI-75250494" u="1"/>
        <s v="CI-75435205" u="1"/>
        <s v="CI-75111458" u="1"/>
        <s v="CI-75429557" u="1"/>
        <s v="CI-75384854" u="1"/>
        <s v="CI-74359793" u="1"/>
        <s v="CI-76553350" u="1"/>
        <s v="CI-75763195" u="1"/>
        <s v="CI-75755729" u="1"/>
        <s v="CI-75734603" u="1"/>
        <s v="CI-75720286" u="1"/>
        <s v="CI-75706665" u="1"/>
        <s v="CI-75625733" u="1"/>
        <s v="CI-75508182" u="1"/>
        <s v="CI-75509921" u="1"/>
        <s v="CI-75449547" u="1"/>
        <s v="CI-73434315" u="1"/>
        <s v="CI-73373826" u="1"/>
        <s v="CI-73437378" u="1"/>
        <s v="CI-76499324" u="1"/>
        <s v="CI-76499700" u="1"/>
        <s v="CI-75938397" u="1"/>
        <s v="CI-75954805" u="1"/>
        <s v="CI-75952023" u="1"/>
        <s v="CI-75885548" u="1"/>
        <s v="CI-75716792" u="1"/>
        <s v="CI-75616993" u="1"/>
        <s v="CI-75657173" u="1"/>
        <s v="CI-75694797" u="1"/>
        <s v="CI-76000178" u="1"/>
        <s v="CI-75720780" u="1"/>
        <s v="CI-75867997" u="1"/>
        <s v="CI-76015672" u="1"/>
        <s v="CI-75958248" u="1"/>
        <s v="CI-76004023" u="1"/>
        <s v="CI-75935794" u="1"/>
        <s v="CI-75904011" u="1"/>
        <s v="CI-75808225" u="1"/>
        <s v="CI-75871517" u="1"/>
        <s v="CI-75890075" u="1"/>
        <s v="CI-76021140" u="1"/>
        <s v="CI-76077070" u="1"/>
        <s v="CI-76034799" u="1"/>
        <s v="CI-75900996" u="1"/>
        <s v="CI-75977568" u="1"/>
        <s v="CI-76077952" u="1"/>
        <s v="CI-75968445" u="1"/>
        <s v="CI-75928627" u="1"/>
        <s v="CI-76042278" u="1"/>
        <s v="CI-76010504" u="1"/>
        <s v="CI-75640779" u="1"/>
        <s v="CI-76011659" u="1"/>
        <s v="CI-75747448" u="1"/>
        <s v="CI-75975984" u="1"/>
        <s v="CI-76103415" u="1"/>
        <s v="CI-75936241" u="1"/>
        <s v="CI-76024792" u="1"/>
        <s v="CI-75711634" u="1"/>
        <s v="CI-76060528" u="1"/>
        <s v="CI-76002231" u="1"/>
        <s v="CI-76065598" u="1"/>
        <s v="CI-76005492" u="1"/>
        <s v="CI-76095366" u="1"/>
        <s v="CI-75858105" u="1"/>
        <s v="CI-75903433" u="1"/>
        <s v="CI-76052627" u="1"/>
        <s v="CI-76025233" u="1"/>
        <s v="CI-75752809" u="1"/>
        <s v="CI-75957715" u="1"/>
        <s v="CI-75955533" u="1"/>
        <s v="CI-76012107" u="1"/>
        <s v="CI-76091458" u="1"/>
        <s v="CI-75973367" u="1"/>
        <s v="CI-76050708" u="1"/>
        <s v="CI-76005434" u="1"/>
        <s v="CI-75863880" u="1"/>
        <s v="CI-76043069" u="1"/>
        <s v="CI-75926050" u="1"/>
        <s v="CI-76077932" u="1"/>
        <s v="CI-75718963" u="1"/>
        <s v="CI-76994334" u="1"/>
        <s v="CI-76041416" u="1"/>
        <s v="CI-75813473" u="1"/>
        <s v="CI-76038921" u="1"/>
        <s v="CI-75795238" u="1"/>
        <s v="CI-76039198" u="1"/>
        <s v="CI-75973181" u="1"/>
        <s v="CI-75984505" u="1"/>
        <s v="CI-75952162" u="1"/>
        <s v="CI-76038759" u="1"/>
        <s v="CI-75747575" u="1"/>
        <s v="CI-76303586" u="1"/>
        <s v="CI-76011956" u="1"/>
        <s v="CI-76003817" u="1"/>
        <s v="CI-76087533" u="1"/>
        <s v="CI-75961365" u="1"/>
        <s v="CI-76006556" u="1"/>
        <s v="CI-75378066" u="1"/>
        <s v="CI-76122064" u="1"/>
        <s v="CI-75763245" u="1"/>
        <s v="CI-75674222" u="1"/>
        <s v="CI-76072902" u="1"/>
        <s v="CI-76020730" u="1"/>
        <s v="CI-75723539" u="1"/>
        <s v="CI-75931277" u="1"/>
        <s v="CI-76001407" u="1"/>
        <s v="CI-76023929" u="1"/>
        <s v="CI-75949423" u="1"/>
        <s v="CI-76005267" u="1"/>
        <s v="CI-76002393" u="1"/>
        <s v="CI-76051165" u="1"/>
        <s v="CI-75916916" u="1"/>
        <s v="CI-75801849" u="1"/>
        <s v="CI-76067025" u="1"/>
        <s v="CI-76025372" u="1"/>
        <s v="CI-75960601" u="1"/>
        <s v="CI-75760842" u="1"/>
        <s v="CI-76080290" u="1"/>
        <s v="CI-76041705" u="1"/>
        <s v="CI-76012525" u="1"/>
        <s v="CI-75959113" u="1"/>
        <s v="CI-76081762" u="1"/>
        <s v="CI-75917505" u="1"/>
        <s v="CI-75960341" u="1"/>
        <s v="CI-76029604" u="1"/>
        <s v="CI-76038304" u="1"/>
        <s v="CI-75954397" u="1"/>
        <s v="CI-75849802" u="1"/>
        <s v="CI-75648644" u="1"/>
        <s v="CI-75973450" u="1"/>
        <s v="CI-75866638" u="1"/>
        <s v="CI-75965538" u="1"/>
        <s v="CI-76022295" u="1"/>
        <s v="CI-75998310" u="1"/>
        <s v="CI-75811889" u="1"/>
        <s v="Hold" u="1"/>
        <s v="CI-75929576" u="1"/>
        <s v="CI-75744594" u="1"/>
        <s v="CI-76017842" u="1"/>
        <s v="CI-75870240" u="1"/>
        <s v="CI-76080994" u="1"/>
        <s v="CI-76048697" u="1"/>
        <s v="CI-75929573" u="1"/>
        <s v="CI-76009066" u="1"/>
        <s v="CI-75761014" u="1"/>
        <s v="CI-75902471" u="1"/>
        <s v="CI-76076287" u="1"/>
        <s v="CI-75967340" u="1"/>
        <s v="CI-75909898" u="1"/>
        <s v="CI-75868400" u="1"/>
        <s v="CI-75897521" u="1"/>
        <s v="CI-76993741" u="1"/>
        <s v="CI-75797735" u="1"/>
        <s v="CI-76079717" u="1"/>
        <s v="CI-75908491" u="1"/>
        <s v="CI-75933701" u="1"/>
        <s v="CI-74683402" u="1"/>
        <s v="CI-75108443" u="1"/>
        <s v="CI-74881560" u="1"/>
        <s v="CI-75257906" u="1"/>
        <s v="CI-74760700" u="1"/>
        <s v="CI-74887088" u="1"/>
        <s v="CI-74780603" u="1"/>
        <s v="CI-74835577" u="1"/>
        <s v="CI-74780872" u="1"/>
        <s v="CI-74741368" u="1"/>
        <s v="CI-74904782" u="1"/>
        <s v="CI-74734163" u="1"/>
        <s v="CI-74883413" u="1"/>
        <s v="CI-77308721" u="1"/>
        <s v="CI-74777026" u="1"/>
        <s v="CI-74769624" u="1"/>
        <s v="CI-73755485" u="1"/>
        <s v="CI-73858876" u="1"/>
        <s v="CI-75465815" u="1"/>
        <s v="CI-75080822" u="1"/>
        <s v="CI-73856185" u="1"/>
        <s v="CI-74465025" u="1"/>
        <s v="CI-74464144" u="1"/>
        <s v="CI-73625894" u="1"/>
        <s v="CI-74587212" u="1"/>
        <s v="CI-74464613" u="1"/>
        <s v="CI-75081366" u="1"/>
        <s v="CI-74756426" u="1"/>
        <s v="CI-73929049" u="1"/>
        <s v="CI-73961904" u="1"/>
        <s v="CI-74586620" u="1"/>
        <s v="CI-74348393" u="1"/>
        <s v="CI-74778311" u="1"/>
        <s v="CI-73992479" u="1"/>
        <s v="CI-74766981" u="1"/>
        <s v="CI-73943878" u="1"/>
        <s v="CI-74770765" u="1"/>
        <s v="CI-74465590" u="1"/>
        <s v="CI-74762101" u="1"/>
        <s v="CI-74778177" u="1"/>
        <s v="CI-73655662" u="1"/>
        <s v="CI-75081861" u="1"/>
        <s v="CI-74532931" u="1"/>
        <s v="CI-74771972" u="1"/>
        <s v="CI-74464076" u="1"/>
        <s v="CI-74351164" u="1"/>
        <s v="CI-73701216" u="1"/>
        <s v="CI-74587703" u="1"/>
        <s v="CI-74344076" u="1"/>
        <s v="CI-77371358" u="1"/>
        <s v="CI-77122581" u="1"/>
        <s v="CI-77121852" u="1"/>
        <s v="CI-76953199" u="1"/>
        <s v="CI-76983036" u="1"/>
        <s v="CI-76946673" u="1"/>
        <s v="CI-77012663" u="1"/>
        <s v="CI-76362448" u="1"/>
        <s v="CI-76657148" u="1"/>
        <s v="CI-76654468" u="1"/>
        <s v="CI-71719351" u="1"/>
        <s v="CI-72274261" u="1"/>
        <s v="CI-74903769" u="1"/>
        <s v="CI-75020365" u="1"/>
        <s v="CI-75286187" u="1"/>
        <s v="CI-75345281" u="1"/>
        <s v="CI-75134529" u="1"/>
        <s v="CI-75132929" u="1"/>
        <s v="CI-75487267" u="1"/>
        <s v="CI-75591874" u="1"/>
        <s v="CI-75132918" u="1"/>
        <s v="CI-73462629" u="1"/>
        <s v="CI-73462641" u="1"/>
        <s v="CI-75351580" u="1"/>
        <s v="CI-75479518" u="1"/>
        <s v="CI-75338286" u="1"/>
        <s v="CI-75652142" u="1"/>
        <s v="CI-75654869" u="1"/>
        <s v="CI-75863951" u="1"/>
        <s v="CI-75508898" u="1"/>
        <s v="CI-75674364" u="1"/>
        <s v="CI-75500910" u="1"/>
        <s v="CI-73162085" u="1"/>
        <s v="CI-75983903" u="1"/>
        <s v="CI-75986103" u="1"/>
        <s v="CI-75577132" u="1"/>
        <s v="CI-75236592" u="1"/>
        <s v="CI-75705400" u="1"/>
        <s v="CI-75282692" u="1"/>
        <s v="CI-75585748" u="1"/>
        <s v="CI-74400199" u="1"/>
        <s v="CI-74322187" u="1"/>
        <s v="CI-74720370" u="1"/>
        <s v="CI-77176633" u="1"/>
        <s v="CI-72638597" u="1"/>
        <s v="CI-76684681" u="1"/>
        <s v="CI-75796597" u="1"/>
        <s v="CI-75792079" u="1"/>
        <s v="CI-75791285" u="1"/>
        <s v="CI-74564534" u="1"/>
        <s v="CI-73932979" u="1"/>
        <s v="CI-74247879" u="1"/>
        <s v="CI-74972697" u="1"/>
        <s v="CI-75303113" u="1"/>
        <s v="CI-75301241" u="1"/>
        <s v="CI-75478225" u="1"/>
        <s v="CI-75471826" u="1"/>
        <s v="CI-75588364" u="1"/>
        <s v="CI-75588345" u="1"/>
        <s v="CI-75065380" u="1"/>
        <s v="CI-76980075" u="1"/>
        <s v="CI-76917412" u="1"/>
        <s v="CI-75639153" u="1"/>
        <s v="CI-75644917" u="1"/>
        <s v="CI-75651131" u="1"/>
        <s v="CI-75729173" u="1"/>
        <s v="CI-75750585" u="1"/>
        <s v="CI-75672619" u="1"/>
        <s v="CI-75778422" u="1"/>
        <s v="CI-75656310" u="1"/>
        <s v="CI-75477434" u="1"/>
        <s v="CI-72867942" u="1"/>
        <s v="CI-73141181" u="1"/>
        <s v="CI-73924652" u="1"/>
        <s v="CI-74659530" u="1"/>
        <s v="CI-75257174" u="1"/>
        <s v="CI-74219175" u="1"/>
        <s v="CI-74778444" u="1"/>
        <s v="CI-74614676" u="1"/>
        <s v="CI-72787960" u="1"/>
        <s v="CI-72440454" u="1"/>
        <s v="CI-74774719" u="1"/>
        <s v="CI-74162400" u="1"/>
        <s v="CI-74899846" u="1"/>
        <s v="CI-74765114" u="1"/>
        <s v="CI-75328296" u="1"/>
        <s v="CI-75326564" u="1"/>
        <s v="CI-75318657" u="1"/>
        <s v="CI-75322489" u="1"/>
        <s v="CI-74736042" u="1"/>
        <s v="CI-75046653" u="1"/>
        <s v="CI-74969485" u="1"/>
        <s v="CI-73161701" u="1"/>
        <s v="CI-75806473" u="1"/>
        <s v="CI-75538711" u="1"/>
        <s v="CI-75774393" u="1"/>
        <s v="CI-73420878" u="1"/>
        <s v="CI-73513591" u="1"/>
        <s v="CI-75622266" u="1"/>
        <s v="CI-75644074" u="1"/>
        <s v="CI-75432854" u="1"/>
        <s v="CI-75430050" u="1"/>
        <s v="CI-75430190" u="1"/>
        <s v="CI-75293732" u="1"/>
        <s v="CI-75479529" u="1"/>
        <s v="CI-75714520" u="1"/>
        <s v="CI-74911542" u="1"/>
        <s v="CI-75810524" u="1"/>
        <s v="CI-75821287" u="1"/>
        <s v="CI-75774079" u="1"/>
        <s v="CI-74632130" u="1"/>
        <s v="CI-75417895" u="1"/>
        <s v="CI-75752884" u="1"/>
        <s v="CI-75372288" u="1"/>
        <s v="CI-75851181" u="1"/>
        <s v="CI-75515941" u="1"/>
        <s v="CI-75620891" u="1"/>
        <s v="CI-75967719" u="1"/>
        <s v="CI-75707110" u="1"/>
        <s v="CI-72889710" u="1"/>
        <s v="CI-73671218" u="1"/>
        <s v="CI-74397661" u="1"/>
        <s v="CI-75650491" u="1"/>
        <s v="CI-74899479" u="1"/>
        <s v="CI-75933263" u="1"/>
        <s v="CI-75933238" u="1"/>
        <s v="CI-75052762" u="1"/>
        <s v="CI-75479440" u="1"/>
        <s v="CI-75472278" u="1"/>
        <s v="CI-75256488" u="1"/>
        <s v="CI-75453793" u="1"/>
        <s v="CI-75431324" u="1"/>
        <s v="CI-75252209" u="1"/>
        <s v="CI-75434009" u="1"/>
        <s v="CI-75428243" u="1"/>
        <s v="CI-75426923" u="1"/>
        <s v="CI-75386342" u="1"/>
        <s v="CI-75429057" u="1"/>
        <s v="CI-75401301" u="1"/>
        <s v="CI-75313332" u="1"/>
        <s v="CI-74688107" u="1"/>
        <s v="CI-76927603" u="1"/>
        <s v="CI-73860555" u="1"/>
        <s v="CI-71200116" u="1"/>
        <s v="CI-76937112" u="1"/>
        <s v="CI-75734749" u="1"/>
        <s v="CI-75582194" u="1"/>
        <s v="CI-73514470" u="1"/>
        <s v="CI-73463812" u="1"/>
        <s v="CI-73486233" u="1"/>
        <s v="CI-73463316" u="1"/>
        <s v="CI-75642961" u="1"/>
        <s v="CI-75599848" u="1"/>
        <s v="CI-75473513" u="1"/>
        <s v="CI-75615610" u="1"/>
        <s v="CI-75574405" u="1"/>
        <s v="CI-75632099" u="1"/>
        <s v="CI-75675958" u="1"/>
        <s v="CI-75640225" u="1"/>
        <s v="CI-75691040" u="1"/>
        <s v="CI-75618919" u="1"/>
        <s v="CI-75640450" u="1"/>
        <s v="CI-75694526" u="1"/>
        <s v="CI-75640866" u="1"/>
        <s v="CI-75680562" u="1"/>
        <s v="CI-76000071" u="1"/>
        <s v="CI-75666029" u="1"/>
        <s v="CI-75585073" u="1"/>
        <s v="CI-75719184" u="1"/>
        <s v="CI-75640173" u="1"/>
        <s v="CI-75669694" u="1"/>
        <s v="CI-75638741" u="1"/>
        <s v="CI-76684162" u="1"/>
        <s v="CI-76488795" u="1"/>
        <s v="CI-75765532" u="1"/>
        <s v="CI-75743516" u="1"/>
        <s v="CI-75761526" u="1"/>
        <s v="CI-75810862" u="1"/>
        <s v="CI-75729026" u="1"/>
        <s v="CI-75808970" u="1"/>
        <s v="CI-75743618" u="1"/>
        <s v="CI-76302704" u="1"/>
        <s v="CI-74443700" u="1"/>
        <s v="CI-74893987" u="1"/>
        <s v="CI-75582661" u="1"/>
        <s v="CI-74809140" u="1"/>
        <s v="CI-75023020" u="1"/>
        <s v="CI-75064349" u="1"/>
        <s v="CI-74396401" u="1"/>
        <s v="CI-74389423" u="1"/>
        <s v="CI-75588354" u="1"/>
        <s v="CI-74201593" u="1"/>
        <s v="CI-75265122" u="1"/>
        <s v="CI-76907274" u="1"/>
        <s v="CI-73161981" u="1"/>
        <s v="CI-75482201" u="1"/>
        <s v="CI-73400720" u="1"/>
        <s v="CI-75855228" u="1"/>
        <s v="CI-75997203" u="1"/>
        <s v="CI-75987654" u="1"/>
        <s v="CI-75721106" u="1"/>
        <s v="CI-73928313" u="1"/>
        <s v="CI-71856528" u="1"/>
        <s v="CI-73666200" u="1"/>
        <s v="CI-74224993" u="1"/>
        <s v="CI-74963987" u="1"/>
        <s v="CI-74527650" u="1"/>
        <s v="CI-74610663" u="1"/>
        <s v="CI-74758607" u="1"/>
        <s v="CI-74653737" u="1"/>
        <s v="CI-75302247" u="1"/>
        <s v="CI-74955837" u="1"/>
        <s v="CI-75027994" u="1"/>
        <s v="CI-74973346" u="1"/>
        <s v="CI-72886860" u="1"/>
        <s v="CI-72888668" u="1"/>
        <s v="CI-72887202" u="1"/>
        <s v="CI-72887665" u="1"/>
        <s v="CI-74959091" u="1"/>
        <s v="CI-75471825" u="1"/>
        <s v="CI-75437781" u="1"/>
        <s v="CI-75459481" u="1"/>
        <s v="CI-75433572" u="1"/>
        <s v="CI-75427822" u="1"/>
        <s v="CI-75368026" u="1"/>
        <s v="CI-75422711" u="1"/>
        <s v="CI-75372277" u="1"/>
        <s v="CI-75373630" u="1"/>
        <s v="CI-74690275" u="1"/>
        <s v="CI-73801899" u="1"/>
        <s v="CI-75336757" u="1"/>
        <s v="CI-74194700" u="1"/>
        <s v="CI-75093390" u="1"/>
        <s v="CI-76914909" u="1"/>
        <s v="CI-75398738" u="1"/>
        <s v="CI-75413583" u="1"/>
        <s v="CI-72502727" u="1"/>
        <s v="CI-75808390" u="1"/>
        <s v="CI-73429242" u="1"/>
        <s v="CI-73511829" u="1"/>
        <s v="CI-73476658" u="1"/>
        <s v="CI-75379078" u="1"/>
        <s v="CI-74930052" u="1"/>
        <s v="CI-75178660" u="1"/>
        <s v="CI-74104480" u="1"/>
        <s v="CI-74596608" u="1"/>
        <s v="CI-74512701" u="1"/>
        <s v="CI-74268993" u="1"/>
        <s v="CI-74496709" u="1"/>
        <s v="CI-74496711" u="1"/>
        <s v="CI-74496707" u="1"/>
        <s v="CI-74969670" u="1"/>
        <s v="CI-74977547" u="1"/>
        <s v="CI-75217628" u="1"/>
        <s v="CI-75419818" u="1"/>
        <s v="CI-75350065" u="1"/>
        <s v="CI-75411605" u="1"/>
        <s v="CI-75279249" u="1"/>
        <s v="CI-75455747" u="1"/>
        <s v="CI-75265701" u="1"/>
        <s v="CI-75261109" u="1"/>
        <s v="CI-75469383" u="1"/>
        <s v="CI-75433889" u="1"/>
        <s v="CI-75425511" u="1"/>
        <s v="CI-75207810" u="1"/>
        <s v="CI-75371195" u="1"/>
        <s v="CI-75190256" u="1"/>
        <s v="CI-75129923" u="1"/>
        <s v="CI-75416380" u="1"/>
        <s v="CI-75400259" u="1"/>
        <s v="CI-75414110" u="1"/>
        <s v="CI-75230372" u="1"/>
        <s v="CI-75132869" u="1"/>
        <s v="CI-74396520" u="1"/>
        <s v="CI-74597255" u="1"/>
        <s v="CI-75082343" u="1"/>
        <s v="CI-74613832" u="1"/>
        <s v="CI-73295266" u="1"/>
        <s v="CI-73049221" u="1"/>
        <s v="CI-76380677" u="1"/>
        <s v="CI-75750051" u="1"/>
        <s v="CI-76031545" u="1"/>
        <s v="CI-75720125" u="1"/>
        <s v="CI-75851198" u="1"/>
        <s v="CI-75500774" u="1"/>
        <s v="CI-75664534" u="1"/>
        <s v="CI-75132953" u="1"/>
        <s v="CI-76035817" u="1"/>
        <s v="CI-75551059" u="1"/>
        <s v="CI-75622713" u="1"/>
        <s v="CI-75502277" u="1"/>
        <s v="CI-74738770" u="1"/>
        <s v="CI-74685324" u="1"/>
        <s v="CI-77024639" u="1"/>
        <s v="CI-77063654" u="1"/>
        <s v="CI-74693647" u="1"/>
        <s v="CI-74593646" u="1"/>
        <s v="CI-73356084" u="1"/>
        <s v="CI-73407482" u="1"/>
        <s v="CI-73406510" u="1"/>
        <s v="CI-73161990" u="1"/>
        <s v="CI-73483019" u="1"/>
        <s v="CI-73191315" u="1"/>
        <s v="CI-73514436" u="1"/>
        <s v="CI-73192640" u="1"/>
        <s v="CI-73479278" u="1"/>
        <s v="CI-73235176" u="1"/>
        <s v="CI-73296434" u="1"/>
        <s v="CI-73451176" u="1"/>
        <s v="CI-73376249" u="1"/>
        <s v="CI-73190517" u="1"/>
        <s v="CI-73294468" u="1"/>
        <s v="CI-76537811" u="1"/>
        <s v="CI-76390616" u="1"/>
        <s v="CI-75961626" u="1"/>
        <s v="CI-75636444" u="1"/>
        <s v="CI-75585043" u="1"/>
        <s v="CI-75986480" u="1"/>
        <s v="CI-75962446" u="1"/>
        <s v="CI-75955137" u="1"/>
        <s v="CI-75985652" u="1"/>
        <s v="CI-75986058" u="1"/>
        <s v="CI-75997344" u="1"/>
        <s v="CI-75985551" u="1"/>
        <s v="CI-75955420" u="1"/>
        <s v="CI-75978590" u="1"/>
        <s v="CI-75986332" u="1"/>
        <s v="CI-75997176" u="1"/>
        <s v="CI-75985573" u="1"/>
        <s v="CI-75954378" u="1"/>
        <s v="CI-75976669" u="1"/>
        <s v="CI-75986632" u="1"/>
        <s v="CI-75955163" u="1"/>
        <s v="CI-75986447" u="1"/>
        <s v="CI-74208204" u="1"/>
        <s v="CI-73056269" u="1"/>
        <s v="CI-73597924" u="1"/>
        <s v="CI-74048194" u="1"/>
        <s v="CI-74375016" u="1"/>
        <s v="CI-74602257" u="1"/>
        <s v="CI-74762587" u="1"/>
        <s v="CI-74670422" u="1"/>
        <s v="CI-74580836" u="1"/>
        <s v="CI-75288441" u="1"/>
        <s v="CI-75289635" u="1"/>
        <s v="CI-75268171" u="1"/>
        <s v="CI-74901854" u="1"/>
        <s v="CI-74840432" u="1"/>
        <s v="CI-75079568" u="1"/>
        <s v="CI-74945542" u="1"/>
        <s v="CI-75116340" u="1"/>
        <s v="CI-73670826" u="1"/>
        <s v="CI-73695679" u="1"/>
        <s v="CI-74016258" u="1"/>
        <s v="CI-73547810" u="1"/>
        <s v="CI-73683974" u="1"/>
        <s v="CI-74219808" u="1"/>
        <s v="CI-74463701" u="1"/>
        <s v="CI-74459284" u="1"/>
        <s v="CI-74410717" u="1"/>
        <s v="CI-74454902" u="1"/>
        <s v="CI-74633511" u="1"/>
        <s v="CI-74650064" u="1"/>
        <s v="CI-74743240" u="1"/>
        <s v="CI-75767394" u="1"/>
        <s v="CI-75573958" u="1"/>
        <s v="CI-74805480" u="1"/>
        <s v="CI-72939923" u="1"/>
        <s v="CI-75039826" u="1"/>
        <s v="CI-75007142" u="1"/>
        <s v="CI-74801689" u="1"/>
        <s v="CI-75051457" u="1"/>
        <s v="CI-74907356" u="1"/>
        <s v="CI-72887315" u="1"/>
        <s v="CI-72887324" u="1"/>
        <s v="CI-75097793" u="1"/>
        <s v="CI-75277768" u="1"/>
        <s v="CI-75277761" u="1"/>
        <s v="CI-75275146" u="1"/>
        <s v="CI-75235961" u="1"/>
        <s v="CI-74966668" u="1"/>
        <s v="CI-75400682" u="1"/>
        <s v="CI-75634150" u="1"/>
        <s v="CI-74970179" u="1"/>
        <s v="CI-75350101" u="1"/>
        <s v="CI-75350092" u="1"/>
        <s v="CI-75350078" u="1"/>
        <s v="CI-75350088" u="1"/>
        <s v="CI-75350071" u="1"/>
        <s v="CI-75350057" u="1"/>
        <s v="CI-75124063" u="1"/>
        <s v="CI-75124959" u="1"/>
        <s v="CI-75124759" u="1"/>
        <s v="CI-74765239" u="1"/>
        <s v="CI-75125198" u="1"/>
        <s v="CI-74766483" u="1"/>
        <s v="CI-75114376" u="1"/>
        <s v="CI-74938161" u="1"/>
        <s v="CI-75300910" u="1"/>
        <s v="CI-75301352" u="1"/>
        <s v="CI-74936886" u="1"/>
        <s v="CI-75478239" u="1"/>
        <s v="CI-75284934" u="1"/>
        <s v="CI-75284057" u="1"/>
        <s v="CI-75460326" u="1"/>
        <s v="CI-75457704" u="1"/>
        <s v="CI-75471923" u="1"/>
        <s v="CI-75247174" u="1"/>
        <s v="CI-75448429" u="1"/>
        <s v="CI-75118207" u="1"/>
        <s v="CI-75432842" u="1"/>
        <s v="CI-76366247" u="1"/>
        <s v="CI-75271566" u="1"/>
        <s v="CI-75269679" u="1"/>
        <s v="CI-75245726" u="1"/>
        <s v="CI-75431681" u="1"/>
        <s v="CI-75249744" u="1"/>
        <s v="CI-75275989" u="1"/>
        <s v="CI-75442021" u="1"/>
        <s v="CI-75112781" u="1"/>
        <s v="CI-75469372" u="1"/>
        <s v="CI-75270198" u="1"/>
        <s v="CI-75249843" u="1"/>
        <s v="CI-75428435" u="1"/>
        <s v="CI-75368126" u="1"/>
        <s v="CI-75343846" u="1"/>
        <s v="CI-75358766" u="1"/>
        <s v="CI-75377718" u="1"/>
        <s v="CI-75378233" u="1"/>
        <s v="CI-75039591" u="1"/>
        <s v="CI-74993544" u="1"/>
        <s v="CI-75419066" u="1"/>
        <s v="CI-75317609" u="1"/>
        <s v="CI-75550801" u="1"/>
        <s v="CI-75190887" u="1"/>
        <s v="CI-75319785" u="1"/>
        <s v="CI-75340330" u="1"/>
        <s v="CI-75501912" u="1"/>
        <s v="CI-75418056" u="1"/>
        <s v="CI-75409786" u="1"/>
        <s v="CI-75410367" u="1"/>
        <s v="CI-75405600" u="1"/>
        <s v="CI-75338823" u="1"/>
        <s v="CI-75347235" u="1"/>
        <s v="CI-75703961" u="1"/>
        <s v="CI-75331602" u="1"/>
        <s v="CI-75347460" u="1"/>
        <s v="CI-75160537" u="1"/>
        <s v="CI-75333152" u="1"/>
        <s v="CI-75230452" u="1"/>
        <s v="CI-75487265" u="1"/>
        <s v="CI-74601586" u="1"/>
        <s v="CI-74179368" u="1"/>
        <s v="CI-74601538" u="1"/>
        <s v="CI-74172627" u="1"/>
        <s v="CI-74395950" u="1"/>
        <s v="CI-74134066" u="1"/>
        <s v="CI-74387128" u="1"/>
        <s v="CI-74596801" u="1"/>
        <s v="CI-74738568" u="1"/>
        <s v="CI-75082331" u="1"/>
        <s v="CI-75082406" u="1"/>
        <s v="CI-74732720" u="1"/>
        <s v="CI-75082407" u="1"/>
        <s v="CI-74730370" u="1"/>
        <s v="CI-74734369" u="1"/>
        <s v="CI-74731705" u="1"/>
        <s v="CI-74723884" u="1"/>
        <s v="CI-74724996" u="1"/>
        <s v="CI-74634558" u="1"/>
        <s v="CI-74795170" u="1"/>
        <s v="CI-74634462" u="1"/>
        <s v="CI-74780761" u="1"/>
        <s v="CI-74780685" u="1"/>
        <s v="CI-74794952" u="1"/>
        <s v="CI-74780973" u="1"/>
        <s v="CI-74780577" u="1"/>
        <s v="CI-74780165" u="1"/>
        <s v="CI-73993660" u="1"/>
        <s v="CI-74235165" u="1"/>
        <s v="CI-74239002" u="1"/>
        <s v="CI-74234961" u="1"/>
        <s v="CI-74796524" u="1"/>
        <s v="CI-74726293" u="1"/>
        <s v="CI-74239281" u="1"/>
        <s v="CI-74611361" u="1"/>
        <s v="CI-74239193" u="1"/>
        <s v="CI-74661662" u="1"/>
        <s v="CI-74717559" u="1"/>
        <s v="CI-76925547" u="1"/>
        <s v="CI-74189098" u="1"/>
        <s v="CI-73187314" u="1"/>
        <s v="CI-73096586" u="1"/>
        <s v="CI-73586057" u="1"/>
        <s v="CI-73295575" u="1"/>
        <s v="CI-73178273" u="1"/>
        <s v="CI-73052062" u="1"/>
        <s v="CI-73162127" u="1"/>
        <s v="CI-73158530" u="1"/>
        <s v="CI-73004780" u="1"/>
        <s v="CI-73251084" u="1"/>
        <s v="CI-73000053" u="1"/>
        <s v="CI-72998564" u="1"/>
        <s v="CI-73143086" u="1"/>
        <s v="CI-73000217" u="1"/>
        <s v="CI-73973997" u="1"/>
        <s v="CI-73860573" u="1"/>
        <s v="CI-73294876" u="1"/>
        <s v="CI-73801977" u="1"/>
        <s v="CI-73817011" u="1"/>
        <s v="CI-72959948" u="1"/>
        <s v="CI-76368153" u="1"/>
        <s v="CI-76323007" u="1"/>
        <s v="CI-75756247" u="1"/>
        <s v="CI-75859128" u="1"/>
        <s v="CI-75514338" u="1"/>
        <s v="CI-75693366" u="1"/>
        <s v="CI-75647589" u="1"/>
        <s v="CI-75851019" u="1"/>
        <s v="CI-75850865" u="1"/>
        <s v="CI-75842993" u="1"/>
        <s v="CI-75834289" u="1"/>
        <s v="CI-75832903" u="1"/>
        <s v="CI-75838642" u="1"/>
        <s v="CI-75833365" u="1"/>
        <s v="CI-75833934" u="1"/>
        <s v="CI-75833463" u="1"/>
        <s v="CI-75829150" u="1"/>
        <s v="CI-75841497" u="1"/>
        <s v="CI-75834775" u="1"/>
        <s v="CI-75838748" u="1"/>
        <s v="CI-75833006" u="1"/>
        <s v="CI-75826856" u="1"/>
        <s v="CI-75849862" u="1"/>
        <s v="CI-75830698" u="1"/>
        <s v="CI-75826637" u="1"/>
        <s v="CI-75825467" u="1"/>
        <s v="CI-75825039" u="1"/>
        <s v="CI-75825388" u="1"/>
        <s v="CI-75825502" u="1"/>
        <s v="CI-75859807" u="1"/>
        <s v="CI-75558796" u="1"/>
        <s v="CI-75663856" u="1"/>
        <s v="CI-75778777" u="1"/>
        <s v="CI-75666879" u="1"/>
        <s v="CI-75775621" u="1"/>
        <s v="CI-75810923" u="1"/>
        <s v="CI-75874920" u="1"/>
        <s v="CI-74798695" u="1"/>
        <s v="CI-74966899" u="1"/>
        <s v="CI-75060934" u="1"/>
        <s v="CI-74964780" u="1"/>
        <s v="CI-75042021" u="1"/>
        <s v="CI-75177540" u="1"/>
        <s v="CI-75131230" u="1"/>
        <s v="CI-75130212" u="1"/>
        <s v="CI-74733394" u="1"/>
        <s v="CI-74903655" u="1"/>
        <s v="CI-73621828" u="1"/>
        <s v="CI-74054084" u="1"/>
        <s v="CI-73380197" u="1"/>
        <s v="CI-73588301" u="1"/>
        <s v="CI-73148911" u="1"/>
        <s v="CI-73951811" u="1"/>
        <s v="CI-74876425" u="1"/>
        <s v="CI-75014516" u="1"/>
        <s v="CI-73761373" u="1"/>
        <s v="CI-75159343" u="1"/>
        <s v="CI-74462080" u="1"/>
        <s v="CI-74269736" u="1"/>
        <s v="CI-72389160" u="1"/>
        <s v="CI-75121365" u="1"/>
        <s v="CI-74450154" u="1"/>
        <s v="CI-74458660" u="1"/>
        <s v="CI-74454675" u="1"/>
        <s v="CI-74313444" u="1"/>
        <s v="CI-74771401" u="1"/>
        <s v="CI-75635523" u="1"/>
        <s v="CI-75627856" u="1"/>
        <s v="CI-75624315" u="1"/>
        <s v="CI-74552260" u="1"/>
        <s v="CI-72187616" u="1"/>
        <s v="CI-75019460" u="1"/>
        <s v="CI-75014994" u="1"/>
        <s v="CI-74554160" u="1"/>
        <s v="CI-74711501" u="1"/>
        <s v="CI-73589367" u="1"/>
        <s v="CI-72284006" u="1"/>
        <s v="CI-72360656" u="1"/>
        <s v="CI-72598677" u="1"/>
        <s v="CI-72591990" u="1"/>
        <s v="CI-72584449" u="1"/>
        <s v="CI-72606973" u="1"/>
        <s v="CI-72545297" u="1"/>
        <s v="CI-74532460" u="1"/>
        <s v="CI-72740152" u="1"/>
        <s v="CI-72220396" u="1"/>
        <s v="CI-73803697" u="1"/>
        <s v="CI-74292116" u="1"/>
        <s v="CI-74401512" u="1"/>
        <s v="CI-72003417" u="1"/>
        <s v="CI-74538853" u="1"/>
        <s v="CI-74552640" u="1"/>
        <s v="CI-72289971" u="1"/>
        <s v="CI-76251373" u="1"/>
        <s v="CI-74711093" u="1"/>
        <s v="CI-74734537" u="1"/>
        <s v="CI-74902571" u="1"/>
        <s v="CI-74902043" u="1"/>
        <s v="CI-74898995" u="1"/>
        <s v="CI-74846293" u="1"/>
        <s v="CI-74803388" u="1"/>
        <s v="CI-74864214" u="1"/>
        <s v="CI-72762420" u="1"/>
        <s v="CI-72721097" u="1"/>
        <s v="CI-72719944" u="1"/>
        <s v="CI-72157678" u="1"/>
        <s v="CI-72622515" u="1"/>
        <s v="CI-72764926" u="1"/>
        <s v="CI-72750496" u="1"/>
        <s v="CI-72724723" u="1"/>
        <s v="CI-75072290" u="1"/>
        <s v="CI-74973333" u="1"/>
        <s v="CI-75127518" u="1"/>
        <s v="CI-74699517" u="1"/>
        <s v="CI-74884241" u="1"/>
        <s v="CI-74686240" u="1"/>
        <s v="CI-75017346" u="1"/>
        <s v="CI-72870198" u="1"/>
        <s v="CI-72819684" u="1"/>
        <s v="CI-75160331" u="1"/>
        <s v="CI-75157852" u="1"/>
        <s v="CI-74088451" u="1"/>
        <s v="CI-73169640" u="1"/>
        <s v="CI-72717831" u="1"/>
        <s v="CI-72415858" u="1"/>
        <s v="CI-72175964" u="1"/>
        <s v="CI-73561865" u="1"/>
        <s v="CI-73816381" u="1"/>
        <s v="CI-73985530" u="1"/>
        <s v="CI-73637998" u="1"/>
        <s v="CI-73593003" u="1"/>
        <s v="CI-74122662" u="1"/>
        <s v="CI-75303018" u="1"/>
        <s v="CI-74214431" u="1"/>
        <s v="CI-74566528" u="1"/>
        <s v="CI-74359956" u="1"/>
        <s v="CI-74430349" u="1"/>
        <s v="CI-74414252" u="1"/>
        <s v="CI-74531930" u="1"/>
        <s v="CI-74186771" u="1"/>
        <s v="CI-75054238" u="1"/>
        <s v="CI-75566360" u="1"/>
        <s v="CI-74740919" u="1"/>
        <s v="CI-74674245" u="1"/>
        <s v="CI-74564015" u="1"/>
        <s v="CI-74708257" u="1"/>
        <s v="CI-74305581" u="1"/>
        <s v="CI-74743422" u="1"/>
        <s v="CI-74655322" u="1"/>
        <s v="CI-74689275" u="1"/>
        <s v="CI-72265421" u="1"/>
        <s v="CI-72621759" u="1"/>
        <s v="CI-72285116" u="1"/>
        <s v="CI-75306807" u="1"/>
        <s v="CI-74666375" u="1"/>
        <s v="CI-74812461" u="1"/>
        <s v="CI-72527413" u="1"/>
        <s v="CI-74860545" u="1"/>
        <s v="CI-74883900" u="1"/>
        <s v="CI-72619402" u="1"/>
        <s v="CI-72613786" u="1"/>
        <s v="CI-72688946" u="1"/>
        <s v="CI-72688298" u="1"/>
        <s v="CI-72683122" u="1"/>
        <s v="CI-72669908" u="1"/>
        <s v="CI-72730170" u="1"/>
        <s v="CI-72731946" u="1"/>
        <s v="CI-72726205" u="1"/>
        <s v="CI-72664237" u="1"/>
        <s v="CI-72724998" u="1"/>
        <s v="CI-75035664" u="1"/>
        <s v="CI-74973370" u="1"/>
        <s v="CI-75045531" u="1"/>
        <s v="CI-75007030" u="1"/>
        <s v="CI-75051595" u="1"/>
        <s v="CI-75569916" u="1"/>
        <s v="CI-74370883" u="1"/>
        <s v="CI-74939854" u="1"/>
        <s v="CI-74439848" u="1"/>
        <s v="CI-75054076" u="1"/>
        <s v="CI-75101246" u="1"/>
        <s v="CI-75077198" u="1"/>
        <s v="CI-75058419" u="1"/>
        <s v="CI-74720749" u="1"/>
        <s v="CI-75059308" u="1"/>
        <s v="CI-75045938" u="1"/>
        <s v="CI-74940059" u="1"/>
        <s v="CI-75096425" u="1"/>
        <s v="CI-74999170" u="1"/>
        <s v="CI-74912995" u="1"/>
        <s v="CI-75007250" u="1"/>
        <s v="CI-74870479" u="1"/>
        <s v="CI-75074519" u="1"/>
        <s v="CI-74918347" u="1"/>
        <s v="CI-75071729" u="1"/>
        <s v="CI-75025808" u="1"/>
        <s v="CI-76034989" u="1"/>
        <s v="CI-75038929" u="1"/>
        <s v="CI-75049575" u="1"/>
        <s v="CI-75079350" u="1"/>
        <s v="CI-75083046" u="1"/>
        <s v="CI-74972272" u="1"/>
        <s v="CI-74984022" u="1"/>
        <s v="CI-75057950" u="1"/>
        <s v="CI-74960606" u="1"/>
        <s v="CI-74984781" u="1"/>
        <s v="CI-75913043" u="1"/>
        <s v="CI-75060267" u="1"/>
        <s v="CI-74961041" u="1"/>
        <s v="CI-72824101" u="1"/>
        <s v="CI-72872679" u="1"/>
        <s v="CI-72883402" u="1"/>
        <s v="CI-72830835" u="1"/>
        <s v="CI-76445139" u="1"/>
        <s v="CI-72886592" u="1"/>
        <s v="CI-72886214" u="1"/>
        <s v="CI-72935065" u="1"/>
        <s v="CI-72890230" u="1"/>
        <s v="CI-72882396" u="1"/>
        <s v="CI-76097600" u="1"/>
        <s v="CI-76075143" u="1"/>
        <s v="CI-75165471" u="1"/>
        <s v="CI-75088590" u="1"/>
        <s v="CI-75154968" u="1"/>
        <s v="CI-72222010" u="1"/>
        <s v="CI-72699770" u="1"/>
        <s v="CI-73373784" u="1"/>
        <s v="CI-71875786" u="1"/>
        <s v="CI-73868849" u="1"/>
        <s v="CI-74053312" u="1"/>
        <s v="CI-74983335" u="1"/>
        <s v="CI-73914042" u="1"/>
        <s v="CI-72296361" u="1"/>
        <s v="CI-72430468" u="1"/>
        <s v="CI-72456640" u="1"/>
        <s v="CI-72545131" u="1"/>
        <s v="CI-74811174" u="1"/>
        <s v="CI-74803347" u="1"/>
        <s v="CI-73603166" u="1"/>
        <s v="CI-73587111" u="1"/>
        <s v="CI-73337641" u="1"/>
        <s v="CI-74947857" u="1"/>
        <s v="CI-75013258" u="1"/>
        <s v="CI-75317671" u="1"/>
        <s v="CI-74458905" u="1"/>
        <s v="CI-73912733" u="1"/>
        <s v="CI-74545369" u="1"/>
        <s v="CI-72156804" u="1"/>
        <s v="CI-74597262" u="1"/>
        <s v="CI-72422669" u="1"/>
        <s v="CI-75598756" u="1"/>
        <s v="CI-72540488" u="1"/>
        <s v="CI-72625531" u="1"/>
        <s v="CI-72539938" u="1"/>
        <s v="CI-74876259" u="1"/>
        <s v="CI-74810607" u="1"/>
        <s v="CI-74725997" u="1"/>
        <s v="CI-76391576" u="1"/>
        <s v="CI-72723110" u="1"/>
        <s v="CI-72680880" u="1"/>
        <s v="CI-72809507" u="1"/>
        <s v="CI-72760579" u="1"/>
        <s v="CI-75793259" u="1"/>
        <s v="CI-74013521" u="1"/>
        <s v="CI-74761581" u="1"/>
        <s v="CI-74277479" u="1"/>
        <s v="CI-74802464" u="1"/>
        <s v="CI-73117489" u="1"/>
        <s v="CI-74652092" u="1"/>
        <s v="CI-74883251" u="1"/>
        <s v="CI-72795937" u="1"/>
        <s v="CI-74862218" u="1"/>
        <s v="CI-71745212" u="1"/>
        <s v="CI-74898092" u="1"/>
        <s v="CI-73286591" u="1"/>
        <s v="CI-74422073" u="1"/>
        <s v="CI-74773933" u="1"/>
        <s v="CI-73341067" u="1"/>
        <s v="CI-71779577" u="1"/>
        <s v="CI-74564161" u="1"/>
        <s v="CI-74717695" u="1"/>
        <s v="CI-74735564" u="1"/>
        <s v="CI-74734331" u="1"/>
        <s v="CI-74332600" u="1"/>
        <s v="CI-72224211" u="1"/>
        <s v="CI-72429850" u="1"/>
        <s v="CI-72429333" u="1"/>
        <s v="CI-72302145" u="1"/>
        <s v="CI-75576238" u="1"/>
        <s v="CI-74790544" u="1"/>
        <s v="CI-74804863" u="1"/>
        <s v="CI-74807563" u="1"/>
        <s v="CI-72687256" u="1"/>
        <s v="CI-72486146" u="1"/>
        <s v="CI-72630553" u="1"/>
        <s v="CI-74854589" u="1"/>
        <s v="CI-74885832" u="1"/>
        <s v="CI-75920859" u="1"/>
        <s v="CI-74856904" u="1"/>
        <s v="CI-74883677" u="1"/>
        <s v="CI-72794598" u="1"/>
        <s v="CI-72751223" u="1"/>
        <s v="CI-72619065" u="1"/>
        <s v="CI-74955099" u="1"/>
        <s v="CI-75089749" u="1"/>
        <s v="CI-75054392" u="1"/>
        <s v="CI-75047557" u="1"/>
        <s v="CI-75036274" u="1"/>
        <s v="CI-63559291" u="1"/>
        <s v="CI-74776651" u="1"/>
        <s v="CI-72225061" u="1"/>
        <s v="CI-74759112" u="1"/>
        <s v="CI-74073481" u="1"/>
        <s v="CI-73244525" u="1"/>
        <s v="CI-73528146" u="1"/>
        <s v="CI-73923693" u="1"/>
        <s v="CI-71679740" u="1"/>
        <s v="CI-73626709" u="1"/>
        <s v="CI-73000639" u="1"/>
        <s v="CI-73986116" u="1"/>
        <s v="CI-74752654" u="1"/>
        <s v="CI-74210326" u="1"/>
        <s v="CI-71020194" u="1"/>
        <s v="CI-75167149" u="1"/>
        <s v="CI-74461744" u="1"/>
        <s v="CI-74291999" u="1"/>
        <s v="CI-74567110" u="1"/>
        <s v="CI-74565302" u="1"/>
        <s v="CI-73892639" u="1"/>
        <s v="CI-74432216" u="1"/>
        <s v="CI-74414901" u="1"/>
        <s v="CI-74283701" u="1"/>
        <s v="CI-74644192" u="1"/>
        <s v="CI-74664228" u="1"/>
        <s v="CI-72057343" u="1"/>
        <s v="CI-74620873" u="1"/>
        <s v="CI-74663717" u="1"/>
        <s v="CI-74599202" u="1"/>
        <s v="CI-74586004" u="1"/>
        <s v="CI-74691157" u="1"/>
        <s v="CI-72334290" u="1"/>
        <s v="CI-72289222" u="1"/>
        <s v="CI-72283007" u="1"/>
        <s v="CI-72292915" u="1"/>
        <s v="CI-72292049" u="1"/>
        <s v="CI-72505193" u="1"/>
        <s v="CI-73870198" u="1"/>
        <s v="CI-73901033" u="1"/>
        <s v="CI-73994013" u="1"/>
        <s v="CI-73490908" u="1"/>
        <s v="CI-73669396" u="1"/>
        <s v="CI-75132339" u="1"/>
        <s v="CI-71169094" u="1"/>
        <s v="CI-74336546" u="1"/>
        <s v="CI-74412963" u="1"/>
        <s v="CI-71910424" u="1"/>
        <s v="CI-71760882" u="1"/>
        <s v="CI-71843016" u="1"/>
        <s v="CI-74680874" u="1"/>
        <s v="CI-74537556" u="1"/>
        <s v="CI-74685073" u="1"/>
        <s v="CI-74677889" u="1"/>
        <s v="CI-74685131" u="1"/>
        <s v="CI-74180449" u="1"/>
        <s v="CI-74306312" u="1"/>
        <s v="CI-74544588" u="1"/>
        <s v="CI-74394289" u="1"/>
        <s v="CI-74675662" u="1"/>
        <s v="CI-74663400" u="1"/>
        <s v="CI-74663693" u="1"/>
        <s v="CI-74676781" u="1"/>
        <s v="CI-74820479" u="1"/>
        <s v="CI-74713373" u="1"/>
        <s v="CI-74589152" u="1"/>
        <s v="CI-74589144" u="1"/>
        <s v="CI-74589190" u="1"/>
        <s v="CI-73515995" u="1"/>
        <s v="CI-72264967" u="1"/>
        <s v="CI-72265969" u="1"/>
        <s v="CI-72226115" u="1"/>
        <s v="CI-72266689" u="1"/>
        <s v="CI-72415353" u="1"/>
        <s v="CI-72226628" u="1"/>
        <s v="CI-72219642" u="1"/>
        <s v="CI-72219344" u="1"/>
        <s v="CI-72219902" u="1"/>
        <s v="CI-75670578" u="1"/>
        <s v="CI-74378631" u="1"/>
        <s v="CI-74323768" u="1"/>
        <s v="CI-74324078" u="1"/>
        <s v="CI-74323869" u="1"/>
        <s v="CI-74306332" u="1"/>
        <s v="CI-74310367" u="1"/>
        <s v="CI-74526999" u="1"/>
        <s v="CI-74738950" u="1"/>
        <s v="CI-74635681" u="1"/>
        <s v="CI-74803654" u="1"/>
        <s v="CI-74814466" u="1"/>
        <s v="CI-74809580" u="1"/>
        <s v="CI-72596144" u="1"/>
        <s v="CI-72567404" u="1"/>
        <s v="CI-76268178" u="1"/>
        <s v="CI-73186657" u="1"/>
        <s v="CI-73817542" u="1"/>
        <s v="CI-73631767" u="1"/>
        <s v="CI-74069750" u="1"/>
        <s v="CI-73394323" u="1"/>
        <s v="CI-73724865" u="1"/>
        <s v="CI-73828566" u="1"/>
        <s v="CI-73963889" u="1"/>
        <s v="CI-74199218" u="1"/>
        <s v="CI-74249325" u="1"/>
        <s v="CI-74418039" u="1"/>
        <s v="CI-74681330" u="1"/>
        <s v="CI-74597770" u="1"/>
        <s v="CI-70831220" u="1"/>
        <s v="CI-73990118" u="1"/>
        <s v="CI-73654794" u="1"/>
        <s v="CI-75246892" u="1"/>
        <s v="CI-74450569" u="1"/>
        <s v="CI-71565885" u="1"/>
        <s v="CI-74070571" u="1"/>
        <s v="CI-72019282" u="1"/>
        <s v="CI-72017092" u="1"/>
        <s v="CI-74669291" u="1"/>
        <s v="CI-74664679" u="1"/>
        <s v="CI-72114945" u="1"/>
        <s v="CI-72040975" u="1"/>
        <s v="CI-72098834" u="1"/>
        <s v="CI-72069835" u="1"/>
        <s v="CI-74752062" u="1"/>
        <s v="CI-74778965" u="1"/>
        <s v="CI-74762513" u="1"/>
        <s v="CI-74691169" u="1"/>
        <s v="CI-74703496" u="1"/>
        <s v="CI-74747296" u="1"/>
        <s v="CI-74718099" u="1"/>
        <s v="CI-74768804" u="1"/>
        <s v="CI-74783613" u="1"/>
        <s v="CI-74727142" u="1"/>
        <s v="CI-74659597" u="1"/>
        <s v="CI-74809642" u="1"/>
        <s v="CI-74655647" u="1"/>
        <s v="CI-74690580" u="1"/>
        <s v="CI-74764200" u="1"/>
        <s v="CI-75564760" u="1"/>
        <s v="CI-74647018" u="1"/>
        <s v="CI-74783297" u="1"/>
        <s v="CI-72433888" u="1"/>
        <s v="CI-72281451" u="1"/>
        <s v="CI-72343311" u="1"/>
        <s v="CI-72284518" u="1"/>
        <s v="CI-72567054" u="1"/>
        <s v="CI-72430517" u="1"/>
        <s v="CI-72472946" u="1"/>
        <s v="CI-72282347" u="1"/>
        <s v="CI-72414555" u="1"/>
        <s v="CI-72230055" u="1"/>
        <s v="CI-72565115" u="1"/>
        <s v="CI-72454596" u="1"/>
        <s v="CI-75812013" u="1"/>
        <s v="CI-73336364" u="1"/>
        <s v="CI-73294553" u="1"/>
        <s v="CI-72619791" u="1"/>
        <s v="CI-72497050" u="1"/>
        <s v="CI-72619823" u="1"/>
        <s v="CI-74661687" u="1"/>
        <s v="CI-74684485" u="1"/>
        <s v="CI-73544374" u="1"/>
        <s v="CI-73755253" u="1"/>
        <s v="CI-73911316" u="1"/>
        <s v="CI-73892328" u="1"/>
        <s v="CI-73887252" u="1"/>
        <s v="CI-73950151" u="1"/>
        <s v="CI-73953440" u="1"/>
        <s v="CI-73973638" u="1"/>
        <s v="CI-73651914" u="1"/>
        <s v="CI-73929677" u="1"/>
        <s v="CI-70841682" u="1"/>
        <s v="CI-72667441" u="1"/>
        <s v="CI-74169814" u="1"/>
        <s v="CI-74053649" u="1"/>
        <s v="CI-73585030" u="1"/>
        <s v="CI-74750536" u="1"/>
        <s v="CI-73701101" u="1"/>
        <s v="CI-74119074" u="1"/>
        <s v="CI-73727939" u="1"/>
        <s v="CI-73491383" u="1"/>
        <s v="CI-73858178" u="1"/>
        <s v="CI-74456931" u="1"/>
        <s v="CI-74461651" u="1"/>
        <s v="CI-74433052" u="1"/>
        <s v="CI-74157530" u="1"/>
        <s v="CI-74110248" u="1"/>
        <s v="CI-74393502" u="1"/>
        <s v="CI-74598375" u="1"/>
        <s v="CI-74387101" u="1"/>
        <s v="CI-74381432" u="1"/>
        <s v="CI-73826444" u="1"/>
        <s v="CI-74419417" u="1"/>
        <s v="CI-71939564" u="1"/>
        <s v="CI-72025714" u="1"/>
        <s v="CI-72019372" u="1"/>
        <s v="CI-72021703" u="1"/>
        <s v="CI-71842594" u="1"/>
        <s v="CI-75653508" u="1"/>
        <s v="CI-74645281" u="1"/>
        <s v="CI-74671085" u="1"/>
        <s v="CI-74608603" u="1"/>
        <s v="CI-74621886" u="1"/>
        <s v="CI-74671806" u="1"/>
        <s v="CI-74633008" u="1"/>
        <s v="CI-71798416" u="1"/>
        <s v="CI-71403301" u="1"/>
        <s v="CI-74615323" u="1"/>
        <s v="CI-73530819" u="1"/>
        <s v="CI-74054273" u="1"/>
        <s v="CI-73345000" u="1"/>
        <s v="CI-73866995" u="1"/>
        <s v="CI-74073443" u="1"/>
        <s v="CI-71512262" u="1"/>
        <s v="CI-71495855" u="1"/>
        <s v="CI-73940643" u="1"/>
        <s v="CI-71653998" u="1"/>
        <s v="CI-71652429" u="1"/>
        <s v="CI-71647112" u="1"/>
        <s v="CI-71648949" u="1"/>
        <s v="CI-75450419" u="1"/>
        <s v="CI-73818348" u="1"/>
        <s v="CI-74011436" u="1"/>
        <s v="CI-74163156" u="1"/>
        <s v="CI-74341320" u="1"/>
        <s v="CI-74382557" u="1"/>
        <s v="CI-74276520" u="1"/>
        <s v="CI-74472704" u="1"/>
        <s v="CI-74472421" u="1"/>
        <s v="CI-74295704" u="1"/>
        <s v="CI-74224331" u="1"/>
        <s v="CI-74413220" u="1"/>
        <s v="CI-74453740" u="1"/>
        <s v="CI-74415257" u="1"/>
        <s v="CI-74500960" u="1"/>
        <s v="CI-74772668" u="1"/>
        <s v="CI-74198053" u="1"/>
        <s v="CI-73220849" u="1"/>
        <s v="CI-71962250" u="1"/>
        <s v="CI-71919858" u="1"/>
        <s v="CI-71915053" u="1"/>
        <s v="CI-71949643" u="1"/>
        <s v="CI-72023687" u="1"/>
        <s v="CI-75911709" u="1"/>
        <s v="CI-72022753" u="1"/>
        <s v="CI-72023753" u="1"/>
        <s v="CI-71896456" u="1"/>
        <s v="CI-72015396" u="1"/>
        <s v="CI-71845417" u="1"/>
        <s v="CI-71840231" u="1"/>
        <s v="CI-71983029" u="1"/>
        <s v="CI-71984321" u="1"/>
        <s v="CI-71967387" u="1"/>
        <s v="CI-71962349" u="1"/>
        <s v="CI-71962714" u="1"/>
        <s v="CI-75334117" u="1"/>
        <s v="CI-74589296" u="1"/>
        <s v="CI-75081974" u="1"/>
        <s v="CI-74959858" u="1"/>
        <s v="CI-74598992" u="1"/>
        <s v="CI-74674946" u="1"/>
        <s v="CI-74187207" u="1"/>
        <s v="CI-74245437" u="1"/>
        <s v="CI-74264196" u="1"/>
        <s v="CI-74306322" u="1"/>
        <s v="CI-74277547" u="1"/>
        <s v="CI-74204788" u="1"/>
        <s v="CI-74158229" u="1"/>
        <s v="CI-74522973" u="1"/>
        <s v="CI-74511012" u="1"/>
        <s v="CI-74501447" u="1"/>
        <s v="CI-74514443" u="1"/>
        <s v="CI-74529809" u="1"/>
        <s v="CI-74503440" u="1"/>
        <s v="CI-74501361" u="1"/>
        <s v="CI-71881141" u="1"/>
        <s v="CI-72174830" u="1"/>
        <s v="CI-72174880" u="1"/>
        <s v="CI-72054275" u="1"/>
        <s v="CI-72206096" u="1"/>
        <s v="CI-72171315" u="1"/>
        <s v="CI-72194810" u="1"/>
        <s v="CI-72192774" u="1"/>
        <s v="CI-72165105" u="1"/>
        <s v="CI-72203738" u="1"/>
        <s v="CI-72194349" u="1"/>
        <s v="CI-72200908" u="1"/>
        <s v="CI-76020102" u="1"/>
        <s v="CI-72071057" u="1"/>
        <s v="CI-75063321" u="1"/>
        <s v="CI-75007472" u="1"/>
        <s v="CI-73821112" u="1"/>
        <s v="CI-73589181" u="1"/>
        <s v="CI-71202619" u="1"/>
        <s v="CI-75314998" u="1"/>
        <s v="CI-74425515" u="1"/>
        <s v="CI-71623946" u="1"/>
        <s v="CI-74201269" u="1"/>
        <s v="CI-74414875" u="1"/>
        <s v="CI-74240988" u="1"/>
        <s v="CI-73902488" u="1"/>
        <s v="CI-72749544" u="1"/>
        <s v="CI-71798832" u="1"/>
        <s v="CI-71727704" u="1"/>
        <s v="CI-72457198" u="1"/>
        <s v="CI-71856561" u="1"/>
        <s v="CI-71881831" u="1"/>
        <s v="CI-75590387" u="1"/>
        <s v="CI-74612950" u="1"/>
        <s v="CI-73688910" u="1"/>
        <s v="CI-71925968" u="1"/>
        <s v="CI-71947313" u="1"/>
        <s v="CI-75041996" u="1"/>
        <s v="CI-73911554" u="1"/>
        <s v="CI-73716958" u="1"/>
        <s v="CI-71210061" u="1"/>
        <s v="CI-70959621" u="1"/>
        <s v="CI-74433132" u="1"/>
        <s v="CI-73883492" u="1"/>
        <s v="CI-75980518" u="1"/>
        <s v="CI-74280815" u="1"/>
        <s v="CI-72947249" u="1"/>
        <s v="CI-72158386" u="1"/>
        <s v="CI-74661450" u="1"/>
        <s v="CI-74501456" u="1"/>
        <s v="CI-73703194" u="1"/>
        <s v="CI-73547287" u="1"/>
        <s v="CI-73766183" u="1"/>
        <s v="CI-74904168" u="1"/>
        <s v="CI-74995754" u="1"/>
        <s v="CI-74949630" u="1"/>
        <s v="CI-75275122" u="1"/>
        <s v="CI-75361939" u="1"/>
        <s v="CI-75301787" u="1"/>
        <s v="CI-75132391" u="1"/>
        <s v="CI-75132303" u="1"/>
        <s v="CI-75132024" u="1"/>
        <s v="CI-74530306" u="1"/>
        <s v="CI-75339028" u="1"/>
        <s v="CI-74431680" u="1"/>
        <s v="CI-74393669" u="1"/>
        <s v="CI-74358221" u="1"/>
        <s v="CI-74760688" u="1"/>
        <s v="CI-75738441" u="1"/>
        <s v="CI-74341233" u="1"/>
        <s v="CI-74383386" u="1"/>
        <s v="CI-74452267" u="1"/>
        <s v="CI-74270856" u="1"/>
        <s v="CI-74438907" u="1"/>
        <s v="CI-74418054" u="1"/>
        <s v="CI-74478654" u="1"/>
        <s v="CI-74279337" u="1"/>
        <s v="CI-74064967" u="1"/>
        <s v="CI-73799869" u="1"/>
        <s v="CI-75843680" u="1"/>
        <s v="CI-71838228" u="1"/>
        <s v="CI-71777552" u="1"/>
        <s v="CI-71830166" u="1"/>
        <s v="CI-71831052" u="1"/>
        <s v="CI-71772310" u="1"/>
        <s v="CI-71897509" u="1"/>
        <s v="CI-71767463" u="1"/>
        <s v="CI-71973103" u="1"/>
        <s v="CI-71853452" u="1"/>
        <s v="CI-75720027" u="1"/>
        <s v="CI-75616001" u="1"/>
        <s v="CI-75652371" u="1"/>
        <s v="CI-75498950" u="1"/>
        <s v="CI-74997703" u="1"/>
        <s v="CI-73761433" u="1"/>
        <s v="CI-74107214" u="1"/>
        <s v="CI-74187589" u="1"/>
        <s v="CI-74137805" u="1"/>
        <s v="CI-74054363" u="1"/>
        <s v="CI-73221515" u="1"/>
        <s v="CI-73335474" u="1"/>
        <s v="CI-73213927" u="1"/>
        <s v="CI-73516739" u="1"/>
        <s v="CI-71851440" u="1"/>
        <s v="CI-73926088" u="1"/>
        <s v="CI-73529131" u="1"/>
        <s v="CI-73987359" u="1"/>
        <s v="CI-73919120" u="1"/>
        <s v="CI-73728448" u="1"/>
        <s v="CI-70606616" u="1"/>
        <s v="CI-73355976" u="1"/>
        <s v="CI-73639445" u="1"/>
        <s v="CI-74103869" u="1"/>
        <s v="CI-74923629" u="1"/>
        <s v="CI-74122995" u="1"/>
        <s v="CI-75082253" u="1"/>
        <s v="CI-73506660" u="1"/>
        <s v="CI-73945447" u="1"/>
        <s v="CI-73993603" u="1"/>
        <s v="CI-74109681" u="1"/>
        <s v="CI-74108670" u="1"/>
        <s v="CI-74039857" u="1"/>
        <s v="CI-71227864" u="1"/>
        <s v="CI-71193186" u="1"/>
        <s v="CI-73584616" u="1"/>
        <s v="CI-73768169" u="1"/>
        <s v="CI-74047271" u="1"/>
        <s v="CI-74057038" u="1"/>
        <s v="CI-73675887" u="1"/>
        <s v="CI-71171621" u="1"/>
        <s v="CI-71122758" u="1"/>
        <s v="CI-74987598" u="1"/>
        <s v="CI-71224777" u="1"/>
        <s v="CI-74463718" u="1"/>
        <s v="CI-74479129" u="1"/>
        <s v="CI-74460103" u="1"/>
        <s v="CI-74471222" u="1"/>
        <s v="CI-74065091" u="1"/>
        <s v="CI-73988925" u="1"/>
        <s v="CI-74109312" u="1"/>
        <s v="CI-74162295" u="1"/>
        <s v="CI-74124419" u="1"/>
        <s v="CI-74158176" u="1"/>
        <s v="CI-73958480" u="1"/>
        <s v="CI-73923286" u="1"/>
        <s v="CI-71390385" u="1"/>
        <s v="CI-71423159" u="1"/>
        <s v="CI-71406883" u="1"/>
        <s v="CI-71511405" u="1"/>
        <s v="CI-73498318" u="1"/>
        <s v="CI-72470741" u="1"/>
        <s v="CI-74615084" u="1"/>
        <s v="CI-74610889" u="1"/>
        <s v="CI-74605306" u="1"/>
        <s v="CI-74547686" u="1"/>
        <s v="CI-74601468" u="1"/>
        <s v="CI-73573622" u="1"/>
        <s v="CI-73557755" u="1"/>
        <s v="CI-73727603" u="1"/>
        <s v="CI-73728157" u="1"/>
        <s v="CI-73761859" u="1"/>
        <s v="CI-73820456" u="1"/>
        <s v="CI-73910150" u="1"/>
        <s v="CI-74866983" u="1"/>
        <s v="CI-75008468" u="1"/>
        <s v="CI-74976794" u="1"/>
        <s v="CI-74931399" u="1"/>
        <s v="CI-74130825" u="1"/>
        <s v="CI-74107159" u="1"/>
        <s v="CI-73855434" u="1"/>
        <s v="CI-74007598" u="1"/>
        <s v="CI-73996891" u="1"/>
        <s v="CI-74045855" u="1"/>
        <s v="CI-73740774" u="1"/>
        <s v="CI-72999912" u="1"/>
        <s v="CI-73616959" u="1"/>
        <s v="CI-75016508" u="1"/>
        <s v="CI-72744198" u="1"/>
        <s v="CI-71291892" u="1"/>
        <s v="CI-71243643" u="1"/>
        <s v="CI-71302634" u="1"/>
        <s v="CI-71305116" u="1"/>
        <s v="CI-71208998" u="1"/>
        <s v="CI-71289699" u="1"/>
        <s v="CI-71239368" u="1"/>
        <s v="CI-71205456" u="1"/>
        <s v="CI-75365581" u="1"/>
        <s v="CI-75315815" u="1"/>
        <s v="CI-75334814" u="1"/>
        <s v="CI-75307234" u="1"/>
        <s v="CI-75336581" u="1"/>
        <s v="CI-75336152" u="1"/>
        <s v="CI-75344725" u="1"/>
        <s v="CI-75315386" u="1"/>
        <s v="CI-74496047" u="1"/>
        <s v="CI-74460608" u="1"/>
        <s v="CI-74460065" u="1"/>
        <s v="CI-74488339" u="1"/>
        <s v="CI-73973985" u="1"/>
        <s v="CI-73967817" u="1"/>
        <s v="CI-74016600" u="1"/>
        <s v="CI-75646979" u="1"/>
        <s v="CI-73593875" u="1"/>
        <s v="CI-71359927" u="1"/>
        <s v="CI-71409367" u="1"/>
        <s v="CI-71430169" u="1"/>
        <s v="CI-71429334" u="1"/>
        <s v="CI-75610598" u="1"/>
        <s v="CI-71426389" u="1"/>
        <s v="CI-71403513" u="1"/>
        <s v="CI-71378943" u="1"/>
        <s v="CI-71393834" u="1"/>
        <s v="CI-74283785" u="1"/>
        <s v="CI-74086320" u="1"/>
        <s v="CI-74207016" u="1"/>
        <s v="CI-73844943" u="1"/>
        <s v="CI-74227710" u="1"/>
        <s v="CI-73361670" u="1"/>
        <s v="CI-71522212" u="1"/>
        <s v="CI-71558525" u="1"/>
        <s v="CI-73905672" u="1"/>
        <s v="CI-73646710" u="1"/>
        <s v="CI-73913526" u="1"/>
        <s v="CI-74124000" u="1"/>
        <s v="CI-71659716" u="1"/>
        <s v="CI-71614879" u="1"/>
        <s v="CI-71655667" u="1"/>
        <s v="CI-71551496" u="1"/>
        <s v="CI-71651585" u="1"/>
        <s v="CI-71564888" u="1"/>
        <s v="CI-71557883" u="1"/>
        <s v="CI-71666876" u="1"/>
        <s v="CI-71665224" u="1"/>
        <s v="CI-71560688" u="1"/>
        <s v="CI-71655096" u="1"/>
        <s v="CI-71603080" u="1"/>
        <s v="CI-71661831" u="1"/>
        <s v="CI-73318488" u="1"/>
        <s v="CI-72786620" u="1"/>
        <s v="CI-73769943" u="1"/>
        <s v="CI-72793450" u="1"/>
        <s v="CI-74878671" u="1"/>
        <s v="CI-73945639" u="1"/>
        <s v="CI-73870630" u="1"/>
        <s v="CI-73175016" u="1"/>
        <s v="CI-73993218" u="1"/>
        <s v="CI-73935709" u="1"/>
        <s v="CI-73858280" u="1"/>
        <s v="CI-74103894" u="1"/>
        <s v="CI-74048646" u="1"/>
        <s v="CI-73994057" u="1"/>
        <s v="CI-74173070" u="1"/>
        <s v="CI-74928527" u="1"/>
        <s v="CI-73989796" u="1"/>
        <s v="CI-72726077" u="1"/>
        <s v="CI-73858201" u="1"/>
        <s v="CI-74163777" u="1"/>
        <s v="CI-74156939" u="1"/>
        <s v="CI-73325508" u="1"/>
        <s v="CI-72592136" u="1"/>
        <s v="CI-74061032" u="1"/>
        <s v="CI-74170068" u="1"/>
        <s v="CI-71210074" u="1"/>
        <s v="CI-72593667" u="1"/>
        <s v="CI-74637117" u="1"/>
        <s v="CI-74555005" u="1"/>
        <s v="CI-74548617" u="1"/>
        <s v="CI-74548199" u="1"/>
        <s v="CI-74548196" u="1"/>
        <s v="CI-73854487" u="1"/>
        <s v="CI-73764233" u="1"/>
        <s v="CI-73587766" u="1"/>
        <s v="CI-73873450" u="1"/>
        <s v="CI-72931277" u="1"/>
        <s v="CI-73980991" u="1"/>
        <s v="CI-73505045" u="1"/>
        <s v="CI-74179622" u="1"/>
        <s v="CI-74104782" u="1"/>
        <s v="CI-71619141" u="1"/>
        <s v="CI-74206245" u="1"/>
        <s v="CI-74892247" u="1"/>
        <s v="CI-74197009" u="1"/>
        <s v="CI-74201022" u="1"/>
        <s v="CI-74073311" u="1"/>
        <s v="CI-73994787" u="1"/>
        <s v="CI-73681422" u="1"/>
        <s v="CI-73843119" u="1"/>
        <s v="CI-74883507" u="1"/>
        <s v="CI-74890586" u="1"/>
        <s v="CI-74880528" u="1"/>
        <s v="CI-75021645" u="1"/>
        <s v="CI-73687632" u="1"/>
        <s v="CI-73466907" u="1"/>
        <s v="CI-75108588" u="1"/>
        <s v="CI-73695629" u="1"/>
        <s v="CI-73892006" u="1"/>
        <s v="CI-74132012" u="1"/>
        <s v="CI-73862267" u="1"/>
        <s v="CI-73106571" u="1"/>
        <s v="CI-72761601" u="1"/>
        <s v="CI-72724299" u="1"/>
        <s v="CI-71350859" u="1"/>
        <s v="CI-71305389" u="1"/>
        <s v="CI-71202614" u="1"/>
        <s v="CI-75373929" u="1"/>
        <s v="CI-75362484" u="1"/>
        <s v="CI-75313975" u="1"/>
        <s v="CI-75337125" u="1"/>
        <s v="CI-75307122" u="1"/>
        <s v="CI-75375820" u="1"/>
        <s v="CI-75256557" u="1"/>
        <s v="CI-74281154" u="1"/>
        <s v="CI-74223192" u="1"/>
        <s v="CI-74465842" u="1"/>
        <s v="CI-74464608" u="1"/>
        <s v="CI-74767217" u="1"/>
        <s v="CI-74407643" u="1"/>
        <s v="CI-74240403" u="1"/>
        <s v="CI-74769399" u="1"/>
        <s v="CI-74281046" u="1"/>
        <s v="CI-74412337" u="1"/>
        <s v="CI-75312615" u="1"/>
        <s v="CI-74433797" u="1"/>
        <s v="CI-74461175" u="1"/>
        <s v="CI-74307015" u="1"/>
        <s v="CI-74308151" u="1"/>
        <s v="CI-74267057" u="1"/>
        <s v="CI-74443577" u="1"/>
        <s v="CI-74442903" u="1"/>
        <s v="CI-74442223" u="1"/>
        <s v="CI-74248090" u="1"/>
        <s v="CI-74212322" u="1"/>
        <s v="CI-74245801" u="1"/>
        <s v="CI-74223335" u="1"/>
        <s v="CI-74221217" u="1"/>
        <s v="CI-74370447" u="1"/>
        <s v="CI-75080841" u="1"/>
        <s v="CI-74382643" u="1"/>
        <s v="CI-74334873" u="1"/>
        <s v="CI-74335957" u="1"/>
        <s v="CI-74471592" u="1"/>
        <s v="CI-74317692" u="1"/>
        <s v="CI-74477217" u="1"/>
        <s v="CI-74374814" u="1"/>
        <s v="CI-74760216" u="1"/>
        <s v="CI-74353229" u="1"/>
        <s v="CI-74352218" u="1"/>
        <s v="CI-74355848" u="1"/>
        <s v="CI-74380090" u="1"/>
        <s v="CI-74372002" u="1"/>
        <s v="CI-74358629" u="1"/>
        <s v="CI-74362613" u="1"/>
        <s v="CI-75081123" u="1"/>
        <s v="CI-74064940" u="1"/>
        <s v="CI-74650747" u="1"/>
        <s v="CI-73903897" u="1"/>
        <s v="CI-74213085" u="1"/>
        <s v="CI-74019000" u="1"/>
        <s v="CI-74093102" u="1"/>
        <s v="CI-73982874" u="1"/>
        <s v="CI-73576060" u="1"/>
        <s v="CI-74075498" u="1"/>
        <s v="CI-73969237" u="1"/>
        <s v="CI-75635889" u="1"/>
        <s v="CI-71454575" u="1"/>
        <s v="CI-71398628" u="1"/>
        <s v="CI-71378936" u="1"/>
        <s v="CI-74405321" u="1"/>
        <s v="CI-74188440" u="1"/>
        <s v="CI-74189226" u="1"/>
        <s v="CI-74178726" u="1"/>
        <s v="CI-71511642" u="1"/>
        <s v="CI-74127758" u="1"/>
        <s v="CI-73328704" u="1"/>
        <s v="CI-73382021" u="1"/>
        <s v="CI-73411337" u="1"/>
        <s v="CI-73411841" u="1"/>
        <s v="CI-72287786" u="1"/>
        <s v="CI-73504859" u="1"/>
        <s v="CI-71557817" u="1"/>
        <s v="CI-70031430" u="1"/>
        <s v="CI-73080584" u="1"/>
        <s v="CI-73192348" u="1"/>
        <s v="CI-74760844" u="1"/>
        <s v="CI-74740493" u="1"/>
        <s v="CI-73867873" u="1"/>
        <s v="CI-73784931" u="1"/>
        <s v="CI-73802125" u="1"/>
        <s v="CI-72420536" u="1"/>
        <s v="CI-73929842" u="1"/>
        <s v="CI-73906428" u="1"/>
        <s v="CI-72957673" u="1"/>
        <s v="CI-73026554" u="1"/>
        <s v="CI-73561845" u="1"/>
        <s v="CI-73691775" u="1"/>
        <s v="CI-73884343" u="1"/>
        <s v="CI-73735355" u="1"/>
        <s v="CI-73524797" u="1"/>
        <s v="CI-73526298" u="1"/>
        <s v="CI-73547466" u="1"/>
        <s v="CI-73459231" u="1"/>
        <s v="CI-73772303" u="1"/>
        <s v="CI-73707072" u="1"/>
        <s v="CI-73557280" u="1"/>
        <s v="CI-73905728" u="1"/>
        <s v="CI-73205271" u="1"/>
        <s v="CI-73947175" u="1"/>
        <s v="CI-73947090" u="1"/>
        <s v="CI-73871247" u="1"/>
        <s v="CI-73416658" u="1"/>
        <s v="CI-73379829" u="1"/>
        <s v="CI-73246404" u="1"/>
        <s v="CI-74837342" u="1"/>
        <s v="CI-73910600" u="1"/>
        <s v="CI-73701483" u="1"/>
        <s v="CI-73192176" u="1"/>
        <s v="CI-73931754" u="1"/>
        <s v="CI-74313270" u="1"/>
        <s v="CI-73766359" u="1"/>
        <s v="CI-73960837" u="1"/>
        <s v="CI-73169480" u="1"/>
        <s v="CI-73479024" u="1"/>
        <s v="CI-73280366" u="1"/>
        <s v="CI-73970688" u="1"/>
        <s v="CI-72622806" u="1"/>
        <s v="CI-70529912" u="1"/>
        <s v="CI-70813338" u="1"/>
        <s v="CI-73760801" u="1"/>
        <s v="CI-73874821" u="1"/>
        <s v="CI-73954551" u="1"/>
        <s v="CI-72069037" u="1"/>
        <s v="CI-72041113" u="1"/>
        <s v="CI-73119576" u="1"/>
        <s v="CI-74054996" u="1"/>
        <s v="CI-74103553" u="1"/>
        <s v="CI-73494342" u="1"/>
        <s v="CI-70824299" u="1"/>
        <s v="CI-70819237" u="1"/>
        <s v="CI-73398043" u="1"/>
        <s v="CI-73857529" u="1"/>
        <s v="CI-73934189" u="1"/>
        <s v="CI-74194529" u="1"/>
        <s v="CI-72805757" u="1"/>
        <s v="CI-73727593" u="1"/>
        <s v="CI-75093314" u="1"/>
        <s v="CI-74069494" u="1"/>
        <s v="CI-74056559" u="1"/>
        <s v="CI-71067369" u="1"/>
        <s v="CI-73436715" u="1"/>
        <s v="CI-73515701" u="1"/>
        <s v="CI-72824239" u="1"/>
        <s v="CI-72652003" u="1"/>
        <s v="CI-74972802" u="1"/>
        <s v="CI-74961189" u="1"/>
        <s v="CI-75025934" u="1"/>
        <s v="CI-75038734" u="1"/>
        <s v="CI-74206282" u="1"/>
        <s v="CI-74207681" u="1"/>
        <s v="CI-74207810" u="1"/>
        <s v="CI-74206917" u="1"/>
        <s v="CI-73622417" u="1"/>
        <s v="CI-73198242" u="1"/>
        <s v="CI-73725195" u="1"/>
        <s v="CI-73079642" u="1"/>
        <s v="CI-73073398" u="1"/>
        <s v="CI-70991954" u="1"/>
        <s v="CI-73858896" u="1"/>
        <s v="CI-73734079" u="1"/>
        <s v="CI-73484688" u="1"/>
        <s v="CI-74200015" u="1"/>
        <s v="CI-74116421" u="1"/>
        <s v="CI-74051681" u="1"/>
        <s v="CI-74029764" u="1"/>
        <s v="CI-74113902" u="1"/>
        <s v="CI-74147386" u="1"/>
        <s v="CI-73585789" u="1"/>
        <s v="CI-75226828" u="1"/>
        <s v="CI-71018070" u="1"/>
        <s v="CI-71130980" u="1"/>
        <s v="CI-72729429" u="1"/>
        <s v="CI-74455885" u="1"/>
        <s v="CI-74416064" u="1"/>
        <s v="CI-73080237" u="1"/>
        <s v="CI-73189203" u="1"/>
        <s v="CI-72826518" u="1"/>
        <s v="CI-72823464" u="1"/>
        <s v="CI-72324320" u="1"/>
        <s v="CI-70934106" u="1"/>
        <s v="CI-71048136" u="1"/>
        <s v="CI-70901648" u="1"/>
        <s v="CI-74662680" u="1"/>
        <s v="CI-74726232" u="1"/>
        <s v="CI-74707921" u="1"/>
        <s v="CI-73572798" u="1"/>
        <s v="CI-73840611" u="1"/>
        <s v="CI-73871699" u="1"/>
        <s v="CI-73624200" u="1"/>
        <s v="CI-73873099" u="1"/>
        <s v="CI-73860724" u="1"/>
        <s v="CI-73567501" u="1"/>
        <s v="CI-73732895" u="1"/>
        <s v="CI-73628490" u="1"/>
        <s v="CI-73680825" u="1"/>
        <s v="CI-73700392" u="1"/>
        <s v="CI-73521570" u="1"/>
        <s v="CI-73854561" u="1"/>
        <s v="CI-73760787" u="1"/>
        <s v="CI-73857846" u="1"/>
        <s v="CI-73860477" u="1"/>
        <s v="CI-73758478" u="1"/>
        <s v="CI-73784970" u="1"/>
        <s v="CI-73761807" u="1"/>
        <s v="CI-73850003" u="1"/>
        <s v="CI-73582810" u="1"/>
        <s v="CI-73811556" u="1"/>
        <s v="CI-73680748" u="1"/>
        <s v="CI-73875954" u="1"/>
        <s v="CI-73848377" u="1"/>
        <s v="CI-73414488" u="1"/>
        <s v="CI-73160279" u="1"/>
        <s v="CI-73173573" u="1"/>
        <s v="CI-73149371" u="1"/>
        <s v="CI-72703764" u="1"/>
        <s v="CI-72867237" u="1"/>
        <s v="CI-73922834" u="1"/>
        <s v="CI-73919096" u="1"/>
        <s v="CI-73914620" u="1"/>
        <s v="CI-71074739" u="1"/>
        <s v="CI-73951159" u="1"/>
        <s v="CI-73931577" u="1"/>
        <s v="CI-73989377" u="1"/>
        <s v="CI-73228788" u="1"/>
        <s v="CI-71070294" u="1"/>
        <s v="CI-73118836" u="1"/>
        <s v="CI-73336002" u="1"/>
        <s v="CI-71069922" u="1"/>
        <s v="CI-73128281" u="1"/>
        <s v="CI-73578397" u="1"/>
        <s v="CI-73513978" u="1"/>
        <s v="CI-73144334" u="1"/>
        <s v="CI-72742906" u="1"/>
        <s v="CI-72818439" u="1"/>
        <s v="CI-72638770" u="1"/>
        <s v="CI-72783923" u="1"/>
        <s v="CI-72644122" u="1"/>
        <s v="CI-72765236" u="1"/>
        <s v="CI-72780223" u="1"/>
        <s v="CI-72886261" u="1"/>
        <s v="CI-72693436" u="1"/>
        <s v="CI-71069838" u="1"/>
        <s v="CI-71100736" u="1"/>
        <s v="CI-71073763" u="1"/>
        <s v="CI-71101490" u="1"/>
        <s v="CI-71100023" u="1"/>
        <s v="CI-74973322" u="1"/>
        <s v="CI-74976255" u="1"/>
        <s v="CI-75013294" u="1"/>
        <s v="CI-75020196" u="1"/>
        <s v="CI-75103587" u="1"/>
        <s v="CI-75117359" u="1"/>
        <s v="CI-75117120" u="1"/>
        <s v="CI-75132452" u="1"/>
        <s v="CI-75067866" u="1"/>
        <s v="CI-75072484" u="1"/>
        <s v="CI-75029145" u="1"/>
        <s v="CI-75114520" u="1"/>
        <s v="CI-75073007" u="1"/>
        <s v="CI-74999751" u="1"/>
        <s v="CI-74088395" u="1"/>
        <s v="CI-74100748" u="1"/>
        <s v="CI-74180468" u="1"/>
        <s v="CI-74109804" u="1"/>
        <s v="CI-74123349" u="1"/>
        <s v="CI-74196275" u="1"/>
        <s v="CI-74159787" u="1"/>
        <s v="CI-74048215" u="1"/>
        <s v="CI-74108189" u="1"/>
        <s v="CI-74132169" u="1"/>
        <s v="CI-74002888" u="1"/>
        <s v="CI-73995840" u="1"/>
        <s v="CI-74161996" u="1"/>
        <s v="CI-74205946" u="1"/>
        <s v="CI-74105819" u="1"/>
        <s v="CI-74214362" u="1"/>
        <s v="CI-74097970" u="1"/>
        <s v="CI-74041262" u="1"/>
        <s v="CI-74099796" u="1"/>
        <s v="CI-75079975" u="1"/>
        <s v="CI-74186873" u="1"/>
        <s v="CI-74098564" u="1"/>
        <s v="CI-74093693" u="1"/>
        <s v="CI-74203216" u="1"/>
        <s v="CI-74171884" u="1"/>
        <s v="CI-74204020" u="1"/>
        <s v="CI-73997063" u="1"/>
        <s v="CI-74197838" u="1"/>
        <s v="CI-74186742" u="1"/>
        <s v="CI-73737731" u="1"/>
        <s v="CI-73732750" u="1"/>
        <s v="CI-73735543" u="1"/>
        <s v="CI-73679724" u="1"/>
        <s v="CI-73730922" u="1"/>
        <s v="CI-75218968" u="1"/>
        <s v="CI-73680183" u="1"/>
        <s v="CI-73619757" u="1"/>
        <s v="CI-73617596" u="1"/>
        <s v="CI-73625303" u="1"/>
        <s v="CI-73095402" u="1"/>
        <s v="CI-74078994" u="1"/>
        <s v="CI-73045226" u="1"/>
        <s v="CI-73631525" u="1"/>
        <s v="CI-73626065" u="1"/>
        <s v="CI-73623401" u="1"/>
        <s v="CI-73601635" u="1"/>
        <s v="CI-73599863" u="1"/>
        <s v="CI-73758643" u="1"/>
        <s v="CI-73619639" u="1"/>
        <s v="CI-73619164" u="1"/>
        <s v="CI-72927814" u="1"/>
        <s v="CI-72912647" u="1"/>
        <s v="CI-73466506" u="1"/>
        <s v="CI-73070332" u="1"/>
        <s v="CI-72805865" u="1"/>
        <s v="CI-75258902" u="1"/>
        <s v="CI-72686582" u="1"/>
        <s v="CI-73035939" u="1"/>
        <s v="CI-74996053" u="1"/>
        <s v="CI-72333522" u="1"/>
        <s v="CI-73715262" u="1"/>
        <s v="CI-73685662" u="1"/>
        <s v="CI-74011605" u="1"/>
        <s v="CI-73903335" u="1"/>
        <s v="CI-72756437" u="1"/>
        <s v="CI-71286820" u="1"/>
        <s v="CI-71344332" u="1"/>
        <s v="CI-71307106" u="1"/>
        <s v="CI-71305828" u="1"/>
        <s v="CI-71299533" u="1"/>
        <s v="CI-71296707" u="1"/>
        <s v="CI-71305028" u="1"/>
        <s v="CI-71230628" u="1"/>
        <s v="CI-71006458" u="1"/>
        <s v="CI-70991325" u="1"/>
        <s v="CI-75287066" u="1"/>
        <s v="CI-75268730" u="1"/>
        <s v="CI-75268849" u="1"/>
        <s v="CI-75265196" u="1"/>
        <s v="CI-75377784" u="1"/>
        <s v="CI-75343812" u="1"/>
        <s v="CI-75332792" u="1"/>
        <s v="CI-75342873" u="1"/>
        <s v="CI-75322085" u="1"/>
        <s v="CI-75321358" u="1"/>
        <s v="CI-75340072" u="1"/>
        <s v="CI-75314611" u="1"/>
        <s v="CI-75336646" u="1"/>
        <s v="CI-75374954" u="1"/>
        <s v="CI-75301782" u="1"/>
        <s v="CI-75227202" u="1"/>
        <s v="CI-75132403" u="1"/>
        <s v="CI-75130190" u="1"/>
        <s v="CI-75130171" u="1"/>
        <s v="CI-74465974" u="1"/>
        <s v="CI-74464124" u="1"/>
        <s v="CI-74406335" u="1"/>
        <s v="CI-74464373" u="1"/>
        <s v="CI-74280953" u="1"/>
        <s v="CI-74278382" u="1"/>
        <s v="CI-74282905" u="1"/>
        <s v="CI-74417871" u="1"/>
        <s v="CI-74282925" u="1"/>
        <s v="CI-74461452" u="1"/>
        <s v="CI-74775757" u="1"/>
        <s v="CI-74478929" u="1"/>
        <s v="CI-74776839" u="1"/>
        <s v="CI-74419670" u="1"/>
        <s v="CI-74498735" u="1"/>
        <s v="CI-74421030" u="1"/>
        <s v="CI-74657456" u="1"/>
        <s v="CI-74415374" u="1"/>
        <s v="CI-74283813" u="1"/>
        <s v="CI-74465080" u="1"/>
        <s v="CI-74772755" u="1"/>
        <s v="CI-74463583" u="1"/>
        <s v="CI-74398759" u="1"/>
        <s v="CI-74498917" u="1"/>
        <s v="CI-74409750" u="1"/>
        <s v="CI-74408846" u="1"/>
        <s v="CI-74409243" u="1"/>
        <s v="CI-74401607" u="1"/>
        <s v="CI-74401987" u="1"/>
        <s v="CI-74418596" u="1"/>
        <s v="CI-74410991" u="1"/>
        <s v="CI-74284648" u="1"/>
        <s v="CI-74426229" u="1"/>
        <s v="CI-74402009" u="1"/>
        <s v="CI-74437596" u="1"/>
        <s v="CI-74496103" u="1"/>
        <s v="CI-74241676" u="1"/>
        <s v="CI-74284780" u="1"/>
        <s v="CI-74222665" u="1"/>
        <s v="CI-74427788" u="1"/>
        <s v="CI-74309768" u="1"/>
        <s v="CI-74457398" u="1"/>
        <s v="CI-74427243" u="1"/>
        <s v="CI-74456504" u="1"/>
        <s v="CI-74515372" u="1"/>
        <s v="CI-74292709" u="1"/>
        <s v="CI-74446255" u="1"/>
        <s v="CI-74448172" u="1"/>
        <s v="CI-74306935" u="1"/>
        <s v="CI-74268091" u="1"/>
        <s v="CI-74442908" u="1"/>
        <s v="CI-74443718" u="1"/>
        <s v="CI-74443755" u="1"/>
        <s v="CI-74289759" u="1"/>
        <s v="CI-74431874" u="1"/>
        <s v="CI-74306890" u="1"/>
        <s v="CI-74431586" u="1"/>
        <s v="CI-74430450" u="1"/>
        <s v="CI-74245279" u="1"/>
        <s v="CI-74384412" u="1"/>
        <s v="CI-74341008" u="1"/>
        <s v="CI-74340838" u="1"/>
        <s v="CI-74340820" u="1"/>
        <s v="CI-74343098" u="1"/>
        <s v="CI-74346417" u="1"/>
        <s v="CI-74380686" u="1"/>
        <s v="CI-74335563" u="1"/>
        <s v="CI-74277222" u="1"/>
        <s v="CI-74273625" u="1"/>
        <s v="CI-74274662" u="1"/>
        <s v="CI-74473719" u="1"/>
        <s v="CI-74295125" u="1"/>
        <s v="CI-74328029" u="1"/>
        <s v="CI-74272387" u="1"/>
        <s v="CI-74271010" u="1"/>
        <s v="CI-74471280" u="1"/>
        <s v="CI-74272697" u="1"/>
        <s v="CI-74272632" u="1"/>
        <s v="CI-74374873" u="1"/>
        <s v="CI-74344323" u="1"/>
        <s v="CI-75081153" u="1"/>
        <s v="CI-74345533" u="1"/>
        <s v="CI-74346455" u="1"/>
        <s v="CI-74384496" u="1"/>
        <s v="CI-74171044" u="1"/>
        <s v="CI-74390530" u="1"/>
        <s v="CI-74763429" u="1"/>
        <s v="CI-74085683" u="1"/>
        <s v="CI-73985745" u="1"/>
        <s v="CI-74064221" u="1"/>
        <s v="CI-74012475" u="1"/>
        <s v="CI-73983193" u="1"/>
        <s v="CI-73901578" u="1"/>
        <s v="CI-74084526" u="1"/>
        <s v="CI-74027894" u="1"/>
        <s v="CI-74129255" u="1"/>
        <s v="CI-73963528" u="1"/>
        <s v="CI-73972799" u="1"/>
        <s v="CI-74146654" u="1"/>
        <s v="CI-74595443" u="1"/>
        <s v="CI-74956161" u="1"/>
        <s v="CI-74155200" u="1"/>
        <s v="CI-73949902" u="1"/>
        <s v="CI-73940787" u="1"/>
        <s v="CI-72979963" u="1"/>
        <s v="CI-71493849" u="1"/>
        <s v="CI-71452466" u="1"/>
        <s v="CI-71427645" u="1"/>
        <s v="CI-71402564" u="1"/>
        <s v="CI-71405053" u="1"/>
        <s v="CI-71518462" u="1"/>
        <s v="CI-75222432" u="1"/>
        <s v="CI-74275413" u="1"/>
        <s v="CHA" u="1"/>
        <s v="2026138500228" u="1"/>
        <s v="2026118930561" u="1"/>
        <s v="CI-73296274" u="1"/>
        <s v="CI-73233554" u="1"/>
        <s v="CI-73279128" u="1"/>
        <s v="CI-72469616" u="1"/>
        <s v="CI-72414527" u="1"/>
        <s v="CI-72064099" u="1"/>
        <s v="CI-73584867" u="1"/>
        <s v="CI-73587244" u="1"/>
        <s v="CI-73568028" u="1"/>
        <s v="CI-73547249" u="1"/>
        <s v="CI-74625417" u="1"/>
        <s v="CI-74631602" u="1"/>
        <s v="CI-73869045" u="1"/>
        <s v="CI-73727558" u="1"/>
        <s v="CI-73632331" u="1"/>
        <s v="CI-73641224" u="1"/>
        <s v="CI-73775819" u="1"/>
        <s v="CI-73637185" u="1"/>
        <s v="CI-73922972" u="1"/>
        <s v="CI-73933300" u="1"/>
        <s v="CI-73933741" u="1"/>
        <s v="CI-73332383" u="1"/>
        <s v="CI-73918565" u="1"/>
        <s v="CI-74010788" u="1"/>
        <s v="CI-74110598" u="1"/>
        <s v="CI-74112313" u="1"/>
        <s v="CI-74096564" u="1"/>
        <s v="CI-74057166" u="1"/>
        <s v="CI-74148902" u="1"/>
        <s v="CI-75037688" u="1"/>
        <s v="CI-75112792" u="1"/>
        <s v="CI-74207097" u="1"/>
        <s v="CI-74198844" u="1"/>
        <s v="CI-73995519" u="1"/>
        <s v="CI-74012303" u="1"/>
        <s v="CI-75079662" u="1"/>
        <s v="CI-73539857" u="1"/>
        <s v="CI-74202095" u="1"/>
        <s v="CI-73048537" u="1"/>
        <s v="CI-73066180" u="1"/>
        <s v="CI-73858555" u="1"/>
        <s v="CI-73855929" u="1"/>
        <s v="CI-74003657" u="1"/>
        <s v="CI-74038720" u="1"/>
        <s v="CI-73994383" u="1"/>
        <s v="CI-73577586" u="1"/>
        <s v="CI-73455742" u="1"/>
        <s v="CI-74051738" u="1"/>
        <s v="CI-74063498" u="1"/>
        <s v="CI-75218977" u="1"/>
        <s v="CI-73676867" u="1"/>
        <s v="CI-73255961" u="1"/>
        <s v="CI-73594764" u="1"/>
        <s v="CI-75226810" u="1"/>
        <s v="CI-73967682" u="1"/>
        <s v="CI-73766775" u="1"/>
        <s v="CI-73926217" u="1"/>
        <s v="CI-74044657" u="1"/>
        <s v="CI-73746048" u="1"/>
        <s v="CI-75338712" u="1"/>
        <s v="CI-73843891" u="1"/>
        <s v="CI-72711253" u="1"/>
        <s v="CI-73139536" u="1"/>
        <s v="CI-71290677" u="1"/>
        <s v="CI-71235286" u="1"/>
        <s v="CI-71182839" u="1"/>
        <s v="CI-75286329" u="1"/>
        <s v="CI-75344008" u="1"/>
        <s v="CI-75307613" u="1"/>
        <s v="CI-74396992" u="1"/>
        <s v="CI-74312320" u="1"/>
        <s v="CI-74488914" u="1"/>
        <s v="CI-74279242" u="1"/>
        <s v="CI-74246677" u="1"/>
        <s v="CI-74498919" u="1"/>
        <s v="CI-74510978" u="1"/>
        <s v="CI-74405697" u="1"/>
        <s v="CI-74402045" u="1"/>
        <s v="CI-74422291" u="1"/>
        <s v="CI-74401919" u="1"/>
        <s v="CI-74424507" u="1"/>
        <s v="CI-74460468" u="1"/>
        <s v="CI-74324400" u="1"/>
        <s v="CI-74455042" u="1"/>
        <s v="CI-74458168" u="1"/>
        <s v="CI-74261261" u="1"/>
        <s v="CI-74268830" u="1"/>
        <s v="CI-74266384" u="1"/>
        <s v="CI-74290477" u="1"/>
        <s v="CI-74288888" u="1"/>
        <s v="CI-74328457" u="1"/>
        <s v="CI-74290403" u="1"/>
        <s v="CI-74441102" u="1"/>
        <s v="CI-74279075" u="1"/>
        <s v="CI-74657273" u="1"/>
        <s v="CI-74342119" u="1"/>
        <s v="CI-74331709" u="1"/>
        <s v="CI-74263514" u="1"/>
        <s v="CI-74374401" u="1"/>
        <s v="CI-74373408" u="1"/>
        <s v="CI-74365534" u="1"/>
        <s v="CI-74348154" u="1"/>
        <s v="CI-74355091" u="1"/>
        <s v="CI-74351115" u="1"/>
        <s v="CI-74346906" u="1"/>
        <s v="CI-74347186" u="1"/>
        <s v="CI-74346687" u="1"/>
        <s v="CI-74360157" u="1"/>
        <s v="CI-74389978" u="1"/>
        <s v="CI-73856796" u="1"/>
        <s v="CI-74158068" u="1"/>
        <s v="CI-74153907" u="1"/>
        <s v="CI-73509116" u="1"/>
        <s v="CI-73702402" u="1"/>
        <s v="CI-73843173" u="1"/>
        <s v="CI-73807021" u="1"/>
        <s v="CI-73696868" u="1"/>
        <s v="CI-73766660" u="1"/>
        <s v="CI-73699525" u="1"/>
        <s v="CI-74778502" u="1"/>
        <s v="CI-74748103" u="1"/>
        <s v="CI-73727635" u="1"/>
        <s v="CI-73922993" u="1"/>
        <s v="CI-73931491" u="1"/>
        <s v="CI-73900284" u="1"/>
        <s v="CI-73893152" u="1"/>
        <s v="CI-73968832" u="1"/>
        <s v="CI-73761921" u="1"/>
        <s v="CI-73942897" u="1"/>
        <s v="CI-70996037" u="1"/>
        <s v="CI-71020082" u="1"/>
        <s v="CI-73930767" u="1"/>
        <s v="CI-74060444" u="1"/>
        <s v="CI-73992071" u="1"/>
        <s v="CI-73042002" u="1"/>
        <s v="CI-72643514" u="1"/>
        <s v="CI-74995743" u="1"/>
        <s v="CI-73526693" u="1"/>
        <s v="CI-73551862" u="1"/>
        <s v="CI-72789899" u="1"/>
        <s v="CI-72818691" u="1"/>
        <s v="CI-72830540" u="1"/>
        <s v="CI-72886283" u="1"/>
        <s v="CI-71078120" u="1"/>
        <s v="CI-71079330" u="1"/>
        <s v="CI-71070904" u="1"/>
        <s v="CI-74977223" u="1"/>
        <s v="CI-74964575" u="1"/>
        <s v="CI-75076855" u="1"/>
        <s v="CI-74080749" u="1"/>
        <s v="CI-74205150" u="1"/>
        <s v="CI-74209676" u="1"/>
        <s v="CI-74117544" u="1"/>
        <s v="CI-74207478" u="1"/>
        <s v="CI-74230344" u="1"/>
        <s v="CI-74083421" u="1"/>
        <s v="CI-74207648" u="1"/>
        <s v="CI-73724819" u="1"/>
        <s v="CI-73636159" u="1"/>
        <s v="CI-73584174" u="1"/>
        <s v="CI-72793349" u="1"/>
        <s v="CI-73371768" u="1"/>
        <s v="CI-73392811" u="1"/>
        <s v="CI-73513614" u="1"/>
        <s v="CI-72823932" u="1"/>
        <s v="CI-72623195" u="1"/>
        <s v="CI-71686763" u="1"/>
        <s v="CI-73657347" u="1"/>
        <s v="CI-73580872" u="1"/>
        <s v="CI-73727580" u="1"/>
        <s v="CI-73878860" u="1"/>
        <s v="CI-73803269" u="1"/>
        <s v="CI-73898766" u="1"/>
        <s v="CI-73200506" u="1"/>
        <s v="CI-73932261" u="1"/>
        <s v="CI-73004361" u="1"/>
        <s v="CI-73766023" u="1"/>
        <s v="CI-73760790" u="1"/>
        <s v="CI-73869059" u="1"/>
        <s v="CI-73873189" u="1"/>
        <s v="CI-73936912" u="1"/>
        <s v="CI-73908696" u="1"/>
        <s v="CI-73252667" u="1"/>
        <s v="CI-73937500" u="1"/>
        <s v="CI-73963834" u="1"/>
        <s v="CI-73931830" u="1"/>
        <s v="CI-73266788" u="1"/>
        <s v="CI-73272822" u="1"/>
        <s v="CI-73266333" u="1"/>
        <s v="CI-73186802" u="1"/>
        <s v="CI-73410958" u="1"/>
        <s v="CI-74068022" u="1"/>
        <s v="CI-74001554" u="1"/>
        <s v="CI-74103873" u="1"/>
        <s v="CI-74064449" u="1"/>
        <s v="CI-74054185" u="1"/>
        <s v="CI-74196659" u="1"/>
        <s v="CI-74054780" u="1"/>
        <s v="CI-74192258" u="1"/>
        <s v="CI-71009081" u="1"/>
        <s v="CI-74110543" u="1"/>
        <s v="CI-74197737" u="1"/>
        <s v="CI-74051047" u="1"/>
        <s v="CI-74111335" u="1"/>
        <s v="CI-74176436" u="1"/>
        <s v="CI-74205818" u="1"/>
        <s v="CI-74052094" u="1"/>
        <s v="CI-74066692" u="1"/>
        <s v="CI-74156445" u="1"/>
        <s v="CI-73673506" u="1"/>
        <s v="CI-73673525" u="1"/>
        <s v="CI-73670898" u="1"/>
        <s v="CI-73669716" u="1"/>
        <s v="CI-73670249" u="1"/>
        <s v="CI-73664882" u="1"/>
        <s v="CI-72071694" u="1"/>
        <s v="CI-70768802" u="1"/>
        <s v="CI-74260131" u="1"/>
        <s v="CI-73756329" u="1"/>
        <s v="CI-73056750" u="1"/>
        <s v="CI-74749565" u="1"/>
        <s v="CI-73996354" u="1"/>
        <s v="CI-74045799" u="1"/>
        <s v="CI-73862544" u="1"/>
        <s v="CI-73691818" u="1"/>
        <s v="CI-73585993" u="1"/>
        <s v="CI-73603005" u="1"/>
        <s v="CI-73492011" u="1"/>
        <s v="CI-74570866" u="1"/>
        <s v="CI-73170305" u="1"/>
        <s v="CI-74895576" u="1"/>
        <s v="CI-73732880" u="1"/>
        <s v="CI-73684225" u="1"/>
        <s v="CI-73856279" u="1"/>
        <s v="CI-73876418" u="1"/>
        <s v="CI-73802479" u="1"/>
        <s v="CI-75006659" u="1"/>
        <s v="CI-75000872" u="1"/>
        <s v="CI-75008387" u="1"/>
        <s v="CI-75022734" u="1"/>
        <s v="CI-74204323" u="1"/>
        <s v="CI-74206345" u="1"/>
        <s v="CI-74206837" u="1"/>
        <s v="CI-74103618" u="1"/>
        <s v="CI-74206850" u="1"/>
        <s v="CI-74208879" u="1"/>
        <s v="CI-74206902" u="1"/>
        <s v="CI-74206873" u="1"/>
        <s v="CI-74206152" u="1"/>
        <s v="CI-74025073" u="1"/>
        <s v="CI-74208067" u="1"/>
        <s v="CI-74207263" u="1"/>
        <s v="CI-73602220" u="1"/>
        <s v="CI-73725993" u="1"/>
        <s v="CI-73056182" u="1"/>
        <s v="CI-72593962" u="1"/>
        <s v="CI-73562356" u="1"/>
        <s v="CI-73919107" u="1"/>
        <s v="CI-73489962" u="1"/>
        <s v="CI-73519029" u="1"/>
        <s v="CI-73855238" u="1"/>
        <s v="CI-73858025" u="1"/>
        <s v="CI-74206265" u="1"/>
        <s v="CI-73749103" u="1"/>
        <s v="CI-74110550" u="1"/>
        <s v="CI-74206933" u="1"/>
        <s v="CI-71140709" u="1"/>
        <s v="CI-71178920" u="1"/>
        <s v="CI-71173399" u="1"/>
        <s v="CI-71151371" u="1"/>
        <s v="CI-71150956" u="1"/>
        <s v="CI-71302264" u="1"/>
        <s v="CI-71284218" u="1"/>
        <s v="CI-74099228" u="1"/>
        <s v="CI-73984507" u="1"/>
        <s v="CI-73579290" u="1"/>
        <s v="CI-72645087" u="1"/>
        <s v="CI-74424949" u="1"/>
        <s v="CI-73053392" u="1"/>
        <s v="CI-73232195" u="1"/>
        <s v="CI-73556990" u="1"/>
        <s v="CI-73670771" u="1"/>
        <s v="CI-73760770" u="1"/>
        <s v="CI-71003503" u="1"/>
        <s v="CI-73995319" u="1"/>
        <s v="CI-75029978" u="1"/>
        <s v="CI-74084645" u="1"/>
        <s v="CI-74157268" u="1"/>
        <s v="CI-73993790" u="1"/>
        <s v="CI-73946890" u="1"/>
        <s v="CI-73932763" u="1"/>
        <s v="CI-72884810" u="1"/>
        <s v="CI-72723878" u="1"/>
        <s v="CI-72748392" u="1"/>
        <s v="CI-72730025" u="1"/>
        <s v="CI-72630478" u="1"/>
        <s v="CI-72731344" u="1"/>
        <s v="CI-73995371" u="1"/>
        <s v="CI-74073330" u="1"/>
        <s v="CI-74187628" u="1"/>
        <s v="CI-74063803" u="1"/>
        <s v="CI-73590521" u="1"/>
        <s v="CI-74206482" u="1"/>
        <s v="CI-74207847" u="1"/>
        <s v="CI-73857411" u="1"/>
        <s v="CI-73858205" u="1"/>
        <s v="CI-73961589" u="1"/>
        <s v="CI-73939919" u="1"/>
        <s v="CI-71019896" u="1"/>
        <s v="CI-70975049" u="1"/>
        <s v="CI-73992269" u="1"/>
        <s v="CI-74044946" u="1"/>
        <s v="CI-74011355" u="1"/>
        <s v="CI-74015616" u="1"/>
        <s v="CI-74091945" u="1"/>
        <s v="CI-74138222" u="1"/>
        <s v="CI-74111989" u="1"/>
        <s v="CI-74057003" u="1"/>
        <s v="CI-74098627" u="1"/>
        <s v="CI-72497713" u="1"/>
        <s v="CI-73363490" u="1"/>
        <s v="CI-73168188" u="1"/>
        <s v="CI-71720460" u="1"/>
        <s v="CI-73691571" u="1"/>
        <s v="CI-73691752" u="1"/>
        <s v="CI-73047257" u="1"/>
        <s v="CI-74637105" u="1"/>
        <s v="CI-73920585" u="1"/>
        <s v="CI-73761197" u="1"/>
        <s v="CI-73760256" u="1"/>
        <s v="CI-73871632" u="1"/>
        <s v="CI-73701004" u="1"/>
        <s v="CI-73534560" u="1"/>
        <s v="CI-73770252" u="1"/>
        <s v="CI-73760862" u="1"/>
        <s v="CI-73413991" u="1"/>
        <s v="CI-73086154" u="1"/>
        <s v="CI-73936729" u="1"/>
        <s v="CI-73365018" u="1"/>
        <s v="CI-73768389" u="1"/>
        <s v="CI-73660836" u="1"/>
        <s v="CI-73532369" u="1"/>
        <s v="CI-73575532" u="1"/>
        <s v="CI-74882534" u="1"/>
        <s v="CI-73392562" u="1"/>
        <s v="CI-71522662" u="1"/>
        <s v="CI-73950673" u="1"/>
        <s v="CI-73264710" u="1"/>
        <s v="CI-73262046" u="1"/>
        <s v="CI-73230681" u="1"/>
        <s v="CI-73230683" u="1"/>
        <s v="CI-72596333" u="1"/>
        <s v="CI-74099707" u="1"/>
        <s v="CI-74093976" u="1"/>
        <s v="CI-74097037" u="1"/>
        <s v="CI-73406595" u="1"/>
        <s v="CI-73544712" u="1"/>
        <s v="CI-73676338" u="1"/>
        <s v="CI-73839562" u="1"/>
        <s v="CI-73750678" u="1"/>
        <s v="CI-73540151" u="1"/>
        <s v="CI-73769810" u="1"/>
        <s v="CI-73882689" u="1"/>
        <s v="CI-73698720" u="1"/>
        <s v="CI-73870552" u="1"/>
        <s v="CI-73842998" u="1"/>
        <s v="CI-70326387" u="1"/>
        <s v="CI-73918531" u="1"/>
        <s v="CI-71069820" u="1"/>
        <s v="CI-71153912" u="1"/>
        <s v="CI-74895207" u="1"/>
        <s v="CI-73985575" u="1"/>
        <s v="CI-73921474" u="1"/>
        <s v="CI-71182233" u="1"/>
        <s v="CI-71056171" u="1"/>
        <s v="CI-71171600" u="1"/>
        <s v="CI-73564557" u="1"/>
        <s v="CI-72882957" u="1"/>
        <s v="CI-72869190" u="1"/>
        <s v="CI-72758951" u="1"/>
        <s v="CI-72812220" u="1"/>
        <s v="CI-72885388" u="1"/>
        <s v="CI-72733489" u="1"/>
        <s v="CI-72817972" u="1"/>
        <s v="CI-72880485" u="1"/>
        <s v="CI-72816510" u="1"/>
        <s v="CI-72883943" u="1"/>
        <s v="CI-72825024" u="1"/>
        <s v="CI-72725268" u="1"/>
        <s v="CI-72884548" u="1"/>
        <s v="CI-72837294" u="1"/>
        <s v="CI-72882943" u="1"/>
        <s v="CI-72812306" u="1"/>
        <s v="CI-72807764" u="1"/>
        <s v="CI-72883435" u="1"/>
        <s v="CI-72886229" u="1"/>
        <s v="CI-69738441" u="1"/>
        <s v="CI-74983024" u="1"/>
        <s v="CI-75020286" u="1"/>
        <s v="CI-74981161" u="1"/>
        <s v="CI-74965494" u="1"/>
        <s v="CI-75072651" u="1"/>
        <s v="CI-75128475" u="1"/>
        <s v="CI-75111047" u="1"/>
        <s v="CI-75064156" u="1"/>
        <s v="CI-74595654" u="1"/>
        <s v="CI-74205863" u="1"/>
        <s v="CI-74129282" u="1"/>
        <s v="CI-74092310" u="1"/>
        <s v="CI-73996888" u="1"/>
        <s v="CI-74084015" u="1"/>
        <s v="CI-74156834" u="1"/>
        <s v="CI-74752453" u="1"/>
        <s v="CI-74112767" u="1"/>
        <s v="CI-74122095" u="1"/>
        <s v="CI-74051805" u="1"/>
        <s v="CI-74129766" u="1"/>
        <s v="CI-74201828" u="1"/>
        <s v="CI-73764080" u="1"/>
        <s v="CI-74057887" u="1"/>
        <s v="CI-74121866" u="1"/>
        <s v="CI-74202883" u="1"/>
        <s v="CI-74098970" u="1"/>
        <s v="CI-74028357" u="1"/>
        <s v="CI-74100332" u="1"/>
        <s v="CI-74205396" u="1"/>
        <s v="CI-74047010" u="1"/>
        <s v="CI-74134044" u="1"/>
        <s v="CI-74131128" u="1"/>
        <s v="CI-74047077" u="1"/>
        <s v="CI-74107931" u="1"/>
        <s v="CI-74200218" u="1"/>
        <s v="CI-74185573" u="1"/>
        <s v="CI-74747830" u="1"/>
        <s v="CI-74055770" u="1"/>
        <s v="CI-74109348" u="1"/>
        <s v="CI-74094483" u="1"/>
        <s v="CI-73994908" u="1"/>
        <s v="CI-74074500" u="1"/>
        <s v="CI-74155877" u="1"/>
        <s v="CI-74174167" u="1"/>
        <s v="CI-74105409" u="1"/>
        <s v="CI-73885192" u="1"/>
        <s v="CI-75080639" u="1"/>
        <s v="CI-74154311" u="1"/>
        <s v="CI-74060652" u="1"/>
        <s v="CI-74206139" u="1"/>
        <s v="CI-74100583" u="1"/>
        <s v="CI-74000518" u="1"/>
        <s v="CI-73947207" u="1"/>
        <s v="CI-74078127" u="1"/>
        <s v="CI-73808869" u="1"/>
        <s v="CI-73502939" u="1"/>
        <s v="CI-71127977" u="1"/>
        <s v="CI-73684520" u="1"/>
        <s v="CI-73289618" u="1"/>
        <s v="CI-73977873" u="1"/>
        <s v="CI-71002093" u="1"/>
        <s v="CI-73727144" u="1"/>
        <s v="CI-73766153" u="1"/>
        <s v="CI-74347206" u="1"/>
        <s v="CI-73466094" u="1"/>
        <s v="CI-73255810" u="1"/>
        <s v="CI-73457026" u="1"/>
        <s v="CI-73506989" u="1"/>
        <s v="CI-73361978" u="1"/>
        <s v="CI-73408596" u="1"/>
        <s v="CI-73295651" u="1"/>
        <s v="CI-73411080" u="1"/>
        <s v="CI-73391027" u="1"/>
        <s v="CI-71135960" u="1"/>
        <s v="CI-73900066" u="1"/>
        <s v="CI-73080143" u="1"/>
        <s v="CI-73289130" u="1"/>
        <s v="CI-73760445" u="1"/>
        <s v="CI-73827881" u="1"/>
        <s v="CI-73812166" u="1"/>
        <s v="CI-73873332" u="1"/>
        <s v="CI-72748487" u="1"/>
        <s v="CI-72576802" u="1"/>
        <s v="CI-72620819" u="1"/>
        <s v="CI-73933509" u="1"/>
        <s v="CI-73520641" u="1"/>
        <s v="CI-74728032" u="1"/>
        <s v="CI-73881025" u="1"/>
        <s v="CI-73871507" u="1"/>
        <s v="CI-73727978" u="1"/>
        <s v="CI-73404793" u="1"/>
        <s v="CI-74904982" u="1"/>
        <s v="CI-73987172" u="1"/>
        <s v="CI-74056979" u="1"/>
        <s v="CI-73849990" u="1"/>
        <s v="CI-74049666" u="1"/>
        <s v="CI-74738270" u="1"/>
        <s v="CI-73747288" u="1"/>
        <s v="CI-73869221" u="1"/>
        <s v="CI-73535203" u="1"/>
        <s v="CI-73656571" u="1"/>
        <s v="CI-73487871" u="1"/>
        <s v="CI-73200516" u="1"/>
        <s v="CI-73945134" u="1"/>
        <s v="CI-73936645" u="1"/>
        <s v="CI-73986011" u="1"/>
        <s v="CI-73406364" u="1"/>
        <s v="CI-74120717" u="1"/>
        <s v="CI-73405326" u="1"/>
        <s v="CI-73489958" u="1"/>
        <s v="CI-72876433" u="1"/>
        <s v="CI-72876470" u="1"/>
        <s v="CI-72876454" u="1"/>
        <s v="CI-72876423" u="1"/>
        <s v="CI-72975831" u="1"/>
        <s v="CI-72281754" u="1"/>
        <s v="CI-74695457" u="1"/>
        <s v="CI-74737792" u="1"/>
        <s v="CI-74267660" u="1"/>
        <s v="CI-74006363" u="1"/>
        <s v="CI-73699767" u="1"/>
        <s v="CI-73857768" u="1"/>
        <s v="CI-73872010" u="1"/>
        <s v="CI-73813080" u="1"/>
        <s v="CI-73432226" u="1"/>
        <s v="CI-73685680" u="1"/>
        <s v="CI-73846049" u="1"/>
        <s v="CI-73861193" u="1"/>
        <s v="CI-73698542" u="1"/>
        <s v="CI-74810617" u="1"/>
        <s v="CI-73913204" u="1"/>
        <s v="CI-73911812" u="1"/>
        <s v="CI-74864438" u="1"/>
        <s v="CI-74866223" u="1"/>
        <s v="CI-74252880" u="1"/>
        <s v="CI-74051248" u="1"/>
        <s v="CI-73987765" u="1"/>
        <s v="CI-73986475" u="1"/>
        <s v="CI-73990619" u="1"/>
        <s v="CI-73971007" u="1"/>
        <s v="CI-73987631" u="1"/>
        <s v="CI-73987013" u="1"/>
        <s v="CI-73956101" u="1"/>
        <s v="CI-74056001" u="1"/>
        <s v="CI-73486358" u="1"/>
        <s v="CI-73167129" u="1"/>
        <s v="CI-73616617" u="1"/>
        <s v="CI-73112626" u="1"/>
        <s v="CI-73039119" u="1"/>
        <s v="CI-73387163" u="1"/>
        <s v="CI-72829418" u="1"/>
        <s v="CI-72398213" u="1"/>
        <s v="CI-71253316" u="1"/>
        <s v="CI-71293395" u="1"/>
        <s v="CI-74125344" u="1"/>
        <s v="CI-74465315" u="1"/>
        <s v="CI-73761344" u="1"/>
        <s v="CI-73812543" u="1"/>
        <s v="CI-73637379" u="1"/>
        <s v="CI-73697859" u="1"/>
        <s v="CI-72397975" u="1"/>
        <s v="CI-73924151" u="1"/>
        <s v="CI-73078759" u="1"/>
        <s v="CI-73769403" u="1"/>
        <s v="CI-73996521" u="1"/>
        <s v="CI-73987993" u="1"/>
        <s v="CI-73934527" u="1"/>
        <s v="CI-73946273" u="1"/>
        <s v="CI-73586417" u="1"/>
        <s v="CI-73576486" u="1"/>
        <s v="CI-73383559" u="1"/>
        <s v="CI-73519065" u="1"/>
        <s v="CI-73927899" u="1"/>
        <s v="CI-74874261" u="1"/>
        <s v="CI-74890159" u="1"/>
        <s v="CI-74033957" u="1"/>
        <s v="CI-73936856" u="1"/>
        <s v="CI-73950064" u="1"/>
        <s v="CI-73943286" u="1"/>
        <s v="CI-73948046" u="1"/>
        <s v="CI-73974646" u="1"/>
        <s v="CI-73990746" u="1"/>
        <s v="CI-74995687" u="1"/>
        <s v="CI-74029822" u="1"/>
        <s v="CI-74047061" u="1"/>
        <s v="CI-73757746" u="1"/>
        <s v="CI-73427190" u="1"/>
        <s v="CI-73240562" u="1"/>
        <s v="CI-72822264" u="1"/>
        <s v="CI-74161533" u="1"/>
        <s v="CI-73034658" u="1"/>
        <s v="CI-71547615" u="1"/>
        <s v="CI-73189327" u="1"/>
        <s v="CI-74750534" u="1"/>
        <s v="CI-72891950" u="1"/>
        <s v="CI-73913792" u="1"/>
        <s v="CI-73905688" u="1"/>
        <s v="CI-73882518" u="1"/>
        <s v="CI-73691759" u="1"/>
        <s v="CI-73934983" u="1"/>
        <s v="CI-73962605" u="1"/>
        <s v="CI-73932646" u="1"/>
        <s v="CI-73388812" u="1"/>
        <s v="CI-73760918" u="1"/>
        <s v="CI-73763502" u="1"/>
        <s v="CI-73213601" u="1"/>
        <s v="CI-73920350" u="1"/>
        <s v="CI-74459455" u="1"/>
        <s v="CI-73216530" u="1"/>
        <s v="CI-73298309" u="1"/>
        <s v="CI-73172359" u="1"/>
        <s v="CI-72994337" u="1"/>
        <s v="CI-71912185" u="1"/>
        <s v="CI-73691610" u="1"/>
        <s v="CI-73618474" u="1"/>
        <s v="CI-73887458" u="1"/>
        <s v="CI-73523605" u="1"/>
        <s v="CI-73872186" u="1"/>
        <s v="CI-73761695" u="1"/>
        <s v="CI-73571023" u="1"/>
        <s v="CI-73691607" u="1"/>
        <s v="CI-73855450" u="1"/>
        <s v="CI-74331433" u="1"/>
        <s v="CI-73683350" u="1"/>
        <s v="CI-73542187" u="1"/>
        <s v="CI-73148029" u="1"/>
        <s v="CI-72779993" u="1"/>
        <s v="CI-73251055" u="1"/>
        <s v="CI-74783542" u="1"/>
        <s v="CI-73926708" u="1"/>
        <s v="CI-73924583" u="1"/>
        <s v="CI-73923086" u="1"/>
        <s v="CI-73914215" u="1"/>
        <s v="CI-73911222" u="1"/>
        <s v="CI-73915125" u="1"/>
        <s v="CI-71061916" u="1"/>
        <s v="CI-73961659" u="1"/>
        <s v="CI-73984881" u="1"/>
        <s v="CI-71062309" u="1"/>
        <s v="CI-73499737" u="1"/>
        <s v="CI-74996092" u="1"/>
        <s v="CI-73534041" u="1"/>
        <s v="CI-73456546" u="1"/>
        <s v="CI-73356017" u="1"/>
        <s v="CI-74984444" u="1"/>
        <s v="CI-74978691" u="1"/>
        <s v="CI-71080939" u="1"/>
        <s v="CI-71079355" u="1"/>
        <s v="CI-71064890" u="1"/>
        <s v="CI-71178136" u="1"/>
        <s v="CI-73729976" u="1"/>
        <s v="CI-73660877" u="1"/>
        <s v="CI-73661513" u="1"/>
        <s v="CI-73573782" u="1"/>
        <s v="CI-73398023" u="1"/>
        <s v="n" u="1"/>
        <s v="m" u="1"/>
        <s v="CI-72934545" u="1"/>
        <s v="CI-73267068" u="1"/>
        <s v="CI-73228576" u="1"/>
        <s v="CI-73349535" u="1"/>
        <s v="CI-73207894" u="1"/>
        <s v="CI-72978712" u="1"/>
        <s v="CI-72690525" u="1"/>
        <s v="CI-72976112" u="1"/>
        <s v="CI-72826172" u="1"/>
        <s v="CI-72913975" u="1"/>
        <s v="CI-73518728" u="1"/>
        <s v="CI-73686678" u="1"/>
        <s v="CI-73221292" u="1"/>
        <s v="CI-74750430" u="1"/>
        <s v="CI-74769671" u="1"/>
        <s v="CI-73559718" u="1"/>
        <s v="CI-73649168" u="1"/>
        <s v="CI-73839537" u="1"/>
        <s v="CI-73682425" u="1"/>
        <s v="CI-73729285" u="1"/>
        <s v="CI-73021679" u="1"/>
        <s v="CI-73924660" u="1"/>
        <s v="CI-71995118" u="1"/>
        <s v="CI-74288543" u="1"/>
        <s v="CI-74125132" u="1"/>
        <s v="CI-73044197" u="1"/>
        <s v="CI-73158816" u="1"/>
        <s v="CI-73383505" u="1"/>
        <s v="CI-73190652" u="1"/>
        <s v="CI-73038555" u="1"/>
        <s v="CI-72505934" u="1"/>
        <s v="CI-71717643" u="1"/>
        <s v="CI-70756444" u="1"/>
        <s v="CI-74632290" u="1"/>
        <s v="CI-74775106" u="1"/>
        <s v="CI-73887819" u="1"/>
        <s v="CI-73673122" u="1"/>
        <s v="CI-73728146" u="1"/>
        <s v="CI-73719984" u="1"/>
        <s v="CI-73858744" u="1"/>
        <s v="CI-73855744" u="1"/>
        <s v="CI-73757368" u="1"/>
        <s v="CI-73756736" u="1"/>
        <s v="CI-73814041" u="1"/>
        <s v="CI-73728123" u="1"/>
        <s v="CI-73762916" u="1"/>
        <s v="CI-73749008" u="1"/>
        <s v="CI-73811613" u="1"/>
        <s v="CI-73723217" u="1"/>
        <s v="CI-73767574" u="1"/>
        <s v="CI-73703953" u="1"/>
        <s v="CI-73883812" u="1"/>
        <s v="CI-73839578" u="1"/>
        <s v="CI-73804846" u="1"/>
        <s v="CI-73691819" u="1"/>
        <s v="CI-73850875" u="1"/>
        <s v="CI-73603660" u="1"/>
        <s v="CI-73571170" u="1"/>
        <s v="CI-73643842" u="1"/>
        <s v="CI-73876785" u="1"/>
        <s v="CI-73843366" u="1"/>
        <s v="CI-73803853" u="1"/>
        <s v="CI-73841455" u="1"/>
        <s v="CI-73520454" u="1"/>
        <s v="CI-73019099" u="1"/>
        <s v="CI-73287328" u="1"/>
        <s v="CI-72888457" u="1"/>
        <s v="CI-72454222" u="1"/>
        <s v="CI-71045912" u="1"/>
        <s v="CI-74735647" u="1"/>
        <s v="CI-74811934" u="1"/>
        <s v="CI-74806554" u="1"/>
        <s v="CI-74801776" u="1"/>
        <s v="CI-73630221" u="1"/>
        <s v="CI-73926075" u="1"/>
        <s v="CI-73926823" u="1"/>
        <s v="CI-73958860" u="1"/>
        <s v="CI-73924017" u="1"/>
        <s v="CI-73694406" u="1"/>
        <s v="CI-73895036" u="1"/>
        <s v="CI-73898572" u="1"/>
        <s v="CI-74679118" u="1"/>
        <s v="CI-73844777" u="1"/>
        <s v="CI-73905803" u="1"/>
        <s v="CI-73872699" u="1"/>
        <s v="CI-73411392" u="1"/>
        <s v="CI-72911294" u="1"/>
        <s v="CI-73247600" u="1"/>
        <s v="CI-72272464" u="1"/>
        <s v="CI-73265438" u="1"/>
        <s v="CI-73117074" u="1"/>
        <s v="CI-71067574" u="1"/>
        <s v="CI-71128445" u="1"/>
        <s v="CI-74893365" u="1"/>
        <s v="CI-74875700" u="1"/>
        <s v="CI-73932791" u="1"/>
        <s v="CI-73968406" u="1"/>
        <s v="CI-73969547" u="1"/>
        <s v="CI-73963652" u="1"/>
        <s v="CI-74056036" u="1"/>
        <s v="CI-73937134" u="1"/>
        <s v="CI-73930563" u="1"/>
        <s v="CI-73987423" u="1"/>
        <s v="CI-73961886" u="1"/>
        <s v="CI-73978436" u="1"/>
        <s v="CI-73956116" u="1"/>
        <s v="CI-74057282" u="1"/>
        <s v="CI-73933925" u="1"/>
        <s v="CI-73985072" u="1"/>
        <s v="CI-74034039" u="1"/>
        <s v="CI-73988203" u="1"/>
        <s v="CI-73984962" u="1"/>
        <s v="CI-73976770" u="1"/>
        <s v="CI-72939653" u="1"/>
        <s v="CI-73233615" u="1"/>
        <s v="CI-73293122" u="1"/>
        <s v="CI-72968997" u="1"/>
        <s v="CI-73330239" u="1"/>
        <s v="CI-73296620" u="1"/>
        <s v="CI-73277624" u="1"/>
        <s v="CI-72426683" u="1"/>
        <s v="CI-71871516" u="1"/>
        <s v="CI-73376359" u="1"/>
        <s v="CI-73400358" u="1"/>
        <s v="CI-73247555" u="1"/>
        <s v="CI-73384701" u="1"/>
        <s v="CI-71065825" u="1"/>
        <s v="CI-71054699" u="1"/>
        <s v="CI-71080623" u="1"/>
        <s v="CI-71064784" u="1"/>
        <s v="CI-73113290" u="1"/>
        <s v="CI-73279037" u="1"/>
        <s v="CI-73295173" u="1"/>
        <s v="CI-73255231" u="1"/>
        <s v="CI-71860531" u="1"/>
        <s v="CI-71902059" u="1"/>
        <s v="CI-70868915" u="1"/>
        <s v="CI-73706764" u="1"/>
        <s v="CI-73461854" u="1"/>
        <s v="CI-71907015" u="1"/>
        <s v="CI-71050281" u="1"/>
        <s v="CI-74548163" u="1"/>
        <s v="CI-74680900" u="1"/>
        <s v="CI-73818558" u="1"/>
        <s v="CI-73635401" u="1"/>
        <s v="CI-73584297" u="1"/>
        <s v="CI-73680457" u="1"/>
        <s v="CI-73700004" u="1"/>
        <s v="CI-73754108" u="1"/>
        <s v="CI-73389491" u="1"/>
        <s v="CI-73784681" u="1"/>
        <s v="CI-73700135" u="1"/>
        <s v="CI-72396811" u="1"/>
        <s v="CI-72625416" u="1"/>
        <s v="CI-72624544" u="1"/>
        <s v="CI-74235748" u="1"/>
        <s v="CI-73111841" u="1"/>
        <s v="CI-73338726" u="1"/>
        <s v="CI-73331269" u="1"/>
        <s v="CI-73311416" u="1"/>
        <s v="CI-73401361" u="1"/>
        <s v="CI-73214805" u="1"/>
        <s v="CI-73514902" u="1"/>
        <s v="CI-73288569" u="1"/>
        <s v="CI-73383427" u="1"/>
        <s v="CI-73181388" u="1"/>
        <s v="CI-73003412" u="1"/>
        <s v="CI-73258722" u="1"/>
        <s v="CI-73286540" u="1"/>
        <s v="CI-73492054" u="1"/>
        <s v="CI-73487000" u="1"/>
        <s v="CI-72900962" u="1"/>
        <s v="CI-72951861" u="1"/>
        <s v="CI-72999742" u="1"/>
        <s v="CI-72794780" u="1"/>
        <s v="CI-73502787" u="1"/>
        <s v="CI-73579418" u="1"/>
        <s v="CI-73733962" u="1"/>
        <s v="CI-72876293" u="1"/>
        <s v="CI-73190421" u="1"/>
        <s v="CI-73292390" u="1"/>
        <s v="CI-72244808" u="1"/>
        <s v="CI-72227856" u="1"/>
        <s v="CI-73165107" u="1"/>
        <s v="CI-72824384" u="1"/>
        <s v="CI-72672236" u="1"/>
        <s v="CI-72380061" u="1"/>
        <s v="CI-72821720" u="1"/>
        <s v="CI-72226337" u="1"/>
        <s v="CI-71714294" u="1"/>
        <s v="CI-71335974" u="1"/>
        <s v="CI-70660107" u="1"/>
        <s v="CI-74652852" u="1"/>
        <s v="CI-74550065" u="1"/>
        <s v="CI-73557812" u="1"/>
        <s v="CI-73759414" u="1"/>
        <s v="CI-73756621" u="1"/>
        <s v="CI-73838483" u="1"/>
        <s v="CI-73673977" u="1"/>
        <s v="CI-73567749" u="1"/>
        <s v="CI-73671056" u="1"/>
        <s v="CI-73855574" u="1"/>
        <s v="CI-73555745" u="1"/>
        <s v="CI-73840797" u="1"/>
        <s v="CI-73591685" u="1"/>
        <s v="CI-73816839" u="1"/>
        <s v="CI-73784652" u="1"/>
        <s v="CI-73536348" u="1"/>
        <s v="CI-73888730" u="1"/>
        <s v="CI-73625560" u="1"/>
        <s v="CI-73822662" u="1"/>
        <s v="CI-73604908" u="1"/>
        <s v="CI-73695438" u="1"/>
        <s v="CI-73638792" u="1"/>
        <s v="CI-73637319" u="1"/>
        <s v="CI-73060873" u="1"/>
        <s v="CI-73002947" u="1"/>
        <s v="CI-73274618" u="1"/>
        <s v="CI-72345105" u="1"/>
        <s v="CI-72587137" u="1"/>
        <s v="CI-71508560" u="1"/>
        <s v="CI-72876290" u="1"/>
        <s v="CI-72876292" u="1"/>
        <s v="CI-72876283" u="1"/>
        <s v="CI-73936453" u="1"/>
        <s v="CI-73926646" u="1"/>
        <s v="CI-73925855" u="1"/>
        <s v="CI-73926135" u="1"/>
        <s v="CI-73926675" u="1"/>
        <s v="CI-73922746" u="1"/>
        <s v="CI-73925471" u="1"/>
        <s v="CI-73921784" u="1"/>
        <s v="CI-73916138" u="1"/>
        <s v="CI-73894209" u="1"/>
        <s v="CI-73911355" u="1"/>
        <s v="CI-73904985" u="1"/>
        <s v="CI-73355347" u="1"/>
        <s v="CI-73295342" u="1"/>
        <s v="CI-72253976" u="1"/>
        <s v="CI-73258094" u="1"/>
        <s v="CI-73273684" u="1"/>
        <s v="CI-73275802" u="1"/>
        <s v="CI-73265567" u="1"/>
        <s v="CI-73258342" u="1"/>
        <s v="CI-73281142" u="1"/>
        <s v="CI-73291172" u="1"/>
        <s v="CI-73295630" u="1"/>
        <s v="CI-74872315" u="1"/>
        <s v="CI-72454573" u="1"/>
        <s v="CI-71181715" u="1"/>
        <s v="CI-71174850" u="1"/>
        <s v="CI-71055306" u="1"/>
        <s v="CI-71057079" u="1"/>
        <s v="CI-71181574" u="1"/>
        <s v="CI-71069917" u="1"/>
        <s v="CI-71160651" u="1"/>
        <s v="CI-71079569" u="1"/>
        <s v="CI-73380549" u="1"/>
        <s v="CI-73087736" u="1"/>
        <s v="CI-73332232" u="1"/>
        <s v="CI-74330947" u="1"/>
        <s v="CI-74469312" u="1"/>
        <s v="CI-74418266" u="1"/>
        <s v="CI-74467192" u="1"/>
        <s v="CI-74474494" u="1"/>
        <s v="CI-74352706" u="1"/>
        <s v="CI-74419806" u="1"/>
        <s v="CI-74402007" u="1"/>
        <s v="CI-73950292" u="1"/>
        <s v="CI-73028190" u="1"/>
        <s v="CI-73320726" u="1"/>
        <s v="CI-73431878" u="1"/>
        <s v="CI-73403616" u="1"/>
        <s v="CI-73469243" u="1"/>
        <s v="CI-73522237" u="1"/>
        <s v="CI-73411469" u="1"/>
        <s v="CI-73319597" u="1"/>
        <s v="CI-73302845" u="1"/>
        <s v="CI-73183517" u="1"/>
        <s v="CI-73458060" u="1"/>
        <s v="CI-73172490" u="1"/>
        <s v="CI-73233023" u="1"/>
        <s v="CI-73292626" u="1"/>
        <s v="CI-73439949" u="1"/>
        <s v="CI-73464662" u="1"/>
        <s v="CI-73513641" u="1"/>
        <s v="CI-73353779" u="1"/>
        <s v="CI-73170904" u="1"/>
        <s v="CI-73483251" u="1"/>
        <s v="CI-73276846" u="1"/>
        <s v="CI-73478557" u="1"/>
        <s v="CI-73482132" u="1"/>
        <s v="CI-73499038" u="1"/>
        <s v="CI-73466459" u="1"/>
        <s v="CI-73446351" u="1"/>
        <s v="CI-73439674" u="1"/>
        <s v="CI-73430434" u="1"/>
        <s v="CI-73372502" u="1"/>
        <s v="CI-73832780" u="1"/>
        <s v="CI-73407099" u="1"/>
        <s v="CI-73444967" u="1"/>
        <s v="CI-73047118" u="1"/>
        <s v="CI-73132535" u="1"/>
        <s v="CI-73388635" u="1"/>
        <s v="CI-73395713" u="1"/>
        <s v="CI-73213797" u="1"/>
        <s v="CI-73394317" u="1"/>
        <s v="CI-73479165" u="1"/>
        <s v="CI-73400370" u="1"/>
        <s v="CI-73503735" u="1"/>
        <s v="CI-73420250" u="1"/>
        <s v="CI-73028100" u="1"/>
        <s v="CI-73476499" u="1"/>
        <s v="CI-73451098" u="1"/>
        <s v="CI-73459972" u="1"/>
        <s v="CI-73222869" u="1"/>
        <s v="CI-72536490" u="1"/>
        <s v="CI-72620594" u="1"/>
        <s v="CI-72821259" u="1"/>
        <s v="CI-72970590" u="1"/>
        <s v="CI-72539369" u="1"/>
        <s v="CI-72751745" u="1"/>
        <s v="CI-72499919" u="1"/>
        <s v="CI-72914178" u="1"/>
        <s v="CI-72711262" u="1"/>
        <s v="CI-72178593" u="1"/>
        <s v="CI-72131783" u="1"/>
        <s v="CI-71725818" u="1"/>
        <s v="CI-71057016" u="1"/>
        <s v="CI-71084679" u="1"/>
        <s v="CI-71192353" u="1"/>
        <s v="CI-71137780" u="1"/>
        <s v="CI-71238315" u="1"/>
        <s v="CI-63978365" u="1"/>
        <s v="CI-73299637" u="1"/>
        <s v="CI-74352936" u="1"/>
        <s v="CI-74369966" u="1"/>
        <s v="CI-74322563" u="1"/>
        <s v="CI-74401070" u="1"/>
        <s v="CI-74365172" u="1"/>
        <s v="CI-74341905" u="1"/>
        <s v="CI-74197211" u="1"/>
        <s v="CI-74405796" u="1"/>
        <s v="CI-74460383" u="1"/>
        <s v="CI-74111342" u="1"/>
        <s v="CI-73482936" u="1"/>
        <s v="CI-73369234" u="1"/>
        <s v="CI-73273392" u="1"/>
        <s v="CI-73450820" u="1"/>
        <s v="CI-73350649" u="1"/>
        <s v="CI-73367242" u="1"/>
        <s v="CI-73514193" u="1"/>
        <s v="CI-73229328" u="1"/>
        <s v="CI-73460138" u="1"/>
        <s v="CI-73367724" u="1"/>
        <s v="CI-73072142" u="1"/>
        <s v="CI-73689987" u="1"/>
        <s v="CI-73401752" u="1"/>
        <s v="CI-73250362" u="1"/>
        <s v="CI-73351204" u="1"/>
        <s v="CI-73507842" u="1"/>
        <s v="CI-73318300" u="1"/>
        <s v="CI-73292719" u="1"/>
        <s v="CI-73453536" u="1"/>
        <s v="CI-73506418" u="1"/>
        <s v="CI-73253243" u="1"/>
        <s v="CI-73177374" u="1"/>
        <s v="CI-73262220" u="1"/>
        <s v="CI-73294939" u="1"/>
        <s v="CI-73510407" u="1"/>
        <s v="CI-73210230" u="1"/>
        <s v="CI-73193149" u="1"/>
        <s v="CI-73273382" u="1"/>
        <s v="CI-73036030" u="1"/>
        <s v="CI-73320297" u="1"/>
        <s v="CI-73078148" u="1"/>
        <s v="CI-73331258" u="1"/>
        <s v="CI-73267122" u="1"/>
        <s v="CI-73294037" u="1"/>
        <s v="CI-73483077" u="1"/>
        <s v="CI-73284994" u="1"/>
        <s v="CI-73178969" u="1"/>
        <s v="CI-73171586" u="1"/>
        <s v="CI-73285889" u="1"/>
        <s v="CI-73167036" u="1"/>
        <s v="CI-73398993" u="1"/>
        <s v="CI-73166401" u="1"/>
        <s v="CI-73397899" u="1"/>
        <s v="CI-73404633" u="1"/>
        <s v="CI-73057798" u="1"/>
        <s v="CI-73494033" u="1"/>
        <s v="CI-73386139" u="1"/>
        <s v="CI-74040181" u="1"/>
        <s v="CI-73263873" u="1"/>
        <s v="CI-73397261" u="1"/>
        <s v="CI-73461591" u="1"/>
        <s v="CI-73375629" u="1"/>
        <s v="CI-73267179" u="1"/>
        <s v="CI-73375651" u="1"/>
        <s v="CI-73463136" u="1"/>
        <s v="CI-73510365" u="1"/>
        <s v="CI-73412237" u="1"/>
        <s v="CI-73375457" u="1"/>
        <s v="CI-74014037" u="1"/>
        <s v="CI-72953761" u="1"/>
        <s v="CI-72883966" u="1"/>
        <s v="CI-72701742" u="1"/>
        <s v="CI-73012268" u="1"/>
        <s v="CI-72685252" u="1"/>
        <s v="CI-72786888" u="1"/>
        <s v="CI-72796999" u="1"/>
        <s v="CI-72945176" u="1"/>
        <s v="CI-72289452" u="1"/>
        <s v="CI-72928712" u="1"/>
        <s v="CI-72929798" u="1"/>
        <s v="CI-72789245" u="1"/>
        <s v="CI-73021187" u="1"/>
        <s v="CI-72389372" u="1"/>
        <s v="CI-72726631" u="1"/>
        <s v="CI-73066134" u="1"/>
        <s v="CI-72658395" u="1"/>
        <s v="CI-72764602" u="1"/>
        <s v="CI-73099005" u="1"/>
        <s v="CI-72869286" u="1"/>
        <s v="CI-71700229" u="1"/>
        <s v="CI-71831746" u="1"/>
        <s v="CI-71830306" u="1"/>
        <s v="CI-71905405" u="1"/>
        <s v="CI-71729066" u="1"/>
        <s v="CI-72089977" u="1"/>
        <s v="CI-71976804" u="1"/>
        <s v="CI-70871761" u="1"/>
        <s v="CI-71195020" u="1"/>
        <s v="CI-70794750" u="1"/>
        <s v="CI-70893014" u="1"/>
        <s v="CI-70934539" u="1"/>
        <s v="CI-70910015" u="1"/>
        <s v="CI-70885557" u="1"/>
        <s v="CI-70136421" u="1"/>
        <s v="CI-74396855" u="1"/>
        <s v="CI-74350522" u="1"/>
        <s v="CI-74391533" u="1"/>
        <s v="CI-74344727" u="1"/>
        <s v="CI-74341922" u="1"/>
        <s v="CI-74363944" u="1"/>
        <s v="CI-74278749" u="1"/>
        <s v="CI-74217037" u="1"/>
        <s v="CI-74235674" u="1"/>
        <s v="CI-74234936" u="1"/>
        <s v="CI-74200408" u="1"/>
        <s v="CI-74342901" u="1"/>
        <s v="CI-74266359" u="1"/>
        <s v="CI-74428379" u="1"/>
        <s v="CI-74442802" u="1"/>
        <s v="CI-74429979" u="1"/>
        <s v="CI-74392666" u="1"/>
        <s v="CI-74443520" u="1"/>
        <s v="CI-74430119" u="1"/>
        <s v="CI-74434983" u="1"/>
        <s v="CI-74344676" u="1"/>
        <s v="CI-74471859" u="1"/>
        <s v="CI-74471868" u="1"/>
        <s v="CI-74432806" u="1"/>
        <s v="CI-74442863" u="1"/>
        <s v="CI-74110315" u="1"/>
        <s v="CI-74034364" u="1"/>
        <s v="CI-74099517" u="1"/>
        <s v="CI-74105703" u="1"/>
        <s v="CI-74119991" u="1"/>
        <s v="CI-74056911" u="1"/>
        <s v="CI-74011424" u="1"/>
        <s v="CI-74015024" u="1"/>
        <s v="CI-73840727" u="1"/>
        <s v="CI-73767894" u="1"/>
        <s v="CI-73853592" u="1"/>
        <s v="CI-73861934" u="1"/>
        <s v="CI-73946432" u="1"/>
        <s v="CI-73931647" u="1"/>
        <s v="CI-73767924" u="1"/>
        <s v="CI-73768150" u="1"/>
        <s v="CI-73757698" u="1"/>
        <s v="CI-73863385" u="1"/>
        <s v="CI-73768574" u="1"/>
        <s v="CI-73886773" u="1"/>
        <s v="CI-73406868" u="1"/>
        <s v="CI-73434341" u="1"/>
        <s v="CI-73970667" u="1"/>
        <s v="CI-73433742" u="1"/>
        <s v="CI-73402547" u="1"/>
        <s v="CI-73282438" u="1"/>
        <s v="CI-73302634" u="1"/>
        <s v="CI-73379010" u="1"/>
        <s v="CI-73392362" u="1"/>
        <s v="CI-73317768" u="1"/>
        <s v="CI-73112982" u="1"/>
        <s v="CI-73367195" u="1"/>
        <s v="CI-73276955" u="1"/>
        <s v="CI-73286030" u="1"/>
        <s v="CI-73198416" u="1"/>
        <s v="CI-73318609" u="1"/>
        <s v="CI-73296744" u="1"/>
        <s v="CI-73219268" u="1"/>
        <s v="CI-73352449" u="1"/>
        <s v="CI-73233084" u="1"/>
        <s v="CI-73461436" u="1"/>
        <s v="CI-73300518" u="1"/>
        <s v="CI-73233725" u="1"/>
        <s v="CI-73185747" u="1"/>
        <s v="CI-73072164" u="1"/>
        <s v="CI-73293318" u="1"/>
        <s v="CI-73155361" u="1"/>
        <s v="CI-73426416" u="1"/>
        <s v="CI-73427953" u="1"/>
        <s v="CI-73404670" u="1"/>
        <s v="CI-73454128" u="1"/>
        <s v="CI-73280345" u="1"/>
        <s v="CI-73279746" u="1"/>
        <s v="CI-73349695" u="1"/>
        <s v="CI-73157142" u="1"/>
        <s v="CI-73341035" u="1"/>
        <s v="CI-73232137" u="1"/>
        <s v="CI-73215652" u="1"/>
        <s v="CI-73411225" u="1"/>
        <s v="CI-73471741" u="1"/>
        <s v="CI-73685880" u="1"/>
        <s v="CI-73137342" u="1"/>
        <s v="CI-73295396" u="1"/>
        <s v="CI-73507075" u="1"/>
        <s v="CI-73227266" u="1"/>
        <s v="CI-73341331" u="1"/>
        <s v="CI-73401319" u="1"/>
        <s v="CI-73379190" u="1"/>
        <s v="CI-73356096" u="1"/>
        <s v="CI-73228920" u="1"/>
        <s v="CI-73451305" u="1"/>
        <s v="CI-73447148" u="1"/>
        <s v="CI-73397181" u="1"/>
        <s v="CI-73398310" u="1"/>
        <s v="CI-73448069" u="1"/>
        <s v="CI-73004096" u="1"/>
        <s v="CI-73509765" u="1"/>
        <s v="CI-73328571" u="1"/>
        <s v="CI-73502465" u="1"/>
        <s v="CI-73444923" u="1"/>
        <s v="CI-73401642" u="1"/>
        <s v="CI-73091623" u="1"/>
        <s v="CI-73232674" u="1"/>
        <s v="CI-73553561" u="1"/>
        <s v="CI-73374784" u="1"/>
        <s v="CI-73396496" u="1"/>
        <s v="CI-73303551" u="1"/>
        <s v="CI-73168952" u="1"/>
        <s v="CI-73315245" u="1"/>
        <s v="CI-73699524" u="1"/>
        <s v="CI-73510520" u="1"/>
        <s v="CI-73424636" u="1"/>
        <s v="CI-73510428" u="1"/>
        <s v="CI-73498969" u="1"/>
        <s v="CI-73583091" u="1"/>
        <s v="CI-73380335" u="1"/>
        <s v="CI-73154864" u="1"/>
        <s v="CI-73389681" u="1"/>
        <s v="CI-73187920" u="1"/>
        <s v="CI-73439080" u="1"/>
        <s v="CI-73266851" u="1"/>
        <s v="CI-73439769" u="1"/>
        <s v="CI-73407033" u="1"/>
        <s v="CI-73397214" u="1"/>
        <s v="CI-73410952" u="1"/>
        <s v="CI-73003207" u="1"/>
        <s v="CI-73482744" u="1"/>
        <s v="CI-73213852" u="1"/>
        <s v="CI-73254503" u="1"/>
        <s v="CI-73407337" u="1"/>
        <s v="CI-73157766" u="1"/>
        <s v="CI-73054658" u="1"/>
        <s v="CI-73294537" u="1"/>
        <s v="CI-73418587" u="1"/>
        <s v="CI-73212079" u="1"/>
        <s v="CI-73507023" u="1"/>
        <s v="CI-73507300" u="1"/>
        <s v="CI-73192560" u="1"/>
        <s v="CI-73370306" u="1"/>
        <s v="CI-73732093" u="1"/>
        <s v="CI-73362344" u="1"/>
        <s v="CI-73313812" u="1"/>
        <s v="CI-73268800" u="1"/>
        <s v="CI-73160079" u="1"/>
        <s v="CI-73359260" u="1"/>
        <s v="CI-73408477" u="1"/>
        <s v="CI-73208958" u="1"/>
        <s v="CI-73350540" u="1"/>
        <s v="CI-73004216" u="1"/>
        <s v="CI-73359601" u="1"/>
        <s v="CI-73407470" u="1"/>
        <s v="CI-73250947" u="1"/>
        <s v="CI-73475432" u="1"/>
        <s v="CI-73334888" u="1"/>
        <s v="CI-73448741" u="1"/>
        <s v="CI-73442806" u="1"/>
        <s v="CI-73404959" u="1"/>
        <s v="CI-73185578" u="1"/>
        <s v="CI-73293686" u="1"/>
        <s v="CI-73404676" u="1"/>
        <s v="CI-73407178" u="1"/>
        <s v="CI-73351397" u="1"/>
        <s v="CI-73296331" u="1"/>
        <s v="CI-73188875" u="1"/>
        <s v="CI-73509946" u="1"/>
        <s v="CI-73383774" u="1"/>
        <s v="CI-73194849" u="1"/>
        <s v="CI-73437432" u="1"/>
        <s v="CI-73333232" u="1"/>
        <s v="CI-73154826" u="1"/>
        <s v="CI-73389189" u="1"/>
        <s v="CI-73281690" u="1"/>
        <s v="CI-73514846" u="1"/>
        <s v="CI-73336496" u="1"/>
        <s v="CI-73168913" u="1"/>
        <s v="CI-73366193" u="1"/>
        <s v="CI-73065380" u="1"/>
        <s v="CI-73512273" u="1"/>
        <s v="CI-73165745" u="1"/>
        <s v="CI-73344571" u="1"/>
        <s v="CI-73374369" u="1"/>
        <s v="CI-73252100" u="1"/>
        <s v="CI-73362758" u="1"/>
        <s v="CI-73123634" u="1"/>
        <s v="CI-73683859" u="1"/>
        <s v="CI-73276675" u="1"/>
        <s v="CI-73397493" u="1"/>
        <s v="CI-73163384" u="1"/>
        <s v="CI-73433641" u="1"/>
        <s v="CI-73431262" u="1"/>
        <s v="CI-73516400" u="1"/>
        <s v="CI-73405788" u="1"/>
        <s v="CI-73363885" u="1"/>
        <s v="CI-73147840" u="1"/>
        <s v="CI-73413979" u="1"/>
        <s v="CI-73140642" u="1"/>
        <s v="CI-73503957" u="1"/>
        <s v="CI-73004112" u="1"/>
        <s v="CI-73401241" u="1"/>
        <s v="CI-73362200" u="1"/>
        <s v="CI-73475335" u="1"/>
        <s v="CI-73228362" u="1"/>
        <s v="CI-73297079" u="1"/>
        <s v="CI-73460493" u="1"/>
        <s v="CI-73211682" u="1"/>
        <s v="CI-73378381" u="1"/>
        <s v="CI-73339670" u="1"/>
        <s v="CI-73435335" u="1"/>
        <s v="CI-73002105" u="1"/>
        <s v="CI-73482925" u="1"/>
        <s v="CI-73463102" u="1"/>
        <s v="CI-73505466" u="1"/>
        <s v="CI-73447012" u="1"/>
        <s v="CI-73444239" u="1"/>
        <s v="CI-73004637" u="1"/>
        <s v="CI-73359419" u="1"/>
        <s v="CI-73360345" u="1"/>
        <s v="CI-73685505" u="1"/>
        <s v="CI-73151634" u="1"/>
        <s v="CI-73436029" u="1"/>
        <s v="CI-73389533" u="1"/>
        <s v="CI-73413531" u="1"/>
        <s v="CI-73441394" u="1"/>
        <s v="CI-73461582" u="1"/>
        <s v="CI-73476664" u="1"/>
        <s v="CI-73461497" u="1"/>
        <s v="CI-73381991" u="1"/>
        <s v="CI-73486984" u="1"/>
        <s v="CI-73498230" u="1"/>
        <s v="CI-73263149" u="1"/>
        <s v="CI-73496005" u="1"/>
        <s v="CI-72847452" u="1"/>
        <s v="CI-72824917" u="1"/>
        <s v="CI-72930168" u="1"/>
        <s v="CI-72696287" u="1"/>
        <s v="CI-72578078" u="1"/>
        <s v="CI-72967322" u="1"/>
        <s v="CI-72817853" u="1"/>
        <s v="CI-73225966" u="1"/>
        <s v="CI-72931027" u="1"/>
        <s v="CI-73001605" u="1"/>
        <s v="CI-72993596" u="1"/>
        <s v="CI-72824469" u="1"/>
        <s v="CI-73216111" u="1"/>
        <s v="CI-72563110" u="1"/>
        <s v="CI-72454475" u="1"/>
        <s v="CI-72572970" u="1"/>
        <s v="CI-72704493" u="1"/>
        <s v="CI-72900016" u="1"/>
        <s v="CI-72749026" u="1"/>
        <s v="CI-72562409" u="1"/>
        <s v="CI-72880091" u="1"/>
        <s v="CI-72532820" u="1"/>
        <s v="CI-72886533" u="1"/>
        <s v="CI-72743621" u="1"/>
        <s v="CI-72887332" u="1"/>
        <s v="CI-72964412" u="1"/>
        <s v="CI-72688972" u="1"/>
        <s v="CI-72454559" u="1"/>
        <s v="CI-72328966" u="1"/>
        <s v="CI-72722860" u="1"/>
        <s v="CI-72902997" u="1"/>
        <s v="CI-72630057" u="1"/>
        <s v="CI-72924150" u="1"/>
        <s v="CI-72490899" u="1"/>
        <s v="CI-72817889" u="1"/>
        <s v="CI-72939209" u="1"/>
        <s v="CI-72789492" u="1"/>
        <s v="CI-72824835" u="1"/>
        <s v="CI-72824515" u="1"/>
        <s v="CI-72619859" u="1"/>
        <s v="CI-72825837" u="1"/>
        <s v="CI-72682685" u="1"/>
        <s v="CI-72817868" u="1"/>
        <s v="CI-74440021" u="1"/>
        <s v="CI-72726950" u="1"/>
        <s v="CI-72892633" u="1"/>
        <s v="CI-72561963" u="1"/>
        <s v="CI-72680082" u="1"/>
        <s v="CI-73050444" u="1"/>
        <s v="CI-72875553" u="1"/>
        <s v="CI-72797062" u="1"/>
        <s v="CI-72762936" u="1"/>
        <s v="CI-73000450" u="1"/>
        <s v="CI-72817855" u="1"/>
        <s v="CI-72668440" u="1"/>
        <s v="CI-72561713" u="1"/>
        <s v="CI-73047269" u="1"/>
        <s v="CI-72973093" u="1"/>
        <s v="CI-72808184" u="1"/>
        <s v="CI-72817936" u="1"/>
        <s v="CI-72536637" u="1"/>
        <s v="CI-72358134" u="1"/>
        <s v="CI-72692136" u="1"/>
        <s v="CI-72978833" u="1"/>
        <s v="CI-72727407" u="1"/>
        <s v="CI-72678075" u="1"/>
        <s v="CI-72567408" u="1"/>
        <s v="CI-72895263" u="1"/>
        <s v="CI-72680531" u="1"/>
        <s v="CI-72812156" u="1"/>
        <s v="CI-71962996" u="1"/>
        <s v="CI-72189908" u="1"/>
        <s v="CI-71915501" u="1"/>
        <s v="CI-72179756" u="1"/>
        <s v="CI-71684789" u="1"/>
        <s v="CI-71903077" u="1"/>
        <s v="CI-71713295" u="1"/>
        <s v="CI-72156168" u="1"/>
        <s v="CI-72230985" u="1"/>
        <s v="CI-71249855" u="1"/>
        <s v="CI-71271849" u="1"/>
        <s v="CI-70710192" u="1"/>
        <s v="CI-70663204" u="1"/>
        <s v="CI-70802430" u="1"/>
        <s v="CI-70813966" u="1"/>
        <s v="CI-70438468" u="1"/>
        <s v="CI-70539120" u="1"/>
        <s v="CI-71232670" u="1"/>
        <s v="CI-70601488" u="1"/>
        <s v="CI-70281124" u="1"/>
        <s v="CI-71496227" u="1"/>
        <s v="CI-69915595" u="1"/>
        <s v="CI-74716974" u="1"/>
        <s v="CI-74608233" u="1"/>
        <s v="CI-74550932" u="1"/>
        <s v="CI-74745054" u="1"/>
        <s v="CI-74697062" u="1"/>
        <s v="CI-74774629" u="1"/>
        <s v="CI-74629305" u="1"/>
        <s v="CI-73828470" u="1"/>
        <s v="CI-73666110" u="1"/>
        <s v="CI-73412252" u="1"/>
        <s v="CI-73599108" u="1"/>
        <s v="CI-73703455" u="1"/>
        <s v="CI-73691591" u="1"/>
        <s v="CI-73691767" u="1"/>
        <s v="CI-73789620" u="1"/>
        <s v="CI-73839879" u="1"/>
        <s v="CI-73685716" u="1"/>
        <s v="CI-73585526" u="1"/>
        <s v="CI-73698708" u="1"/>
        <s v="CI-73637848" u="1"/>
        <s v="CI-73578741" u="1"/>
        <s v="CI-73859842" u="1"/>
        <s v="CI-73569664" u="1"/>
        <s v="CI-73577626" u="1"/>
        <s v="CI-73855784" u="1"/>
        <s v="CI-73879774" u="1"/>
        <s v="CI-73851279" u="1"/>
        <s v="CI-73831716" u="1"/>
        <s v="CI-73689146" u="1"/>
        <s v="CI-73590695" u="1"/>
        <s v="CI-73766803" u="1"/>
        <s v="CI-74592944" u="1"/>
        <s v="CI-73684588" u="1"/>
        <s v="CI-73585267" u="1"/>
        <s v="CI-73549102" u="1"/>
        <s v="CI-73580425" u="1"/>
        <s v="CI-73752773" u="1"/>
        <s v="CI-73704299" u="1"/>
        <s v="CI-73569592" u="1"/>
        <s v="CI-73765758" u="1"/>
        <s v="CI-73723643" u="1"/>
        <s v="CI-73858310" u="1"/>
        <s v="CI-73848242" u="1"/>
        <s v="CI-73854701" u="1"/>
        <s v="CI-73687077" u="1"/>
        <s v="CI-73567188" u="1"/>
        <s v="CI-73690410" u="1"/>
        <s v="CI-73566543" u="1"/>
        <s v="CI-73416284" u="1"/>
        <s v="CI-73854859" u="1"/>
        <s v="CI-73749294" u="1"/>
        <s v="CI-73806983" u="1"/>
        <s v="CI-73416358" u="1"/>
        <s v="CI-73704151" u="1"/>
        <s v="CI-73737817" u="1"/>
        <s v="CI-73701981" u="1"/>
        <s v="CI-73720298" u="1"/>
        <s v="CI-73670629" u="1"/>
        <s v="CI-73882676" u="1"/>
        <s v="CI-73691601" u="1"/>
        <s v="CI-73879478" u="1"/>
        <s v="CI-73723662" u="1"/>
        <s v="CI-73855605" u="1"/>
        <s v="CI-73835221" u="1"/>
        <s v="CI-73887630" u="1"/>
        <s v="CI-73579642" u="1"/>
        <s v="CI-73758801" u="1"/>
        <s v="CI-73691356" u="1"/>
        <s v="CI-73710684" u="1"/>
        <s v="CI-73871935" u="1"/>
        <s v="CI-73768151" u="1"/>
        <s v="CI-73425540" u="1"/>
        <s v="CI-73618584" u="1"/>
        <s v="CI-73847099" u="1"/>
        <s v="CI-73724747" u="1"/>
        <s v="CI-73804306" u="1"/>
        <s v="CI-73523027" u="1"/>
        <s v="CI-73517542" u="1"/>
        <s v="CI-73533962" u="1"/>
        <s v="CI-73636238" u="1"/>
        <s v="CI-73804309" u="1"/>
        <s v="CI-73728126" u="1"/>
        <s v="CI-73842971" u="1"/>
        <s v="CI-73536674" u="1"/>
        <s v="CI-74735777" u="1"/>
        <s v="CI-72888525" u="1"/>
        <s v="CI-72621837" u="1"/>
        <s v="CI-72889423" u="1"/>
        <s v="CI-73286117" u="1"/>
        <s v="CI-73120477" u="1"/>
        <s v="CI-73262728" u="1"/>
        <s v="CI-72621621" u="1"/>
        <s v="CI-72620565" u="1"/>
        <s v="CI-72621293" u="1"/>
        <s v="CI-72615720" u="1"/>
        <s v="CI-72580035" u="1"/>
        <s v="CI-72611419" u="1"/>
        <s v="CI-72621560" u="1"/>
        <s v="CI-72590128" u="1"/>
        <s v="CI-72621614" u="1"/>
        <s v="CI-72621522" u="1"/>
        <s v="CI-72577323" u="1"/>
        <s v="CI-72598453" u="1"/>
        <s v="CI-72621611" u="1"/>
        <s v="CI-72588405" u="1"/>
        <s v="CI-69925032" u="1"/>
        <s v="CI-72659571" u="1"/>
        <s v="CI-72670177" u="1"/>
        <s v="CI-72876319" u="1"/>
        <s v="CI-72657973" u="1"/>
        <s v="CI-72876306" u="1"/>
        <s v="CI-72876347" u="1"/>
        <s v="CI-72664640" u="1"/>
        <s v="CI-72876382" u="1"/>
        <s v="CI-72876357" u="1"/>
        <s v="CI-72559439" u="1"/>
        <s v="CI-72976740" u="1"/>
        <s v="CI-72668387" u="1"/>
        <s v="CI-72414815" u="1"/>
        <s v="CI-72526526" u="1"/>
        <s v="CI-72820948" u="1"/>
        <s v="CI-72883982" u="1"/>
        <s v="CI-72977814" u="1"/>
        <s v="CI-72939951" u="1"/>
        <s v="CI-72867171" u="1"/>
        <s v="CI-72792554" u="1"/>
        <s v="CI-72496549" u="1"/>
        <s v="CI-72878085" u="1"/>
        <s v="CI-72883561" u="1"/>
        <s v="CI-72947924" u="1"/>
        <s v="CI-72884103" u="1"/>
        <s v="CI-72883716" u="1"/>
        <s v="CI-72976791" u="1"/>
        <s v="CI-72487103" u="1"/>
        <s v="CI-72488157" u="1"/>
        <s v="CI-72884092" u="1"/>
        <s v="CI-72976709" u="1"/>
        <s v="CI-72878363" u="1"/>
        <s v="CI-72962691" u="1"/>
        <s v="CI-72791414" u="1"/>
        <s v="CI-72883986" u="1"/>
        <s v="CI-72958488" u="1"/>
        <s v="CI-72562273" u="1"/>
        <s v="CI-71864955" u="1"/>
        <s v="CI-71863593" u="1"/>
        <s v="CI-71613859" u="1"/>
        <s v="CI-71844763" u="1"/>
        <s v="CI-72137032" u="1"/>
        <s v="CI-72882934" u="1"/>
      </sharedItems>
    </cacheField>
    <cacheField name="External Inquiry ID" numFmtId="0">
      <sharedItems containsBlank="1" containsMixedTypes="1" containsNumber="1" containsInteger="1" minValue="2026105380540" maxValue="2026218920048"/>
    </cacheField>
    <cacheField name="Urgency" numFmtId="0">
      <sharedItems containsString="0" containsBlank="1" containsNumber="1" containsInteger="1" minValue="30" maxValue="100"/>
    </cacheField>
    <cacheField name="Total Age" numFmtId="0">
      <sharedItems containsString="0" containsBlank="1" containsNumber="1" containsInteger="1" minValue="13" maxValue="113"/>
    </cacheField>
    <cacheField name="Age" numFmtId="0">
      <sharedItems containsBlank="1"/>
    </cacheField>
    <cacheField name="Receipt" numFmtId="0">
      <sharedItems containsBlank="1"/>
    </cacheField>
    <cacheField name="Domain" numFmtId="0">
      <sharedItems containsBlank="1" containsMixedTypes="1" containsNumber="1" containsInteger="1" minValue="0" maxValue="0"/>
    </cacheField>
    <cacheField name="Manager" numFmtId="0">
      <sharedItems containsBlank="1" containsMixedTypes="1" containsNumber="1" containsInteger="1" minValue="7" maxValue="8" count="8">
        <s v="Jennifer Rutor"/>
        <s v="Mickee Vergara"/>
        <s v="Brent Nido"/>
        <s v="Cash"/>
        <s v="Chernobyl Publico"/>
        <m/>
        <n v="8" u="1"/>
        <n v="7" u="1"/>
      </sharedItems>
    </cacheField>
    <cacheField name="Pended Days" numFmtId="0">
      <sharedItems containsString="0" containsBlank="1" containsNumber="1" containsInteger="1" minValue="0" maxValue="33"/>
    </cacheField>
    <cacheField name="Status2" numFmtId="0">
      <sharedItems containsBlank="1"/>
    </cacheField>
    <cacheField name="Sub-status" numFmtId="0">
      <sharedItems containsBlank="1"/>
    </cacheField>
    <cacheField name="HCID" numFmtId="0">
      <sharedItems containsBlank="1" containsMixedTypes="1" containsNumber="1" containsInteger="1" minValue="112585617" maxValue="976303445"/>
    </cacheField>
    <cacheField name="Class Code" numFmtId="0">
      <sharedItems containsBlank="1"/>
    </cacheField>
    <cacheField name="Source" numFmtId="0">
      <sharedItems containsBlank="1"/>
    </cacheField>
    <cacheField name="DCN" numFmtId="0">
      <sharedItems containsBlank="1"/>
    </cacheField>
    <cacheField name="Case number" numFmtId="0">
      <sharedItems containsBlank="1" containsMixedTypes="1" containsNumber="1" containsInteger="1" minValue="653" maxValue="721330"/>
    </cacheField>
    <cacheField name="Pended Date" numFmtId="0">
      <sharedItems containsBlank="1" containsMixedTypes="1" containsNumber="1" minValue="46216.723611111112" maxValue="46240.390277777777"/>
    </cacheField>
    <cacheField name="Inquiry specialization skill" numFmtId="0">
      <sharedItems containsBlank="1"/>
    </cacheField>
    <cacheField name="Benefit type skill" numFmtId="0">
      <sharedItems containsBlank="1"/>
    </cacheField>
    <cacheField name="Restriction type skill" numFmtId="0">
      <sharedItems containsBlank="1"/>
    </cacheField>
    <cacheField name="Group specialization skill" numFmtId="0">
      <sharedItems containsBlank="1"/>
    </cacheField>
    <cacheField name="Region type skill" numFmtId="0">
      <sharedItems containsBlank="1"/>
    </cacheField>
    <cacheField name="Item type skill" numFmtId="0">
      <sharedItems containsBlank="1"/>
    </cacheField>
    <cacheField name="Group number" numFmtId="0">
      <sharedItems containsBlank="1" containsMixedTypes="1" containsNumber="1" containsInteger="1" minValue="817500" maxValue="3006670738"/>
    </cacheField>
    <cacheField name="Provider State" numFmtId="0">
      <sharedItems containsBlank="1"/>
    </cacheField>
    <cacheField name="Tax ID" numFmtId="0">
      <sharedItems containsBlank="1" containsMixedTypes="1" containsNumber="1" containsInteger="1" minValue="10238552" maxValue="993848294"/>
    </cacheField>
    <cacheField name="Billing NPI" numFmtId="0">
      <sharedItems containsBlank="1" containsMixedTypes="1" containsNumber="1" containsInteger="1" minValue="1003867565" maxValue="1992752315"/>
    </cacheField>
    <cacheField name="Rendering NPI" numFmtId="0">
      <sharedItems containsBlank="1" containsMixedTypes="1" containsNumber="1" containsInteger="1" minValue="1003282930" maxValue="1992191019"/>
    </cacheField>
    <cacheField name="SCCF Number" numFmtId="0">
      <sharedItems containsBlank="1" containsMixedTypes="1" containsNumber="1" containsInteger="1" minValue="1.02202609203818E+16" maxValue="7.4820252521963904E+16"/>
    </cacheField>
    <cacheField name="Routed From" numFmtId="0">
      <sharedItems containsBlank="1"/>
    </cacheField>
    <cacheField name="Assigned To" numFmtId="0">
      <sharedItems containsBlank="1" count="82">
        <s v="Mary Elizabeth C Pedregoza"/>
        <s v="Jhon Calvin Idnay"/>
        <s v="Ralfh Roger Bobiles"/>
        <s v="Bernardino Dizon Jr."/>
        <s v="Ana Vanessa S Armada"/>
        <s v="Gerramae Salanguit"/>
        <s v="Angelica B Buan"/>
        <s v="Mark Ian D Ninas"/>
        <s v="Mary Joy G Miranda"/>
        <s v="Rechelle C Berida"/>
        <s v="Ronald Sydney D Alina"/>
        <s v="Jennifer R Cahilig"/>
        <s v="Jayson Dave I Espinas"/>
        <s v="Richard B Bacalso"/>
        <s v="Hilyn C Camilan"/>
        <s v="Christine P Gaviola"/>
        <s v="Jolo M Lapitan"/>
        <s v="Nesty Hope A Lagarto"/>
        <s v="Rizel A Payongayong"/>
        <s v="Virgil Joseph L Domalaoco"/>
        <s v="Renier F Pajalla"/>
        <s v="Kevin Carl D Jardiolin"/>
        <s v="Kevin Michael M Santos"/>
        <s v="Marichu D Consad"/>
        <s v="Dwena Joy D Sevilla"/>
        <s v="Eileen R Pasaraba"/>
        <s v="John Paul M Tuazon"/>
        <s v="Alvin F Fejer"/>
        <s v="Nora Karla G Dela pena"/>
        <s v="Alvin J Melgar"/>
        <s v="Ricaflor M Anninon"/>
        <s v="RANDEL ABAYARI"/>
        <s v="Ruby Rose U Tolentino"/>
        <s v="Mark Andre S Lipit"/>
        <s v="Carla Marie C Gulapa"/>
        <s v="Christine F Andayran"/>
        <s v="Allyssa Joy C Javier"/>
        <s v="Juana Marie Villamor"/>
        <s v="Maria Fe A Gacgacao"/>
        <s v="Jayson M Castro"/>
        <s v="Keano Richard Torre"/>
        <s v="Ryan E Asis"/>
        <s v="Henrico P Tan"/>
        <m/>
        <s v="Gerommel Marcelino"/>
        <s v="Edwin Romeo V Sabarre"/>
        <s v="Joan Marie C Dalida"/>
        <s v="Cedie C Abina"/>
        <s v="Rafaelito Sarion"/>
        <s v="Marvin M Niduaza"/>
        <s v="MARK ANTHONY V CUATON"/>
        <s v="KRISTIANNA MARIE C LOPEZ"/>
        <s v="Ruby Rose T Samson"/>
        <s v="Camille Pasco"/>
        <s v="Justine Kevin B Umali"/>
        <s v="Jalean G Mayo"/>
        <s v="Ma. Chona Descallar" u="1"/>
        <s v="Mary Grace J Yacat" u="1"/>
        <s v="Georgia Ann C Marquez" u="1"/>
        <s v="Lisa Lou C Terrado" u="1"/>
        <s v="Jizelle N Lacostales" u="1"/>
        <s v="Arianne Grace A Dinglas" u="1"/>
        <s v="Hennelyn M Cajandoc" u="1"/>
        <s v="Melody D La Pena" u="1"/>
        <s v="Irishlynn Reyes" u="1"/>
        <s v="Leonardo Jr. Q Aguila" u="1"/>
        <s v="Disputes_Reversal" u="1"/>
        <s v="Dianne Mystica T Tolibas-Vargas" u="1"/>
        <s v="Jolas E Bunag" u="1"/>
        <s v="Hold" u="1"/>
        <s v="Joel Cray" u="1"/>
        <s v="Marevic D Untalan" u="1"/>
        <s v="Disputes_Reversal_PREPAY" u="1"/>
        <s v="Leah R Quillope" u="1"/>
        <s v="Rovie-Ann T Fabian" u="1"/>
        <s v="GLENN C PALABRICA" u="1"/>
        <s v="Lois Adrienne C Villalon" u="1"/>
        <s v="Jonea Joy B Docot" u="1"/>
        <s v="Mary Lynn V Sabayton" u="1"/>
        <s v="Coney Liza E Merabite" u="1"/>
        <s v="Derrick Embate" u="1"/>
        <s v="Recovery_Disputes" u="1"/>
      </sharedItems>
    </cacheField>
    <cacheField name="Workgroup" numFmtId="0">
      <sharedItems containsBlank="1"/>
    </cacheField>
    <cacheField name="Inquiry Create Date" numFmtId="0">
      <sharedItems containsBlank="1"/>
    </cacheField>
    <cacheField name="Billed Amount" numFmtId="0">
      <sharedItems containsBlank="1" containsMixedTypes="1" containsNumber="1" minValue="0" maxValue="788073.4"/>
    </cacheField>
    <cacheField name="Host plan code" numFmtId="0">
      <sharedItems containsBlank="1"/>
    </cacheField>
    <cacheField name="Message Reason Code" numFmtId="0">
      <sharedItems containsBlank="1"/>
    </cacheField>
    <cacheField name="Prefix" numFmtId="0">
      <sharedItems containsBlank="1" containsMixedTypes="1" containsNumber="1" containsInteger="1" minValue="9" maxValue="994"/>
    </cacheField>
    <cacheField name="Attachment Indicator" numFmtId="0">
      <sharedItems containsBlank="1"/>
    </cacheField>
    <cacheField name="Days Since Last Touched In CIW" numFmtId="0">
      <sharedItems containsBlank="1"/>
    </cacheField>
    <cacheField name="Last Touched Date" numFmtId="14">
      <sharedItems containsNonDate="0" containsDate="1" containsString="0" containsBlank="1" minDate="2026-04-29T00:00:00" maxDate="2026-08-07T00:00:00"/>
    </cacheField>
    <cacheField name="Last Updated Operator ID" numFmtId="0">
      <sharedItems containsBlank="1"/>
    </cacheField>
    <cacheField name="Last Note" numFmtId="0">
      <sharedItems containsBlank="1" longText="1"/>
    </cacheField>
    <cacheField name="Ticket #" numFmtId="0">
      <sharedItems containsBlank="1"/>
    </cacheField>
    <cacheField name="Provider Name" numFmtId="0">
      <sharedItems containsBlank="1"/>
    </cacheField>
    <cacheField name="PDR Reason" numFmtId="0">
      <sharedItems containsBlank="1"/>
    </cacheField>
    <cacheField name="Dispute Level" numFmtId="0">
      <sharedItems containsBlank="1"/>
    </cacheField>
    <cacheField name="Due Date" numFmtId="0">
      <sharedItems containsBlank="1"/>
    </cacheField>
    <cacheField name="PDR Decision" numFmtId="0">
      <sharedItems containsBlank="1"/>
    </cacheField>
    <cacheField name="Resolved Date" numFmtId="0">
      <sharedItems containsBlank="1"/>
    </cacheField>
    <cacheField name="EXTERNAL ID" numFmtId="0">
      <sharedItems containsBlank="1"/>
    </cacheField>
    <cacheField name="Message Type" numFmtId="0">
      <sharedItems containsBlank="1"/>
    </cacheField>
    <cacheField name="Owner" numFmtId="0">
      <sharedItems containsBlank="1"/>
    </cacheField>
    <cacheField name="Home age" numFmtId="0">
      <sharedItems containsBlank="1" containsMixedTypes="1" containsNumber="1" containsInteger="1" minValue="0" maxValue="113"/>
    </cacheField>
    <cacheField name="Payor name" numFmtId="0">
      <sharedItems containsBlank="1"/>
    </cacheField>
    <cacheField name="Inquiry type" numFmtId="0">
      <sharedItems containsBlank="1"/>
    </cacheField>
    <cacheField name="Line of business" numFmtId="0">
      <sharedItems containsBlank="1"/>
    </cacheField>
    <cacheField name="Member ID" numFmtId="0">
      <sharedItems containsBlank="1" containsMixedTypes="1" containsNumber="1" containsInteger="1" minValue="1765451" maxValue="868310293"/>
    </cacheField>
    <cacheField name="Claim count" numFmtId="0">
      <sharedItems containsBlank="1"/>
    </cacheField>
    <cacheField name="Payor inquiry number" numFmtId="0">
      <sharedItems containsBlank="1"/>
    </cacheField>
    <cacheField name="Decision Outcome" numFmtId="0">
      <sharedItems containsBlank="1"/>
    </cacheField>
    <cacheField name="Intake Type" numFmtId="0">
      <sharedItems containsBlank="1"/>
    </cacheField>
    <cacheField name="Recovery Type" numFmtId="0">
      <sharedItems containsBlank="1"/>
    </cacheField>
    <cacheField name="Current Paid Amount" numFmtId="0">
      <sharedItems containsBlank="1" containsMixedTypes="1" containsNumber="1" containsInteger="1" minValue="4704" maxValue="4704"/>
    </cacheField>
    <cacheField name="Correct Paid Amount" numFmtId="0">
      <sharedItems containsBlank="1"/>
    </cacheField>
    <cacheField name="Recovery Amount" numFmtId="0">
      <sharedItems containsBlank="1"/>
    </cacheField>
    <cacheField name="ACRLetterDate" numFmtId="0">
      <sharedItems containsBlank="1"/>
    </cacheField>
    <cacheField name="AdjustedDate" numFmtId="0">
      <sharedItems containsBlank="1"/>
    </cacheField>
    <cacheField name="Disposition" numFmtId="0">
      <sharedItems containsBlank="1"/>
    </cacheField>
    <cacheField name="ReversalReason" numFmtId="0">
      <sharedItems containsBlank="1"/>
    </cacheField>
    <cacheField name="ReversalType" numFmtId="0">
      <sharedItems containsBlank="1"/>
    </cacheField>
    <cacheField name="RecoveryConceptID" numFmtId="0">
      <sharedItems containsBlank="1"/>
    </cacheField>
    <cacheField name="Workbasket received date" numFmtId="0">
      <sharedItems containsBlank="1"/>
    </cacheField>
    <cacheField name="Workbasket age" numFmtId="0">
      <sharedItems containsBlank="1"/>
    </cacheField>
    <cacheField name="OwnershipChangeDate" numFmtId="0">
      <sharedItems containsBlank="1"/>
    </cacheField>
    <cacheField name="Column1" numFmtId="14">
      <sharedItems containsNonDate="0" containsDate="1" containsString="0" containsBlank="1" minDate="2026-08-06T00:00:00" maxDate="2026-08-07T00:00:00"/>
    </cacheField>
  </cacheFields>
  <extLst>
    <ext xmlns:x14="http://schemas.microsoft.com/office/spreadsheetml/2009/9/main" uri="{725AE2AE-9491-48be-B2B4-4EB974FC3084}">
      <x14:pivotCacheDefinition pivotCacheId="712566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x v="0"/>
    <s v="SME sent 3rd follow up email. Awaiting PA response 8/5/2026"/>
    <x v="0"/>
    <x v="0"/>
    <x v="0"/>
    <s v="2026129840341"/>
    <n v="40"/>
    <n v="31"/>
    <s v="31-45 DAYS"/>
    <s v="CI-74813377"/>
    <s v="AH22793"/>
    <x v="0"/>
    <n v="7"/>
    <s v="Pending-Investigation"/>
    <s v="Awaiting Medical Review"/>
    <s v="0069U0084"/>
    <s v="IN"/>
    <s v="P"/>
    <s v="2025290CI5487"/>
    <s v="374610"/>
    <s v="06/01/2026 06:03 PM"/>
    <s v="IS-Dispute"/>
    <s v="BEN-CS90Kernel"/>
    <s v="RES-Unrestricted"/>
    <s v="GS-Local"/>
    <s v="REG-NY"/>
    <s v="IT-Written"/>
    <s v="37461000AM"/>
    <s v="NY"/>
    <s v="135598093"/>
    <s v="1396372157"/>
    <s v="1396372157"/>
    <s v=""/>
    <s v=""/>
    <x v="0"/>
    <s v="Recovery_Disputes"/>
    <s v="20260509T231649.000 GMT"/>
    <s v="119279"/>
    <s v=""/>
    <s v=""/>
    <s v="006"/>
    <s v="Yes"/>
    <s v="20260602T010323.000 GMT"/>
    <d v="2026-06-02T00:00:00"/>
    <s v="Mary Elizabeth C Pedregoza"/>
    <s v="Sent for PA review"/>
    <s v=""/>
    <s v="MATTHEW  SIMHON"/>
    <s v=""/>
    <s v=""/>
    <s v=""/>
    <s v=""/>
    <s v=""/>
    <s v=""/>
    <s v=""/>
    <s v="Mary Elizabeth C Pedregoza"/>
    <s v="31"/>
    <s v=""/>
    <s v=""/>
    <s v="Local"/>
    <s v="0069U0084"/>
    <s v=""/>
    <s v=""/>
    <s v=""/>
    <s v=""/>
    <s v=""/>
    <s v=""/>
    <s v=""/>
    <s v=""/>
    <s v=""/>
    <s v=""/>
    <s v=""/>
    <s v=""/>
    <s v=""/>
    <s v=""/>
    <s v=""/>
    <s v=""/>
    <s v=""/>
    <m/>
  </r>
  <r>
    <x v="0"/>
    <s v="Logged in RI tracker"/>
    <x v="1"/>
    <x v="0"/>
    <x v="1"/>
    <s v="2026132200392"/>
    <n v="40"/>
    <n v="33"/>
    <s v="31-45 DAYS"/>
    <s v="CI-74947234"/>
    <s v="AH22793"/>
    <x v="0"/>
    <n v="5"/>
    <s v="Pending-Investigation"/>
    <s v="Funding Off Outreach"/>
    <s v="887W23151"/>
    <s v="IN"/>
    <s v="P"/>
    <s v="2025189RI5513"/>
    <s v="GA6624"/>
    <s v="06/09/2026 02:43 PM"/>
    <s v="IS-Dispute"/>
    <s v="BEN-NonSpider"/>
    <s v="RES-Unrestricted"/>
    <s v="GS-Local"/>
    <s v="REG-GA"/>
    <s v="IT-Written"/>
    <s v="GA6624M013"/>
    <s v="GA"/>
    <s v="462960921"/>
    <s v="1598105983"/>
    <s v="1023174901"/>
    <s v=""/>
    <s v=""/>
    <x v="0"/>
    <s v="Recovery_Disputes"/>
    <s v="20260512T201648.000 GMT"/>
    <s v="295900"/>
    <s v=""/>
    <s v=""/>
    <s v="887"/>
    <s v="Yes"/>
    <s v="20260609T214337.000 GMT"/>
    <d v="2026-06-09T00:00:00"/>
    <s v="Mary Elizabeth C Pedregoza"/>
    <s v="Awaiting PA response"/>
    <s v=""/>
    <s v="THERESA  WANG, THERESA"/>
    <s v=""/>
    <s v=""/>
    <s v=""/>
    <s v=""/>
    <s v=""/>
    <s v=""/>
    <s v=""/>
    <s v="Mary Elizabeth C Pedregoza"/>
    <s v="33"/>
    <s v=""/>
    <s v=""/>
    <s v="Local"/>
    <s v="059704833"/>
    <s v=""/>
    <s v=""/>
    <s v=""/>
    <s v=""/>
    <s v=""/>
    <s v=""/>
    <s v=""/>
    <s v=""/>
    <s v=""/>
    <s v=""/>
    <s v=""/>
    <s v=""/>
    <s v=""/>
    <s v=""/>
    <s v=""/>
    <s v=""/>
    <s v=""/>
    <m/>
  </r>
  <r>
    <x v="0"/>
    <s v="Waiting for PA response"/>
    <x v="2"/>
    <x v="0"/>
    <x v="2"/>
    <s v="2026139870087"/>
    <n v="40"/>
    <n v="34"/>
    <s v="31-45 DAYS"/>
    <s v="CI-75259664"/>
    <s v="AG71384"/>
    <x v="0"/>
    <n v="11"/>
    <s v="Pending-Investigation"/>
    <s v="Funding Off Outreach"/>
    <s v="638M98008"/>
    <s v="IN"/>
    <s v="P"/>
    <s v="2025153DW7542"/>
    <s v="210025"/>
    <s v="06/10/2026 05:09 PM"/>
    <s v="IS-Dispute"/>
    <s v="BEN-NonSpider"/>
    <s v="RES-Unrestricted"/>
    <s v="GS-National"/>
    <s v="REG-WI"/>
    <s v="IT-Written"/>
    <s v="210025A4AC"/>
    <s v="WI"/>
    <s v="201759813"/>
    <s v="1689782427"/>
    <s v="1710510268"/>
    <s v=""/>
    <s v=""/>
    <x v="1"/>
    <s v="Recovery_Disputes"/>
    <s v="20260519T114025.000 GMT"/>
    <s v="5100"/>
    <s v=""/>
    <s v=""/>
    <s v="638"/>
    <s v="Yes"/>
    <s v="20260611T000919.000 GMT"/>
    <d v="2026-06-11T00:00:00"/>
    <s v="Jhon Calvin Idnay"/>
    <s v="Sent Email to PA"/>
    <s v=""/>
    <s v="BECKER, ALYSSA M"/>
    <s v=""/>
    <s v=""/>
    <s v=""/>
    <s v=""/>
    <s v=""/>
    <s v=""/>
    <s v=""/>
    <s v="Jhon Calvin Idnay"/>
    <s v="34"/>
    <s v=""/>
    <s v=""/>
    <s v="Local"/>
    <s v="389069980"/>
    <s v=""/>
    <s v=""/>
    <s v=""/>
    <s v=""/>
    <s v=""/>
    <s v=""/>
    <s v=""/>
    <s v=""/>
    <s v=""/>
    <s v=""/>
    <s v=""/>
    <s v=""/>
    <s v=""/>
    <s v=""/>
    <s v=""/>
    <s v=""/>
    <s v=""/>
    <m/>
  </r>
  <r>
    <x v="0"/>
    <s v="Waiting for the claim to be finalized"/>
    <x v="3"/>
    <x v="0"/>
    <x v="3"/>
    <s v="2026078000433"/>
    <n v="40"/>
    <n v="45"/>
    <s v="31-45 DAYS"/>
    <s v="CI-72333600"/>
    <s v="AI02198"/>
    <x v="1"/>
    <n v="4"/>
    <s v="Pending-Investigation"/>
    <s v="Awaiting Medical Review"/>
    <s v="329A62839"/>
    <s v="IN"/>
    <s v="P"/>
    <s v="2025045CW8275"/>
    <s v="174210"/>
    <s v="04/28/2026 09:04 PM"/>
    <s v="IS-Dispute"/>
    <s v="BEN-NonSpider"/>
    <s v="RES-Unrestricted"/>
    <s v="GS-National"/>
    <s v="REG-CA"/>
    <s v="IT-Written"/>
    <s v="174210M4A1"/>
    <s v="CA"/>
    <s v="770465765"/>
    <s v="1871543215"/>
    <s v=""/>
    <s v=""/>
    <s v=""/>
    <x v="2"/>
    <s v="Recovery_Disputes"/>
    <s v="20260319T225920.000 GMT"/>
    <s v="315957.77"/>
    <s v=""/>
    <s v=""/>
    <s v="329"/>
    <s v="Yes"/>
    <s v="20260429T040429.000 GMT"/>
    <d v="2026-04-29T00:00:00"/>
    <s v="Ralfh Roger Bobiles"/>
    <s v="Waiting for the claim to be finalized"/>
    <s v=""/>
    <s v="STANFORD MEDICAL CENTER"/>
    <s v=""/>
    <s v=""/>
    <s v=""/>
    <s v=""/>
    <s v=""/>
    <s v=""/>
    <s v=""/>
    <s v="Ralfh Roger Bobiles"/>
    <s v="45"/>
    <s v=""/>
    <s v=""/>
    <s v="Local"/>
    <s v="558065788"/>
    <s v=""/>
    <s v=""/>
    <s v=""/>
    <s v=""/>
    <s v=""/>
    <s v=""/>
    <s v=""/>
    <s v=""/>
    <s v=""/>
    <s v=""/>
    <s v=""/>
    <s v=""/>
    <s v=""/>
    <s v=""/>
    <s v=""/>
    <s v=""/>
    <s v=""/>
    <m/>
  </r>
  <r>
    <x v="0"/>
    <s v="SENT PA "/>
    <x v="4"/>
    <x v="0"/>
    <x v="4"/>
    <s v="2026097700248"/>
    <n v="40"/>
    <n v="33"/>
    <s v="31-45 DAYS"/>
    <s v="CI-73192667"/>
    <s v="AH84838"/>
    <x v="2"/>
    <n v="3"/>
    <s v="Pending-Review"/>
    <s v="Awaiting Medical Review"/>
    <s v="967M70296"/>
    <s v="IN"/>
    <s v="P"/>
    <s v="2024366DY6506"/>
    <s v="L02218"/>
    <s v="05/06/2026 09:41 PM"/>
    <s v="IS-Dispute"/>
    <s v="BEN-Spider"/>
    <s v="RES-Unrestricted"/>
    <s v="GS-Local"/>
    <s v="REG-KY"/>
    <s v="IT-Written"/>
    <s v="L02218M002"/>
    <s v="IN"/>
    <s v="461072979"/>
    <s v="1710231642"/>
    <s v=""/>
    <s v=""/>
    <s v=""/>
    <x v="3"/>
    <s v="Recovery_Disputes"/>
    <s v="20260407T152059.000 GMT"/>
    <s v="19404.32"/>
    <s v=""/>
    <s v=""/>
    <s v="967"/>
    <s v="Yes"/>
    <s v="20260507T044135.000 GMT"/>
    <d v="2026-05-07T00:00:00"/>
    <s v="Bernardino Dizon Jr."/>
    <s v="SENT PA"/>
    <s v=""/>
    <s v="ADVANCED REGIONAL SURGERY"/>
    <s v=""/>
    <s v=""/>
    <s v=""/>
    <s v=""/>
    <s v=""/>
    <s v=""/>
    <s v=""/>
    <s v="Bernardino Dizon Jr."/>
    <s v="33"/>
    <s v=""/>
    <s v="CS"/>
    <s v="Local"/>
    <s v="402458698"/>
    <s v=""/>
    <s v=""/>
    <s v=""/>
    <s v=""/>
    <s v=""/>
    <s v=""/>
    <s v=""/>
    <s v=""/>
    <s v=""/>
    <s v=""/>
    <s v=""/>
    <s v=""/>
    <s v=""/>
    <s v=""/>
    <s v=""/>
    <s v=""/>
    <s v=""/>
    <m/>
  </r>
  <r>
    <x v="0"/>
    <s v="PA responded, overturned. For reversal, need to adjust. Need to ask assistance with SME."/>
    <x v="5"/>
    <x v="0"/>
    <x v="5"/>
    <s v="2026119330563"/>
    <n v="40"/>
    <n v="35"/>
    <s v="31-45 DAYS"/>
    <s v="CI-74340488"/>
    <s v="AL69206"/>
    <x v="3"/>
    <n v="3"/>
    <s v="Pending-Investigation"/>
    <s v="Additional Research"/>
    <s v="309W01564"/>
    <s v="IN"/>
    <s v="P"/>
    <s v="2025053CJ7867"/>
    <s v="H63919"/>
    <s v="05/31/2026 03:49 PM"/>
    <s v="IS-Dispute"/>
    <s v="BEN-Spider"/>
    <s v="RES-Unrestricted"/>
    <s v="GS-ACA"/>
    <s v="REG-CONV"/>
    <s v="IT-Written"/>
    <s v="H65173"/>
    <s v="CO"/>
    <s v="840438224"/>
    <s v="1891709192"/>
    <s v=""/>
    <s v=""/>
    <s v=""/>
    <x v="4"/>
    <s v="Recovery_Intakes"/>
    <s v="20260430T023838.000 GMT"/>
    <s v="184626.86"/>
    <s v=""/>
    <s v=""/>
    <s v="309"/>
    <s v="Yes"/>
    <s v="20260531T224944.000 GMT"/>
    <d v="2026-05-31T00:00:00"/>
    <s v="GLENN C PALABRICA"/>
    <s v="MR Automation: Not eligible for MR automation due to the presense of  ,QT1 edit. Please review and process as per the guidelines."/>
    <s v=""/>
    <s v="PORTERCARE ADVENTIST HEAL"/>
    <s v=""/>
    <s v=""/>
    <s v=""/>
    <s v=""/>
    <s v=""/>
    <s v=""/>
    <s v=""/>
    <s v="GLENN C PALABRICA"/>
    <s v="35"/>
    <s v=""/>
    <s v=""/>
    <s v="Local"/>
    <s v="016688940"/>
    <s v=""/>
    <s v=""/>
    <s v=""/>
    <s v=""/>
    <s v=""/>
    <s v=""/>
    <s v=""/>
    <s v=""/>
    <s v=""/>
    <s v=""/>
    <s v=""/>
    <s v=""/>
    <s v=""/>
    <s v=""/>
    <s v=""/>
    <s v=""/>
    <s v=""/>
    <m/>
  </r>
  <r>
    <x v="0"/>
    <s v="PEND - PA"/>
    <x v="6"/>
    <x v="0"/>
    <x v="6"/>
    <s v="2026125480257"/>
    <n v="40"/>
    <n v="31"/>
    <s v="31-45 DAYS"/>
    <e v="#N/A"/>
    <s v="AG66028"/>
    <x v="1"/>
    <n v="0"/>
    <s v="Pending-Investigation"/>
    <s v="Additional Research"/>
    <s v="763W02589"/>
    <s v="IN"/>
    <s v="P"/>
    <s v="2025079DZ9459"/>
    <s v="174346"/>
    <s v="06/04/2026 07:44 AM"/>
    <s v="IS-Dispute"/>
    <s v="BEN-CS90Kernel"/>
    <s v="RES-Unrestricted"/>
    <s v="GS-Local"/>
    <s v="REG-NY"/>
    <s v="IT-Written"/>
    <s v="174346PM1M"/>
    <s v="NY"/>
    <s v="135562308"/>
    <s v="1356355119"/>
    <s v="1356355119"/>
    <s v=""/>
    <s v=""/>
    <x v="5"/>
    <s v="Recovery_Disputes"/>
    <s v="20260505T161912.000 GMT"/>
    <s v="77930"/>
    <s v=""/>
    <s v=""/>
    <s v="763"/>
    <s v="Yes"/>
    <s v="20260604T144429.000 GMT"/>
    <d v="2026-06-04T00:00:00"/>
    <s v="Gerramae Salanguit"/>
    <s v="FOR PA"/>
    <s v=""/>
    <s v="JOHN  GOLFINOS"/>
    <s v=""/>
    <s v=""/>
    <s v=""/>
    <s v=""/>
    <s v=""/>
    <s v=""/>
    <s v=""/>
    <s v="Gerramae Salanguit"/>
    <s v="30"/>
    <s v=""/>
    <s v="CS"/>
    <s v="Local"/>
    <s v="110646985"/>
    <s v=""/>
    <s v=""/>
    <s v=""/>
    <s v=""/>
    <s v=""/>
    <s v=""/>
    <s v=""/>
    <s v=""/>
    <s v=""/>
    <s v=""/>
    <s v=""/>
    <s v=""/>
    <s v=""/>
    <s v=""/>
    <s v=""/>
    <s v=""/>
    <s v=""/>
    <m/>
  </r>
  <r>
    <x v="0"/>
    <s v="Prepay Reversal FAQ"/>
    <x v="7"/>
    <x v="0"/>
    <x v="7"/>
    <s v=""/>
    <n v="40"/>
    <n v="31"/>
    <s v="31-45 DAYS"/>
    <s v="CI-74857711"/>
    <s v="AL20338"/>
    <x v="1"/>
    <n v="1"/>
    <s v="Pending-Review"/>
    <s v="Additional Research"/>
    <s v="863M54038"/>
    <s v="IN"/>
    <s v="Provider"/>
    <s v="2025231EE9114"/>
    <s v="270121"/>
    <s v="06/10/2026 12:09 AM"/>
    <s v="IS-Dispute"/>
    <s v="BEN-NonSpider"/>
    <s v="RES-Unrestricted"/>
    <s v="GS-National"/>
    <s v="REG-OH"/>
    <s v="IT-Written"/>
    <s v="2701211GA6"/>
    <s v="IN"/>
    <s v="351720796"/>
    <s v="1205860335"/>
    <s v=""/>
    <s v=""/>
    <s v=""/>
    <x v="6"/>
    <s v="Recovery_Disputes"/>
    <s v="20260511T113008.000 GMT"/>
    <s v="105542.53"/>
    <s v=""/>
    <s v=""/>
    <s v="863"/>
    <s v="Yes"/>
    <s v="20260610T070934.000 GMT"/>
    <d v="2026-06-10T00:00:00"/>
    <s v="Virgil Joseph L Domalaoco"/>
    <s v="For Further Research"/>
    <s v=""/>
    <s v="INDIANA UNIVERSITY HEALTH"/>
    <s v=""/>
    <s v=""/>
    <s v=""/>
    <s v=""/>
    <s v=""/>
    <s v=""/>
    <s v=""/>
    <s v="Virgil Joseph L Domalaoco"/>
    <s v="31"/>
    <s v=""/>
    <s v="CS"/>
    <s v="Local"/>
    <s v="304922169"/>
    <s v=""/>
    <s v=""/>
    <s v=""/>
    <s v=""/>
    <s v=""/>
    <s v=""/>
    <s v=""/>
    <s v=""/>
    <s v=""/>
    <s v=""/>
    <s v=""/>
    <s v=""/>
    <s v=""/>
    <s v=""/>
    <s v=""/>
    <s v=""/>
    <s v=""/>
    <m/>
  </r>
  <r>
    <x v="0"/>
    <s v="Still waiting for a review by PA team"/>
    <x v="5"/>
    <x v="0"/>
    <x v="8"/>
    <s v="2026122960163"/>
    <n v="40"/>
    <n v="32"/>
    <s v="31-45 DAYS"/>
    <s v="CI-74472929"/>
    <s v="AH60028"/>
    <x v="2"/>
    <n v="1"/>
    <s v="Pending-Investigation"/>
    <s v="Additional Research"/>
    <s v="238M55967"/>
    <s v="IN"/>
    <s v="P"/>
    <s v="2025233EZ3190"/>
    <s v="IN2000"/>
    <s v="06/02/2026 12:22 AM"/>
    <s v="IS-Dispute"/>
    <s v="BEN-Spider"/>
    <s v="RES-Unrestricted"/>
    <s v="GS-Local"/>
    <s v="REG-IN"/>
    <s v="IT-Written"/>
    <s v="IN2000EACT"/>
    <s v="IN"/>
    <s v="352655517"/>
    <s v="1568015485"/>
    <s v="1831943299"/>
    <s v=""/>
    <s v=""/>
    <x v="7"/>
    <s v="Recovery_Disputes"/>
    <s v="20260502T162320.000 GMT"/>
    <s v="4200"/>
    <s v=""/>
    <s v=""/>
    <s v="238"/>
    <s v="Yes"/>
    <s v="20260602T072234.000 GMT"/>
    <d v="2026-06-02T00:00:00"/>
    <s v="Mark Ian D Ninas"/>
    <s v="Email sent for PA review"/>
    <s v=""/>
    <s v="MADELINE  JUSTIS, MADELINE"/>
    <s v=""/>
    <s v=""/>
    <s v=""/>
    <s v=""/>
    <s v=""/>
    <s v=""/>
    <s v=""/>
    <s v="Mark Ian D Ninas"/>
    <s v="32"/>
    <s v=""/>
    <s v=""/>
    <s v="Local"/>
    <s v="313747551"/>
    <s v=""/>
    <s v=""/>
    <s v=""/>
    <s v=""/>
    <s v=""/>
    <s v=""/>
    <s v=""/>
    <s v=""/>
    <s v=""/>
    <s v=""/>
    <s v=""/>
    <s v=""/>
    <s v=""/>
    <s v=""/>
    <s v=""/>
    <s v=""/>
    <s v=""/>
    <m/>
  </r>
  <r>
    <x v="0"/>
    <s v="Sent email to PA"/>
    <x v="2"/>
    <x v="0"/>
    <x v="9"/>
    <s v="2026139190513"/>
    <n v="40"/>
    <n v="34"/>
    <s v="31-45 DAYS"/>
    <s v="CI-75304956"/>
    <s v="AL55483"/>
    <x v="0"/>
    <n v="13"/>
    <s v="Pending-Investigation"/>
    <s v="Awaiting Medical Review"/>
    <s v="100011666"/>
    <s v="IN"/>
    <s v="P"/>
    <s v="2025176DV7461"/>
    <s v="NYITSH"/>
    <s v="06/09/2026 06:50 AM"/>
    <s v="IS-Dispute"/>
    <s v="BEN-NoBenefit"/>
    <s v="RES-Unrestricted"/>
    <s v="GS-Host"/>
    <s v="REG-NY"/>
    <s v="IT-Written"/>
    <s v="ITSPPO254"/>
    <s v="NY"/>
    <s v="135562308"/>
    <s v="1285826438"/>
    <s v="1508872789"/>
    <s v="25420251761940501"/>
    <s v=""/>
    <x v="8"/>
    <s v="Recovery_Disputes"/>
    <s v="20260520T002856.000 GMT"/>
    <s v="138421"/>
    <s v=""/>
    <s v=""/>
    <s v="100"/>
    <s v="Yes"/>
    <s v="20260609T135039.000 GMT"/>
    <d v="2026-06-09T00:00:00"/>
    <s v="Mary Joy G Miranda"/>
    <s v="Sent email to PA for medical records review."/>
    <s v=""/>
    <s v="LEVINE, JAMIE P"/>
    <s v=""/>
    <s v=""/>
    <s v=""/>
    <s v=""/>
    <s v=""/>
    <s v=""/>
    <s v=""/>
    <s v="Mary Joy G Miranda"/>
    <s v="34"/>
    <s v=""/>
    <s v="CS"/>
    <s v="BlueCard"/>
    <s v="100011666"/>
    <s v=""/>
    <s v=""/>
    <s v=""/>
    <s v=""/>
    <s v=""/>
    <s v=""/>
    <s v=""/>
    <s v=""/>
    <s v=""/>
    <s v=""/>
    <s v=""/>
    <s v=""/>
    <s v=""/>
    <s v=""/>
    <s v=""/>
    <s v=""/>
    <s v=""/>
    <m/>
  </r>
  <r>
    <x v="0"/>
    <s v="waiting for response from PA"/>
    <x v="2"/>
    <x v="0"/>
    <x v="10"/>
    <s v="2026139400081"/>
    <n v="40"/>
    <n v="34"/>
    <s v="31-45 DAYS"/>
    <s v="CI-75257047"/>
    <s v="AM38938"/>
    <x v="0"/>
    <n v="1"/>
    <s v="Pending-Investigation"/>
    <s v="Funding Off Outreach"/>
    <s v="515M70384"/>
    <s v="IN"/>
    <s v="P"/>
    <s v="2025153DW8247"/>
    <s v="L07174"/>
    <s v="06/21/2026 03:32 PM"/>
    <s v="IS-Dispute"/>
    <s v="BEN-Spider"/>
    <s v="RES-Unrestricted"/>
    <s v="GS-LocalFI"/>
    <s v="REG-WI"/>
    <s v="IT-Written"/>
    <s v="L07174M003"/>
    <s v="WI"/>
    <s v="201759813"/>
    <s v="1689782427"/>
    <s v="1083332852"/>
    <s v=""/>
    <s v=""/>
    <x v="9"/>
    <s v="Recovery_Disputes"/>
    <s v="20260519T104309.000 GMT"/>
    <s v="3450"/>
    <s v=""/>
    <s v=""/>
    <s v="515"/>
    <s v="Yes"/>
    <s v="20260621T223250.000 GMT"/>
    <d v="2026-06-21T00:00:00"/>
    <s v="Rechelle C Berida"/>
    <s v="Waiting for response from PA"/>
    <s v=""/>
    <s v="APGAR, RUBEN D"/>
    <s v=""/>
    <s v=""/>
    <s v=""/>
    <s v=""/>
    <s v=""/>
    <s v=""/>
    <s v=""/>
    <s v="Rechelle C Berida"/>
    <s v="34"/>
    <s v=""/>
    <s v=""/>
    <s v="Local"/>
    <s v="387045192"/>
    <s v=""/>
    <s v=""/>
    <s v=""/>
    <s v=""/>
    <s v=""/>
    <s v=""/>
    <s v=""/>
    <s v=""/>
    <s v=""/>
    <s v=""/>
    <s v=""/>
    <s v=""/>
    <s v=""/>
    <s v=""/>
    <s v=""/>
    <s v=""/>
    <s v=""/>
    <m/>
  </r>
  <r>
    <x v="0"/>
    <s v="Sent email to PA"/>
    <x v="2"/>
    <x v="0"/>
    <x v="11"/>
    <s v="2026139030070"/>
    <n v="40"/>
    <n v="34"/>
    <s v="31-45 DAYS"/>
    <s v="CI-75257376"/>
    <s v="AL55483"/>
    <x v="0"/>
    <n v="13"/>
    <s v="Pending-Investigation"/>
    <s v="Awaiting Medical Review"/>
    <s v="799W16767"/>
    <s v="IN"/>
    <s v="P"/>
    <s v="2025196CN3346"/>
    <s v="IN"/>
    <s v="06/09/2026 06:43 AM"/>
    <s v="IS-Dispute"/>
    <s v="BEN-Spider"/>
    <s v="RES-Unrestricted"/>
    <s v="GS-ACA"/>
    <s v="REG-WI"/>
    <s v="IT-Written"/>
    <s v="81K100"/>
    <s v="WI"/>
    <s v="201759813"/>
    <s v="1689782427"/>
    <s v="1386421279"/>
    <s v=""/>
    <s v=""/>
    <x v="8"/>
    <s v="Recovery_Disputes"/>
    <s v="20260519T105131.000 GMT"/>
    <s v="1800"/>
    <s v=""/>
    <s v=""/>
    <s v="799"/>
    <s v="Yes"/>
    <s v="20260609T134325.000 GMT"/>
    <d v="2026-06-09T00:00:00"/>
    <s v="Mary Joy G Miranda"/>
    <s v="Sent email to PA for medical records review."/>
    <s v=""/>
    <s v="TONSTAD, GENNA N"/>
    <s v=""/>
    <s v=""/>
    <s v=""/>
    <s v=""/>
    <s v=""/>
    <s v=""/>
    <s v=""/>
    <s v="Mary Joy G Miranda"/>
    <s v="34"/>
    <s v=""/>
    <s v="CS"/>
    <s v="Local"/>
    <s v="390782205"/>
    <s v=""/>
    <s v=""/>
    <s v=""/>
    <s v=""/>
    <s v=""/>
    <s v=""/>
    <s v=""/>
    <s v=""/>
    <s v=""/>
    <s v=""/>
    <s v=""/>
    <s v=""/>
    <s v=""/>
    <s v=""/>
    <s v=""/>
    <s v=""/>
    <s v=""/>
    <m/>
  </r>
  <r>
    <x v="0"/>
    <s v="Sent email to PA"/>
    <x v="2"/>
    <x v="0"/>
    <x v="12"/>
    <s v="2026141400536"/>
    <n v="40"/>
    <n v="32"/>
    <s v="31-45 DAYS"/>
    <s v="CI-75429810"/>
    <s v="AL55483"/>
    <x v="0"/>
    <n v="7"/>
    <s v="Pending-Investigation"/>
    <s v="Awaiting Medical Review"/>
    <s v="961121878"/>
    <s v="IN"/>
    <s v="P"/>
    <s v="2025300DJ9119"/>
    <s v="173326"/>
    <s v="06/14/2026 06:58 PM"/>
    <s v="IS-Dispute"/>
    <s v="BEN-NoBenefit"/>
    <s v="RES-Unrestricted"/>
    <s v="GS-Host"/>
    <s v="REG-WI"/>
    <s v="IT-Written"/>
    <s v="ITSPPO458"/>
    <s v="WI"/>
    <s v="391943214"/>
    <s v="1588609648"/>
    <s v="1598972788"/>
    <s v="45820253001492200"/>
    <s v=""/>
    <x v="8"/>
    <s v="Recovery_Disputes"/>
    <s v="20260522T004601.000 GMT"/>
    <s v="29780"/>
    <s v=""/>
    <s v=""/>
    <s v="961"/>
    <s v="Yes"/>
    <s v="20260615T015848.000 GMT"/>
    <d v="2026-06-15T00:00:00"/>
    <s v="Mary Joy G Miranda"/>
    <s v="Sent email to PA for medical records review."/>
    <s v=""/>
    <s v="ASMAN, ISADORA E"/>
    <s v=""/>
    <s v=""/>
    <s v=""/>
    <s v=""/>
    <s v=""/>
    <s v=""/>
    <s v=""/>
    <s v="Mary Joy G Miranda"/>
    <s v="32"/>
    <s v=""/>
    <s v=""/>
    <s v="BlueCard"/>
    <s v="961121878"/>
    <s v=""/>
    <s v=""/>
    <s v=""/>
    <s v=""/>
    <s v=""/>
    <s v=""/>
    <s v=""/>
    <s v=""/>
    <s v=""/>
    <s v=""/>
    <s v=""/>
    <s v=""/>
    <s v=""/>
    <s v=""/>
    <s v=""/>
    <s v=""/>
    <s v=""/>
    <m/>
  </r>
  <r>
    <x v="0"/>
    <s v="Sent email to PA"/>
    <x v="2"/>
    <x v="0"/>
    <x v="13"/>
    <s v="2026141080507"/>
    <n v="40"/>
    <n v="33"/>
    <s v="31-45 DAYS"/>
    <s v="CI-75429030"/>
    <s v="AL55483"/>
    <x v="0"/>
    <n v="11"/>
    <s v="Pending-Investigation"/>
    <s v="Awaiting Medical Review"/>
    <s v="266W11182"/>
    <s v="IN"/>
    <s v="P"/>
    <s v="2025277BV1316"/>
    <s v="L03885"/>
    <s v="06/10/2026 07:07 PM"/>
    <s v="IS-Dispute"/>
    <s v="BEN-NonSpider"/>
    <s v="RES-Unrestricted"/>
    <s v="GS-Local"/>
    <s v="REG-OH"/>
    <s v="IT-Written"/>
    <s v="L03885M018"/>
    <s v="OH"/>
    <s v="310833936"/>
    <s v="1609915784"/>
    <s v="1194168716"/>
    <s v=""/>
    <s v=""/>
    <x v="8"/>
    <s v="Recovery_Disputes"/>
    <s v="20260522T002450.000 GMT"/>
    <s v="9617"/>
    <s v=""/>
    <s v=""/>
    <s v="266"/>
    <s v="Yes"/>
    <s v="20260611T020730.000 GMT"/>
    <d v="2026-06-11T00:00:00"/>
    <s v="Mary Joy G Miranda"/>
    <s v="Sent email to PA for medical records review."/>
    <s v=""/>
    <s v="SMRUTI K PATEL, SMRUTI K"/>
    <s v=""/>
    <s v=""/>
    <s v=""/>
    <s v=""/>
    <s v=""/>
    <s v=""/>
    <s v=""/>
    <s v="Mary Joy G Miranda"/>
    <s v="32"/>
    <s v=""/>
    <s v=""/>
    <s v="Local"/>
    <s v="288743555"/>
    <s v=""/>
    <s v=""/>
    <s v=""/>
    <s v=""/>
    <s v=""/>
    <s v=""/>
    <s v=""/>
    <s v=""/>
    <s v=""/>
    <s v=""/>
    <s v=""/>
    <s v=""/>
    <s v=""/>
    <s v=""/>
    <s v=""/>
    <s v=""/>
    <s v=""/>
    <m/>
  </r>
  <r>
    <x v="0"/>
    <s v="Waiting for Another respond from Provider Audit "/>
    <x v="2"/>
    <x v="0"/>
    <x v="14"/>
    <s v="2026141360123"/>
    <n v="40"/>
    <n v="32"/>
    <s v="31-45 DAYS"/>
    <s v="CI-75385554"/>
    <s v="AL39630"/>
    <x v="0"/>
    <n v="12"/>
    <s v="Pending-Investigation"/>
    <s v="Funding Off Outreach"/>
    <s v="126W19824"/>
    <s v="IN"/>
    <s v="P"/>
    <s v="2025224BK9714"/>
    <s v="IN"/>
    <s v="06/09/2026 09:32 PM"/>
    <s v="IS-Dispute"/>
    <s v="BEN-Spider"/>
    <s v="RES-Unrestricted"/>
    <s v="GS-ACA"/>
    <s v="REG-WI"/>
    <s v="IT-Written"/>
    <s v="81W000"/>
    <s v="WI"/>
    <s v="390806374"/>
    <s v="1629056049"/>
    <s v="1871077198"/>
    <s v=""/>
    <s v=""/>
    <x v="6"/>
    <s v="Recovery_Disputes"/>
    <s v="20260521T114536.000 GMT"/>
    <s v="24789.6"/>
    <s v=""/>
    <s v=""/>
    <s v="126"/>
    <s v="Yes"/>
    <s v="20260610T043215.000 GMT"/>
    <d v="2026-06-10T00:00:00"/>
    <s v="Angelica B Buan"/>
    <s v="Inquiry is pending for a CCA response and High Dollar review."/>
    <s v=""/>
    <s v="MORGAN, GRANT T"/>
    <s v=""/>
    <s v=""/>
    <s v=""/>
    <s v=""/>
    <s v=""/>
    <s v=""/>
    <s v=""/>
    <s v="Angelica B Buan"/>
    <s v="32"/>
    <s v=""/>
    <s v="CS"/>
    <s v="Local"/>
    <s v="398686614"/>
    <s v=""/>
    <s v=""/>
    <s v=""/>
    <s v=""/>
    <s v=""/>
    <s v=""/>
    <s v=""/>
    <s v=""/>
    <s v=""/>
    <s v=""/>
    <s v=""/>
    <s v=""/>
    <s v=""/>
    <s v=""/>
    <s v=""/>
    <s v=""/>
    <s v=""/>
    <m/>
  </r>
  <r>
    <x v="0"/>
    <s v="Sent email to PA"/>
    <x v="2"/>
    <x v="0"/>
    <x v="15"/>
    <s v="2026137280228"/>
    <n v="40"/>
    <n v="36"/>
    <s v="31-45 DAYS"/>
    <s v="CI-75187323"/>
    <s v="AL55483"/>
    <x v="0"/>
    <n v="13"/>
    <s v="Pending-Investigation"/>
    <s v="Awaiting Medical Review"/>
    <s v="837W07295"/>
    <s v="IN"/>
    <s v="P"/>
    <s v="2025294DQ0039"/>
    <s v="210038"/>
    <s v="06/09/2026 06:27 AM"/>
    <s v="IS-Dispute"/>
    <s v="BEN-NonSpider"/>
    <s v="RES-Unrestricted"/>
    <s v="GS-National"/>
    <s v="REG-WI"/>
    <s v="IT-Written"/>
    <s v="210038W2AA"/>
    <s v="WI"/>
    <s v="201759813"/>
    <s v="1689782427"/>
    <s v="1699242032"/>
    <s v=""/>
    <s v=""/>
    <x v="8"/>
    <s v="Recovery_Disputes"/>
    <s v="20260518T020535.000 GMT"/>
    <s v="1800"/>
    <s v=""/>
    <s v=""/>
    <s v="837"/>
    <s v="Yes"/>
    <s v="20260609T132735.000 GMT"/>
    <d v="2026-06-09T00:00:00"/>
    <s v="Mary Joy G Miranda"/>
    <s v="Sent email to PA for medical records review."/>
    <s v=""/>
    <s v="CASIE A FRIEDRICH"/>
    <s v=""/>
    <s v=""/>
    <s v=""/>
    <s v=""/>
    <s v=""/>
    <s v=""/>
    <s v=""/>
    <s v="Mary Joy G Miranda"/>
    <s v="36"/>
    <s v=""/>
    <s v=""/>
    <s v="Local"/>
    <s v="399139035"/>
    <s v=""/>
    <s v=""/>
    <s v=""/>
    <s v=""/>
    <s v=""/>
    <s v=""/>
    <s v=""/>
    <s v=""/>
    <s v=""/>
    <s v=""/>
    <s v=""/>
    <s v=""/>
    <s v=""/>
    <s v=""/>
    <s v=""/>
    <s v=""/>
    <s v=""/>
    <m/>
  </r>
  <r>
    <x v="0"/>
    <s v="Sent to PA"/>
    <x v="2"/>
    <x v="0"/>
    <x v="16"/>
    <s v="2026140780084"/>
    <n v="40"/>
    <n v="33"/>
    <s v="31-45 DAYS"/>
    <s v="CI-75319745"/>
    <s v="AL87020"/>
    <x v="1"/>
    <n v="13"/>
    <s v="Pending-Investigation"/>
    <s v="Awaiting Medical Review"/>
    <s v="588W11075"/>
    <s v="AP"/>
    <s v="P"/>
    <s v="2025196CN4691"/>
    <s v="C20980"/>
    <s v="06/08/2026 10:28 PM"/>
    <s v="IS-Dispute"/>
    <s v="BEN-NonSpider"/>
    <s v="RES-Unrestricted"/>
    <s v="GS-National"/>
    <s v="REG-CA"/>
    <s v="IT-Written"/>
    <s v="1873MG"/>
    <s v="WI"/>
    <s v="201759813"/>
    <s v="1689782427"/>
    <s v="1760015218"/>
    <s v=""/>
    <s v=""/>
    <x v="10"/>
    <s v="Recovery_Disputes"/>
    <s v="20260520T101334.000 GMT"/>
    <s v="3450"/>
    <s v=""/>
    <s v=""/>
    <s v="588"/>
    <s v="Yes"/>
    <s v="20260609T052838.000 GMT"/>
    <d v="2026-06-09T00:00:00"/>
    <s v="Ronald Sydney D Alina"/>
    <s v="Sent to PA"/>
    <s v=""/>
    <s v="MEIDENBAUER, ALEXIS M"/>
    <s v=""/>
    <s v=""/>
    <s v=""/>
    <s v=""/>
    <s v=""/>
    <s v=""/>
    <s v=""/>
    <s v="Ronald Sydney D Alina"/>
    <s v="33"/>
    <s v=""/>
    <s v="CS"/>
    <s v="Local"/>
    <s v="390728620"/>
    <s v=""/>
    <s v=""/>
    <s v=""/>
    <s v=""/>
    <s v=""/>
    <s v=""/>
    <s v=""/>
    <s v=""/>
    <s v=""/>
    <s v=""/>
    <s v=""/>
    <s v=""/>
    <s v=""/>
    <s v=""/>
    <s v=""/>
    <s v=""/>
    <s v=""/>
    <m/>
  </r>
  <r>
    <x v="0"/>
    <s v="Sent email to PA"/>
    <x v="2"/>
    <x v="0"/>
    <x v="17"/>
    <s v="2026140370548"/>
    <n v="40"/>
    <n v="33"/>
    <s v="31-45 DAYS"/>
    <s v="CI-75372898"/>
    <s v="AL55483"/>
    <x v="0"/>
    <n v="11"/>
    <s v="Pending-Investigation"/>
    <s v="Awaiting Medical Review"/>
    <s v="910068449"/>
    <s v="IN"/>
    <s v="P"/>
    <s v="2025328FU3076"/>
    <s v="173326"/>
    <s v="06/10/2026 06:55 PM"/>
    <s v="IS-Dispute"/>
    <s v="BEN-NoBenefit"/>
    <s v="RES-Unrestricted"/>
    <s v="GS-Host"/>
    <s v="REG-WI"/>
    <s v="IT-Written"/>
    <s v="ITSPPO458"/>
    <s v="WI"/>
    <s v="201759813"/>
    <s v="1689782427"/>
    <s v="1821393000"/>
    <s v="45820253360025400"/>
    <s v=""/>
    <x v="8"/>
    <s v="Recovery_Disputes"/>
    <s v="20260521T060930.000 GMT"/>
    <s v="5100"/>
    <s v=""/>
    <s v=""/>
    <s v="910"/>
    <s v="Yes"/>
    <s v="20260611T015620.000 GMT"/>
    <d v="2026-06-11T00:00:00"/>
    <s v="Mary Joy G Miranda"/>
    <s v="Sent email to PA for medical records review."/>
    <s v=""/>
    <s v="EMNOTT, LYDIA R"/>
    <s v=""/>
    <s v=""/>
    <s v=""/>
    <s v=""/>
    <s v=""/>
    <s v=""/>
    <s v=""/>
    <s v="Mary Joy G Miranda"/>
    <s v="33"/>
    <s v=""/>
    <s v="CS"/>
    <s v="BlueCard"/>
    <s v="910068449"/>
    <s v=""/>
    <s v=""/>
    <s v=""/>
    <s v=""/>
    <s v=""/>
    <s v=""/>
    <s v=""/>
    <s v=""/>
    <s v=""/>
    <s v=""/>
    <s v=""/>
    <s v=""/>
    <s v=""/>
    <s v=""/>
    <s v=""/>
    <s v=""/>
    <s v=""/>
    <m/>
  </r>
  <r>
    <x v="0"/>
    <s v="Awaiting response from PA. Already requested a follow up through the help of SME Camille."/>
    <x v="2"/>
    <x v="0"/>
    <x v="18"/>
    <s v="CL-32829198"/>
    <n v="60"/>
    <n v="104"/>
    <s v="91-120 DAYS"/>
    <s v="CI-71873217"/>
    <s v="AM38939"/>
    <x v="0"/>
    <n v="1"/>
    <s v="Pending-Investigation"/>
    <s v="Funding Off Outreach"/>
    <s v="722M92022"/>
    <s v="Standard"/>
    <s v="Provider"/>
    <s v="2024079CI9657"/>
    <s v="SGA63935"/>
    <s v="06/21/2026 03:35 PM"/>
    <s v="IS-Dispute"/>
    <s v="BEN-Spider"/>
    <s v="RES-Unrestricted"/>
    <s v="GS-ACA"/>
    <s v="REG-ME"/>
    <s v="IT-ASPEN"/>
    <s v="6B4U00"/>
    <s v="ME"/>
    <s v="010238552"/>
    <s v="1760436216"/>
    <s v=""/>
    <s v=""/>
    <s v="Melody D La Pena"/>
    <x v="11"/>
    <s v="Recovery_Disputes"/>
    <s v="20260310T164724.000 GMT"/>
    <s v="71104.57"/>
    <s v=""/>
    <s v=""/>
    <s v="72"/>
    <s v="No"/>
    <s v="20260621T223603.000 GMT"/>
    <d v="2026-06-21T00:00:00"/>
    <s v="Jennifer R Cahilig"/>
    <s v="Awaiting response from PA. Already requested a follow up through the help of SME Mel."/>
    <s v=""/>
    <s v="MAINEHEALTH"/>
    <s v=""/>
    <s v=""/>
    <s v=""/>
    <s v=""/>
    <s v=""/>
    <s v="CL-32829141"/>
    <s v=""/>
    <s v="Jennifer R Cahilig"/>
    <s v="104"/>
    <s v=""/>
    <s v="Claim Adjustment"/>
    <s v="Local"/>
    <s v="007903812"/>
    <s v=""/>
    <s v=""/>
    <s v=""/>
    <s v=""/>
    <s v=""/>
    <s v=""/>
    <s v=""/>
    <s v=""/>
    <s v=""/>
    <s v=""/>
    <s v=""/>
    <s v=""/>
    <s v=""/>
    <s v=""/>
    <s v=""/>
    <s v=""/>
    <s v=""/>
    <m/>
  </r>
  <r>
    <x v="0"/>
    <s v="Still under PA Review"/>
    <x v="2"/>
    <x v="0"/>
    <x v="19"/>
    <s v="2026142810061"/>
    <n v="40"/>
    <n v="32"/>
    <s v="31-45 DAYS"/>
    <e v="#N/A"/>
    <s v="AG52852"/>
    <x v="0"/>
    <n v="0"/>
    <s v="Pending-Investigation"/>
    <s v="Funding Off Outreach"/>
    <s v="976252951"/>
    <s v="IN"/>
    <s v="P"/>
    <s v="2025232BH6061"/>
    <s v="IN"/>
    <s v="06/22/2026 05:01 AM"/>
    <s v="IS-Dispute"/>
    <s v="BEN-Spider"/>
    <s v="RES-Unrestricted"/>
    <s v="GS-ACA"/>
    <s v="REG-ME"/>
    <s v="IT-Written"/>
    <s v="81DJ00"/>
    <s v="ME"/>
    <s v="010353275"/>
    <s v="1366474611"/>
    <s v="1285073205"/>
    <s v=""/>
    <s v=""/>
    <x v="12"/>
    <s v="Recovery_Disputes"/>
    <s v="20260522T092227.000 GMT"/>
    <s v="366.02"/>
    <s v=""/>
    <s v=""/>
    <s v="976"/>
    <s v="Yes"/>
    <s v="20260622T120139.000 GMT"/>
    <d v="2026-06-22T00:00:00"/>
    <s v="Jayson Dave I Espinas"/>
    <s v="Sent for PA Review."/>
    <s v=""/>
    <s v="SEAN T O'SULLIVAN, SEAN T"/>
    <s v=""/>
    <s v=""/>
    <s v=""/>
    <s v=""/>
    <s v=""/>
    <s v=""/>
    <s v=""/>
    <s v="Jayson Dave I Espinas"/>
    <s v="31"/>
    <s v=""/>
    <s v=""/>
    <s v="Local"/>
    <s v="465650743"/>
    <s v=""/>
    <s v=""/>
    <s v=""/>
    <s v=""/>
    <s v=""/>
    <s v=""/>
    <s v=""/>
    <s v=""/>
    <s v=""/>
    <s v=""/>
    <s v=""/>
    <s v=""/>
    <s v=""/>
    <s v=""/>
    <s v=""/>
    <s v=""/>
    <s v=""/>
    <m/>
  </r>
  <r>
    <x v="0"/>
    <s v="Hold for FAQ per SME for Pricing"/>
    <x v="2"/>
    <x v="0"/>
    <x v="20"/>
    <s v="2026140920445"/>
    <n v="40"/>
    <n v="33"/>
    <s v="31-45 DAYS"/>
    <s v="CI-75364493"/>
    <s v="AG52852"/>
    <x v="0"/>
    <n v="0"/>
    <s v="Pending-Investigation"/>
    <s v="Additional Research"/>
    <s v="601M57348"/>
    <s v="IN"/>
    <s v="P"/>
    <s v="2023107BH4994"/>
    <s v="IN"/>
    <s v="06/21/2026 08:46 PM"/>
    <s v="IS-Dispute"/>
    <s v="BEN-Spider"/>
    <s v="RES-Unrestricted"/>
    <s v="GS-ACA"/>
    <s v="REG-VA"/>
    <s v="IT-Written"/>
    <s v="6RF100"/>
    <s v="VA"/>
    <s v="541761046"/>
    <s v="1538100029"/>
    <s v=""/>
    <s v=""/>
    <s v=""/>
    <x v="12"/>
    <s v="Recovery_Disputes"/>
    <s v="20260521T002322.000 GMT"/>
    <s v="1404"/>
    <s v=""/>
    <s v=""/>
    <s v="601"/>
    <s v="Yes"/>
    <s v="20260622T034627.000 GMT"/>
    <d v="2026-06-22T00:00:00"/>
    <s v="Jayson Dave I Espinas"/>
    <s v="Hold for FAQ per SME"/>
    <s v=""/>
    <s v="LEWISGALE HOSPITAL ALLEGH"/>
    <s v=""/>
    <s v=""/>
    <s v=""/>
    <s v=""/>
    <s v=""/>
    <s v=""/>
    <s v=""/>
    <s v="Jayson Dave I Espinas"/>
    <s v="33"/>
    <s v=""/>
    <s v=""/>
    <s v="Local"/>
    <s v="228276787"/>
    <s v=""/>
    <s v=""/>
    <s v=""/>
    <s v=""/>
    <s v=""/>
    <s v=""/>
    <s v=""/>
    <s v=""/>
    <s v=""/>
    <s v=""/>
    <s v=""/>
    <s v=""/>
    <s v=""/>
    <s v=""/>
    <s v=""/>
    <s v=""/>
    <s v=""/>
    <m/>
  </r>
  <r>
    <x v="0"/>
    <s v="Still under PA Review"/>
    <x v="2"/>
    <x v="0"/>
    <x v="21"/>
    <s v="2026141180406"/>
    <n v="40"/>
    <n v="32"/>
    <s v="31-45 DAYS"/>
    <s v="CI-75419995"/>
    <s v="AG52852"/>
    <x v="0"/>
    <n v="12"/>
    <s v="Pending-Investigation"/>
    <s v="Funding Off Outreach"/>
    <s v="AN7888849"/>
    <s v="IN"/>
    <s v="P"/>
    <s v="2025246CR2238"/>
    <s v="W33023"/>
    <s v="06/10/2026 04:23 PM"/>
    <s v="IS-Dispute"/>
    <s v="BEN-NonSpider"/>
    <s v="RES-Unrestricted"/>
    <s v="GS-Local"/>
    <s v="REG-KY"/>
    <s v="IT-Written"/>
    <s v="W33023M009"/>
    <s v="KY"/>
    <s v="610444707"/>
    <s v="1730264128"/>
    <s v=""/>
    <s v=""/>
    <s v=""/>
    <x v="12"/>
    <s v="Recovery_Disputes"/>
    <s v="20260521T203824.000 GMT"/>
    <s v="10217.84"/>
    <s v=""/>
    <s v=""/>
    <s v="AN7"/>
    <s v="Yes"/>
    <s v="20260610T232338.000 GMT"/>
    <d v="2026-06-10T00:00:00"/>
    <s v="Jayson Dave I Espinas"/>
    <s v="Sent for PA review"/>
    <s v=""/>
    <s v="BAPTIST HEALTH PADUCAH"/>
    <s v=""/>
    <s v=""/>
    <s v=""/>
    <s v=""/>
    <s v=""/>
    <s v=""/>
    <s v=""/>
    <s v="Jayson Dave I Espinas"/>
    <s v="32"/>
    <s v=""/>
    <s v="CS"/>
    <s v="Local"/>
    <s v="407929492"/>
    <s v=""/>
    <s v=""/>
    <s v=""/>
    <s v=""/>
    <s v=""/>
    <s v=""/>
    <s v=""/>
    <s v=""/>
    <s v=""/>
    <s v=""/>
    <s v=""/>
    <s v=""/>
    <s v=""/>
    <s v=""/>
    <s v=""/>
    <s v=""/>
    <s v=""/>
    <m/>
  </r>
  <r>
    <x v="0"/>
    <m/>
    <x v="2"/>
    <x v="0"/>
    <x v="22"/>
    <s v="2026139790310"/>
    <n v="40"/>
    <n v="34"/>
    <s v="31-45 DAYS"/>
    <s v="CI-75288658"/>
    <s v="AG57476"/>
    <x v="0"/>
    <n v="1"/>
    <s v="Pending-Investigation"/>
    <s v="Additional Research"/>
    <s v="239M72253"/>
    <s v="IN"/>
    <s v="P"/>
    <s v="2025086BG6712"/>
    <s v="201060"/>
    <s v="06/21/2026 04:39 PM"/>
    <s v="IS-Dispute"/>
    <s v="BEN-NonSpider"/>
    <s v="RES-Unrestricted"/>
    <s v="GS-National"/>
    <s v="REG-VA"/>
    <s v="IT-Written"/>
    <s v="201060M1C1"/>
    <s v="WI"/>
    <s v="201759813"/>
    <s v="1689782427"/>
    <s v="1437106531"/>
    <s v=""/>
    <s v="Melody D La Pena"/>
    <x v="13"/>
    <s v="Recovery_Disputes"/>
    <s v="20260519T185258.000 GMT"/>
    <s v="5100"/>
    <s v=""/>
    <s v=""/>
    <s v="239"/>
    <s v="Yes"/>
    <s v="20260621T234131.000 GMT"/>
    <d v="2026-06-21T00:00:00"/>
    <s v="Richard B Bacalso"/>
    <s v="Pending PROVIDER AUDIT APPEALS for review."/>
    <s v=""/>
    <s v="PLENNES, DANELLE M"/>
    <s v=""/>
    <s v=""/>
    <s v=""/>
    <s v=""/>
    <s v=""/>
    <s v=""/>
    <s v=""/>
    <s v="Richard B Bacalso"/>
    <s v="34"/>
    <s v=""/>
    <s v="CS"/>
    <s v="Local"/>
    <s v="392989346"/>
    <s v=""/>
    <s v=""/>
    <s v=""/>
    <s v=""/>
    <s v=""/>
    <s v=""/>
    <s v=""/>
    <s v=""/>
    <s v=""/>
    <s v=""/>
    <s v=""/>
    <s v=""/>
    <s v=""/>
    <s v=""/>
    <s v=""/>
    <s v=""/>
    <s v=""/>
    <m/>
  </r>
  <r>
    <x v="0"/>
    <s v="Waiting for PA response"/>
    <x v="2"/>
    <x v="0"/>
    <x v="23"/>
    <s v="2026142370115"/>
    <n v="40"/>
    <n v="31"/>
    <s v="31-45 DAYS"/>
    <s v="CI-75453552"/>
    <s v="AG93888"/>
    <x v="0"/>
    <n v="11"/>
    <s v="Pending-Investigation"/>
    <s v="Funding Off Outreach"/>
    <s v="639M64318"/>
    <s v="IN"/>
    <s v="P"/>
    <s v="2025149EV2609"/>
    <s v="W50077"/>
    <s v="06/10/2026 08:59 PM"/>
    <s v="IS-Dispute"/>
    <s v="BEN-Spider"/>
    <s v="RES-Unrestricted"/>
    <s v="GS-LocalFI"/>
    <s v="REG-OH"/>
    <s v="IT-Written"/>
    <s v="W50077M004"/>
    <s v="OH"/>
    <s v="314379519"/>
    <s v="1568446755"/>
    <s v=""/>
    <s v=""/>
    <s v=""/>
    <x v="14"/>
    <s v="Recovery_Disputes"/>
    <s v="20260522T131724.000 GMT"/>
    <s v="10833.13"/>
    <s v=""/>
    <s v=""/>
    <s v="639"/>
    <s v="Yes"/>
    <s v="20260611T040003.000 GMT"/>
    <d v="2026-06-11T00:00:00"/>
    <s v="Hilyn C Camilan"/>
    <s v="waiting for PA response"/>
    <s v=""/>
    <s v="LICKING MEMORIAL HOSPITAL"/>
    <s v=""/>
    <s v=""/>
    <s v=""/>
    <s v=""/>
    <s v=""/>
    <s v=""/>
    <s v=""/>
    <s v="Hilyn C Camilan"/>
    <s v="31"/>
    <s v=""/>
    <s v=""/>
    <s v="Local"/>
    <s v="270528200"/>
    <s v=""/>
    <s v=""/>
    <s v=""/>
    <s v=""/>
    <s v=""/>
    <s v=""/>
    <s v=""/>
    <s v=""/>
    <s v=""/>
    <s v=""/>
    <s v=""/>
    <s v=""/>
    <s v=""/>
    <s v=""/>
    <s v=""/>
    <s v=""/>
    <s v=""/>
    <m/>
  </r>
  <r>
    <x v="0"/>
    <s v="_x0009__x000a_Awaiting medical review from PA/ SME already sent a ff email"/>
    <x v="2"/>
    <x v="0"/>
    <x v="24"/>
    <s v="2026139250490"/>
    <n v="40"/>
    <n v="34"/>
    <s v="31-45 DAYS"/>
    <s v="CI-75305740"/>
    <s v="AM40216"/>
    <x v="0"/>
    <n v="5"/>
    <s v="Pending-Investigation"/>
    <s v="Funding Off Outreach"/>
    <s v="AN4708922"/>
    <s v="IN"/>
    <s v="P"/>
    <s v="2025333BX9173"/>
    <s v="W51015"/>
    <s v="06/22/2026 02:36 PM"/>
    <s v="IS-Dispute"/>
    <s v="BEN-NonSpider"/>
    <s v="RES-Unrestricted"/>
    <s v="GS-Local"/>
    <s v="REG-OH"/>
    <s v="IT-Written"/>
    <s v="W51015M011"/>
    <s v="OH"/>
    <s v="314379509"/>
    <s v="1215936927"/>
    <s v="1639326804"/>
    <s v=""/>
    <s v=""/>
    <x v="15"/>
    <s v="Recovery_Disputes"/>
    <s v="20260520T005034.000 GMT"/>
    <s v="333.11"/>
    <s v=""/>
    <s v=""/>
    <s v="AN4"/>
    <s v="Yes"/>
    <s v="20260617T215638.000 GMT"/>
    <d v="2026-06-17T00:00:00"/>
    <s v="Christine P Gaviola"/>
    <s v="SME Avi will send a follow up email today."/>
    <s v=""/>
    <s v="ANNA K WRIGHT, ANNA K"/>
    <s v=""/>
    <s v=""/>
    <s v=""/>
    <s v=""/>
    <s v=""/>
    <s v=""/>
    <s v=""/>
    <s v="Christine P Gaviola"/>
    <s v="34"/>
    <s v=""/>
    <s v=""/>
    <s v="Local"/>
    <s v="235318270"/>
    <s v=""/>
    <s v=""/>
    <s v=""/>
    <s v=""/>
    <s v=""/>
    <s v=""/>
    <s v=""/>
    <s v=""/>
    <s v=""/>
    <s v=""/>
    <s v=""/>
    <s v=""/>
    <s v=""/>
    <s v=""/>
    <s v=""/>
    <s v=""/>
    <s v=""/>
    <m/>
  </r>
  <r>
    <x v="0"/>
    <s v="Pend for follow up"/>
    <x v="8"/>
    <x v="0"/>
    <x v="25"/>
    <s v="2026143440272"/>
    <n v="40"/>
    <n v="32"/>
    <s v="31-45 DAYS"/>
    <s v="CI-75515305"/>
    <s v="AM38611"/>
    <x v="0"/>
    <n v="3"/>
    <s v="Pending-Investigation"/>
    <s v="Funding Off Outreach"/>
    <s v="716W04982"/>
    <s v="IN"/>
    <s v="P"/>
    <s v="2025188DM9136"/>
    <s v="W80295"/>
    <s v="06/21/2026 03:33 PM"/>
    <s v="IS-Dispute"/>
    <s v="BEN-Spider"/>
    <s v="RES-Unrestricted"/>
    <s v="GS-Local"/>
    <s v="REG-WI"/>
    <s v="IT-Written"/>
    <s v="W80295M032"/>
    <s v="WI"/>
    <s v="201759813"/>
    <s v="1689782427"/>
    <s v="1710510268"/>
    <s v=""/>
    <s v=""/>
    <x v="16"/>
    <s v="Recovery_Disputes"/>
    <s v="20260523T222918.000 GMT"/>
    <s v="1800"/>
    <s v=""/>
    <s v=""/>
    <s v="716"/>
    <s v="Yes"/>
    <s v="20260621T223337.000 GMT"/>
    <d v="2026-06-21T00:00:00"/>
    <s v="Jolo M Lapitan"/>
    <s v="Pend for follow up."/>
    <s v=""/>
    <s v="BECKER, ALYSSA M"/>
    <s v=""/>
    <s v=""/>
    <s v=""/>
    <s v=""/>
    <s v=""/>
    <s v=""/>
    <s v=""/>
    <s v="Jolo M Lapitan"/>
    <s v="32"/>
    <s v=""/>
    <s v=""/>
    <s v="Local"/>
    <s v="483882410"/>
    <s v=""/>
    <s v=""/>
    <s v=""/>
    <s v=""/>
    <s v=""/>
    <s v=""/>
    <s v=""/>
    <s v=""/>
    <s v=""/>
    <s v=""/>
    <s v=""/>
    <s v=""/>
    <s v=""/>
    <s v=""/>
    <s v=""/>
    <s v=""/>
    <s v=""/>
    <m/>
  </r>
  <r>
    <x v="0"/>
    <s v="Sent to PA"/>
    <x v="9"/>
    <x v="0"/>
    <x v="26"/>
    <s v="2026148320301"/>
    <n v="40"/>
    <n v="31"/>
    <s v="31-45 DAYS"/>
    <s v="CI-75699843"/>
    <s v="AH17430"/>
    <x v="0"/>
    <n v="11"/>
    <s v="Pending-Investigation"/>
    <s v="Funding Off Outreach"/>
    <s v="876M92558"/>
    <s v="IN"/>
    <s v="P"/>
    <s v="2025254DH6100"/>
    <s v="201052"/>
    <s v="06/16/2026 07:43 PM"/>
    <s v="IS-Dispute"/>
    <s v="BEN-NonSpider"/>
    <s v="RES-Unrestricted"/>
    <s v="GS-Marriott"/>
    <s v="REG-VA"/>
    <s v="IT-Written"/>
    <s v="201052M4A1"/>
    <s v="CO"/>
    <s v="841415470"/>
    <s v="1952327835"/>
    <s v="1841847746"/>
    <s v=""/>
    <s v=""/>
    <x v="17"/>
    <s v="Recovery_Disputes"/>
    <s v="20260528T183117.000 GMT"/>
    <s v="7893"/>
    <s v=""/>
    <s v=""/>
    <s v="876"/>
    <s v="Yes"/>
    <s v="20260617T024906.000 GMT"/>
    <d v="2026-06-17T00:00:00"/>
    <s v="Nesty Hope A Lagarto"/>
    <s v="Sent to PA for review"/>
    <s v=""/>
    <s v="SCHERER, BLAKE D"/>
    <s v=""/>
    <s v=""/>
    <s v=""/>
    <s v=""/>
    <s v=""/>
    <s v=""/>
    <s v=""/>
    <s v="Nesty Hope A Lagarto"/>
    <s v="31"/>
    <s v=""/>
    <s v="CS"/>
    <s v="Local"/>
    <s v="652205346"/>
    <s v=""/>
    <s v=""/>
    <s v=""/>
    <s v=""/>
    <s v=""/>
    <s v=""/>
    <s v=""/>
    <s v=""/>
    <s v=""/>
    <s v=""/>
    <s v=""/>
    <s v=""/>
    <s v=""/>
    <s v=""/>
    <s v=""/>
    <s v=""/>
    <s v=""/>
    <m/>
  </r>
  <r>
    <x v="0"/>
    <s v="Awaiting CCA Response"/>
    <x v="8"/>
    <x v="0"/>
    <x v="27"/>
    <s v="2026143360291"/>
    <n v="40"/>
    <n v="32"/>
    <s v="31-45 DAYS"/>
    <s v="CI-75515044"/>
    <s v="AL87804"/>
    <x v="0"/>
    <n v="0"/>
    <s v="Pending-Investigation"/>
    <s v="Additional Research"/>
    <s v="AN8166324"/>
    <s v="IN"/>
    <s v="P"/>
    <s v="2025188DN2477"/>
    <s v="W91017"/>
    <s v="06/24/2026 04:20 AM"/>
    <s v="IS-Dispute"/>
    <s v="BEN-NonSpider"/>
    <s v="RES-Unrestricted"/>
    <s v="GS-Local"/>
    <s v="REG-WI"/>
    <s v="IT-Written"/>
    <s v="W91017MS08"/>
    <s v="WI"/>
    <s v="201759813"/>
    <s v="1689782427"/>
    <s v="1336665082"/>
    <s v=""/>
    <s v=""/>
    <x v="18"/>
    <s v="Recovery_Disputes"/>
    <s v="20260523T222152.000 GMT"/>
    <s v="1800"/>
    <s v=""/>
    <s v=""/>
    <s v="AN8"/>
    <s v="Yes"/>
    <s v="20260624T112024.000 GMT"/>
    <d v="2026-06-24T00:00:00"/>
    <s v="Rizel A Payongayong"/>
    <s v="No update yet from provider audit team"/>
    <s v=""/>
    <s v="WEISSMAN, MAGGIE A"/>
    <s v=""/>
    <s v=""/>
    <s v=""/>
    <s v=""/>
    <s v=""/>
    <s v=""/>
    <s v=""/>
    <s v="Rizel A Payongayong"/>
    <s v="32"/>
    <s v=""/>
    <s v=""/>
    <s v="Local"/>
    <s v="394907110"/>
    <s v=""/>
    <s v=""/>
    <s v=""/>
    <s v=""/>
    <s v=""/>
    <s v=""/>
    <s v=""/>
    <s v=""/>
    <s v=""/>
    <s v=""/>
    <s v=""/>
    <s v=""/>
    <s v=""/>
    <s v=""/>
    <s v=""/>
    <s v=""/>
    <s v=""/>
    <m/>
  </r>
  <r>
    <x v="1"/>
    <m/>
    <x v="6"/>
    <x v="0"/>
    <x v="28"/>
    <s v="2026124290425"/>
    <n v="40"/>
    <n v="31"/>
    <s v="31-45 DAYS"/>
    <s v="CI-74541109"/>
    <s v="AL69206"/>
    <x v="3"/>
    <n v="0"/>
    <s v="Pending-Investigation"/>
    <s v="Additional Research"/>
    <s v="281A79828"/>
    <s v="IN"/>
    <s v="P"/>
    <s v="2024079ER6144"/>
    <s v="270142"/>
    <s v="06/03/2026 06:17 PM"/>
    <s v="IS-Dispute"/>
    <s v="BEN-NonSpider"/>
    <s v="RES-Unrestricted"/>
    <s v="GS-National"/>
    <s v="REG-CT"/>
    <s v="IT-Written"/>
    <s v="270142M4AF"/>
    <s v="CA"/>
    <s v="821538557"/>
    <s v="1336669456"/>
    <s v=""/>
    <s v=""/>
    <s v=""/>
    <x v="19"/>
    <s v="Recovery_Intakes"/>
    <s v="20260504T232045.000 GMT"/>
    <s v="23808.45"/>
    <s v=""/>
    <s v=""/>
    <s v="281"/>
    <s v="Yes"/>
    <s v="20260604T011717.000 GMT"/>
    <d v="2026-06-04T00:00:00"/>
    <s v="GLENN C PALABRICA"/>
    <s v="for review"/>
    <s v=""/>
    <s v="BEACH CITIES ORTHOPEDICS"/>
    <s v=""/>
    <s v=""/>
    <s v=""/>
    <s v=""/>
    <s v=""/>
    <s v=""/>
    <s v=""/>
    <s v="GLENN C PALABRICA"/>
    <s v="31"/>
    <s v=""/>
    <s v="CS"/>
    <s v="Local"/>
    <s v="268825273"/>
    <s v=""/>
    <s v=""/>
    <s v=""/>
    <s v=""/>
    <s v=""/>
    <s v=""/>
    <s v=""/>
    <s v=""/>
    <s v=""/>
    <s v=""/>
    <s v=""/>
    <s v=""/>
    <s v=""/>
    <s v=""/>
    <s v=""/>
    <s v=""/>
    <s v=""/>
    <m/>
  </r>
  <r>
    <x v="0"/>
    <s v="Waiting for PA response"/>
    <x v="2"/>
    <x v="0"/>
    <x v="29"/>
    <s v="2026142160374"/>
    <n v="40"/>
    <n v="31"/>
    <s v="31-45 DAYS"/>
    <s v="CI-75480088"/>
    <s v="AH00180"/>
    <x v="2"/>
    <n v="11"/>
    <s v="Pending-Investigation"/>
    <s v="Awaiting Medical Review"/>
    <s v="571M82334"/>
    <s v="IN"/>
    <s v="P"/>
    <s v="2025052EV2064"/>
    <s v="213071"/>
    <s v="06/10/2026 10:52 PM"/>
    <s v="IS-Dispute"/>
    <s v="BEN-NonSpider"/>
    <s v="RES-Unrestricted"/>
    <s v="GS-National"/>
    <s v="REG-IN"/>
    <s v="IT-Written"/>
    <s v="213071M5AV"/>
    <s v="IN"/>
    <s v="352655517"/>
    <s v="1568015485"/>
    <s v="1053004127"/>
    <s v=""/>
    <s v=""/>
    <x v="20"/>
    <s v="Recovery_Disputes"/>
    <s v="20260522T232537.000 GMT"/>
    <s v="5100"/>
    <s v=""/>
    <s v=""/>
    <s v="571"/>
    <s v="Yes"/>
    <s v="20260611T055237.000 GMT"/>
    <d v="2026-06-11T00:00:00"/>
    <s v="Renier F Pajalla"/>
    <s v="Sent to PA"/>
    <s v=""/>
    <s v="ALEXANDRA  MILLER"/>
    <s v=""/>
    <s v=""/>
    <s v=""/>
    <s v=""/>
    <s v=""/>
    <s v=""/>
    <s v=""/>
    <s v="Renier F Pajalla"/>
    <s v="31"/>
    <s v=""/>
    <s v="CS"/>
    <s v="Local"/>
    <s v="311981556"/>
    <s v=""/>
    <s v=""/>
    <s v=""/>
    <s v=""/>
    <s v=""/>
    <s v=""/>
    <s v=""/>
    <s v=""/>
    <s v=""/>
    <s v=""/>
    <s v=""/>
    <s v=""/>
    <s v=""/>
    <s v=""/>
    <s v=""/>
    <s v=""/>
    <s v=""/>
    <m/>
  </r>
  <r>
    <x v="1"/>
    <m/>
    <x v="2"/>
    <x v="0"/>
    <x v="30"/>
    <s v="2026139020112"/>
    <n v="40"/>
    <n v="34"/>
    <s v="31-45 DAYS"/>
    <s v="CI-75261311"/>
    <s v="AG66028"/>
    <x v="1"/>
    <n v="14"/>
    <s v="Pending-Investigation"/>
    <s v="Awaiting Medical Review"/>
    <s v="236M74539"/>
    <s v="IN"/>
    <s v="P"/>
    <s v="2025162EP8378"/>
    <s v="L08601"/>
    <s v="06/07/2026 11:55 PM"/>
    <s v="IS-Dispute"/>
    <s v="BEN-Spider"/>
    <s v="RES-Unrestricted"/>
    <s v="GS-LocalFI"/>
    <s v="REG-WI"/>
    <s v="IT-Written"/>
    <s v="L08601M002"/>
    <s v="WI"/>
    <s v="201759813"/>
    <s v="1689782427"/>
    <s v="1821393000"/>
    <s v=""/>
    <s v=""/>
    <x v="5"/>
    <s v="Recovery_Disputes"/>
    <s v="20260519T120805.000 GMT"/>
    <s v="1800"/>
    <s v=""/>
    <s v=""/>
    <s v="236"/>
    <s v="Yes"/>
    <s v="20260608T065536.000 GMT"/>
    <d v="2026-06-08T00:00:00"/>
    <s v="Gerramae Salanguit"/>
    <s v="PEND - PA"/>
    <s v=""/>
    <s v="EMNOTT, LYDIA R"/>
    <s v=""/>
    <s v=""/>
    <s v=""/>
    <s v=""/>
    <s v=""/>
    <s v=""/>
    <s v=""/>
    <s v="Gerramae Salanguit"/>
    <s v="34"/>
    <s v=""/>
    <s v=""/>
    <s v="Local"/>
    <s v="388808026"/>
    <s v=""/>
    <s v=""/>
    <s v=""/>
    <s v=""/>
    <s v=""/>
    <s v=""/>
    <s v=""/>
    <s v=""/>
    <s v=""/>
    <s v=""/>
    <s v=""/>
    <s v=""/>
    <s v=""/>
    <s v=""/>
    <s v=""/>
    <s v=""/>
    <s v=""/>
    <m/>
  </r>
  <r>
    <x v="0"/>
    <s v="Still waiting for a review by PA team"/>
    <x v="2"/>
    <x v="0"/>
    <x v="31"/>
    <s v="CL-35192173"/>
    <n v="40"/>
    <n v="34"/>
    <s v="31-45 DAYS"/>
    <s v="CI-75275205"/>
    <s v="AH60028"/>
    <x v="2"/>
    <n v="0"/>
    <s v="Pending-Investigation"/>
    <s v="Funding Off Outreach"/>
    <s v="VZU 195M61277"/>
    <s v="Standard"/>
    <s v="Provider"/>
    <s v="2025237DM6237"/>
    <s v="SGD47791"/>
    <s v="06/21/2026 06:43 PM"/>
    <s v="IS-Dispute"/>
    <s v="BEN-Spider"/>
    <s v="RES-Unrestricted"/>
    <s v="GS-ACA"/>
    <s v="REG-WI"/>
    <s v="IT-ASPEN"/>
    <s v="8KPC00"/>
    <s v="WI"/>
    <s v="201759813"/>
    <s v="1689782427"/>
    <s v="1699242032"/>
    <s v=""/>
    <s v="Melody D La Pena"/>
    <x v="7"/>
    <s v="Recovery_Disputes"/>
    <s v="20260519T154629.000 GMT"/>
    <s v="1800"/>
    <s v=""/>
    <s v=""/>
    <s v="VZU"/>
    <s v="No"/>
    <s v="20260622T014329.000 GMT"/>
    <d v="2026-06-22T00:00:00"/>
    <s v="Mark Ian D Ninas"/>
    <s v="Email sent for PA review."/>
    <s v=""/>
    <s v="FRIEDRICH, CASIE A"/>
    <s v=""/>
    <s v=""/>
    <s v=""/>
    <s v=""/>
    <s v=""/>
    <s v="CL-35190732"/>
    <s v=""/>
    <s v="Mark Ian D Ninas"/>
    <s v="34"/>
    <s v=""/>
    <s v="Claim Adjustment"/>
    <s v="Local"/>
    <s v="394567444"/>
    <s v=""/>
    <s v=""/>
    <s v=""/>
    <s v=""/>
    <s v=""/>
    <s v=""/>
    <s v=""/>
    <s v=""/>
    <s v=""/>
    <s v=""/>
    <s v=""/>
    <s v=""/>
    <s v=""/>
    <s v=""/>
    <s v=""/>
    <s v=""/>
    <s v=""/>
    <m/>
  </r>
  <r>
    <x v="1"/>
    <m/>
    <x v="2"/>
    <x v="0"/>
    <x v="32"/>
    <s v="2026141690530"/>
    <n v="40"/>
    <n v="32"/>
    <s v="31-45 DAYS"/>
    <s v="CI-75428545"/>
    <s v="AH22811"/>
    <x v="0"/>
    <n v="5"/>
    <s v="Pending-Investigation"/>
    <s v="Awaiting Medical Review"/>
    <s v="266W11182"/>
    <s v="IN"/>
    <s v="P"/>
    <s v="2025275CD7538"/>
    <s v="L03885"/>
    <s v="06/16/2026 06:34 PM"/>
    <s v="IS-Dispute"/>
    <s v="BEN-NonSpider"/>
    <s v="RES-Unrestricted"/>
    <s v="GS-Local"/>
    <s v="REG-OH"/>
    <s v="IT-Written"/>
    <s v="L03885M018"/>
    <s v="OH"/>
    <s v="310833936"/>
    <s v="1609915784"/>
    <s v="1235232224"/>
    <s v=""/>
    <s v=""/>
    <x v="21"/>
    <s v="Recovery_Disputes"/>
    <s v="20260522T001044.000 GMT"/>
    <s v="7743"/>
    <s v=""/>
    <s v=""/>
    <s v="266"/>
    <s v="Yes"/>
    <s v="20260617T013519.000 GMT"/>
    <d v="2026-06-17T00:00:00"/>
    <s v="Kevin Carl D Jardiolin"/>
    <s v="sent email to  PROVIDERAUDITAPPEALS@CARELON.COM for PA review"/>
    <s v=""/>
    <s v="FOONG-YEN  LIM"/>
    <s v=""/>
    <s v=""/>
    <s v=""/>
    <s v=""/>
    <s v=""/>
    <s v=""/>
    <s v=""/>
    <s v="Kevin Carl D Jardiolin"/>
    <s v="32"/>
    <s v=""/>
    <s v=""/>
    <s v="Local"/>
    <s v="288743555"/>
    <s v=""/>
    <s v=""/>
    <s v=""/>
    <s v=""/>
    <s v=""/>
    <s v=""/>
    <s v=""/>
    <s v=""/>
    <s v=""/>
    <s v=""/>
    <s v=""/>
    <s v=""/>
    <s v=""/>
    <s v=""/>
    <s v=""/>
    <s v=""/>
    <s v=""/>
    <m/>
  </r>
  <r>
    <x v="1"/>
    <m/>
    <x v="2"/>
    <x v="0"/>
    <x v="33"/>
    <s v="2026140020080"/>
    <n v="40"/>
    <n v="33"/>
    <s v="31-45 DAYS"/>
    <s v="CI-75322097"/>
    <s v="AG49226"/>
    <x v="4"/>
    <n v="13"/>
    <s v="Pending-Investigation"/>
    <s v="Awaiting Medical Review"/>
    <s v="229W21768"/>
    <s v="IN"/>
    <s v="P"/>
    <s v="2025188DM9434"/>
    <s v="L03252"/>
    <s v="06/08/2026 10:40 PM"/>
    <s v="IS-Dispute"/>
    <s v="BEN-Spider"/>
    <s v="RES-Unrestricted"/>
    <s v="GS-LocalFI"/>
    <s v="REG-WI"/>
    <s v="IT-Written"/>
    <s v="L03252M003"/>
    <s v="WI"/>
    <s v="201759813"/>
    <s v="1689782427"/>
    <s v="1083332852"/>
    <s v=""/>
    <s v=""/>
    <x v="22"/>
    <s v="Recovery_Disputes"/>
    <s v="20260520T105326.000 GMT"/>
    <s v="1800"/>
    <s v=""/>
    <s v=""/>
    <s v="229"/>
    <s v="Yes"/>
    <s v="20260609T054030.000 GMT"/>
    <d v="2026-06-09T00:00:00"/>
    <s v="Kevin Michael M Santos"/>
    <s v="PA review"/>
    <s v=""/>
    <s v="APGAR, RUBEN D"/>
    <s v=""/>
    <s v=""/>
    <s v=""/>
    <s v=""/>
    <s v=""/>
    <s v=""/>
    <s v=""/>
    <s v="Kevin Michael M Santos"/>
    <s v="33"/>
    <s v=""/>
    <s v=""/>
    <s v="Local"/>
    <s v="388112651"/>
    <s v=""/>
    <s v=""/>
    <s v=""/>
    <s v=""/>
    <s v=""/>
    <s v=""/>
    <s v=""/>
    <s v=""/>
    <s v=""/>
    <s v=""/>
    <s v=""/>
    <s v=""/>
    <s v=""/>
    <s v=""/>
    <s v=""/>
    <s v=""/>
    <s v=""/>
    <m/>
  </r>
  <r>
    <x v="1"/>
    <m/>
    <x v="2"/>
    <x v="0"/>
    <x v="34"/>
    <s v="2026143590204"/>
    <n v="40"/>
    <n v="31"/>
    <s v="31-45 DAYS"/>
    <s v="CI-75509288"/>
    <s v="AG66028"/>
    <x v="1"/>
    <n v="7"/>
    <s v="Pending-Investigation"/>
    <s v="Awaiting Medical Review"/>
    <s v="825W13926"/>
    <s v="IN"/>
    <s v="P"/>
    <s v="2025034EK4524"/>
    <s v="214021"/>
    <s v="06/14/2026 05:19 PM"/>
    <s v="IS-Dispute"/>
    <s v="BEN-NonSpider"/>
    <s v="RES-Unrestricted"/>
    <s v="GS-Toyota"/>
    <s v="REG-KY"/>
    <s v="IT-Written"/>
    <s v="214021M1SR"/>
    <s v="CA"/>
    <s v="951643325"/>
    <s v="1194926279"/>
    <s v=""/>
    <s v=""/>
    <s v=""/>
    <x v="5"/>
    <s v="Recovery_Disputes"/>
    <s v="20260523T182423.000 GMT"/>
    <s v="64457.37"/>
    <s v=""/>
    <s v=""/>
    <s v="825"/>
    <s v="Yes"/>
    <s v="20260615T002001.000 GMT"/>
    <d v="2026-06-15T00:00:00"/>
    <s v="Gerramae Salanguit"/>
    <s v="PEND - PA"/>
    <s v=""/>
    <s v="PROVIDENCE ST JUDE MEDICA"/>
    <s v=""/>
    <s v=""/>
    <s v=""/>
    <s v=""/>
    <s v=""/>
    <s v=""/>
    <s v=""/>
    <s v="Gerramae Salanguit"/>
    <s v="30"/>
    <s v=""/>
    <s v=""/>
    <s v="Local"/>
    <s v="310824666"/>
    <s v=""/>
    <s v=""/>
    <s v=""/>
    <s v=""/>
    <s v=""/>
    <s v=""/>
    <s v=""/>
    <s v=""/>
    <s v=""/>
    <s v=""/>
    <s v=""/>
    <s v=""/>
    <s v=""/>
    <s v=""/>
    <s v=""/>
    <s v=""/>
    <s v=""/>
    <m/>
  </r>
  <r>
    <x v="1"/>
    <m/>
    <x v="2"/>
    <x v="0"/>
    <x v="35"/>
    <s v="2026139490089"/>
    <n v="40"/>
    <n v="35"/>
    <s v="31-45 DAYS"/>
    <s v="CI-76216103"/>
    <s v="AG66028"/>
    <x v="1"/>
    <n v="0"/>
    <s v="Pending-Investigation"/>
    <s v="Funding Off Outreach"/>
    <s v="422W23069"/>
    <s v="IN"/>
    <s v="P"/>
    <s v="2025112CY5115"/>
    <s v="IN"/>
    <s v="06/22/2026 09:53 AM"/>
    <s v="IS-Dispute"/>
    <s v="BEN-Spider"/>
    <s v="RES-Unrestricted"/>
    <s v="GS-ACA"/>
    <s v="REG-GA"/>
    <s v="IT-Written"/>
    <s v="8JGH00"/>
    <s v="GA"/>
    <s v="581954432"/>
    <s v="1225050396"/>
    <s v=""/>
    <s v=""/>
    <s v=""/>
    <x v="5"/>
    <s v="Recovery_Disputes"/>
    <s v="20260608T162421.000 GMT"/>
    <s v="190771"/>
    <s v=""/>
    <s v=""/>
    <s v="422"/>
    <s v="Yes"/>
    <s v="20260622T165356.000 GMT"/>
    <d v="2026-06-22T00:00:00"/>
    <s v="Gerramae Salanguit"/>
    <s v="PEND - PA"/>
    <s v=""/>
    <s v="NORTHSIDE HOSPITAL INC"/>
    <s v=""/>
    <s v=""/>
    <s v=""/>
    <s v=""/>
    <s v=""/>
    <s v=""/>
    <s v=""/>
    <s v="Gerramae Salanguit"/>
    <s v="14"/>
    <s v=""/>
    <s v="CS"/>
    <s v="Local"/>
    <s v="254274695"/>
    <s v=""/>
    <s v=""/>
    <s v=""/>
    <s v=""/>
    <s v=""/>
    <s v=""/>
    <s v=""/>
    <s v=""/>
    <s v=""/>
    <s v=""/>
    <s v=""/>
    <s v=""/>
    <s v=""/>
    <s v=""/>
    <s v=""/>
    <s v=""/>
    <s v=""/>
    <m/>
  </r>
  <r>
    <x v="1"/>
    <m/>
    <x v="2"/>
    <x v="0"/>
    <x v="36"/>
    <s v="2026134350161"/>
    <n v="40"/>
    <n v="40"/>
    <s v="31-45 DAYS"/>
    <s v="CI-75042496"/>
    <s v="AG66028"/>
    <x v="1"/>
    <n v="7"/>
    <s v="Pending-Investigation"/>
    <s v="Funding Off Outreach"/>
    <s v="788M61271"/>
    <s v="IN"/>
    <s v="P"/>
    <s v="2025237DJ0024"/>
    <s v="L04388"/>
    <s v="06/15/2026 11:04 AM"/>
    <s v="IS-Dispute"/>
    <s v="BEN-Spider"/>
    <s v="RES-Unrestricted"/>
    <s v="GS-Local"/>
    <s v="REG-KY"/>
    <s v="IT-Written"/>
    <s v="L04388M010"/>
    <s v="OH"/>
    <s v="272413974"/>
    <s v="1811215742"/>
    <s v="1841594496"/>
    <s v=""/>
    <s v=""/>
    <x v="5"/>
    <s v="Recovery_Disputes"/>
    <s v="20260514T143041.000 GMT"/>
    <s v="9265"/>
    <s v=""/>
    <s v=""/>
    <s v="788"/>
    <s v="Yes"/>
    <s v="20260615T180433.000 GMT"/>
    <d v="2026-06-15T00:00:00"/>
    <s v="Gerramae Salanguit"/>
    <s v="PEND - PA"/>
    <s v=""/>
    <s v="BRIAN A KUHN, BRIAN A"/>
    <s v=""/>
    <s v=""/>
    <s v=""/>
    <s v=""/>
    <s v=""/>
    <s v=""/>
    <s v=""/>
    <s v="Gerramae Salanguit"/>
    <s v="39"/>
    <s v=""/>
    <s v=""/>
    <s v="Local"/>
    <s v="381907975"/>
    <s v=""/>
    <s v=""/>
    <s v=""/>
    <s v=""/>
    <s v=""/>
    <s v=""/>
    <s v=""/>
    <s v=""/>
    <s v=""/>
    <s v=""/>
    <s v=""/>
    <s v=""/>
    <s v=""/>
    <s v=""/>
    <s v=""/>
    <s v=""/>
    <s v=""/>
    <m/>
  </r>
  <r>
    <x v="1"/>
    <m/>
    <x v="8"/>
    <x v="0"/>
    <x v="37"/>
    <s v="2026143080239"/>
    <n v="40"/>
    <n v="32"/>
    <s v="31-45 DAYS"/>
    <s v="CI-75509409"/>
    <s v="AL55483"/>
    <x v="0"/>
    <n v="7"/>
    <s v="Pending-Investigation"/>
    <s v="Awaiting Medical Review"/>
    <s v="604M98981"/>
    <s v="IN"/>
    <s v="P"/>
    <s v="2025176R10260"/>
    <s v="0A2V6Y"/>
    <s v="06/17/2026 04:20 PM"/>
    <s v="IS-Dispute"/>
    <s v="BEN-Spider"/>
    <s v="RES-Unrestricted"/>
    <s v="GS-Local"/>
    <s v="REG-VA"/>
    <s v="IT-Written"/>
    <s v="00D669M204"/>
    <s v="VA"/>
    <s v="540885859"/>
    <s v="1265470645"/>
    <s v="1306288816"/>
    <s v=""/>
    <s v=""/>
    <x v="8"/>
    <s v="Recovery_Disputes"/>
    <s v="20260523T182829.000 GMT"/>
    <s v="12401"/>
    <s v=""/>
    <s v=""/>
    <s v="604"/>
    <s v="Yes"/>
    <s v="20260617T232035.000 GMT"/>
    <d v="2026-06-17T00:00:00"/>
    <s v="Mary Joy G Miranda"/>
    <s v="Sent email to PA for medical record review"/>
    <s v=""/>
    <s v="MCGOWAN, SHANE M"/>
    <s v=""/>
    <s v=""/>
    <s v=""/>
    <s v=""/>
    <s v=""/>
    <s v=""/>
    <s v=""/>
    <s v="Mary Joy G Miranda"/>
    <s v="32"/>
    <s v=""/>
    <s v=""/>
    <s v="Local"/>
    <s v="732093377"/>
    <s v=""/>
    <s v=""/>
    <s v=""/>
    <s v=""/>
    <s v=""/>
    <s v=""/>
    <s v=""/>
    <s v=""/>
    <s v=""/>
    <s v=""/>
    <s v=""/>
    <s v=""/>
    <s v=""/>
    <s v=""/>
    <s v=""/>
    <s v=""/>
    <s v=""/>
    <m/>
  </r>
  <r>
    <x v="1"/>
    <s v="FOD edit encounter upon adjusting; for email to onshore."/>
    <x v="8"/>
    <x v="0"/>
    <x v="38"/>
    <n v="2026127680358"/>
    <n v="40"/>
    <n v="48"/>
    <s v="46-60 DAYS"/>
    <s v="CI-74717111"/>
    <s v="AL86940"/>
    <x v="2"/>
    <n v="2"/>
    <s v="Pending-Review"/>
    <s v="Awaiting Medical Review"/>
    <s v="5002034AB"/>
    <s v="AP"/>
    <s v="P"/>
    <s v="2024152EL9455"/>
    <s v="L02827"/>
    <s v="06/21/2026 07:31 PM"/>
    <s v="IS-Dispute"/>
    <s v="BEN-NonSpider"/>
    <s v="RES-Unrestricted"/>
    <s v="GS-JAALocal"/>
    <s v="REG-CA"/>
    <s v="IT-Written"/>
    <s v="L02827M017"/>
    <s v="CA"/>
    <s v="522380476"/>
    <s v="1003965328"/>
    <s v=""/>
    <s v=""/>
    <s v=""/>
    <x v="23"/>
    <s v="Recovery_Disputes"/>
    <s v="20260507T205047.000 GMT"/>
    <s v="98835.71"/>
    <s v=""/>
    <s v=""/>
    <s v="500"/>
    <s v="Yes"/>
    <s v="20260622T023203.000 GMT"/>
    <d v="2026-06-22T00:00:00"/>
    <s v="Marichu D Consad"/>
    <s v="Sent to PA for review."/>
    <s v=""/>
    <s v="PACIFIC HEIGHTS SURGERY C"/>
    <s v=""/>
    <s v=""/>
    <s v=""/>
    <s v=""/>
    <s v=""/>
    <s v=""/>
    <s v=""/>
    <s v="Marichu D Consad"/>
    <s v="48"/>
    <s v=""/>
    <s v="CS"/>
    <s v="Local"/>
    <s v="5002034AB"/>
    <s v=""/>
    <s v=""/>
    <s v=""/>
    <s v=""/>
    <s v=""/>
    <s v=""/>
    <s v=""/>
    <s v=""/>
    <s v=""/>
    <s v=""/>
    <s v=""/>
    <s v=""/>
    <s v=""/>
    <s v=""/>
    <s v=""/>
    <s v=""/>
    <s v=""/>
    <m/>
  </r>
  <r>
    <x v="0"/>
    <s v="Waiting PA response"/>
    <x v="10"/>
    <x v="0"/>
    <x v="39"/>
    <s v="2026150850307"/>
    <n v="40"/>
    <n v="36"/>
    <s v="31-45 DAYS"/>
    <s v="CI-75807218"/>
    <s v="AL55790"/>
    <x v="0"/>
    <n v="10"/>
    <s v="Pending-Investigation"/>
    <s v="Awaiting Medical Review"/>
    <s v="919059462"/>
    <s v="IN"/>
    <s v="P"/>
    <s v="2025325CU7540"/>
    <s v="NYITSH"/>
    <s v="06/24/2026 06:49 PM"/>
    <s v="IS-Dispute"/>
    <s v="BEN-NoBenefit"/>
    <s v="RES-Unrestricted"/>
    <s v="GS-Host"/>
    <s v="REG-NY"/>
    <s v="IT-Written"/>
    <s v="ITSPPO254"/>
    <s v="NY"/>
    <s v="134010372"/>
    <s v="1699766261"/>
    <s v="1689883449"/>
    <s v="25420253253238700"/>
    <s v=""/>
    <x v="24"/>
    <s v="Recovery_Disputes"/>
    <s v="20260530T222153.000 GMT"/>
    <s v="21002.19"/>
    <s v=""/>
    <s v=""/>
    <s v="919"/>
    <s v="Yes"/>
    <s v="20260625T014949.000 GMT"/>
    <d v="2026-06-25T00:00:00"/>
    <s v="Dwena Joy D Sevilla"/>
    <s v="Sent email to PA for medical records review"/>
    <s v=""/>
    <s v="BABAK  GIVI"/>
    <s v=""/>
    <s v=""/>
    <s v=""/>
    <s v=""/>
    <s v=""/>
    <s v=""/>
    <s v=""/>
    <s v="Dwena Joy D Sevilla"/>
    <s v="36"/>
    <s v=""/>
    <s v=""/>
    <s v="BlueCard"/>
    <s v="919059462"/>
    <s v=""/>
    <s v=""/>
    <s v=""/>
    <s v=""/>
    <s v=""/>
    <s v=""/>
    <s v=""/>
    <s v=""/>
    <s v=""/>
    <s v=""/>
    <s v=""/>
    <s v=""/>
    <s v=""/>
    <s v=""/>
    <s v=""/>
    <s v=""/>
    <s v=""/>
    <m/>
  </r>
  <r>
    <x v="0"/>
    <s v="Pending high dollar review"/>
    <x v="10"/>
    <x v="0"/>
    <x v="40"/>
    <s v="2026155670367"/>
    <n v="40"/>
    <n v="32"/>
    <s v="31-45 DAYS"/>
    <s v="CI-76056207"/>
    <s v="AH22793"/>
    <x v="0"/>
    <n v="10"/>
    <s v="Pending-Investigation"/>
    <s v="Funding Off Outreach"/>
    <s v="AN8421794"/>
    <s v="IN"/>
    <s v="P"/>
    <s v="2025007EH8448"/>
    <s v="W24174"/>
    <s v="06/24/2026 06:42 PM"/>
    <s v="IS-Dispute"/>
    <s v="BEN-NonSpider"/>
    <s v="RES-Unrestricted"/>
    <s v="GS-StateOfIN"/>
    <s v="REG-IN"/>
    <s v="IT-Written"/>
    <s v="W24174P545"/>
    <s v="IN"/>
    <s v="351955872"/>
    <s v="1144266024"/>
    <s v=""/>
    <s v=""/>
    <s v=""/>
    <x v="0"/>
    <s v="Recovery_Disputes"/>
    <s v="20260604T200607.000 GMT"/>
    <s v="121910.49"/>
    <s v=""/>
    <s v=""/>
    <s v="AN8"/>
    <s v="Yes"/>
    <s v="20260625T014232.000 GMT"/>
    <d v="2026-06-25T00:00:00"/>
    <s v="Mary Elizabeth C Pedregoza"/>
    <s v="Sent for PA review"/>
    <s v=""/>
    <s v="INDIANA UNIVERSITY HEALTH"/>
    <s v=""/>
    <s v=""/>
    <s v=""/>
    <s v=""/>
    <s v=""/>
    <s v=""/>
    <s v=""/>
    <s v="Mary Elizabeth C Pedregoza"/>
    <s v="31"/>
    <s v=""/>
    <s v=""/>
    <s v="Local"/>
    <s v="314783650"/>
    <s v=""/>
    <s v=""/>
    <s v=""/>
    <s v=""/>
    <s v=""/>
    <s v=""/>
    <s v=""/>
    <s v=""/>
    <s v=""/>
    <s v=""/>
    <s v=""/>
    <s v=""/>
    <s v=""/>
    <s v=""/>
    <s v=""/>
    <s v=""/>
    <s v=""/>
    <m/>
  </r>
  <r>
    <x v="1"/>
    <m/>
    <x v="10"/>
    <x v="0"/>
    <x v="41"/>
    <s v="2026149100340"/>
    <n v="40"/>
    <n v="37"/>
    <s v="31-45 DAYS"/>
    <s v="CI-75760705"/>
    <s v="AL20338"/>
    <x v="1"/>
    <n v="11"/>
    <s v="Pending-Investigation"/>
    <s v="Awaiting Medical Review"/>
    <s v="782W08721"/>
    <s v="IN"/>
    <s v="P"/>
    <s v="2025016EU2228"/>
    <s v="L01161"/>
    <s v="06/23/2026 11:48 PM"/>
    <s v="IS-Dispute"/>
    <s v="BEN-NonSpider"/>
    <s v="RES-Unrestricted"/>
    <s v="GS-Local"/>
    <s v="REG-KY"/>
    <s v="IT-Written"/>
    <s v="L01161M003"/>
    <s v="IN"/>
    <s v="461072979"/>
    <s v="1710231642"/>
    <s v=""/>
    <s v=""/>
    <s v=""/>
    <x v="19"/>
    <s v="Recovery_Disputes"/>
    <s v="20260529T200447.000 GMT"/>
    <s v="19388"/>
    <s v=""/>
    <s v=""/>
    <s v="782"/>
    <s v="Yes"/>
    <s v="20260624T064849.000 GMT"/>
    <d v="2026-06-24T00:00:00"/>
    <s v="Virgil Joseph L Domalaoco"/>
    <s v="Still Waiting for Response from Provider Audit"/>
    <s v=""/>
    <s v="ADVANCED REGIONAL SURGERY"/>
    <s v=""/>
    <s v=""/>
    <s v=""/>
    <s v=""/>
    <s v=""/>
    <s v=""/>
    <s v=""/>
    <s v="Virgil Joseph L Domalaoco"/>
    <s v="37"/>
    <s v=""/>
    <s v="CS"/>
    <s v="Local"/>
    <s v="407576435"/>
    <s v=""/>
    <s v=""/>
    <s v=""/>
    <s v=""/>
    <s v=""/>
    <s v=""/>
    <s v=""/>
    <s v=""/>
    <s v=""/>
    <s v=""/>
    <s v=""/>
    <s v=""/>
    <s v=""/>
    <s v=""/>
    <s v=""/>
    <s v=""/>
    <s v=""/>
    <m/>
  </r>
  <r>
    <x v="0"/>
    <s v="transferred to IAN CAMERON"/>
    <x v="10"/>
    <x v="0"/>
    <x v="42"/>
    <s v="2026142120535"/>
    <n v="40"/>
    <n v="44"/>
    <s v="31-45 DAYS"/>
    <s v="CI-75486874"/>
    <s v="AH01469"/>
    <x v="1"/>
    <n v="3"/>
    <s v="Pending-Investigation"/>
    <s v="Awaiting Medical Review"/>
    <s v="0097395LR"/>
    <s v="IN"/>
    <s v="P"/>
    <s v="2025349R71924"/>
    <s v="JNY115"/>
    <s v="07/02/2026 04:24 AM"/>
    <s v="IS-Dispute"/>
    <s v="BEN-NonSpider"/>
    <s v="RES-Unrestricted"/>
    <s v="GS-JAALocal"/>
    <s v="REG-NY"/>
    <s v="IT-Written"/>
    <s v="JNY115M301"/>
    <s v="NY"/>
    <s v="270348619"/>
    <s v="1942607981"/>
    <s v="1083786545"/>
    <s v=""/>
    <s v=""/>
    <x v="25"/>
    <s v="Recovery_Disputes"/>
    <s v="20260523T052934.000 GMT"/>
    <s v="232"/>
    <s v=""/>
    <s v=""/>
    <s v="009"/>
    <s v="Yes"/>
    <s v="20260702T112432.000 GMT"/>
    <d v="2026-07-02T00:00:00"/>
    <s v="Eileen R Pasaraba"/>
    <s v="need SME assistance"/>
    <s v=""/>
    <s v="LYDIA E BIFFER, LYDIA E"/>
    <s v=""/>
    <s v=""/>
    <s v=""/>
    <s v=""/>
    <s v=""/>
    <s v=""/>
    <s v=""/>
    <s v="Eileen R Pasaraba"/>
    <s v="44"/>
    <s v="Amalgamated Employee Benefit Administration (AEBA)"/>
    <s v=""/>
    <s v="Local"/>
    <s v="0097395LR"/>
    <s v=""/>
    <s v=""/>
    <s v=""/>
    <s v=""/>
    <s v=""/>
    <s v=""/>
    <s v=""/>
    <s v=""/>
    <s v=""/>
    <s v=""/>
    <s v=""/>
    <s v=""/>
    <s v=""/>
    <s v=""/>
    <s v=""/>
    <s v=""/>
    <s v=""/>
    <m/>
  </r>
  <r>
    <x v="1"/>
    <m/>
    <x v="10"/>
    <x v="0"/>
    <x v="43"/>
    <s v="2026155490438"/>
    <n v="40"/>
    <n v="31"/>
    <s v="31-45 DAYS"/>
    <s v="CI-76139777"/>
    <s v="AL20338"/>
    <x v="1"/>
    <n v="6"/>
    <s v="Pending-Investigation"/>
    <s v="Awaiting CCA Response"/>
    <s v="735M96586"/>
    <s v="AP"/>
    <s v="P"/>
    <s v="2025057ES5289"/>
    <s v="174327"/>
    <s v="06/28/2026 05:53 PM"/>
    <s v="IS-Dispute"/>
    <s v="BEN-NonSpider"/>
    <s v="RES-Unrestricted"/>
    <s v="GS-WIPROFlexAccounts"/>
    <s v="REG-CA"/>
    <s v="IT-Written"/>
    <s v="174327M21A"/>
    <s v="CA"/>
    <s v="825265440"/>
    <s v="1255829503"/>
    <s v="1255072245"/>
    <s v=""/>
    <s v=""/>
    <x v="19"/>
    <s v="Recovery_Disputes"/>
    <s v="20260606T084325.000 GMT"/>
    <s v="260"/>
    <s v=""/>
    <s v=""/>
    <s v="735"/>
    <s v="Yes"/>
    <s v="20260629T005313.000 GMT"/>
    <d v="2026-06-29T00:00:00"/>
    <s v="Virgil Joseph L Domalaoco"/>
    <s v="Still Waiting for Response from Provider Audit"/>
    <s v=""/>
    <s v=""/>
    <s v=""/>
    <s v=""/>
    <s v=""/>
    <s v=""/>
    <s v=""/>
    <s v=""/>
    <s v=""/>
    <s v="Virgil Joseph L Domalaoco"/>
    <s v="29"/>
    <s v=""/>
    <s v="CS"/>
    <s v="Local"/>
    <s v="560458597"/>
    <s v=""/>
    <s v=""/>
    <s v=""/>
    <s v=""/>
    <s v=""/>
    <s v=""/>
    <s v=""/>
    <s v=""/>
    <s v=""/>
    <s v=""/>
    <s v=""/>
    <s v=""/>
    <s v=""/>
    <s v=""/>
    <s v=""/>
    <s v=""/>
    <s v=""/>
    <m/>
  </r>
  <r>
    <x v="0"/>
    <s v="Still on PA review, 06/26/2026"/>
    <x v="10"/>
    <x v="0"/>
    <x v="44"/>
    <s v="2026155670560"/>
    <n v="40"/>
    <n v="31"/>
    <s v="31-45 DAYS"/>
    <s v="CI-76075267"/>
    <s v="AH00092"/>
    <x v="2"/>
    <n v="9"/>
    <s v="Pending-Investigation"/>
    <s v="Awaiting Medical Review"/>
    <s v="746M54893"/>
    <s v="IN"/>
    <s v="P"/>
    <s v="2025268BY0205"/>
    <s v="L03085"/>
    <s v="06/25/2026 07:11 PM"/>
    <s v="IS-Dispute"/>
    <s v="BEN-Spider"/>
    <s v="RES-Unrestricted"/>
    <s v="GS-Local"/>
    <s v="REG-KY"/>
    <s v="IT-Written"/>
    <s v="L03085M002"/>
    <s v="KY"/>
    <s v="273645560"/>
    <s v="1972873529"/>
    <s v="1891173522"/>
    <s v=""/>
    <s v=""/>
    <x v="26"/>
    <s v="Recovery_Disputes"/>
    <s v="20260605T024738.000 GMT"/>
    <s v="3733"/>
    <s v=""/>
    <s v=""/>
    <s v="746"/>
    <s v="Yes"/>
    <s v="20260626T021257.000 GMT"/>
    <d v="2026-06-26T00:00:00"/>
    <s v="John Paul M Tuazon"/>
    <s v="Email sent for PA review"/>
    <s v=""/>
    <s v="PERA, SAMUEL J"/>
    <s v=""/>
    <s v=""/>
    <s v=""/>
    <s v=""/>
    <s v=""/>
    <s v=""/>
    <s v=""/>
    <s v="John Paul M Tuazon"/>
    <s v="31"/>
    <s v=""/>
    <s v=""/>
    <s v="Local"/>
    <s v="238496744"/>
    <s v=""/>
    <s v=""/>
    <s v=""/>
    <s v=""/>
    <s v=""/>
    <s v=""/>
    <s v=""/>
    <s v=""/>
    <s v=""/>
    <s v=""/>
    <s v=""/>
    <s v=""/>
    <s v=""/>
    <s v=""/>
    <s v=""/>
    <s v=""/>
    <s v=""/>
    <m/>
  </r>
  <r>
    <x v="0"/>
    <s v="Still no response since 6/27"/>
    <x v="11"/>
    <x v="0"/>
    <x v="45"/>
    <s v="2026155590489"/>
    <n v="40"/>
    <n v="31"/>
    <s v="31-45 DAYS"/>
    <s v="CI-76065567"/>
    <s v="AH89140"/>
    <x v="0"/>
    <n v="9"/>
    <s v="Pending-Investigation"/>
    <s v="Awaiting CCA Response"/>
    <s v="AN6024530"/>
    <s v="IN"/>
    <s v="P"/>
    <s v="2025126BC9508"/>
    <s v="W71116"/>
    <s v="06/25/2026 06:11 PM"/>
    <s v="IS-Dispute"/>
    <s v="BEN-NonSpider"/>
    <s v="RES-Unrestricted"/>
    <s v="GS-Local"/>
    <s v="REG-MO"/>
    <s v="IT-Written"/>
    <s v="W71116M001"/>
    <s v="MO"/>
    <s v="431704371"/>
    <s v="1679517023"/>
    <s v="1457563587"/>
    <s v=""/>
    <s v=""/>
    <x v="27"/>
    <s v="Recovery_Disputes"/>
    <s v="20260604T224911.000 GMT"/>
    <s v="15207"/>
    <s v=""/>
    <s v=""/>
    <s v="AN6"/>
    <s v="Yes"/>
    <s v="20260626T011203.000 GMT"/>
    <d v="2026-06-26T00:00:00"/>
    <s v="Alvin F Fejer"/>
    <s v="Sent to PA for review. Thanks"/>
    <s v=""/>
    <s v="SWEANEY, JOSHUA C"/>
    <s v=""/>
    <s v=""/>
    <s v=""/>
    <s v=""/>
    <s v=""/>
    <s v=""/>
    <s v=""/>
    <s v="Alvin F Fejer"/>
    <s v="31"/>
    <s v=""/>
    <s v=""/>
    <s v="Local"/>
    <s v="233784021"/>
    <s v=""/>
    <s v=""/>
    <s v=""/>
    <s v=""/>
    <s v=""/>
    <s v=""/>
    <s v=""/>
    <s v=""/>
    <s v=""/>
    <s v=""/>
    <s v=""/>
    <s v=""/>
    <s v=""/>
    <s v=""/>
    <s v=""/>
    <s v=""/>
    <s v=""/>
    <m/>
  </r>
  <r>
    <x v="0"/>
    <s v="Waiting for PA response"/>
    <x v="10"/>
    <x v="0"/>
    <x v="46"/>
    <s v="2026151410065"/>
    <n v="40"/>
    <n v="35"/>
    <s v="31-45 DAYS"/>
    <s v="CI-75819862"/>
    <s v="AG71384"/>
    <x v="0"/>
    <n v="13"/>
    <s v="Pending-Investigation"/>
    <s v="Funding Off Outreach"/>
    <s v="604W02291"/>
    <s v="IN"/>
    <s v="P"/>
    <s v="2025293BZ5553"/>
    <s v="SGA67202"/>
    <s v="06/21/2026 09:19 PM"/>
    <s v="IS-Dispute"/>
    <s v="BEN-Spider"/>
    <s v="RES-Unrestricted"/>
    <s v="GS-ACA"/>
    <s v="REG-WI"/>
    <s v="IT-Written"/>
    <s v="8KN800"/>
    <s v="WI"/>
    <s v="391231411"/>
    <s v="1285792341"/>
    <s v="1508817073"/>
    <s v=""/>
    <s v=""/>
    <x v="1"/>
    <s v="Recovery_Disputes"/>
    <s v="20260531T134823.000 GMT"/>
    <s v="15847"/>
    <s v=""/>
    <s v=""/>
    <s v="604"/>
    <s v="Yes"/>
    <s v="20260622T042003.000 GMT"/>
    <d v="2026-06-22T00:00:00"/>
    <s v="Jhon Calvin Idnay"/>
    <s v="Sent Email to PA"/>
    <s v=""/>
    <s v="SCHULTZ, DAVID J"/>
    <s v=""/>
    <s v=""/>
    <s v=""/>
    <s v=""/>
    <s v=""/>
    <s v=""/>
    <s v=""/>
    <s v="Jhon Calvin Idnay"/>
    <s v="35"/>
    <s v=""/>
    <s v=""/>
    <s v="Local"/>
    <s v="399116658"/>
    <s v=""/>
    <s v=""/>
    <s v=""/>
    <s v=""/>
    <s v=""/>
    <s v=""/>
    <s v=""/>
    <s v=""/>
    <s v=""/>
    <s v=""/>
    <s v=""/>
    <s v=""/>
    <s v=""/>
    <s v=""/>
    <s v=""/>
    <s v=""/>
    <s v=""/>
    <m/>
  </r>
  <r>
    <x v="0"/>
    <s v="Waiting for Provider Audit response"/>
    <x v="10"/>
    <x v="0"/>
    <x v="47"/>
    <s v="2026150250151"/>
    <n v="40"/>
    <n v="36"/>
    <s v="31-45 DAYS"/>
    <s v="CI-75900201"/>
    <s v="AL39630"/>
    <x v="0"/>
    <n v="13"/>
    <s v="Pending-Investigation"/>
    <s v="Funding Off Outreach"/>
    <s v="987A20103"/>
    <s v="IN"/>
    <s v="P"/>
    <s v="2025210DG2160"/>
    <s v="174588"/>
    <s v="06/21/2026 08:38 PM"/>
    <s v="IS-Dispute"/>
    <s v="BEN-NonSpider"/>
    <s v="RES-Unrestricted"/>
    <s v="GS-WIPROFlexAccounts"/>
    <s v="REG-GA"/>
    <s v="IT-Written"/>
    <s v="174588MCW1"/>
    <s v="GA"/>
    <s v="581954432"/>
    <s v="1225050396"/>
    <s v=""/>
    <s v=""/>
    <s v=""/>
    <x v="6"/>
    <s v="Recovery_Disputes"/>
    <s v="20260602T092743.000 GMT"/>
    <s v="50076"/>
    <s v=""/>
    <s v=""/>
    <s v="987"/>
    <s v="Yes"/>
    <s v="20260622T034112.000 GMT"/>
    <d v="2026-06-22T00:00:00"/>
    <s v="Angelica B Buan"/>
    <s v="Inquiry is pending for a CCA response and High Dollar review."/>
    <s v=""/>
    <s v="NORTHSIDE HOSPITAL INC"/>
    <s v=""/>
    <s v=""/>
    <s v=""/>
    <s v=""/>
    <s v=""/>
    <s v=""/>
    <s v=""/>
    <s v="Angelica B Buan"/>
    <s v="33"/>
    <s v=""/>
    <s v=""/>
    <s v="Local"/>
    <s v="267394501"/>
    <s v=""/>
    <s v=""/>
    <s v=""/>
    <s v=""/>
    <s v=""/>
    <s v=""/>
    <s v=""/>
    <s v=""/>
    <s v=""/>
    <s v=""/>
    <s v=""/>
    <s v=""/>
    <s v=""/>
    <s v=""/>
    <s v=""/>
    <s v=""/>
    <s v=""/>
    <m/>
  </r>
  <r>
    <x v="1"/>
    <m/>
    <x v="10"/>
    <x v="0"/>
    <x v="48"/>
    <s v="2026155660171"/>
    <n v="40"/>
    <n v="31"/>
    <s v="31-45 DAYS"/>
    <s v="CI-76033894"/>
    <s v="AI02198"/>
    <x v="1"/>
    <n v="5"/>
    <s v="Pending-Investigation"/>
    <s v="Awaiting CCA Response"/>
    <s v="312W12070"/>
    <s v="AP"/>
    <s v="P"/>
    <s v="2025307DR4315"/>
    <s v="174284"/>
    <s v="06/29/2026 07:39 PM"/>
    <s v="IS-Dispute"/>
    <s v="BEN-NonSpider"/>
    <s v="RES-Unrestricted"/>
    <s v="GS-National"/>
    <s v="REG-CA"/>
    <s v="IT-Written"/>
    <s v="174284M1XF"/>
    <s v="CA"/>
    <s v="943235450"/>
    <s v="1851369284"/>
    <s v=""/>
    <s v=""/>
    <s v=""/>
    <x v="2"/>
    <s v="Recovery_Disputes"/>
    <s v="20260604T140937.000 GMT"/>
    <s v="35400"/>
    <s v=""/>
    <s v=""/>
    <s v="312"/>
    <s v="Yes"/>
    <s v="20260630T024018.000 GMT"/>
    <d v="2026-06-30T00:00:00"/>
    <s v="Ralfh Roger Bobiles"/>
    <s v="Sent to PA"/>
    <s v=""/>
    <s v="FREMONT SURGERY CENTER"/>
    <s v=""/>
    <s v=""/>
    <s v=""/>
    <s v=""/>
    <s v=""/>
    <s v=""/>
    <s v=""/>
    <s v="Ralfh Roger Bobiles"/>
    <s v="31"/>
    <s v=""/>
    <s v="CS"/>
    <s v="Local"/>
    <s v="585825650"/>
    <s v=""/>
    <s v=""/>
    <s v=""/>
    <s v=""/>
    <s v=""/>
    <s v=""/>
    <s v=""/>
    <s v=""/>
    <s v=""/>
    <s v=""/>
    <s v=""/>
    <s v=""/>
    <s v=""/>
    <s v=""/>
    <s v=""/>
    <s v=""/>
    <s v=""/>
    <m/>
  </r>
  <r>
    <x v="1"/>
    <m/>
    <x v="10"/>
    <x v="0"/>
    <x v="49"/>
    <s v="2026155170584"/>
    <n v="40"/>
    <n v="31"/>
    <s v="31-45 DAYS"/>
    <s v="CI-76075365"/>
    <s v="AL20338"/>
    <x v="1"/>
    <n v="6"/>
    <s v="Pending-Investigation"/>
    <s v="Awaiting CCA Response"/>
    <s v="114M94717"/>
    <s v="AP"/>
    <s v="P"/>
    <s v="2025328FM6393"/>
    <s v="174063"/>
    <s v="06/28/2026 05:17 PM"/>
    <s v="IS-Dispute"/>
    <s v="BEN-NonSpider"/>
    <s v="RES-Unrestricted"/>
    <s v="GS-National"/>
    <s v="REG-CA"/>
    <s v="IT-Written"/>
    <s v="174063M2A4"/>
    <s v="VA"/>
    <s v="113654617"/>
    <s v="1659335438"/>
    <s v=""/>
    <s v=""/>
    <s v=""/>
    <x v="19"/>
    <s v="Recovery_Disputes"/>
    <s v="20260605T025100.000 GMT"/>
    <s v="15451.25"/>
    <s v=""/>
    <s v=""/>
    <s v="114"/>
    <s v="Yes"/>
    <s v="20260629T001812.000 GMT"/>
    <d v="2026-06-29T00:00:00"/>
    <s v="Virgil Joseph L Domalaoco"/>
    <s v="Still Waiting for Response from Provider Audit"/>
    <s v=""/>
    <s v="RESTON SURGERY CENTER"/>
    <s v=""/>
    <s v=""/>
    <s v=""/>
    <s v=""/>
    <s v=""/>
    <s v=""/>
    <s v=""/>
    <s v="Virgil Joseph L Domalaoco"/>
    <s v="31"/>
    <s v=""/>
    <s v="CS"/>
    <s v="Local"/>
    <s v="225398455"/>
    <s v=""/>
    <s v=""/>
    <s v=""/>
    <s v=""/>
    <s v=""/>
    <s v=""/>
    <s v=""/>
    <s v=""/>
    <s v=""/>
    <s v=""/>
    <s v=""/>
    <s v=""/>
    <s v=""/>
    <s v=""/>
    <s v=""/>
    <s v=""/>
    <s v=""/>
    <m/>
  </r>
  <r>
    <x v="0"/>
    <s v="_x000a_Having ang error with adjusting will do it again today"/>
    <x v="10"/>
    <x v="0"/>
    <x v="50"/>
    <s v="2026153610084"/>
    <n v="40"/>
    <n v="34"/>
    <s v="31-45 DAYS"/>
    <s v="CI-75904307"/>
    <s v="AL43840"/>
    <x v="0"/>
    <n v="4"/>
    <s v="Pending-Investigation"/>
    <s v="Additional Research"/>
    <s v="128M66426"/>
    <s v="IN"/>
    <s v="P"/>
    <s v="2025248EF1706"/>
    <s v="L04372"/>
    <s v="07/01/2026 04:33 PM"/>
    <s v="IS-Dispute"/>
    <s v="BEN-Spider"/>
    <s v="RES-Unrestricted"/>
    <s v="GS-Local"/>
    <s v="REG-MO"/>
    <s v="IT-Written"/>
    <s v="L04372M005"/>
    <s v="MO"/>
    <s v="436003859"/>
    <s v="1699769901"/>
    <s v=""/>
    <s v=""/>
    <s v=""/>
    <x v="28"/>
    <s v="Recovery_Disputes"/>
    <s v="20260602T111734.000 GMT"/>
    <s v="149051.99"/>
    <s v=""/>
    <s v=""/>
    <s v="128"/>
    <s v="Yes"/>
    <s v="20260701T233322.000 GMT"/>
    <d v="2026-07-01T00:00:00"/>
    <s v="Nora Karla G Dela pena"/>
    <s v="Waiting for response from provider audit"/>
    <s v=""/>
    <s v="CURATORS OF THE UNIVERSIT"/>
    <s v=""/>
    <s v=""/>
    <s v=""/>
    <s v=""/>
    <s v=""/>
    <s v=""/>
    <s v=""/>
    <s v="Nora Karla G Dela pena"/>
    <s v="33"/>
    <s v=""/>
    <s v=""/>
    <s v="Local"/>
    <s v="493927612"/>
    <s v=""/>
    <s v=""/>
    <s v=""/>
    <s v=""/>
    <s v=""/>
    <s v=""/>
    <s v=""/>
    <s v=""/>
    <s v=""/>
    <s v=""/>
    <s v=""/>
    <s v=""/>
    <s v=""/>
    <s v=""/>
    <s v=""/>
    <s v=""/>
    <s v=""/>
    <m/>
  </r>
  <r>
    <x v="1"/>
    <m/>
    <x v="10"/>
    <x v="0"/>
    <x v="51"/>
    <s v="2026152390353"/>
    <n v="40"/>
    <n v="34"/>
    <s v="31-45 DAYS"/>
    <s v="CI-75886528"/>
    <s v="AL20320"/>
    <x v="0"/>
    <n v="5"/>
    <s v="Pending-Investigation"/>
    <s v="Awaiting CCA Response"/>
    <s v="687W02577"/>
    <s v="IN"/>
    <s v="P"/>
    <s v="2024261DL7177"/>
    <s v="375418"/>
    <s v="06/30/2026 03:42 PM"/>
    <s v="IS-Dispute"/>
    <s v="BEN-CS90Kernel"/>
    <s v="RES-Unrestricted"/>
    <s v="GS-Local"/>
    <s v="REG-NY"/>
    <s v="IT-Written"/>
    <s v="37541800AM"/>
    <s v="NY"/>
    <s v="200248148"/>
    <s v="1598328932"/>
    <s v=""/>
    <s v=""/>
    <s v=""/>
    <x v="29"/>
    <s v="Recovery_Disputes"/>
    <s v="20260601T225219.000 GMT"/>
    <s v="73295.34"/>
    <s v=""/>
    <s v=""/>
    <s v="687"/>
    <s v="Yes"/>
    <s v="20260630T224251.000 GMT"/>
    <d v="2026-06-30T00:00:00"/>
    <s v="Alvin J Melgar"/>
    <s v="Hold."/>
    <s v=""/>
    <s v="ENDO GROUP, LLC"/>
    <s v=""/>
    <s v=""/>
    <s v=""/>
    <s v=""/>
    <s v=""/>
    <s v=""/>
    <s v=""/>
    <s v="Alvin J Melgar"/>
    <s v="34"/>
    <s v=""/>
    <s v=""/>
    <s v="Local"/>
    <s v="099529011"/>
    <s v=""/>
    <s v=""/>
    <s v=""/>
    <s v=""/>
    <s v=""/>
    <s v=""/>
    <s v=""/>
    <s v=""/>
    <s v=""/>
    <s v=""/>
    <s v=""/>
    <s v=""/>
    <s v=""/>
    <s v=""/>
    <s v=""/>
    <s v=""/>
    <s v=""/>
    <m/>
  </r>
  <r>
    <x v="0"/>
    <s v="Waiting PA response"/>
    <x v="10"/>
    <x v="0"/>
    <x v="52"/>
    <s v="2026150510333"/>
    <n v="40"/>
    <n v="37"/>
    <s v="31-45 DAYS"/>
    <s v="CI-75808930"/>
    <s v="AL55790"/>
    <x v="0"/>
    <n v="10"/>
    <s v="Pending-Investigation"/>
    <s v="Awaiting Medical Review"/>
    <s v="AN8750896"/>
    <s v="IN"/>
    <s v="P"/>
    <s v="2025239BQ4273"/>
    <s v="210038"/>
    <s v="06/24/2026 06:57 PM"/>
    <s v="IS-Dispute"/>
    <s v="BEN-NonSpider"/>
    <s v="RES-Unrestricted"/>
    <s v="GS-National"/>
    <s v="REG-WI"/>
    <s v="IT-Written"/>
    <s v="210038W2BA"/>
    <s v="WI"/>
    <s v="391990012"/>
    <s v="1942970405"/>
    <s v="1801868336"/>
    <s v=""/>
    <s v=""/>
    <x v="24"/>
    <s v="Recovery_Disputes"/>
    <s v="20260530T234557.000 GMT"/>
    <s v="88254"/>
    <s v=""/>
    <s v=""/>
    <s v="AN8"/>
    <s v="Yes"/>
    <s v="20260625T015733.000 GMT"/>
    <d v="2026-06-25T00:00:00"/>
    <s v="Dwena Joy D Sevilla"/>
    <s v="Sent email to PA for medical records review"/>
    <s v=""/>
    <s v="PETROS V ANAGNOSTOPOULOS, PETROS V"/>
    <s v=""/>
    <s v=""/>
    <s v=""/>
    <s v=""/>
    <s v=""/>
    <s v=""/>
    <s v=""/>
    <s v="Dwena Joy D Sevilla"/>
    <s v="36"/>
    <s v=""/>
    <s v=""/>
    <s v="Local"/>
    <s v="387132607"/>
    <s v=""/>
    <s v=""/>
    <s v=""/>
    <s v=""/>
    <s v=""/>
    <s v=""/>
    <s v=""/>
    <s v=""/>
    <s v=""/>
    <s v=""/>
    <s v=""/>
    <s v=""/>
    <s v=""/>
    <s v=""/>
    <s v=""/>
    <s v=""/>
    <s v=""/>
    <m/>
  </r>
  <r>
    <x v="1"/>
    <m/>
    <x v="10"/>
    <x v="0"/>
    <x v="53"/>
    <s v="2026155170276"/>
    <n v="40"/>
    <n v="31"/>
    <s v="31-45 DAYS"/>
    <s v="CI-76046271"/>
    <s v="AL20320"/>
    <x v="0"/>
    <n v="5"/>
    <s v="Pending-Investigation"/>
    <s v="Awaiting CCA Response"/>
    <s v="942A70899"/>
    <s v="IN"/>
    <s v="P"/>
    <s v="2025024DM7439"/>
    <s v="IN"/>
    <s v="06/30/2026 03:44 PM"/>
    <s v="IS-Dispute"/>
    <s v="BEN-Spider"/>
    <s v="RES-Unrestricted"/>
    <s v="GS-ACA"/>
    <s v="REG-MO"/>
    <s v="IT-Written"/>
    <s v="82T500"/>
    <s v="MO"/>
    <s v="431343281"/>
    <s v="1467521146"/>
    <s v=""/>
    <s v=""/>
    <s v=""/>
    <x v="29"/>
    <s v="Recovery_Disputes"/>
    <s v="20260604T172915.000 GMT"/>
    <s v="69886.01"/>
    <s v=""/>
    <s v=""/>
    <s v="942"/>
    <s v="Yes"/>
    <s v="20260630T224459.000 GMT"/>
    <d v="2026-06-30T00:00:00"/>
    <s v="Alvin J Melgar"/>
    <s v="Hold."/>
    <s v=""/>
    <s v="SSM HEALTH CARE ST LOUIS"/>
    <s v=""/>
    <s v=""/>
    <s v=""/>
    <s v=""/>
    <s v=""/>
    <s v=""/>
    <s v=""/>
    <s v="Alvin J Melgar"/>
    <s v="31"/>
    <s v=""/>
    <s v=""/>
    <s v="Local"/>
    <s v="499744734"/>
    <s v=""/>
    <s v=""/>
    <s v=""/>
    <s v=""/>
    <s v=""/>
    <s v=""/>
    <s v=""/>
    <s v=""/>
    <s v=""/>
    <s v=""/>
    <s v=""/>
    <s v=""/>
    <s v=""/>
    <s v=""/>
    <s v=""/>
    <s v=""/>
    <s v=""/>
    <m/>
  </r>
  <r>
    <x v="0"/>
    <s v="AP check was sent AP-4621062520"/>
    <x v="10"/>
    <x v="0"/>
    <x v="54"/>
    <s v="2026131650318"/>
    <n v="40"/>
    <n v="55"/>
    <s v="46-60 DAYS"/>
    <s v="CI-74879535"/>
    <s v="AH00185"/>
    <x v="1"/>
    <n v="3"/>
    <s v="Pending-Investigation"/>
    <s v="Awaiting Medical Review"/>
    <s v="HN1063681"/>
    <s v="AP"/>
    <s v="P"/>
    <s v="2024338DH7231"/>
    <s v="281993"/>
    <s v="07/02/2026 12:27 AM"/>
    <s v="IS-Dispute"/>
    <s v="BEN-NonSpider"/>
    <s v="RES-Unrestricted"/>
    <s v="GS-JAALocal"/>
    <s v="REG-CA"/>
    <s v="IT-Written"/>
    <s v="281993M001"/>
    <s v="CA"/>
    <s v="952226406"/>
    <s v="1689608150"/>
    <s v=""/>
    <s v=""/>
    <s v=""/>
    <x v="30"/>
    <s v="Recovery_Disputes"/>
    <s v="20260511T184550.000 GMT"/>
    <s v="180"/>
    <s v=""/>
    <s v=""/>
    <s v="HN1"/>
    <s v="Yes"/>
    <s v="20260702T072752.000 GMT"/>
    <d v="2026-07-02T00:00:00"/>
    <s v="Ricaflor M Anninon"/>
    <s v="FOD"/>
    <s v=""/>
    <s v="UNIVERSITY OF CALIFORNIA"/>
    <s v=""/>
    <s v=""/>
    <s v=""/>
    <s v=""/>
    <s v=""/>
    <s v=""/>
    <s v=""/>
    <s v="Ricaflor M Anninon"/>
    <s v="55"/>
    <s v="HealthNow"/>
    <s v="CS"/>
    <s v="Local"/>
    <s v="033996640"/>
    <s v=""/>
    <s v=""/>
    <s v=""/>
    <s v=""/>
    <s v=""/>
    <s v=""/>
    <s v=""/>
    <s v=""/>
    <s v=""/>
    <s v=""/>
    <s v=""/>
    <s v=""/>
    <s v=""/>
    <s v=""/>
    <s v=""/>
    <s v=""/>
    <s v=""/>
    <m/>
  </r>
  <r>
    <x v="0"/>
    <s v="FOD edit-email sent"/>
    <x v="10"/>
    <x v="0"/>
    <x v="55"/>
    <s v="2026129230254"/>
    <n v="40"/>
    <n v="57"/>
    <s v="46-60 DAYS"/>
    <s v="CI-74809411"/>
    <s v="AH00180"/>
    <x v="2"/>
    <n v="3"/>
    <s v="Pending-Investigation"/>
    <s v="Awaiting CCA Response"/>
    <s v="1000579LA"/>
    <s v="AP"/>
    <s v="P"/>
    <s v="2025100EJ0099"/>
    <s v="281234"/>
    <s v="07/01/2026 11:03 PM"/>
    <s v="IS-Dispute"/>
    <s v="BEN-NonSpider"/>
    <s v="RES-Unrestricted"/>
    <s v="GS-JAALocal"/>
    <s v="REG-CA"/>
    <s v="IT-Written"/>
    <s v="281234M001"/>
    <s v="CA"/>
    <s v="851644866"/>
    <s v="1013514199"/>
    <s v=""/>
    <s v=""/>
    <s v=""/>
    <x v="20"/>
    <s v="Recovery_Disputes"/>
    <s v="20260509T201914.000 GMT"/>
    <s v="69394.49"/>
    <s v=""/>
    <s v=""/>
    <s v="100"/>
    <s v="Yes"/>
    <s v="20260702T060420.000 GMT"/>
    <d v="2026-07-02T00:00:00"/>
    <s v="Renier F Pajalla"/>
    <s v="Sent to PA"/>
    <s v=""/>
    <s v="KECK HOSPITAL OF USC"/>
    <s v=""/>
    <s v=""/>
    <s v=""/>
    <s v=""/>
    <s v=""/>
    <s v=""/>
    <s v=""/>
    <s v="Renier F Pajalla"/>
    <s v="57"/>
    <s v=""/>
    <s v="CS"/>
    <s v="Local"/>
    <s v="605158066"/>
    <s v=""/>
    <s v=""/>
    <s v=""/>
    <s v=""/>
    <s v=""/>
    <s v=""/>
    <s v=""/>
    <s v=""/>
    <s v=""/>
    <s v=""/>
    <s v=""/>
    <s v=""/>
    <s v=""/>
    <s v=""/>
    <s v=""/>
    <s v=""/>
    <s v=""/>
    <m/>
  </r>
  <r>
    <x v="0"/>
    <s v="Logged in RI Prepay tracker (SME sent email 7/6/2026)"/>
    <x v="10"/>
    <x v="0"/>
    <x v="56"/>
    <s v="2026136250162"/>
    <n v="40"/>
    <n v="50"/>
    <s v="46-60 DAYS"/>
    <s v="CI-75148722"/>
    <s v="AH22793"/>
    <x v="0"/>
    <n v="19"/>
    <s v="Pending-Investigation"/>
    <s v="Additional Research"/>
    <s v="821W06279"/>
    <s v="IN"/>
    <s v="P"/>
    <s v="2025059FM7816"/>
    <s v="L11937"/>
    <s v="06/16/2026 04:09 PM"/>
    <s v="IS-Dispute"/>
    <s v="BEN-Spider"/>
    <s v="RES-Unrestricted"/>
    <s v="GS-LocalFI"/>
    <s v="REG-CONV"/>
    <s v="IT-Written"/>
    <s v="L11937M001"/>
    <s v="NV"/>
    <s v="522406330"/>
    <s v="1336148543"/>
    <s v="1891762571"/>
    <s v=""/>
    <s v=""/>
    <x v="0"/>
    <s v="Recovery_Disputes"/>
    <s v="20260516T185049.000 GMT"/>
    <s v="1726"/>
    <s v=""/>
    <s v=""/>
    <s v="821"/>
    <s v="Yes"/>
    <s v="20260616T231000.000 GMT"/>
    <d v="2026-06-16T00:00:00"/>
    <s v="Mary Elizabeth C Pedregoza"/>
    <s v="Logged in Prepay Reversal Tracker"/>
    <s v=""/>
    <s v="MARY  KHINE"/>
    <s v=""/>
    <s v=""/>
    <s v=""/>
    <s v=""/>
    <s v=""/>
    <s v=""/>
    <s v=""/>
    <s v="Mary Elizabeth C Pedregoza"/>
    <s v="50"/>
    <s v=""/>
    <s v=""/>
    <s v="Local"/>
    <s v="624221272"/>
    <s v=""/>
    <s v=""/>
    <s v=""/>
    <s v=""/>
    <s v=""/>
    <s v=""/>
    <s v=""/>
    <s v=""/>
    <s v=""/>
    <s v=""/>
    <s v=""/>
    <s v=""/>
    <s v=""/>
    <s v=""/>
    <s v=""/>
    <s v=""/>
    <s v=""/>
    <m/>
  </r>
  <r>
    <x v="1"/>
    <m/>
    <x v="12"/>
    <x v="0"/>
    <x v="57"/>
    <s v="2026160030137"/>
    <n v="40"/>
    <n v="34"/>
    <s v="31-45 DAYS"/>
    <s v="CI-76267703"/>
    <s v="AL87275"/>
    <x v="2"/>
    <n v="0"/>
    <s v="Pending-Investigation"/>
    <s v="Awaiting Medical Review"/>
    <s v="3007814SF"/>
    <s v="IN"/>
    <s v="P"/>
    <s v="2024102EK3246"/>
    <s v="JIN019"/>
    <s v="07/12/2026 08:42 PM"/>
    <s v="IS-Dispute"/>
    <s v="BEN-NonSpider"/>
    <s v="RES-Unrestricted"/>
    <s v="GS-JAALocal"/>
    <s v="REG-IN"/>
    <s v="IT-Written"/>
    <s v="JIN019M012"/>
    <s v="IN"/>
    <s v="351064295"/>
    <s v="1902897937"/>
    <s v="1902897937"/>
    <s v=""/>
    <s v=""/>
    <x v="31"/>
    <s v="Recovery_Disputes"/>
    <s v="20260609T131938.000 GMT"/>
    <s v="6646"/>
    <s v=""/>
    <s v=""/>
    <s v="300"/>
    <s v="Yes"/>
    <s v="20260713T034320.000 GMT"/>
    <d v="2026-07-13T00:00:00"/>
    <s v="RANDEL ABAYARI"/>
    <s v="Email sent to sme du eto FOD edit in adjustment"/>
    <s v=""/>
    <s v=""/>
    <s v=""/>
    <s v=""/>
    <s v=""/>
    <s v=""/>
    <s v=""/>
    <s v=""/>
    <s v=""/>
    <s v="RANDEL ABAYARI"/>
    <s v="34"/>
    <s v=""/>
    <s v=""/>
    <s v="Local"/>
    <s v="3007814SF"/>
    <s v=""/>
    <s v=""/>
    <s v=""/>
    <s v=""/>
    <s v=""/>
    <s v=""/>
    <s v=""/>
    <s v=""/>
    <s v=""/>
    <s v=""/>
    <s v=""/>
    <s v=""/>
    <s v=""/>
    <s v=""/>
    <s v=""/>
    <s v=""/>
    <s v=""/>
    <m/>
  </r>
  <r>
    <x v="1"/>
    <m/>
    <x v="12"/>
    <x v="0"/>
    <x v="58"/>
    <s v="2026162660330"/>
    <n v="40"/>
    <n v="32"/>
    <s v="31-45 DAYS"/>
    <s v="CI-76408143"/>
    <s v="AG89688"/>
    <x v="4"/>
    <n v="0"/>
    <s v="Pending-Investigation"/>
    <s v="Additional Research"/>
    <s v="420W16749"/>
    <s v="AP"/>
    <s v="P"/>
    <s v="2025347DO7856"/>
    <s v="L04106"/>
    <s v="07/12/2026 07:37 PM"/>
    <s v="IS-Dispute"/>
    <s v="BEN-NonSpider"/>
    <s v="RES-Unrestricted"/>
    <s v="GS-Local"/>
    <s v="REG-CA"/>
    <s v="IT-Written"/>
    <s v="L04106M003"/>
    <s v="NY"/>
    <s v="141338310"/>
    <s v="1497921688"/>
    <s v="1275890907"/>
    <s v=""/>
    <s v="Melody D La Pena"/>
    <x v="32"/>
    <s v="Recovery_Disputes"/>
    <s v="20260611T185032.000 GMT"/>
    <s v="866.86"/>
    <s v=""/>
    <s v=""/>
    <s v="420"/>
    <s v="Yes"/>
    <s v="20260713T023758.000 GMT"/>
    <d v="2026-07-13T00:00:00"/>
    <s v="Ruby Rose U Tolentino"/>
    <s v="FAQ"/>
    <s v=""/>
    <s v="NAVARETTE, KRISTEN A"/>
    <s v=""/>
    <s v=""/>
    <s v=""/>
    <s v=""/>
    <s v=""/>
    <s v=""/>
    <s v=""/>
    <s v="Ruby Rose U Tolentino"/>
    <s v="32"/>
    <s v=""/>
    <s v="CS"/>
    <s v="Local"/>
    <s v="122665073"/>
    <s v=""/>
    <s v=""/>
    <s v=""/>
    <s v=""/>
    <s v=""/>
    <s v=""/>
    <s v=""/>
    <s v=""/>
    <s v=""/>
    <s v=""/>
    <s v=""/>
    <s v=""/>
    <s v=""/>
    <s v=""/>
    <s v=""/>
    <s v=""/>
    <s v=""/>
    <m/>
  </r>
  <r>
    <x v="1"/>
    <m/>
    <x v="12"/>
    <x v="0"/>
    <x v="59"/>
    <s v="2026161750533"/>
    <n v="40"/>
    <n v="33"/>
    <s v="31-45 DAYS"/>
    <s v="CI-76366545"/>
    <s v="AH22811"/>
    <x v="0"/>
    <n v="6"/>
    <s v="Pending-Investigation"/>
    <s v="Awaiting CCA Response"/>
    <s v="081M92737"/>
    <s v="IN"/>
    <s v="P"/>
    <s v="2025104DR2852"/>
    <s v="174572"/>
    <s v="07/06/2026 06:54 PM"/>
    <s v="IS-Dispute"/>
    <s v="BEN-NonSpider"/>
    <s v="RES-Unrestricted"/>
    <s v="GS-National"/>
    <s v="REG-GA"/>
    <s v="IT-Written"/>
    <s v="174572BFA1"/>
    <s v="IN"/>
    <s v="270426722"/>
    <s v="1902134372"/>
    <s v=""/>
    <s v=""/>
    <s v=""/>
    <x v="21"/>
    <s v="Recovery_Disputes"/>
    <s v="20260611T023215.000 GMT"/>
    <s v="38710.78"/>
    <s v=""/>
    <s v=""/>
    <s v="081"/>
    <s v="Yes"/>
    <s v="20260707T015457.000 GMT"/>
    <d v="2026-07-07T00:00:00"/>
    <s v="Kevin Carl D Jardiolin"/>
    <s v="Awaiting PA response"/>
    <s v=""/>
    <s v="METRO SPECIALTY SURGERY C"/>
    <s v=""/>
    <s v=""/>
    <s v=""/>
    <s v=""/>
    <s v=""/>
    <s v=""/>
    <s v=""/>
    <s v="Kevin Carl D Jardiolin"/>
    <s v="33"/>
    <s v=""/>
    <s v="CS"/>
    <s v="Local"/>
    <s v="404927472"/>
    <s v=""/>
    <s v=""/>
    <s v=""/>
    <s v=""/>
    <s v=""/>
    <s v=""/>
    <s v=""/>
    <s v=""/>
    <s v=""/>
    <s v=""/>
    <s v=""/>
    <s v=""/>
    <s v=""/>
    <s v=""/>
    <s v=""/>
    <s v=""/>
    <s v=""/>
    <m/>
  </r>
  <r>
    <x v="1"/>
    <m/>
    <x v="12"/>
    <x v="0"/>
    <x v="60"/>
    <s v="2026162080185"/>
    <n v="40"/>
    <n v="33"/>
    <s v="31-45 DAYS"/>
    <s v="CI-76392373"/>
    <s v="AI02198"/>
    <x v="1"/>
    <n v="6"/>
    <s v="Pending-Investigation"/>
    <s v="Awaiting CCA Response"/>
    <s v="482W21948"/>
    <s v="IN"/>
    <s v="P"/>
    <s v="2025353EL8146"/>
    <s v="C20292"/>
    <s v="07/06/2026 10:04 PM"/>
    <s v="IS-Dispute"/>
    <s v="BEN-NonSpider"/>
    <s v="RES-Unrestricted"/>
    <s v="GS-National"/>
    <s v="REG-CA"/>
    <s v="IT-Written"/>
    <s v="C20292M2A2"/>
    <s v="WI"/>
    <s v="390806315"/>
    <s v="1871656082"/>
    <s v=""/>
    <s v=""/>
    <s v=""/>
    <x v="2"/>
    <s v="Recovery_Disputes"/>
    <s v="20260611T140133.000 GMT"/>
    <s v="33272.88"/>
    <s v=""/>
    <s v=""/>
    <s v="482"/>
    <s v="Yes"/>
    <s v="20260707T050423.000 GMT"/>
    <d v="2026-07-07T00:00:00"/>
    <s v="Ralfh Roger Bobiles"/>
    <s v="Sent to PA"/>
    <s v=""/>
    <s v="COLUMBIA ST MARYS HOSPITA"/>
    <s v=""/>
    <s v=""/>
    <s v=""/>
    <s v=""/>
    <s v=""/>
    <s v=""/>
    <s v=""/>
    <s v="Ralfh Roger Bobiles"/>
    <s v="32"/>
    <s v=""/>
    <s v=""/>
    <s v="Local"/>
    <s v="399066413"/>
    <s v=""/>
    <s v=""/>
    <s v=""/>
    <s v=""/>
    <s v=""/>
    <s v=""/>
    <s v=""/>
    <s v=""/>
    <s v=""/>
    <s v=""/>
    <s v=""/>
    <s v=""/>
    <s v=""/>
    <s v=""/>
    <s v=""/>
    <s v=""/>
    <s v=""/>
    <m/>
  </r>
  <r>
    <x v="1"/>
    <m/>
    <x v="12"/>
    <x v="0"/>
    <x v="61"/>
    <s v="2026161000527"/>
    <n v="40"/>
    <n v="33"/>
    <s v="31-45 DAYS"/>
    <s v="CI-76367384"/>
    <s v="AI02198"/>
    <x v="1"/>
    <n v="0"/>
    <s v="Pending-Investigation"/>
    <s v="Additional Research"/>
    <s v="336M64872"/>
    <s v="IN"/>
    <s v="P"/>
    <s v="2026003BA8115"/>
    <s v="L01467"/>
    <s v="07/12/2026 10:46 PM"/>
    <s v="IS-Dispute"/>
    <s v="BEN-Spider"/>
    <s v="RES-Unrestricted"/>
    <s v="GS-Local"/>
    <s v="REG-IN"/>
    <s v="IT-Written"/>
    <s v="L01467M170"/>
    <s v="IN"/>
    <s v="201147631"/>
    <s v="1205956646"/>
    <s v="1588661383"/>
    <s v=""/>
    <s v="Teresa R Simpson"/>
    <x v="2"/>
    <s v="Recovery_Disputes"/>
    <s v="20260611T025902.000 GMT"/>
    <s v="970.5"/>
    <s v=""/>
    <s v=""/>
    <s v="336"/>
    <s v="Yes"/>
    <s v="20260713T054706.000 GMT"/>
    <d v="2026-07-13T00:00:00"/>
    <s v="Ralfh Roger Bobiles"/>
    <s v="For RI"/>
    <s v=""/>
    <s v="DILGER, CHRISTOPHE R"/>
    <s v=""/>
    <s v=""/>
    <s v=""/>
    <s v=""/>
    <s v=""/>
    <s v=""/>
    <s v=""/>
    <s v="Ralfh Roger Bobiles"/>
    <s v="33"/>
    <s v=""/>
    <s v="CS"/>
    <s v="Local"/>
    <s v="303765867"/>
    <s v=""/>
    <s v=""/>
    <s v=""/>
    <s v=""/>
    <s v=""/>
    <s v=""/>
    <s v=""/>
    <s v=""/>
    <s v=""/>
    <s v=""/>
    <s v=""/>
    <s v=""/>
    <s v=""/>
    <s v=""/>
    <s v=""/>
    <s v=""/>
    <s v=""/>
    <m/>
  </r>
  <r>
    <x v="0"/>
    <s v="Still under Provider Audit"/>
    <x v="12"/>
    <x v="0"/>
    <x v="62"/>
    <s v="2026157500103"/>
    <n v="40"/>
    <n v="38"/>
    <s v="31-45 DAYS"/>
    <s v="CI-76147627"/>
    <s v="AL20303"/>
    <x v="1"/>
    <n v="6"/>
    <s v="Pending-Investigation"/>
    <s v="Awaiting CCA Response"/>
    <s v="148M55198"/>
    <s v="IN"/>
    <s v="P"/>
    <s v="2025227CX6909"/>
    <s v="L01787"/>
    <s v="07/06/2026 11:21 PM"/>
    <s v="IS-Dispute"/>
    <s v="BEN-Spider"/>
    <s v="RES-Unrestricted"/>
    <s v="GS-LocalFI"/>
    <s v="REG-OH"/>
    <s v="IT-Written"/>
    <s v="L01787M001"/>
    <s v="OH"/>
    <s v="310588183"/>
    <s v="1013942101"/>
    <s v="1003293283"/>
    <s v=""/>
    <s v=""/>
    <x v="33"/>
    <s v="Recovery_Disputes"/>
    <s v="20260606T121418.000 GMT"/>
    <s v="22355"/>
    <s v=""/>
    <s v=""/>
    <s v="148"/>
    <s v="Yes"/>
    <s v="20260707T062216.000 GMT"/>
    <d v="2026-07-07T00:00:00"/>
    <s v="Mark Andre S Lipit"/>
    <s v="Sent to Provider Audit Appeals."/>
    <s v=""/>
    <s v="ZACHARY J PLUMMER, ZACHARY J"/>
    <s v=""/>
    <s v=""/>
    <s v=""/>
    <s v=""/>
    <s v=""/>
    <s v=""/>
    <s v=""/>
    <s v="Mark Andre S Lipit"/>
    <s v="37"/>
    <s v=""/>
    <s v=""/>
    <s v="Local"/>
    <s v="280881597"/>
    <s v=""/>
    <s v=""/>
    <s v=""/>
    <s v=""/>
    <s v=""/>
    <s v=""/>
    <s v=""/>
    <s v=""/>
    <s v=""/>
    <s v=""/>
    <s v=""/>
    <s v=""/>
    <s v=""/>
    <s v=""/>
    <s v=""/>
    <s v=""/>
    <s v=""/>
    <m/>
  </r>
  <r>
    <x v="0"/>
    <s v="For RI. Unable to finalized due to SE1 edit. SME sent email. Waiting for response from onshore."/>
    <x v="12"/>
    <x v="0"/>
    <x v="63"/>
    <s v="2026157830249"/>
    <n v="40"/>
    <n v="37"/>
    <s v="31-45 DAYS"/>
    <s v="CI-76160836"/>
    <s v="AL64139"/>
    <x v="0"/>
    <n v="1"/>
    <s v="Pending-Investigation"/>
    <s v="Additional Research"/>
    <s v="753W11095"/>
    <s v="IN"/>
    <s v="P"/>
    <s v="2025336DY1436"/>
    <s v="IN"/>
    <s v="07/12/2026 04:45 PM"/>
    <s v="IS-Dispute"/>
    <s v="BEN-SpiderHMO"/>
    <s v="RES-Unrestricted"/>
    <s v="GS-ACA"/>
    <s v="REG-CONV"/>
    <s v="IT-Written"/>
    <s v="82LS00"/>
    <s v="CO"/>
    <s v="571231282"/>
    <s v="1891745956"/>
    <s v=""/>
    <s v=""/>
    <s v=""/>
    <x v="34"/>
    <s v="Recovery_Disputes"/>
    <s v="20260606T203239.000 GMT"/>
    <s v="106733"/>
    <s v=""/>
    <s v=""/>
    <s v="753"/>
    <s v="Yes"/>
    <s v="20260712T234513.000 GMT"/>
    <d v="2026-07-12T00:00:00"/>
    <s v="Carla Marie C Gulapa"/>
    <s v="Hold. For RI review approval."/>
    <s v=""/>
    <s v="NORTH METRO SURGERY CTR"/>
    <s v=""/>
    <s v=""/>
    <s v=""/>
    <s v=""/>
    <s v=""/>
    <s v=""/>
    <s v=""/>
    <s v="Carla Marie C Gulapa"/>
    <s v="37"/>
    <s v=""/>
    <s v=""/>
    <s v="Local"/>
    <s v="524210189"/>
    <s v=""/>
    <s v=""/>
    <s v=""/>
    <s v=""/>
    <s v=""/>
    <s v=""/>
    <s v=""/>
    <s v=""/>
    <s v=""/>
    <s v=""/>
    <s v=""/>
    <s v=""/>
    <s v=""/>
    <s v=""/>
    <s v=""/>
    <s v=""/>
    <s v=""/>
    <m/>
  </r>
  <r>
    <x v="1"/>
    <m/>
    <x v="12"/>
    <x v="0"/>
    <x v="64"/>
    <s v="2026161430274"/>
    <n v="40"/>
    <n v="33"/>
    <s v="31-45 DAYS"/>
    <s v="CI-76342778"/>
    <s v="AL20338"/>
    <x v="1"/>
    <n v="3"/>
    <s v="Pending-Investigation"/>
    <s v="Awaiting CCA Response"/>
    <s v="409A23875"/>
    <s v="AP"/>
    <s v="P"/>
    <s v="2024346ER4151"/>
    <s v="170208"/>
    <s v="07/09/2026 10:31 PM"/>
    <s v="IS-Dispute"/>
    <s v="BEN-NonSpider"/>
    <s v="RES-Unrestricted"/>
    <s v="GS-National"/>
    <s v="REG-CA"/>
    <s v="IT-Written"/>
    <s v="170208M099"/>
    <s v="CA"/>
    <s v="770495522"/>
    <s v="1881662856"/>
    <s v=""/>
    <s v=""/>
    <s v=""/>
    <x v="19"/>
    <s v="Recovery_Disputes"/>
    <s v="20260610T172306.000 GMT"/>
    <s v="57894.98"/>
    <s v=""/>
    <s v=""/>
    <s v="409"/>
    <s v="Yes"/>
    <s v="20260710T053131.000 GMT"/>
    <d v="2026-07-10T00:00:00"/>
    <s v="Virgil Joseph L Domalaoco"/>
    <s v="Still Waiting for Response from Provider Audit"/>
    <s v=""/>
    <s v="SILICON VALLEY SURGERY CT"/>
    <s v=""/>
    <s v=""/>
    <s v=""/>
    <s v=""/>
    <s v=""/>
    <s v=""/>
    <s v=""/>
    <s v="Virgil Joseph L Domalaoco"/>
    <s v="33"/>
    <s v=""/>
    <s v="CS"/>
    <s v="Local"/>
    <s v="413594259"/>
    <s v=""/>
    <s v=""/>
    <s v=""/>
    <s v=""/>
    <s v=""/>
    <s v=""/>
    <s v=""/>
    <s v=""/>
    <s v=""/>
    <s v=""/>
    <s v=""/>
    <s v=""/>
    <s v=""/>
    <s v=""/>
    <s v=""/>
    <s v=""/>
    <s v=""/>
    <m/>
  </r>
  <r>
    <x v="1"/>
    <m/>
    <x v="12"/>
    <x v="0"/>
    <x v="65"/>
    <s v="2026161520277"/>
    <n v="40"/>
    <n v="33"/>
    <s v="31-45 DAYS"/>
    <s v="CI-76342727"/>
    <s v="AL20338"/>
    <x v="1"/>
    <n v="3"/>
    <s v="Pending-Investigation"/>
    <s v="Awaiting CCA Response"/>
    <s v="185M98586"/>
    <s v="AP"/>
    <s v="P"/>
    <s v="2025037EM0724"/>
    <s v="174249"/>
    <s v="07/09/2026 10:29 PM"/>
    <s v="IS-Dispute"/>
    <s v="BEN-NonSpider"/>
    <s v="RES-Unrestricted"/>
    <s v="GS-National"/>
    <s v="REG-CA"/>
    <s v="IT-Written"/>
    <s v="174249M1AB"/>
    <s v="CA"/>
    <s v="951684082"/>
    <s v="1124026273"/>
    <s v=""/>
    <s v=""/>
    <s v=""/>
    <x v="19"/>
    <s v="Recovery_Disputes"/>
    <s v="20260610T172204.000 GMT"/>
    <s v="58918.21"/>
    <s v=""/>
    <s v=""/>
    <s v="185"/>
    <s v="Yes"/>
    <s v="20260710T052914.000 GMT"/>
    <d v="2026-07-10T00:00:00"/>
    <s v="Virgil Joseph L Domalaoco"/>
    <s v="Still Waiting for Response from Provider Audit"/>
    <s v=""/>
    <s v="PROVIDENCE SAINT JOHN'S H"/>
    <s v=""/>
    <s v=""/>
    <s v=""/>
    <s v=""/>
    <s v=""/>
    <s v=""/>
    <s v=""/>
    <s v="Virgil Joseph L Domalaoco"/>
    <s v="33"/>
    <s v=""/>
    <s v="CS"/>
    <s v="Local"/>
    <s v="559048570"/>
    <s v=""/>
    <s v=""/>
    <s v=""/>
    <s v=""/>
    <s v=""/>
    <s v=""/>
    <s v=""/>
    <s v=""/>
    <s v=""/>
    <s v=""/>
    <s v=""/>
    <s v=""/>
    <s v=""/>
    <s v=""/>
    <s v=""/>
    <s v=""/>
    <s v=""/>
    <m/>
  </r>
  <r>
    <x v="1"/>
    <m/>
    <x v="12"/>
    <x v="0"/>
    <x v="66"/>
    <s v="2026162500473"/>
    <n v="40"/>
    <n v="32"/>
    <s v="31-45 DAYS"/>
    <s v="CI-76426945"/>
    <s v="AL20338"/>
    <x v="1"/>
    <n v="3"/>
    <s v="Pending-Investigation"/>
    <s v="Awaiting CCA Response"/>
    <s v="569W21423"/>
    <s v="IN"/>
    <s v="P"/>
    <s v="2025301BC0320"/>
    <s v="L04380"/>
    <s v="07/09/2026 10:20 PM"/>
    <s v="IS-Dispute"/>
    <s v="BEN-NonSpider"/>
    <s v="RES-Unrestricted"/>
    <s v="GS-Local"/>
    <s v="REG-OH"/>
    <s v="IT-Written"/>
    <s v="L04380M036"/>
    <s v="OH"/>
    <s v="341048666"/>
    <s v="1962458521"/>
    <s v=""/>
    <s v=""/>
    <s v=""/>
    <x v="19"/>
    <s v="Recovery_Disputes"/>
    <s v="20260612T015918.000 GMT"/>
    <s v="22300.15"/>
    <s v=""/>
    <s v=""/>
    <s v="569"/>
    <s v="Yes"/>
    <s v="20260710T052053.000 GMT"/>
    <d v="2026-07-10T00:00:00"/>
    <s v="Virgil Joseph L Domalaoco"/>
    <s v="MR Automation: Batch Automation Process - Claim in Open status"/>
    <s v=""/>
    <s v="PARKVIEW BRYAN HOSPITAL"/>
    <s v=""/>
    <s v=""/>
    <s v=""/>
    <s v=""/>
    <s v=""/>
    <s v=""/>
    <s v=""/>
    <s v="Virgil Joseph L Domalaoco"/>
    <s v="32"/>
    <s v=""/>
    <s v=""/>
    <s v="Local"/>
    <s v="284801935"/>
    <s v=""/>
    <s v=""/>
    <s v=""/>
    <s v=""/>
    <s v=""/>
    <s v=""/>
    <s v=""/>
    <s v=""/>
    <s v=""/>
    <s v=""/>
    <s v=""/>
    <s v=""/>
    <s v=""/>
    <s v=""/>
    <s v=""/>
    <s v=""/>
    <s v=""/>
    <m/>
  </r>
  <r>
    <x v="1"/>
    <m/>
    <x v="12"/>
    <x v="0"/>
    <x v="67"/>
    <s v="2026161070039"/>
    <n v="40"/>
    <n v="33"/>
    <s v="31-45 DAYS"/>
    <s v="CI-76314829"/>
    <s v="AL20320"/>
    <x v="0"/>
    <n v="7"/>
    <s v="Pending-Investigation"/>
    <s v="Awaiting CCA Response"/>
    <s v="518W05918"/>
    <s v="IN"/>
    <s v="P"/>
    <s v="2025016FD9921"/>
    <s v="720097"/>
    <s v="07/05/2026 10:17 PM"/>
    <s v="IS-Dispute"/>
    <s v="BEN-CS90Kernel"/>
    <s v="RES-Unrestricted"/>
    <s v="GS-Local"/>
    <s v="REG-NY"/>
    <s v="IT-Written"/>
    <s v="720097A00M"/>
    <s v="NY"/>
    <s v="126621464"/>
    <s v="1568618742"/>
    <s v="1568618742"/>
    <s v=""/>
    <s v=""/>
    <x v="29"/>
    <s v="Recovery_Disputes"/>
    <s v="20260610T090242.000 GMT"/>
    <s v="570"/>
    <s v=""/>
    <s v=""/>
    <s v="518"/>
    <s v="Yes"/>
    <s v="20260706T051810.000 GMT"/>
    <d v="2026-07-06T00:00:00"/>
    <s v="Alvin J Melgar"/>
    <s v="sent to pa for medical review"/>
    <s v=""/>
    <s v="ALEXANDER  FRANGAS"/>
    <s v=""/>
    <s v=""/>
    <s v=""/>
    <s v=""/>
    <s v=""/>
    <s v=""/>
    <s v=""/>
    <s v="Alvin J Melgar"/>
    <s v="33"/>
    <s v=""/>
    <s v="CS"/>
    <s v="Local"/>
    <s v="107684100"/>
    <s v=""/>
    <s v=""/>
    <s v=""/>
    <s v=""/>
    <s v=""/>
    <s v=""/>
    <s v=""/>
    <s v=""/>
    <s v=""/>
    <s v=""/>
    <s v=""/>
    <s v=""/>
    <s v=""/>
    <s v=""/>
    <s v=""/>
    <s v=""/>
    <s v=""/>
    <m/>
  </r>
  <r>
    <x v="1"/>
    <m/>
    <x v="12"/>
    <x v="0"/>
    <x v="68"/>
    <s v="2026162790453"/>
    <n v="40"/>
    <n v="32"/>
    <s v="31-45 DAYS"/>
    <s v="CI-76423174"/>
    <s v="AH22811"/>
    <x v="0"/>
    <n v="5"/>
    <s v="Pending-Investigation"/>
    <s v="Awaiting CCA Response"/>
    <s v="084M79615"/>
    <s v="IN"/>
    <s v="P"/>
    <s v="2025056CC1559"/>
    <s v="L10419"/>
    <s v="07/07/2026 06:16 PM"/>
    <s v="IS-Dispute"/>
    <s v="BEN-Spider"/>
    <s v="RES-Unrestricted"/>
    <s v="GS-LocalFI"/>
    <s v="REG-GA"/>
    <s v="IT-Written"/>
    <s v="L10419M001"/>
    <s v="GA"/>
    <s v="580566213"/>
    <s v="1962461681"/>
    <s v=""/>
    <s v=""/>
    <s v=""/>
    <x v="21"/>
    <s v="Recovery_Disputes"/>
    <s v="20260611T235256.000 GMT"/>
    <s v="102546.67"/>
    <s v=""/>
    <s v=""/>
    <s v="084"/>
    <s v="Yes"/>
    <s v="20260708T011633.000 GMT"/>
    <d v="2026-07-08T00:00:00"/>
    <s v="Kevin Carl D Jardiolin"/>
    <s v="REQUESTED PA REVIEW"/>
    <s v=""/>
    <s v="PIEDMONT HOSPITAL"/>
    <s v=""/>
    <s v=""/>
    <s v=""/>
    <s v=""/>
    <s v=""/>
    <s v=""/>
    <s v=""/>
    <s v="Kevin Carl D Jardiolin"/>
    <s v="32"/>
    <s v=""/>
    <s v=""/>
    <s v="Local"/>
    <s v="253787438"/>
    <s v=""/>
    <s v=""/>
    <s v=""/>
    <s v=""/>
    <s v=""/>
    <s v=""/>
    <s v=""/>
    <s v=""/>
    <s v=""/>
    <s v=""/>
    <s v=""/>
    <s v=""/>
    <s v=""/>
    <s v=""/>
    <s v=""/>
    <s v=""/>
    <s v=""/>
    <m/>
  </r>
  <r>
    <x v="0"/>
    <s v="Waiting PA response"/>
    <x v="12"/>
    <x v="0"/>
    <x v="69"/>
    <s v="2026161600374"/>
    <n v="40"/>
    <n v="33"/>
    <s v="31-45 DAYS"/>
    <s v="CI-76353090"/>
    <s v="AL55790"/>
    <x v="0"/>
    <n v="6"/>
    <s v="Pending-Investigation"/>
    <s v="Awaiting CCA Response"/>
    <s v="AN1067176"/>
    <s v="IN"/>
    <s v="P"/>
    <s v="2023313CS8847"/>
    <s v="214016"/>
    <s v="07/06/2026 05:05 PM"/>
    <s v="IS-Dispute"/>
    <s v="BEN-NonSpider"/>
    <s v="RES-Unrestricted"/>
    <s v="GS-National"/>
    <s v="REG-KY"/>
    <s v="IT-Written"/>
    <s v="214016H21A"/>
    <s v="KY"/>
    <s v="611276316"/>
    <s v="1437382074"/>
    <s v="1174586457"/>
    <s v=""/>
    <s v=""/>
    <x v="24"/>
    <s v="Recovery_Disputes"/>
    <s v="20260610T202413.000 GMT"/>
    <s v="17464"/>
    <s v=""/>
    <s v=""/>
    <s v="AN1"/>
    <s v="Yes"/>
    <s v="20260707T000524.000 GMT"/>
    <d v="2026-07-07T00:00:00"/>
    <s v="Dwena Joy D Sevilla"/>
    <s v="Sent email to PA for medical records review"/>
    <s v=""/>
    <s v="CAMPBELL, MITCHELL J"/>
    <s v=""/>
    <s v=""/>
    <s v=""/>
    <s v=""/>
    <s v=""/>
    <s v=""/>
    <s v=""/>
    <s v="Dwena Joy D Sevilla"/>
    <s v="33"/>
    <s v=""/>
    <s v=""/>
    <s v="Local"/>
    <s v="406235192"/>
    <s v=""/>
    <s v=""/>
    <s v=""/>
    <s v=""/>
    <s v=""/>
    <s v=""/>
    <s v=""/>
    <s v=""/>
    <s v=""/>
    <s v=""/>
    <s v=""/>
    <s v=""/>
    <s v=""/>
    <s v=""/>
    <s v=""/>
    <s v=""/>
    <s v=""/>
    <m/>
  </r>
  <r>
    <x v="1"/>
    <m/>
    <x v="12"/>
    <x v="0"/>
    <x v="70"/>
    <s v="2026138911281"/>
    <n v="40"/>
    <n v="56"/>
    <s v="46-60 DAYS"/>
    <s v="CI-75249124"/>
    <s v="AL87275"/>
    <x v="2"/>
    <n v="6"/>
    <s v="Pending-Investigation"/>
    <s v="Awaiting CCA Response"/>
    <s v="0A0291158"/>
    <s v="AP"/>
    <s v="P"/>
    <s v="2025345DU9447"/>
    <s v="282333"/>
    <s v="07/06/2026 08:30 PM"/>
    <s v="IS-Dispute"/>
    <s v="BEN-NonSpider"/>
    <s v="RES-Unrestricted"/>
    <s v="GS-JAALocal"/>
    <s v="REG-CANorth"/>
    <s v="IT-Written"/>
    <s v="282333M004"/>
    <s v="CA"/>
    <s v="020653265"/>
    <s v="1417209438"/>
    <s v=""/>
    <s v=""/>
    <s v=""/>
    <x v="31"/>
    <s v="Recovery_Disputes"/>
    <s v="20260519T060655.000 GMT"/>
    <s v="13298.06"/>
    <s v=""/>
    <s v=""/>
    <s v="0A0"/>
    <s v="Yes"/>
    <s v="20260707T033109.000 GMT"/>
    <d v="2026-07-07T00:00:00"/>
    <s v="RANDEL ABAYARI"/>
    <s v="Email sent to provider audit for review"/>
    <s v=""/>
    <s v=""/>
    <s v=""/>
    <s v=""/>
    <s v=""/>
    <s v=""/>
    <s v=""/>
    <s v=""/>
    <s v=""/>
    <s v="RANDEL ABAYARI"/>
    <s v="56"/>
    <s v="Lucent Health Solutions"/>
    <s v="CS"/>
    <s v="Local"/>
    <s v="545530423"/>
    <s v=""/>
    <s v=""/>
    <s v=""/>
    <s v=""/>
    <s v=""/>
    <s v=""/>
    <s v=""/>
    <s v=""/>
    <s v=""/>
    <s v=""/>
    <s v=""/>
    <s v=""/>
    <s v=""/>
    <s v=""/>
    <s v=""/>
    <s v=""/>
    <s v=""/>
    <m/>
  </r>
  <r>
    <x v="1"/>
    <m/>
    <x v="12"/>
    <x v="0"/>
    <x v="71"/>
    <s v="2026146160328"/>
    <n v="40"/>
    <n v="48"/>
    <s v="46-60 DAYS"/>
    <s v="CI-75593913"/>
    <s v="AL87275"/>
    <x v="2"/>
    <n v="5"/>
    <s v="Pending-Investigation"/>
    <s v="Awaiting CCA Response"/>
    <s v="407A51698"/>
    <s v="AP"/>
    <s v="P"/>
    <s v="2024365DW4252"/>
    <s v="277819"/>
    <s v="07/07/2026 07:29 PM"/>
    <s v="IS-Dispute"/>
    <s v="BEN-NonSpider"/>
    <s v="RES-Unrestricted"/>
    <s v="GS-JAALocal"/>
    <s v="REG-CANorth"/>
    <s v="IT-Written"/>
    <s v="277819M003"/>
    <s v="CA"/>
    <s v="770003859"/>
    <s v="1467442749"/>
    <s v=""/>
    <s v=""/>
    <s v=""/>
    <x v="31"/>
    <s v="Recovery_Disputes"/>
    <s v="20260526T213305.000 GMT"/>
    <s v="134556.36"/>
    <s v=""/>
    <s v=""/>
    <s v="407"/>
    <s v="Yes"/>
    <s v="20260708T022927.000 GMT"/>
    <d v="2026-07-08T00:00:00"/>
    <s v="RANDEL ABAYARI"/>
    <s v="Email sent to provider audit for review"/>
    <s v=""/>
    <s v="LUCILE PACKARD CHILDRENS"/>
    <s v=""/>
    <s v=""/>
    <s v=""/>
    <s v=""/>
    <s v=""/>
    <s v=""/>
    <s v=""/>
    <s v="RANDEL ABAYARI"/>
    <s v="48"/>
    <s v="Personify Health - West"/>
    <s v="CS"/>
    <s v="Local"/>
    <s v="550673506"/>
    <s v=""/>
    <s v=""/>
    <s v=""/>
    <s v=""/>
    <s v=""/>
    <s v=""/>
    <s v=""/>
    <s v=""/>
    <s v=""/>
    <s v=""/>
    <s v=""/>
    <s v=""/>
    <s v=""/>
    <s v=""/>
    <s v=""/>
    <s v=""/>
    <s v=""/>
    <m/>
  </r>
  <r>
    <x v="0"/>
    <s v="Still no response since 7/10"/>
    <x v="11"/>
    <x v="0"/>
    <x v="72"/>
    <s v="2026143420269"/>
    <n v="40"/>
    <n v="51"/>
    <s v="46-60 DAYS"/>
    <s v="CI-75512852"/>
    <s v="AH89140"/>
    <x v="0"/>
    <n v="1"/>
    <s v="Pending-Investigation"/>
    <s v="Additional Research"/>
    <s v="668W13739"/>
    <s v="IN"/>
    <s v="P"/>
    <s v="2024310EC5063"/>
    <s v="MO5182"/>
    <s v="07/12/2026 03:12 PM"/>
    <s v="IS-Dispute"/>
    <s v="BEN-Spider"/>
    <s v="RES-Unrestricted"/>
    <s v="GS-LocalFI"/>
    <s v="REG-MO"/>
    <s v="IT-Written"/>
    <s v="MO5182M001"/>
    <s v="MO"/>
    <s v="474196634"/>
    <s v="1942685920"/>
    <s v=""/>
    <s v=""/>
    <s v=""/>
    <x v="27"/>
    <s v="Recovery_Disputes"/>
    <s v="20260523T203316.000 GMT"/>
    <s v="174519.7"/>
    <s v=""/>
    <s v=""/>
    <s v="668"/>
    <s v="Yes"/>
    <s v="20260712T221224.000 GMT"/>
    <d v="2026-07-12T00:00:00"/>
    <s v="Alvin F Fejer"/>
    <s v="Awaiting approval for reversal. Thanks"/>
    <s v=""/>
    <s v="SSM HEALTH SAINT LOUIS UN"/>
    <s v=""/>
    <s v=""/>
    <s v=""/>
    <s v=""/>
    <s v=""/>
    <s v=""/>
    <s v=""/>
    <s v="Alvin F Fejer"/>
    <s v="51"/>
    <s v=""/>
    <s v=""/>
    <s v="Local"/>
    <s v="494980082"/>
    <s v=""/>
    <s v=""/>
    <s v=""/>
    <s v=""/>
    <s v=""/>
    <s v=""/>
    <s v=""/>
    <s v=""/>
    <s v=""/>
    <s v=""/>
    <s v=""/>
    <s v=""/>
    <s v=""/>
    <s v=""/>
    <s v=""/>
    <s v=""/>
    <s v=""/>
    <m/>
  </r>
  <r>
    <x v="0"/>
    <s v="routed to HD for review"/>
    <x v="13"/>
    <x v="0"/>
    <x v="73"/>
    <s v="2026168880510"/>
    <n v="40"/>
    <n v="33"/>
    <s v="31-45 DAYS"/>
    <s v="CI-76724954"/>
    <s v="AM38938"/>
    <x v="0"/>
    <n v="1"/>
    <s v="Pending-Investigation"/>
    <s v="Additional Research"/>
    <s v="906W18332"/>
    <s v="IN"/>
    <s v="P"/>
    <s v="2025001BI8464"/>
    <s v="212124"/>
    <s v="07/19/2026 03:08 PM"/>
    <s v="IS-Dispute"/>
    <s v="BEN-NonSpider"/>
    <s v="RES-Unrestricted"/>
    <s v="GS-National"/>
    <s v="REG-OH"/>
    <s v="IT-Written"/>
    <s v="212124M3HA"/>
    <s v="OH"/>
    <s v="310833936"/>
    <s v="1548212988"/>
    <s v=""/>
    <s v=""/>
    <s v=""/>
    <x v="9"/>
    <s v="Recovery_Disputes"/>
    <s v="20260618T021521.000 GMT"/>
    <s v="93585.12"/>
    <s v=""/>
    <s v=""/>
    <s v="906"/>
    <s v="Yes"/>
    <s v="20260719T220836.000 GMT"/>
    <d v="2026-07-19T00:00:00"/>
    <s v="Rechelle C Berida"/>
    <s v="Claim needs to be reprocess. Line 6, revenue code 278 can be billed as implant. documentation received on appeal supports Implants billed. FDOC# 7143185623"/>
    <s v=""/>
    <s v="CHILDRENS HOSPITAL MEDICA"/>
    <s v=""/>
    <s v=""/>
    <s v=""/>
    <s v=""/>
    <s v=""/>
    <s v=""/>
    <s v=""/>
    <s v="Rechelle C Berida"/>
    <s v="33"/>
    <s v=""/>
    <s v="CS"/>
    <s v="Local"/>
    <s v="299741202"/>
    <s v=""/>
    <s v=""/>
    <s v=""/>
    <s v=""/>
    <s v=""/>
    <s v=""/>
    <s v=""/>
    <s v=""/>
    <s v=""/>
    <s v=""/>
    <s v=""/>
    <s v=""/>
    <s v=""/>
    <s v=""/>
    <s v=""/>
    <s v=""/>
    <s v=""/>
    <m/>
  </r>
  <r>
    <x v="0"/>
    <s v="Still waiting for a review by PA team"/>
    <x v="13"/>
    <x v="0"/>
    <x v="74"/>
    <s v="2026168640336"/>
    <n v="40"/>
    <n v="34"/>
    <s v="31-45 DAYS"/>
    <s v="CI-76714238"/>
    <s v="AH60028"/>
    <x v="2"/>
    <n v="6"/>
    <s v="Pending-Investigation"/>
    <s v="Awaiting CCA Response"/>
    <s v="AN8815687"/>
    <s v="IN"/>
    <s v="P"/>
    <s v="2025212EP3560"/>
    <s v="W51064"/>
    <s v="07/13/2026 11:42 PM"/>
    <s v="IS-Dispute"/>
    <s v="BEN-NonSpider"/>
    <s v="RES-Unrestricted"/>
    <s v="GS-Local"/>
    <s v="REG-OH"/>
    <s v="IT-Written"/>
    <s v="W51064M036"/>
    <s v="OH"/>
    <s v="310833936"/>
    <s v="1548212988"/>
    <s v=""/>
    <s v=""/>
    <s v=""/>
    <x v="7"/>
    <s v="Recovery_Disputes"/>
    <s v="20260617T214224.000 GMT"/>
    <s v="188188"/>
    <s v=""/>
    <s v=""/>
    <s v="AN8"/>
    <s v="Yes"/>
    <s v="20260714T064226.000 GMT"/>
    <d v="2026-07-14T00:00:00"/>
    <s v="Mark Ian D Ninas"/>
    <s v="Email sent for PA review"/>
    <s v=""/>
    <s v="CHILDRENS HOSPITAL MEDICA"/>
    <s v=""/>
    <s v=""/>
    <s v=""/>
    <s v=""/>
    <s v=""/>
    <s v=""/>
    <s v=""/>
    <s v="Mark Ian D Ninas"/>
    <s v="33"/>
    <s v=""/>
    <s v=""/>
    <s v="Local"/>
    <s v="296708036"/>
    <s v=""/>
    <s v=""/>
    <s v=""/>
    <s v=""/>
    <s v=""/>
    <s v=""/>
    <s v=""/>
    <s v=""/>
    <s v=""/>
    <s v=""/>
    <s v=""/>
    <s v=""/>
    <s v=""/>
    <s v=""/>
    <s v=""/>
    <s v=""/>
    <s v=""/>
    <m/>
  </r>
  <r>
    <x v="1"/>
    <m/>
    <x v="13"/>
    <x v="0"/>
    <x v="75"/>
    <s v="2026168990246"/>
    <n v="40"/>
    <n v="33"/>
    <s v="31-45 DAYS"/>
    <s v="CI-76700546"/>
    <s v="AI02198"/>
    <x v="1"/>
    <n v="5"/>
    <s v="Pending-Investigation"/>
    <s v="Awaiting CCA Response"/>
    <s v="349M64579"/>
    <s v="IN"/>
    <s v="P"/>
    <s v="2025330BM8381"/>
    <s v="W31916"/>
    <s v="07/14/2026 09:13 PM"/>
    <s v="IS-Dispute"/>
    <s v="BEN-Spider"/>
    <s v="RES-Unrestricted"/>
    <s v="GS-LocalFI"/>
    <s v="REG-KY"/>
    <s v="IT-Written"/>
    <s v="W31916M001"/>
    <s v="KY"/>
    <s v="610458376"/>
    <s v="1285621623"/>
    <s v=""/>
    <s v=""/>
    <s v=""/>
    <x v="2"/>
    <s v="Recovery_Disputes"/>
    <s v="20260617T172706.000 GMT"/>
    <s v="52075"/>
    <s v=""/>
    <s v=""/>
    <s v="349"/>
    <s v="Yes"/>
    <s v="20260715T041312.000 GMT"/>
    <d v="2026-07-15T00:00:00"/>
    <s v="Ralfh Roger Bobiles"/>
    <s v="Sent to PA"/>
    <s v=""/>
    <s v="PIKEVILLE MEDICAL CENTER"/>
    <s v=""/>
    <s v=""/>
    <s v=""/>
    <s v=""/>
    <s v=""/>
    <s v=""/>
    <s v=""/>
    <s v="Ralfh Roger Bobiles"/>
    <s v="33"/>
    <s v=""/>
    <s v="CS"/>
    <s v="Local"/>
    <s v="405356799"/>
    <s v=""/>
    <s v=""/>
    <s v=""/>
    <s v=""/>
    <s v=""/>
    <s v=""/>
    <s v=""/>
    <s v=""/>
    <s v=""/>
    <s v=""/>
    <s v=""/>
    <s v=""/>
    <s v=""/>
    <s v=""/>
    <s v=""/>
    <s v=""/>
    <s v=""/>
    <m/>
  </r>
  <r>
    <x v="1"/>
    <m/>
    <x v="13"/>
    <x v="0"/>
    <x v="76"/>
    <s v="2026171210019"/>
    <n v="40"/>
    <n v="32"/>
    <s v="31-45 DAYS"/>
    <s v="CI-76833427"/>
    <s v="AG57476"/>
    <x v="0"/>
    <n v="3"/>
    <s v="Pending-Investigation"/>
    <s v="Awaiting CCA Response"/>
    <s v="955A79627"/>
    <s v="IN"/>
    <s v="P"/>
    <s v="2025273DO9809"/>
    <s v="0A2V6Y"/>
    <s v="07/16/2026 05:58 PM"/>
    <s v="IS-Dispute"/>
    <s v="BEN-Spider"/>
    <s v="RES-Unrestricted"/>
    <s v="GS-Local"/>
    <s v="REG-VA"/>
    <s v="IT-Written"/>
    <s v="00D671M103"/>
    <s v="VA"/>
    <s v="541581185"/>
    <s v="1710959457"/>
    <s v="1255863882"/>
    <s v=""/>
    <s v=""/>
    <x v="13"/>
    <s v="Recovery_Disputes"/>
    <s v="20260620T082309.000 GMT"/>
    <s v="16084"/>
    <s v=""/>
    <s v=""/>
    <s v="955"/>
    <s v="Yes"/>
    <s v="20260717T005819.000 GMT"/>
    <d v="2026-07-17T00:00:00"/>
    <s v="Richard B Bacalso"/>
    <s v="Send email to PROVIDER AUDIT APPEALS for review."/>
    <s v=""/>
    <s v="LAUREN A BARBER, LAUREN A"/>
    <s v=""/>
    <s v=""/>
    <s v=""/>
    <s v=""/>
    <s v=""/>
    <s v=""/>
    <s v=""/>
    <s v="Richard B Bacalso"/>
    <s v="30"/>
    <s v=""/>
    <s v=""/>
    <s v="Local"/>
    <s v="223697583"/>
    <s v=""/>
    <s v=""/>
    <s v=""/>
    <s v=""/>
    <s v=""/>
    <s v=""/>
    <s v=""/>
    <s v=""/>
    <s v=""/>
    <s v=""/>
    <s v=""/>
    <s v=""/>
    <s v=""/>
    <s v=""/>
    <s v=""/>
    <s v=""/>
    <s v=""/>
    <m/>
  </r>
  <r>
    <x v="0"/>
    <s v="Awaiting CCA Response"/>
    <x v="13"/>
    <x v="0"/>
    <x v="77"/>
    <s v="2026168100257"/>
    <n v="40"/>
    <n v="34"/>
    <s v="31-45 DAYS"/>
    <s v="CI-76699252"/>
    <s v="AL87804"/>
    <x v="0"/>
    <n v="6"/>
    <s v="Pending-Investigation"/>
    <s v="Awaiting CCA Response"/>
    <s v="407W22148"/>
    <s v="IN"/>
    <s v="P"/>
    <s v="2025241EF6352"/>
    <s v="270244"/>
    <s v="07/13/2026 11:32 PM"/>
    <s v="IS-Dispute"/>
    <s v="BEN-NonSpider"/>
    <s v="RES-Unrestricted"/>
    <s v="GS-National"/>
    <s v="REG-IN"/>
    <s v="IT-Written"/>
    <s v="270244M3SA"/>
    <s v="IL"/>
    <s v="370661183"/>
    <s v="1760571699"/>
    <s v=""/>
    <s v=""/>
    <s v=""/>
    <x v="18"/>
    <s v="Recovery_Disputes"/>
    <s v="20260617T170141.000 GMT"/>
    <s v="67459.23"/>
    <s v=""/>
    <s v=""/>
    <s v="407"/>
    <s v="Yes"/>
    <s v="20260714T063249.000 GMT"/>
    <d v="2026-07-14T00:00:00"/>
    <s v="Rizel A Payongayong"/>
    <s v="CCA for Review"/>
    <s v=""/>
    <s v="BLESSING HOSPITAL"/>
    <s v=""/>
    <s v=""/>
    <s v=""/>
    <s v=""/>
    <s v=""/>
    <s v=""/>
    <s v=""/>
    <s v="Rizel A Payongayong"/>
    <s v="33"/>
    <s v=""/>
    <s v=""/>
    <s v="Local"/>
    <s v="496681512"/>
    <s v=""/>
    <s v=""/>
    <s v=""/>
    <s v=""/>
    <s v=""/>
    <s v=""/>
    <s v=""/>
    <s v=""/>
    <s v=""/>
    <s v=""/>
    <s v=""/>
    <s v=""/>
    <s v=""/>
    <s v=""/>
    <s v=""/>
    <s v=""/>
    <s v=""/>
    <m/>
  </r>
  <r>
    <x v="0"/>
    <s v="Sent to PA"/>
    <x v="13"/>
    <x v="0"/>
    <x v="78"/>
    <s v="2026168630276"/>
    <n v="40"/>
    <n v="33"/>
    <s v="31-45 DAYS"/>
    <s v="CI-76706448"/>
    <s v="AH17430"/>
    <x v="0"/>
    <n v="5"/>
    <s v="Pending-Investigation"/>
    <s v="Awaiting CCA Response"/>
    <s v="167W23726"/>
    <s v="IN"/>
    <s v="P"/>
    <s v="2025286CK7922"/>
    <s v="IN"/>
    <s v="07/14/2026 11:38 PM"/>
    <s v="IS-Dispute"/>
    <s v="BEN-Spider"/>
    <s v="RES-Unrestricted"/>
    <s v="GS-ACA"/>
    <s v="REG-OH"/>
    <s v="IT-Written"/>
    <s v="846400"/>
    <s v="OH"/>
    <s v="272649285"/>
    <s v="1629387865"/>
    <s v="1831163518"/>
    <s v=""/>
    <s v=""/>
    <x v="17"/>
    <s v="Recovery_Disputes"/>
    <s v="20260617T191308.000 GMT"/>
    <s v="4299"/>
    <s v=""/>
    <s v=""/>
    <s v="167"/>
    <s v="Yes"/>
    <s v="20260715T063835.000 GMT"/>
    <d v="2026-07-15T00:00:00"/>
    <s v="Nesty Hope A Lagarto"/>
    <s v="Sent to PA for review"/>
    <s v=""/>
    <s v="LEBAMOFF, DAMIAN I"/>
    <s v=""/>
    <s v=""/>
    <s v=""/>
    <s v=""/>
    <s v=""/>
    <s v=""/>
    <s v=""/>
    <s v="Nesty Hope A Lagarto"/>
    <s v="33"/>
    <s v=""/>
    <s v=""/>
    <s v="Local"/>
    <s v="299902960"/>
    <s v=""/>
    <s v=""/>
    <s v=""/>
    <s v=""/>
    <s v=""/>
    <s v=""/>
    <s v=""/>
    <s v=""/>
    <s v=""/>
    <s v=""/>
    <s v=""/>
    <s v=""/>
    <s v=""/>
    <s v=""/>
    <s v=""/>
    <s v=""/>
    <s v=""/>
    <m/>
  </r>
  <r>
    <x v="0"/>
    <s v="For PA Review"/>
    <x v="13"/>
    <x v="0"/>
    <x v="79"/>
    <s v="2026170020440"/>
    <n v="40"/>
    <n v="31"/>
    <s v="31-45 DAYS"/>
    <s v="CI-76830318"/>
    <s v="AL64139"/>
    <x v="0"/>
    <n v="1"/>
    <s v="Pending-Investigation"/>
    <s v="Awaiting CCA Response"/>
    <s v="970516389"/>
    <s v="IN"/>
    <s v="P"/>
    <s v="2025258ED4949"/>
    <s v="363079"/>
    <s v="07/19/2026 04:42 PM"/>
    <s v="IS-Dispute"/>
    <s v="BEN-SpiderHMO"/>
    <s v="RES-Unrestricted"/>
    <s v="GS-HealthTrust"/>
    <s v="REG-NH"/>
    <s v="IT-Written"/>
    <s v="363079M020"/>
    <s v="NH"/>
    <s v="222594672"/>
    <s v="1215988530"/>
    <s v=""/>
    <s v=""/>
    <s v=""/>
    <x v="34"/>
    <s v="Recovery_Disputes"/>
    <s v="20260620T024324.000 GMT"/>
    <s v="217186.11"/>
    <s v=""/>
    <s v=""/>
    <s v="970"/>
    <s v="Yes"/>
    <s v="20260719T234250.000 GMT"/>
    <d v="2026-07-19T00:00:00"/>
    <s v="Carla Marie C Gulapa"/>
    <s v="HOLD. Sent email to PA for medical records review. FDOC # 7143200461."/>
    <s v=""/>
    <s v="CONCORD HOSPITAL"/>
    <s v=""/>
    <s v=""/>
    <s v=""/>
    <s v=""/>
    <s v=""/>
    <s v=""/>
    <s v=""/>
    <s v="Carla Marie C Gulapa"/>
    <s v="31"/>
    <s v=""/>
    <s v=""/>
    <s v="Local"/>
    <s v="173583107"/>
    <s v=""/>
    <s v=""/>
    <s v=""/>
    <s v=""/>
    <s v=""/>
    <s v=""/>
    <s v=""/>
    <s v=""/>
    <s v=""/>
    <s v=""/>
    <s v=""/>
    <s v=""/>
    <s v=""/>
    <s v=""/>
    <s v=""/>
    <s v=""/>
    <s v=""/>
    <m/>
  </r>
  <r>
    <x v="1"/>
    <m/>
    <x v="13"/>
    <x v="0"/>
    <x v="80"/>
    <s v="2026168570133"/>
    <n v="40"/>
    <n v="34"/>
    <s v="31-45 DAYS"/>
    <s v="CI-76684568"/>
    <s v="AG49226"/>
    <x v="4"/>
    <n v="6"/>
    <s v="Pending-Investigation"/>
    <s v="Awaiting CCA Response"/>
    <s v="077A78687"/>
    <s v="IN"/>
    <s v="P"/>
    <s v="2025126DX4331"/>
    <s v="SG408626"/>
    <s v="07/13/2026 11:23 PM"/>
    <s v="IS-Dispute"/>
    <s v="BEN-Spider"/>
    <s v="RES-Unrestricted"/>
    <s v="GS-ACA"/>
    <s v="REG-CONV"/>
    <s v="IT-Written"/>
    <s v="83VJ00"/>
    <s v="CO"/>
    <s v="862813124"/>
    <s v="1851029060"/>
    <s v=""/>
    <s v=""/>
    <s v=""/>
    <x v="22"/>
    <s v="Recovery_Disputes"/>
    <s v="20260617T123016.000 GMT"/>
    <s v="141584"/>
    <s v=""/>
    <s v=""/>
    <s v="077"/>
    <s v="Yes"/>
    <s v="20260714T062336.000 GMT"/>
    <d v="2026-07-14T00:00:00"/>
    <s v="Kevin Michael M Santos"/>
    <s v="Awaiting CCA Response"/>
    <s v=""/>
    <s v="NORTH COLORADO SPRINGS SU"/>
    <s v=""/>
    <s v=""/>
    <s v=""/>
    <s v=""/>
    <s v=""/>
    <s v=""/>
    <s v=""/>
    <s v="Kevin Michael M Santos"/>
    <s v="33"/>
    <s v=""/>
    <s v=""/>
    <s v="Local"/>
    <s v="519211172"/>
    <s v=""/>
    <s v=""/>
    <s v=""/>
    <s v=""/>
    <s v=""/>
    <s v=""/>
    <s v=""/>
    <s v=""/>
    <s v=""/>
    <s v=""/>
    <s v=""/>
    <s v=""/>
    <s v=""/>
    <s v=""/>
    <s v=""/>
    <s v=""/>
    <s v=""/>
    <m/>
  </r>
  <r>
    <x v="0"/>
    <s v="Retired Concept"/>
    <x v="13"/>
    <x v="0"/>
    <x v="81"/>
    <s v="2026168670069"/>
    <n v="40"/>
    <n v="34"/>
    <s v="31-45 DAYS"/>
    <s v="CI-76678481"/>
    <s v="AL02716"/>
    <x v="0"/>
    <n v="6"/>
    <s v="Pending-Investigation"/>
    <s v="Awaiting CCA Response"/>
    <s v="AN8562077"/>
    <s v="IN"/>
    <s v="P"/>
    <s v="2026001CF5349"/>
    <s v="W33025"/>
    <s v="07/13/2026 11:25 PM"/>
    <s v="IS-Dispute"/>
    <s v="BEN-NonSpider"/>
    <s v="RES-Unrestricted"/>
    <s v="GS-Local"/>
    <s v="REG-KY"/>
    <s v="IT-Written"/>
    <s v="W33025M011"/>
    <s v="KY"/>
    <s v="611276316"/>
    <s v="1588614994"/>
    <s v="1912225665"/>
    <s v=""/>
    <s v=""/>
    <x v="35"/>
    <s v="Recovery_Disputes"/>
    <s v="20260617T102318.000 GMT"/>
    <s v="2742"/>
    <s v=""/>
    <s v=""/>
    <s v="AN8"/>
    <s v="Yes"/>
    <s v="20260714T062601.000 GMT"/>
    <d v="2026-07-14T00:00:00"/>
    <s v="Christine F Andayran"/>
    <s v="RETIRED CONCEPT B265"/>
    <s v=""/>
    <s v="JAMIL T ELFARRA, JAMIL T"/>
    <s v=""/>
    <s v=""/>
    <s v=""/>
    <s v=""/>
    <s v=""/>
    <s v=""/>
    <s v=""/>
    <s v="Christine F Andayran"/>
    <s v="33"/>
    <s v=""/>
    <s v=""/>
    <s v="Local"/>
    <s v="404518316"/>
    <s v=""/>
    <s v=""/>
    <s v=""/>
    <s v=""/>
    <s v=""/>
    <s v=""/>
    <s v=""/>
    <s v=""/>
    <s v=""/>
    <s v=""/>
    <s v=""/>
    <s v=""/>
    <s v=""/>
    <s v=""/>
    <s v=""/>
    <s v=""/>
    <s v=""/>
    <m/>
  </r>
  <r>
    <x v="1"/>
    <m/>
    <x v="13"/>
    <x v="0"/>
    <x v="82"/>
    <s v="2026166210469"/>
    <n v="40"/>
    <n v="35"/>
    <s v="31-45 DAYS"/>
    <s v="CI-76609239"/>
    <s v="AL20356"/>
    <x v="1"/>
    <n v="7"/>
    <s v="Pending-Investigation"/>
    <s v="Awaiting CCA Response"/>
    <s v="539M78559"/>
    <s v="IN"/>
    <s v="P"/>
    <s v="2025237EU9527"/>
    <s v="SGA16481"/>
    <s v="07/12/2026 07:20 PM"/>
    <s v="IS-Dispute"/>
    <s v="BEN-NonSpider"/>
    <s v="RES-Unrestricted"/>
    <s v="GS-LocalFI"/>
    <s v="REG-GA"/>
    <s v="IT-Written"/>
    <s v="3TP600"/>
    <s v="GA"/>
    <s v="581954432"/>
    <s v="1376574277"/>
    <s v=""/>
    <s v=""/>
    <s v=""/>
    <x v="36"/>
    <s v="Recovery_Disputes"/>
    <s v="20260616T031837.000 GMT"/>
    <s v="143190.5"/>
    <s v=""/>
    <s v=""/>
    <s v="539"/>
    <s v="Yes"/>
    <s v="20260713T022036.000 GMT"/>
    <d v="2026-07-13T00:00:00"/>
    <s v="Allyssa Joy C Javier"/>
    <s v="Sent to provider audit for medical review."/>
    <s v=""/>
    <s v="NORTHSIDE HOSPITAL FORSYT"/>
    <s v=""/>
    <s v=""/>
    <s v=""/>
    <s v=""/>
    <s v=""/>
    <s v=""/>
    <s v=""/>
    <s v="Allyssa Joy C Javier"/>
    <s v="35"/>
    <s v=""/>
    <s v=""/>
    <s v="Local"/>
    <s v="688402837"/>
    <s v=""/>
    <s v=""/>
    <s v=""/>
    <s v=""/>
    <s v=""/>
    <s v=""/>
    <s v=""/>
    <s v=""/>
    <s v=""/>
    <s v=""/>
    <s v=""/>
    <s v=""/>
    <s v=""/>
    <s v=""/>
    <s v=""/>
    <s v=""/>
    <s v=""/>
    <m/>
  </r>
  <r>
    <x v="0"/>
    <s v="Still under Provider Audit"/>
    <x v="13"/>
    <x v="0"/>
    <x v="83"/>
    <s v="2026166870399"/>
    <n v="40"/>
    <n v="35"/>
    <s v="31-45 DAYS"/>
    <s v="CI-76600612"/>
    <s v="AL20303"/>
    <x v="1"/>
    <n v="7"/>
    <s v="Pending-Investigation"/>
    <s v="Awaiting CCA Response"/>
    <s v="993W17031"/>
    <s v="AP"/>
    <s v="P"/>
    <s v="2025273ER6517"/>
    <s v="270028"/>
    <s v="07/12/2026 05:30 PM"/>
    <s v="IS-Dispute"/>
    <s v="BEN-NonSpider"/>
    <s v="RES-Unrestricted"/>
    <s v="GS-National"/>
    <s v="REG-CA"/>
    <s v="IT-Written"/>
    <s v="270028M6AA"/>
    <s v="MO"/>
    <s v="844497665"/>
    <s v="1982695888"/>
    <s v="1982695888"/>
    <s v=""/>
    <s v=""/>
    <x v="33"/>
    <s v="Recovery_Disputes"/>
    <s v="20260615T222624.000 GMT"/>
    <s v="3697.25"/>
    <s v=""/>
    <s v=""/>
    <s v="993"/>
    <s v="Yes"/>
    <s v="20260713T003108.000 GMT"/>
    <d v="2026-07-13T00:00:00"/>
    <s v="Mark Andre S Lipit"/>
    <s v="Sent to Provider Audit Appeals."/>
    <s v=""/>
    <s v="WEST, STEVEN E"/>
    <s v=""/>
    <s v=""/>
    <s v=""/>
    <s v=""/>
    <s v=""/>
    <s v=""/>
    <s v=""/>
    <s v="Mark Andre S Lipit"/>
    <s v="35"/>
    <s v=""/>
    <s v="CS"/>
    <s v="Local"/>
    <s v="N02717011"/>
    <s v=""/>
    <s v=""/>
    <s v=""/>
    <s v=""/>
    <s v=""/>
    <s v=""/>
    <s v=""/>
    <s v=""/>
    <s v=""/>
    <s v=""/>
    <s v=""/>
    <s v=""/>
    <s v=""/>
    <s v=""/>
    <s v=""/>
    <s v=""/>
    <s v=""/>
    <m/>
  </r>
  <r>
    <x v="1"/>
    <m/>
    <x v="13"/>
    <x v="0"/>
    <x v="84"/>
    <s v="2026169410120"/>
    <n v="40"/>
    <n v="32"/>
    <s v="31-45 DAYS"/>
    <s v="CI-76743155"/>
    <s v="AL20320"/>
    <x v="0"/>
    <n v="4"/>
    <s v="Pending-Investigation"/>
    <s v="Awaiting CCA Response"/>
    <s v="029W22102"/>
    <s v="IN"/>
    <s v="P"/>
    <s v="2025056CI6714"/>
    <s v="212131"/>
    <s v="07/15/2026 07:51 PM"/>
    <s v="IS-Dispute"/>
    <s v="BEN-NonSpider"/>
    <s v="RES-Unrestricted"/>
    <s v="GS-National"/>
    <s v="REG-OH"/>
    <s v="IT-Written"/>
    <s v="212131MAA1"/>
    <s v="OH"/>
    <s v="202288402"/>
    <s v="1861449407"/>
    <s v="1316975444"/>
    <s v=""/>
    <s v=""/>
    <x v="29"/>
    <s v="Recovery_Disputes"/>
    <s v="20260618T122642.000 GMT"/>
    <s v="16960"/>
    <s v=""/>
    <s v=""/>
    <s v="029"/>
    <s v="Yes"/>
    <s v="20260716T025126.000 GMT"/>
    <d v="2026-07-16T00:00:00"/>
    <s v="Alvin J Melgar"/>
    <s v="Awaiting for PA response."/>
    <s v=""/>
    <s v="ADUNKA, OLIVER F"/>
    <s v=""/>
    <s v=""/>
    <s v=""/>
    <s v=""/>
    <s v=""/>
    <s v=""/>
    <s v=""/>
    <s v="Alvin J Melgar"/>
    <s v="32"/>
    <s v=""/>
    <s v=""/>
    <s v="Local"/>
    <s v="291708952"/>
    <s v=""/>
    <s v=""/>
    <s v=""/>
    <s v=""/>
    <s v=""/>
    <s v=""/>
    <s v=""/>
    <s v=""/>
    <s v=""/>
    <s v=""/>
    <s v=""/>
    <s v=""/>
    <s v=""/>
    <s v=""/>
    <s v=""/>
    <s v=""/>
    <s v=""/>
    <m/>
  </r>
  <r>
    <x v="1"/>
    <m/>
    <x v="13"/>
    <x v="0"/>
    <x v="85"/>
    <s v="2026169210256"/>
    <n v="40"/>
    <n v="33"/>
    <s v="31-45 DAYS"/>
    <s v="CI-76760450"/>
    <s v="AL20320"/>
    <x v="0"/>
    <n v="4"/>
    <s v="Pending-Investigation"/>
    <s v="Awaiting CCA Response"/>
    <s v="971940240"/>
    <s v="IN"/>
    <s v="P"/>
    <s v="2025119CE7137"/>
    <s v="001642"/>
    <s v="07/15/2026 05:46 PM"/>
    <s v="IS-Dispute"/>
    <s v="BEN-Spider"/>
    <s v="RES-Unrestricted"/>
    <s v="GS-Local"/>
    <s v="REG-CT"/>
    <s v="IT-Written"/>
    <s v="001642M037"/>
    <s v="CT"/>
    <s v="060646668"/>
    <s v="1770696643"/>
    <s v=""/>
    <s v=""/>
    <s v=""/>
    <x v="29"/>
    <s v="Recovery_Disputes"/>
    <s v="20260618T173433.000 GMT"/>
    <s v="37151.91"/>
    <s v=""/>
    <s v=""/>
    <s v="971"/>
    <s v="Yes"/>
    <s v="20260716T004642.000 GMT"/>
    <d v="2026-07-16T00:00:00"/>
    <s v="Alvin J Melgar"/>
    <s v="MR Automation: Not eligible for MR automation due to the presense of  ,QT1 edit. Please review and process as per the guidelines."/>
    <s v=""/>
    <s v="HARTFORD HOSPITAL"/>
    <s v=""/>
    <s v=""/>
    <s v=""/>
    <s v=""/>
    <s v=""/>
    <s v=""/>
    <s v=""/>
    <s v="Alvin J Melgar"/>
    <s v="32"/>
    <s v=""/>
    <s v=""/>
    <s v="Local"/>
    <s v="026489337"/>
    <s v=""/>
    <s v=""/>
    <s v=""/>
    <s v=""/>
    <s v=""/>
    <s v=""/>
    <s v=""/>
    <s v=""/>
    <s v=""/>
    <s v=""/>
    <s v=""/>
    <s v=""/>
    <s v=""/>
    <s v=""/>
    <s v=""/>
    <s v=""/>
    <s v=""/>
    <m/>
  </r>
  <r>
    <x v="0"/>
    <s v="PA review"/>
    <x v="13"/>
    <x v="0"/>
    <x v="86"/>
    <s v="2026167890075"/>
    <n v="40"/>
    <n v="35"/>
    <s v="31-45 DAYS"/>
    <s v="CI-76618335"/>
    <s v="AG66056"/>
    <x v="1"/>
    <n v="5"/>
    <s v="Pending-Investigation"/>
    <s v="Awaiting CCA Response"/>
    <s v="550W19874"/>
    <s v="IN"/>
    <s v="P"/>
    <s v="2025329EM7681"/>
    <s v="IN"/>
    <s v="07/14/2026 09:06 PM"/>
    <s v="IS-Dispute"/>
    <s v="BEN-Spider"/>
    <s v="RES-Unrestricted"/>
    <s v="GS-ACA"/>
    <s v="REG-VA"/>
    <s v="IT-Written"/>
    <s v="839T00"/>
    <s v="VA"/>
    <s v="540506332"/>
    <s v="1730123472"/>
    <s v="1609160308"/>
    <s v=""/>
    <s v=""/>
    <x v="37"/>
    <s v="Recovery_Disputes"/>
    <s v="20260616T100441.000 GMT"/>
    <s v="18159"/>
    <s v=""/>
    <s v=""/>
    <s v="550"/>
    <s v="Yes"/>
    <s v="20260715T040705.000 GMT"/>
    <d v="2026-07-15T00:00:00"/>
    <s v="Juana Marie Villamor"/>
    <s v="Sent to provider audit for review"/>
    <s v=""/>
    <s v="ADEOLU L OLASUNKANMI, ADEOLU L"/>
    <s v=""/>
    <s v=""/>
    <s v=""/>
    <s v=""/>
    <s v=""/>
    <s v=""/>
    <s v=""/>
    <s v="Juana Marie Villamor"/>
    <s v="34"/>
    <s v=""/>
    <s v=""/>
    <s v="Local"/>
    <s v="229153364"/>
    <s v=""/>
    <s v=""/>
    <s v=""/>
    <s v=""/>
    <s v=""/>
    <s v=""/>
    <s v=""/>
    <s v=""/>
    <s v=""/>
    <s v=""/>
    <s v=""/>
    <s v=""/>
    <s v=""/>
    <s v=""/>
    <s v=""/>
    <s v=""/>
    <s v=""/>
    <m/>
  </r>
  <r>
    <x v="0"/>
    <s v="Sent email to PA for medical records review. FDOC#: 7138227269"/>
    <x v="13"/>
    <x v="0"/>
    <x v="87"/>
    <s v="2026169190064"/>
    <n v="40"/>
    <n v="32"/>
    <s v="31-45 DAYS"/>
    <s v="CI-76738006"/>
    <s v="AL66317"/>
    <x v="0"/>
    <n v="4"/>
    <s v="Pending-Investigation"/>
    <s v="Awaiting CCA Response"/>
    <s v="433W13927"/>
    <s v="IN"/>
    <s v="P"/>
    <s v="2025223BP4469"/>
    <s v="270063"/>
    <s v="07/16/2026 02:57 AM"/>
    <s v="IS-Dispute"/>
    <s v="BEN-NonSpider"/>
    <s v="RES-Unrestricted"/>
    <s v="GS-National"/>
    <s v="REG-CT"/>
    <s v="IT-Written"/>
    <s v="270063M9AC"/>
    <s v="NY"/>
    <s v="135598093"/>
    <s v="1508266347"/>
    <s v="1518702653"/>
    <s v=""/>
    <s v=""/>
    <x v="38"/>
    <s v="Recovery_Disputes"/>
    <s v="20260618T104222.000 GMT"/>
    <s v="43623"/>
    <s v=""/>
    <s v=""/>
    <s v="433"/>
    <s v="Yes"/>
    <s v="20260716T095714.000 GMT"/>
    <d v="2026-07-16T00:00:00"/>
    <s v="Maria Fe A Gacgacao"/>
    <s v="Sent email to PA for medical records review. FDOC#: 7138227269"/>
    <s v=""/>
    <s v="JUNGHUN  LEE"/>
    <s v=""/>
    <s v=""/>
    <s v=""/>
    <s v=""/>
    <s v=""/>
    <s v=""/>
    <s v=""/>
    <s v="Maria Fe A Gacgacao"/>
    <s v="32"/>
    <s v=""/>
    <s v=""/>
    <s v="Local"/>
    <s v="066788814"/>
    <s v=""/>
    <s v=""/>
    <s v=""/>
    <s v=""/>
    <s v=""/>
    <s v=""/>
    <s v=""/>
    <s v=""/>
    <s v=""/>
    <s v=""/>
    <s v=""/>
    <s v=""/>
    <s v=""/>
    <s v=""/>
    <s v=""/>
    <s v=""/>
    <s v=""/>
    <m/>
  </r>
  <r>
    <x v="0"/>
    <s v="FAQ - RTP edit - Sent email to SME and logged in FAQ tracker"/>
    <x v="13"/>
    <x v="0"/>
    <x v="88"/>
    <s v="2026170000026"/>
    <n v="40"/>
    <n v="31"/>
    <s v="31-45 DAYS"/>
    <s v="CI-76789243"/>
    <s v="AH22793"/>
    <x v="0"/>
    <n v="3"/>
    <s v="Pending-Investigation"/>
    <s v="Purge Claim Request"/>
    <s v="038W09991"/>
    <s v="IN"/>
    <s v="P"/>
    <s v="2024024DD1329"/>
    <s v="W26822"/>
    <s v="07/16/2026 06:38 PM"/>
    <s v="IS-Dispute"/>
    <s v="BEN-Spider"/>
    <s v="RES-Unrestricted"/>
    <s v="GS-LocalFI"/>
    <s v="REG-KY"/>
    <s v="IT-Written"/>
    <s v="W26822M007"/>
    <s v="OH"/>
    <s v="310538525"/>
    <s v="1780633289"/>
    <s v=""/>
    <s v=""/>
    <s v=""/>
    <x v="0"/>
    <s v="Recovery_Disputes"/>
    <s v="20260619T082802.000 GMT"/>
    <s v="21977.17"/>
    <s v=""/>
    <s v=""/>
    <s v="038"/>
    <s v="Yes"/>
    <s v="20260717T013856.000 GMT"/>
    <d v="2026-07-17T00:00:00"/>
    <s v="Mary Elizabeth C Pedregoza"/>
    <s v="Claim restoration request"/>
    <s v=""/>
    <s v="CHRIST HOSPITAL"/>
    <s v=""/>
    <s v=""/>
    <s v=""/>
    <s v=""/>
    <s v=""/>
    <s v=""/>
    <s v=""/>
    <s v="Mary Elizabeth C Pedregoza"/>
    <s v="31"/>
    <s v=""/>
    <s v="CS"/>
    <s v="Local"/>
    <s v="402111576"/>
    <s v=""/>
    <s v=""/>
    <s v=""/>
    <s v=""/>
    <s v=""/>
    <s v=""/>
    <s v=""/>
    <s v=""/>
    <s v=""/>
    <s v=""/>
    <s v=""/>
    <s v=""/>
    <s v=""/>
    <s v=""/>
    <s v=""/>
    <s v=""/>
    <s v=""/>
    <m/>
  </r>
  <r>
    <x v="1"/>
    <m/>
    <x v="13"/>
    <x v="0"/>
    <x v="89"/>
    <s v="2026169400563"/>
    <n v="40"/>
    <n v="32"/>
    <s v="31-45 DAYS"/>
    <s v="CI-76784425"/>
    <s v="AI02198"/>
    <x v="1"/>
    <n v="3"/>
    <s v="Pending-Investigation"/>
    <s v="Awaiting CCA Response"/>
    <s v="283W17110"/>
    <s v="IN"/>
    <s v="P"/>
    <s v="2024316CV9296"/>
    <s v="IN"/>
    <s v="07/17/2026 03:09 AM"/>
    <s v="IS-Dispute"/>
    <s v="BEN-Spider"/>
    <s v="RES-Unrestricted"/>
    <s v="GS-ACA"/>
    <s v="REG-MO"/>
    <s v="IT-Written"/>
    <s v="9G4600"/>
    <s v="MO"/>
    <s v="474196634"/>
    <s v="1942685920"/>
    <s v=""/>
    <s v=""/>
    <s v=""/>
    <x v="2"/>
    <s v="Recovery_Disputes"/>
    <s v="20260619T032307.000 GMT"/>
    <s v="124669.36"/>
    <s v=""/>
    <s v=""/>
    <s v="283"/>
    <s v="Yes"/>
    <s v="20260717T100954.000 GMT"/>
    <d v="2026-07-17T00:00:00"/>
    <s v="Ralfh Roger Bobiles"/>
    <s v="Sent to PA"/>
    <s v=""/>
    <s v="SSM HEALTH SAINT LOUIS UN"/>
    <s v=""/>
    <s v=""/>
    <s v=""/>
    <s v=""/>
    <s v=""/>
    <s v=""/>
    <s v=""/>
    <s v="Ralfh Roger Bobiles"/>
    <s v="32"/>
    <s v=""/>
    <s v="CS"/>
    <s v="Local"/>
    <s v="492671835"/>
    <s v=""/>
    <s v=""/>
    <s v=""/>
    <s v=""/>
    <s v=""/>
    <s v=""/>
    <s v=""/>
    <s v=""/>
    <s v=""/>
    <s v=""/>
    <s v=""/>
    <s v=""/>
    <s v=""/>
    <s v=""/>
    <s v=""/>
    <s v=""/>
    <s v=""/>
    <m/>
  </r>
  <r>
    <x v="0"/>
    <s v="Still no response from Provider Audit"/>
    <x v="13"/>
    <x v="0"/>
    <x v="90"/>
    <s v="2026170450285"/>
    <n v="40"/>
    <n v="31"/>
    <s v="31-45 DAYS"/>
    <s v="CI-76814619"/>
    <s v="AL13293"/>
    <x v="1"/>
    <n v="12"/>
    <s v="Pending-Investigation"/>
    <s v="Awaiting CCA Response"/>
    <s v="832203060"/>
    <s v="IN"/>
    <s v="P"/>
    <s v="2025141CX1022"/>
    <s v="173325"/>
    <s v="07/08/2026 08:41 AM"/>
    <s v="IS-Dispute"/>
    <s v="BEN-NoBenefit"/>
    <s v="RES-Unrestricted"/>
    <s v="GS-Host"/>
    <s v="REG-MO"/>
    <s v="IT-Written"/>
    <s v="ITSPPO748"/>
    <s v="MO"/>
    <s v="430653611"/>
    <s v="1134169568"/>
    <s v="1093078115"/>
    <s v="74820251410922100"/>
    <s v=""/>
    <x v="39"/>
    <s v="Recovery_Disputes"/>
    <s v="20260619T181629.000 GMT"/>
    <s v="5990"/>
    <s v=""/>
    <s v=""/>
    <s v="832"/>
    <s v="Yes"/>
    <s v="20260708T154108.000 GMT"/>
    <d v="2026-07-08T00:00:00"/>
    <s v="Jayson M Castro"/>
    <s v="Still no response from Provider Audit"/>
    <s v=""/>
    <s v="OHMAN, JOHN W"/>
    <s v=""/>
    <s v=""/>
    <s v=""/>
    <s v=""/>
    <s v=""/>
    <s v=""/>
    <s v=""/>
    <s v="Jayson M Castro"/>
    <s v="31"/>
    <s v=""/>
    <s v=""/>
    <s v="BlueCard"/>
    <s v="832203060"/>
    <s v=""/>
    <s v=""/>
    <s v=""/>
    <s v=""/>
    <s v=""/>
    <s v=""/>
    <s v=""/>
    <s v=""/>
    <s v=""/>
    <s v=""/>
    <s v=""/>
    <s v=""/>
    <s v=""/>
    <s v=""/>
    <s v=""/>
    <s v=""/>
    <s v=""/>
    <m/>
  </r>
  <r>
    <x v="0"/>
    <s v="Still no response since 7/18"/>
    <x v="11"/>
    <x v="0"/>
    <x v="91"/>
    <s v="2026170020187"/>
    <n v="40"/>
    <n v="31"/>
    <s v="31-45 DAYS"/>
    <s v="CI-76806872"/>
    <s v="AH89140"/>
    <x v="0"/>
    <n v="3"/>
    <s v="Pending-Investigation"/>
    <s v="Awaiting CCA Response"/>
    <s v="480M60772"/>
    <s v="IN"/>
    <s v="P"/>
    <s v="2025308DC4944"/>
    <s v="SGA69628"/>
    <s v="07/16/2026 07:38 PM"/>
    <s v="IS-Dispute"/>
    <s v="BEN-Spider"/>
    <s v="RES-Unrestricted"/>
    <s v="GS-ACA"/>
    <s v="REG-WI"/>
    <s v="IT-Written"/>
    <s v="9ZNA00"/>
    <s v="WI"/>
    <s v="391509362"/>
    <s v="1376656959"/>
    <s v="1851314561"/>
    <s v=""/>
    <s v=""/>
    <x v="27"/>
    <s v="Recovery_Disputes"/>
    <s v="20260619T150246.000 GMT"/>
    <s v="31755.6"/>
    <s v=""/>
    <s v=""/>
    <s v="480"/>
    <s v="Yes"/>
    <s v="20260717T023922.000 GMT"/>
    <d v="2026-07-17T00:00:00"/>
    <s v="Alvin F Fejer"/>
    <s v="Sent to PA for review. Thanks"/>
    <s v=""/>
    <s v="ADAM C MIELKE, ADAM C"/>
    <s v=""/>
    <s v=""/>
    <s v=""/>
    <s v=""/>
    <s v=""/>
    <s v=""/>
    <s v=""/>
    <s v="Alvin F Fejer"/>
    <s v="31"/>
    <s v=""/>
    <s v=""/>
    <s v="Local"/>
    <s v="566890351"/>
    <s v=""/>
    <s v=""/>
    <s v=""/>
    <s v=""/>
    <s v=""/>
    <s v=""/>
    <s v=""/>
    <s v=""/>
    <s v=""/>
    <s v=""/>
    <s v=""/>
    <s v=""/>
    <s v=""/>
    <s v=""/>
    <s v=""/>
    <s v=""/>
    <s v=""/>
    <m/>
  </r>
  <r>
    <x v="0"/>
    <s v="Can't adjust due to PNJ edit"/>
    <x v="13"/>
    <x v="0"/>
    <x v="92"/>
    <s v="S-C81939909"/>
    <n v="100"/>
    <n v="31"/>
    <s v="31-45 DAYS"/>
    <s v="CI-78048943"/>
    <s v="AG93888"/>
    <x v="0"/>
    <n v="0"/>
    <s v="Pending-Investigation"/>
    <s v="Additional Research"/>
    <s v="F6A 026W03809"/>
    <s v="Urgent Management Request"/>
    <s v="Member"/>
    <s v="2025200DL8855"/>
    <s v="213048"/>
    <s v="07/19/2026 11:38 PM"/>
    <s v="IS-DisputeEscalations"/>
    <s v="BEN-NonSpider"/>
    <s v="RES-Unrestricted"/>
    <s v="GS-National"/>
    <s v="REG-IN"/>
    <s v="IT-SC"/>
    <s v="213048M1B3"/>
    <s v="IN"/>
    <s v="352074283"/>
    <s v="1336205798"/>
    <s v=""/>
    <s v=""/>
    <s v=""/>
    <x v="14"/>
    <s v="Recovery_Disputes"/>
    <s v="20260716T143416.000 GMT"/>
    <s v="135488.5"/>
    <s v=""/>
    <s v=""/>
    <s v="F6A"/>
    <s v="No"/>
    <s v="20260720T063913.000 GMT"/>
    <d v="2026-07-20T00:00:00"/>
    <s v="Hilyn C Camilan"/>
    <s v="cant adjust because of PNJ edit"/>
    <s v=""/>
    <s v="FRANCISCAN HEALTH CROWN P"/>
    <s v=""/>
    <s v=""/>
    <s v=""/>
    <s v=""/>
    <s v=""/>
    <s v="S-C81936886"/>
    <s v=""/>
    <s v="Hilyn C Camilan"/>
    <s v="3"/>
    <s v=""/>
    <s v="Claim Adjustment"/>
    <s v="Local"/>
    <s v="308805849"/>
    <s v=""/>
    <s v=""/>
    <s v=""/>
    <s v=""/>
    <s v=""/>
    <s v=""/>
    <s v=""/>
    <s v=""/>
    <s v=""/>
    <s v=""/>
    <s v=""/>
    <s v=""/>
    <s v=""/>
    <s v=""/>
    <s v=""/>
    <s v=""/>
    <s v=""/>
    <m/>
  </r>
  <r>
    <x v="0"/>
    <s v="Sent to PA"/>
    <x v="14"/>
    <x v="1"/>
    <x v="93"/>
    <s v="2026180570384"/>
    <n v="30"/>
    <n v="29"/>
    <s v="16-30 DAYS"/>
    <s v="CI-77283179"/>
    <s v="AH17430"/>
    <x v="0"/>
    <n v="27"/>
    <s v="Pending-Investigation"/>
    <s v="Finance Review"/>
    <s v="301W10652"/>
    <s v="IN"/>
    <s v="P"/>
    <s v="2025016CQ8598"/>
    <s v="W33025"/>
    <s v=""/>
    <s v="IS-Dispute"/>
    <s v="BEN-NonSpider"/>
    <s v="RES-Unrestricted"/>
    <s v="GS-Local"/>
    <s v="REG-KY"/>
    <s v="IT-Written"/>
    <s v="W33025M011"/>
    <s v="KY"/>
    <s v="610703799"/>
    <s v="1831195908"/>
    <s v=""/>
    <s v=""/>
    <s v=""/>
    <x v="17"/>
    <s v="Recovery_Disputes"/>
    <s v="20260629T225251.000 GMT"/>
    <s v="44430.56"/>
    <s v=""/>
    <s v=""/>
    <s v="301"/>
    <s v="Yes"/>
    <s v="20260701T122458.000 GMT"/>
    <d v="2026-07-01T00:00:00"/>
    <s v="AH17430"/>
    <s v="CPRAS Response : CLAIM : 2025016CQ8598 - Inquiry eligible for Claims Payment Reconsideration (Level 1). First Attempt."/>
    <s v=""/>
    <s v="NORTON WOMENS AND CHILDRE"/>
    <s v=""/>
    <s v=""/>
    <s v=""/>
    <s v=""/>
    <s v=""/>
    <s v=""/>
    <s v=""/>
    <s v="Nesty Hope A Lagarto"/>
    <s v="29"/>
    <s v=""/>
    <s v="CS"/>
    <s v="Local"/>
    <s v="785212888"/>
    <s v=""/>
    <s v=""/>
    <s v=""/>
    <s v=""/>
    <s v=""/>
    <s v=""/>
    <s v=""/>
    <s v=""/>
    <s v=""/>
    <s v=""/>
    <s v=""/>
    <s v=""/>
    <s v=""/>
    <s v=""/>
    <s v=""/>
    <s v=""/>
    <s v=""/>
    <m/>
  </r>
  <r>
    <x v="1"/>
    <m/>
    <x v="14"/>
    <x v="1"/>
    <x v="94"/>
    <s v="2026181820364"/>
    <n v="30"/>
    <n v="28"/>
    <s v="16-30 DAYS"/>
    <s v="CI-77335937"/>
    <s v="AL87275"/>
    <x v="2"/>
    <n v="7"/>
    <s v="Pending-Investigation"/>
    <s v="Awaiting CCA Response"/>
    <s v="E01150346"/>
    <s v="IN"/>
    <s v="P"/>
    <s v="2025281DM8666"/>
    <s v="L06633"/>
    <s v="07/20/2026 07:53 PM"/>
    <s v="IS-Dispute"/>
    <s v="BEN-NonSpider"/>
    <s v="RES-Unrestricted"/>
    <s v="GS-JAALocal"/>
    <s v="REG-GA"/>
    <s v="IT-Written"/>
    <s v="L06633M001"/>
    <s v="GA"/>
    <s v="582078064"/>
    <s v="1891745212"/>
    <s v="1093153116"/>
    <s v=""/>
    <s v=""/>
    <x v="31"/>
    <s v="Recovery_Disputes"/>
    <s v="20260630T205044.000 GMT"/>
    <s v="5557"/>
    <s v=""/>
    <s v=""/>
    <s v="E01"/>
    <s v="Yes"/>
    <s v="20260721T025355.000 GMT"/>
    <d v="2026-07-21T00:00:00"/>
    <s v="RANDEL ABAYARI"/>
    <s v="Email sent to provider audit for review"/>
    <s v=""/>
    <s v="RIDEOUT, PHILLIP P"/>
    <s v=""/>
    <s v=""/>
    <s v=""/>
    <s v=""/>
    <s v=""/>
    <s v=""/>
    <s v=""/>
    <s v="RANDEL ABAYARI"/>
    <s v="28"/>
    <s v="Benefits &amp; Risk Management (BRMS)"/>
    <s v=""/>
    <s v="Local"/>
    <s v="240791100"/>
    <s v=""/>
    <s v=""/>
    <s v=""/>
    <s v=""/>
    <s v=""/>
    <s v=""/>
    <s v=""/>
    <s v=""/>
    <s v=""/>
    <s v=""/>
    <s v=""/>
    <s v=""/>
    <s v=""/>
    <s v=""/>
    <s v=""/>
    <s v=""/>
    <s v=""/>
    <m/>
  </r>
  <r>
    <x v="1"/>
    <m/>
    <x v="14"/>
    <x v="1"/>
    <x v="95"/>
    <s v="2026181660468"/>
    <n v="30"/>
    <n v="28"/>
    <s v="16-30 DAYS"/>
    <s v="CI-77342193"/>
    <s v="AL87802"/>
    <x v="2"/>
    <n v="7"/>
    <s v="Pending-Investigation"/>
    <s v="Awaiting CCA Response"/>
    <s v="3133252SF"/>
    <s v="IN"/>
    <s v="P"/>
    <s v="2025210DO1866"/>
    <s v="JNV002"/>
    <s v="07/20/2026 08:44 PM"/>
    <s v="IS-Dispute"/>
    <s v="BEN-NonSpider"/>
    <s v="RES-Unrestricted"/>
    <s v="GS-JAALocal"/>
    <s v="REG-CONV"/>
    <s v="IT-Written"/>
    <s v="JNV002M005"/>
    <s v="MO"/>
    <s v="430653611"/>
    <s v="1174563662"/>
    <s v="1780979070"/>
    <s v=""/>
    <s v=""/>
    <x v="40"/>
    <s v="Recovery_Disputes"/>
    <s v="20260630T232336.000 GMT"/>
    <s v="14400"/>
    <s v=""/>
    <s v=""/>
    <s v="313"/>
    <s v="Yes"/>
    <s v="20260721T034414.000 GMT"/>
    <d v="2026-07-21T00:00:00"/>
    <s v="Keano Richard Torre"/>
    <s v="Email sent to Provider Audit for review."/>
    <s v=""/>
    <s v="TSUYOSHI  KANEKO"/>
    <s v=""/>
    <s v=""/>
    <s v=""/>
    <s v=""/>
    <s v=""/>
    <s v=""/>
    <s v=""/>
    <s v="Keano Richard Torre"/>
    <s v="28"/>
    <s v="Iron Road HealthCare"/>
    <s v=""/>
    <s v="Local"/>
    <s v="3133252SF"/>
    <s v=""/>
    <s v=""/>
    <s v=""/>
    <s v=""/>
    <s v=""/>
    <s v=""/>
    <s v=""/>
    <s v=""/>
    <s v=""/>
    <s v=""/>
    <s v=""/>
    <s v=""/>
    <s v=""/>
    <s v=""/>
    <s v=""/>
    <s v=""/>
    <s v=""/>
    <m/>
  </r>
  <r>
    <x v="1"/>
    <m/>
    <x v="14"/>
    <x v="1"/>
    <x v="96"/>
    <s v="2026187220242"/>
    <n v="30"/>
    <n v="22"/>
    <s v="16-30 DAYS"/>
    <s v="CI-77569637"/>
    <s v="AL87804"/>
    <x v="0"/>
    <n v="15"/>
    <s v="Pending-Investigation"/>
    <s v="Awaiting CCA Response"/>
    <s v="635W20529"/>
    <s v="IN"/>
    <s v="P"/>
    <s v="2025237DM7473"/>
    <s v="IN"/>
    <s v="07/12/2026 08:49 PM"/>
    <s v="IS-Dispute"/>
    <s v="BEN-Spider"/>
    <s v="RES-Unrestricted"/>
    <s v="GS-ACA"/>
    <s v="REG-GA"/>
    <s v="IT-Written"/>
    <s v="86S600"/>
    <s v="GA"/>
    <s v="581954432"/>
    <s v="1952340994"/>
    <s v=""/>
    <s v=""/>
    <s v=""/>
    <x v="18"/>
    <s v="Recovery_Disputes"/>
    <s v="20260706T182009.000 GMT"/>
    <s v="185050"/>
    <s v=""/>
    <s v=""/>
    <s v="635"/>
    <s v="Yes"/>
    <s v="20260713T035003.000 GMT"/>
    <d v="2026-07-13T00:00:00"/>
    <s v="Rizel A Payongayong"/>
    <s v="CCA for Review"/>
    <s v=""/>
    <s v="NORTHSIDE HOSPITAL"/>
    <s v=""/>
    <s v=""/>
    <s v=""/>
    <s v=""/>
    <s v=""/>
    <s v=""/>
    <s v=""/>
    <s v="Rizel A Payongayong"/>
    <s v="22"/>
    <s v=""/>
    <s v=""/>
    <s v="Local"/>
    <s v="259295061"/>
    <s v=""/>
    <s v=""/>
    <s v="Appeal/Request Denied"/>
    <s v=""/>
    <s v=""/>
    <s v=""/>
    <s v=""/>
    <s v=""/>
    <s v=""/>
    <s v=""/>
    <s v=""/>
    <s v=""/>
    <s v=""/>
    <s v=""/>
    <s v=""/>
    <s v=""/>
    <s v=""/>
    <m/>
  </r>
  <r>
    <x v="0"/>
    <s v="Still waiting for a review by PA team"/>
    <x v="14"/>
    <x v="1"/>
    <x v="97"/>
    <s v=""/>
    <n v="40"/>
    <n v="38"/>
    <s v="31-45 DAYS"/>
    <s v="CI-76833575"/>
    <s v="AH60028"/>
    <x v="2"/>
    <n v="8"/>
    <s v="Pending-Investigation"/>
    <s v="Awaiting CCA Response"/>
    <s v="472W20086"/>
    <s v="IN"/>
    <s v="Provider"/>
    <s v="2025227BX7141"/>
    <s v="210016"/>
    <s v="07/19/2026 06:59 PM"/>
    <s v="IS-Dispute"/>
    <s v="BEN-NonSpider"/>
    <s v="RES-Unrestricted"/>
    <s v="GS-National"/>
    <s v="REG-WI"/>
    <s v="IT-Written"/>
    <s v="210016M3AV"/>
    <s v="CT"/>
    <s v="061016137"/>
    <s v="1366468837"/>
    <s v="1114997665"/>
    <s v=""/>
    <s v=""/>
    <x v="7"/>
    <s v="Recovery_Disputes"/>
    <s v="20260620T082819.000 GMT"/>
    <s v="6440"/>
    <s v=""/>
    <s v=""/>
    <s v="472"/>
    <s v="Yes"/>
    <s v="20260720T020011.000 GMT"/>
    <d v="2026-07-20T00:00:00"/>
    <s v="Mark Ian D Ninas"/>
    <s v="Email sent for PA review"/>
    <s v=""/>
    <s v="PAZ, ANTONIO J"/>
    <s v=""/>
    <s v=""/>
    <s v=""/>
    <s v=""/>
    <s v=""/>
    <s v=""/>
    <s v=""/>
    <s v="Mark Ian D Ninas"/>
    <s v="38"/>
    <s v=""/>
    <s v="CS"/>
    <s v="Local"/>
    <s v="593129320"/>
    <s v=""/>
    <s v=""/>
    <s v=""/>
    <s v=""/>
    <s v=""/>
    <s v=""/>
    <s v=""/>
    <s v=""/>
    <s v=""/>
    <s v=""/>
    <s v=""/>
    <s v=""/>
    <s v=""/>
    <s v=""/>
    <s v=""/>
    <s v=""/>
    <s v=""/>
    <m/>
  </r>
  <r>
    <x v="1"/>
    <m/>
    <x v="14"/>
    <x v="1"/>
    <x v="98"/>
    <s v="2026173060474"/>
    <n v="40"/>
    <n v="36"/>
    <s v="31-45 DAYS"/>
    <s v="CI-76951530"/>
    <s v="AL64139"/>
    <x v="0"/>
    <n v="7"/>
    <s v="Pending-Investigation"/>
    <s v="Awaiting CCA Response"/>
    <s v="564W14855"/>
    <s v="IN"/>
    <s v="P"/>
    <s v="2024211EK5153"/>
    <s v="174653"/>
    <s v="07/20/2026 10:38 PM"/>
    <s v="IS-Dispute"/>
    <s v="BEN-NonSpider"/>
    <s v="RES-Unrestricted"/>
    <s v="GS-National"/>
    <s v="REG-GA"/>
    <s v="IT-Written"/>
    <s v="174653M1A1"/>
    <s v="IN"/>
    <s v="270426722"/>
    <s v="1902134372"/>
    <s v=""/>
    <s v=""/>
    <s v=""/>
    <x v="34"/>
    <s v="Recovery_Disputes"/>
    <s v="20260623T050949.000 GMT"/>
    <s v="25047.6"/>
    <s v=""/>
    <s v=""/>
    <s v="564"/>
    <s v="Yes"/>
    <s v="20260721T053838.000 GMT"/>
    <d v="2026-07-21T00:00:00"/>
    <s v="Carla Marie C Gulapa"/>
    <s v="HOLD. Sent email to PA for medical records review. FDOC # 7145644196."/>
    <s v=""/>
    <s v="METRO SPECIALTY SURGERY C"/>
    <s v=""/>
    <s v=""/>
    <s v=""/>
    <s v=""/>
    <s v=""/>
    <s v=""/>
    <s v=""/>
    <s v="Carla Marie C Gulapa"/>
    <s v="36"/>
    <s v=""/>
    <s v=""/>
    <s v="Local"/>
    <s v="401333925"/>
    <s v=""/>
    <s v=""/>
    <s v=""/>
    <s v=""/>
    <s v=""/>
    <s v=""/>
    <s v=""/>
    <s v=""/>
    <s v=""/>
    <s v=""/>
    <s v=""/>
    <s v=""/>
    <s v=""/>
    <s v=""/>
    <s v=""/>
    <s v=""/>
    <s v=""/>
    <m/>
  </r>
  <r>
    <x v="0"/>
    <s v="Pending high dollar review"/>
    <x v="14"/>
    <x v="1"/>
    <x v="99"/>
    <s v="2026173300108"/>
    <n v="40"/>
    <n v="36"/>
    <s v="31-45 DAYS"/>
    <s v="CI-76913485"/>
    <s v="AH22793"/>
    <x v="0"/>
    <n v="7"/>
    <s v="Pending-Investigation"/>
    <s v="Awaiting CCA Response"/>
    <s v="AN7825785"/>
    <s v="IN"/>
    <s v="P"/>
    <s v="2025269ER2048"/>
    <s v="270138"/>
    <s v="07/20/2026 05:03 PM"/>
    <s v="IS-Dispute"/>
    <s v="BEN-NonSpider"/>
    <s v="RES-Unrestricted"/>
    <s v="GS-National"/>
    <s v="REG-OH"/>
    <s v="IT-Written"/>
    <s v="270138PYCA"/>
    <s v="MO"/>
    <s v="436003859"/>
    <s v="1699769901"/>
    <s v=""/>
    <s v=""/>
    <s v=""/>
    <x v="0"/>
    <s v="Recovery_Disputes"/>
    <s v="20260622T134200.000 GMT"/>
    <s v="191712.87"/>
    <s v=""/>
    <s v=""/>
    <s v="AN7"/>
    <s v="Yes"/>
    <s v="20260721T000322.000 GMT"/>
    <d v="2026-07-21T00:00:00"/>
    <s v="Mary Elizabeth C Pedregoza"/>
    <s v="Sent for PA review"/>
    <s v=""/>
    <s v="CURATORS OF THE UNIVERSIT"/>
    <s v=""/>
    <s v=""/>
    <s v=""/>
    <s v=""/>
    <s v=""/>
    <s v=""/>
    <s v=""/>
    <s v="Mary Elizabeth C Pedregoza"/>
    <s v="36"/>
    <s v=""/>
    <s v=""/>
    <s v="Local"/>
    <s v="499668404"/>
    <s v=""/>
    <s v=""/>
    <s v=""/>
    <s v=""/>
    <s v=""/>
    <s v=""/>
    <s v=""/>
    <s v=""/>
    <s v=""/>
    <s v=""/>
    <s v=""/>
    <s v=""/>
    <s v=""/>
    <s v=""/>
    <s v=""/>
    <s v=""/>
    <s v=""/>
    <m/>
  </r>
  <r>
    <x v="1"/>
    <m/>
    <x v="14"/>
    <x v="1"/>
    <x v="100"/>
    <s v="2026171940366"/>
    <n v="40"/>
    <n v="38"/>
    <s v="31-45 DAYS"/>
    <s v="CI-76863791"/>
    <s v="AL02716"/>
    <x v="0"/>
    <n v="8"/>
    <s v="Pending-Review"/>
    <s v="Pending Reversal"/>
    <s v="828M55044"/>
    <s v="IN"/>
    <s v="P"/>
    <s v="2025069CA3903"/>
    <s v="L03319"/>
    <s v=""/>
    <s v="IS-Dispute"/>
    <s v="BEN-Spider"/>
    <s v="RES-Unrestricted"/>
    <s v="GS-Local"/>
    <s v="REG-VA"/>
    <s v="IT-Written"/>
    <s v="L03319M001"/>
    <s v="VA"/>
    <s v="541001793"/>
    <s v="1225058548"/>
    <s v="1215116207"/>
    <s v=""/>
    <s v=""/>
    <x v="35"/>
    <s v="Recovery_Disputes"/>
    <s v="20260621T015448.000 GMT"/>
    <s v="6839"/>
    <s v=""/>
    <s v=""/>
    <s v="828"/>
    <s v="Yes"/>
    <s v="20260720T070538.000 GMT"/>
    <d v="2026-07-20T00:00:00"/>
    <s v="AL02716"/>
    <s v="DCN: 2025069CA3903_x000a_ Provider state: VA_x000a_ MLH of Dispute: 2026171B90820_x000a_ Concept ID:Pre Pay-B7151_x000a_ LPP receipt Date: 07/20/2026_x000a_ Adjustment reason code: S10_x000a_ Comments: Recovery reviewed the claim and per findings, Authorization UM75951131 was denied and the provider submitted medical records under claim 2026171B90820 to appeal this decision. These records need to be reviewed by Utilization Management. "/>
    <s v=""/>
    <s v="NICHOLAS K SABLAN, NICHOLAS K"/>
    <s v=""/>
    <s v=""/>
    <s v=""/>
    <s v=""/>
    <s v=""/>
    <s v=""/>
    <s v=""/>
    <s v="Christine F Andayran"/>
    <s v="38"/>
    <s v=""/>
    <s v=""/>
    <s v="Local"/>
    <s v="223410811"/>
    <s v=""/>
    <s v=""/>
    <s v=""/>
    <s v=""/>
    <s v=""/>
    <s v=""/>
    <s v=""/>
    <s v=""/>
    <s v=""/>
    <s v=""/>
    <s v=""/>
    <s v=""/>
    <s v=""/>
    <s v=""/>
    <s v=""/>
    <s v=""/>
    <s v=""/>
    <m/>
  </r>
  <r>
    <x v="1"/>
    <m/>
    <x v="14"/>
    <x v="1"/>
    <x v="101"/>
    <s v="2026172780121"/>
    <n v="40"/>
    <n v="37"/>
    <s v="31-45 DAYS"/>
    <s v="CI-76880050"/>
    <s v="AI02198"/>
    <x v="1"/>
    <n v="8"/>
    <s v="Pending-Investigation"/>
    <s v="Awaiting CCA Response"/>
    <s v="868M54062"/>
    <s v="IN"/>
    <s v="P"/>
    <s v="2024005DZ9661"/>
    <s v="L01467"/>
    <s v="07/20/2026 03:35 AM"/>
    <s v="IS-Dispute"/>
    <s v="BEN-Spider"/>
    <s v="RES-Unrestricted"/>
    <s v="GS-Local"/>
    <s v="REG-IN"/>
    <s v="IT-Written"/>
    <s v="L01467M080"/>
    <s v="IN"/>
    <s v="351720796"/>
    <s v="1205860335"/>
    <s v=""/>
    <s v=""/>
    <s v=""/>
    <x v="2"/>
    <s v="Recovery_Disputes"/>
    <s v="20260621T144425.000 GMT"/>
    <s v="35567.7"/>
    <s v=""/>
    <s v=""/>
    <s v="868"/>
    <s v="Yes"/>
    <s v="20260720T103551.000 GMT"/>
    <d v="2026-07-20T00:00:00"/>
    <s v="Ralfh Roger Bobiles"/>
    <s v="Sent to PA"/>
    <s v=""/>
    <s v="INDIANA UNIVERSITY HEALTH"/>
    <s v=""/>
    <s v=""/>
    <s v=""/>
    <s v=""/>
    <s v=""/>
    <s v=""/>
    <s v=""/>
    <s v="Ralfh Roger Bobiles"/>
    <s v="37"/>
    <s v=""/>
    <s v=""/>
    <s v="Local"/>
    <s v="306821309"/>
    <s v=""/>
    <s v=""/>
    <s v=""/>
    <s v=""/>
    <s v=""/>
    <s v=""/>
    <s v=""/>
    <s v=""/>
    <s v=""/>
    <s v=""/>
    <s v=""/>
    <s v=""/>
    <s v=""/>
    <s v=""/>
    <s v=""/>
    <s v=""/>
    <s v=""/>
    <m/>
  </r>
  <r>
    <x v="1"/>
    <m/>
    <x v="14"/>
    <x v="1"/>
    <x v="102"/>
    <s v="2026176410423"/>
    <n v="40"/>
    <n v="33"/>
    <s v="31-45 DAYS"/>
    <s v="CI-77124024"/>
    <s v="AL02716"/>
    <x v="0"/>
    <n v="23"/>
    <s v="Pending-Investigation"/>
    <s v="Finance Review"/>
    <s v="577M65345"/>
    <s v="IN"/>
    <s v="P"/>
    <s v="2025066DR3922"/>
    <s v="L01309"/>
    <s v=""/>
    <s v="IS-Dispute"/>
    <s v="BEN-NonSpider"/>
    <s v="RES-Unrestricted"/>
    <s v="GS-Local"/>
    <s v="REG-WI"/>
    <s v="IT-Written"/>
    <s v="L01309M001"/>
    <s v="WI"/>
    <s v="390808509"/>
    <s v="1740291491"/>
    <s v="1376564898"/>
    <s v=""/>
    <s v=""/>
    <x v="35"/>
    <s v="Recovery_Disputes"/>
    <s v="20260625T214236.000 GMT"/>
    <s v="489"/>
    <s v=""/>
    <s v=""/>
    <s v="577"/>
    <s v="Yes"/>
    <s v="20260705T113550.000 GMT"/>
    <d v="2026-07-05T00:00:00"/>
    <s v="AL02716"/>
    <s v="P-100WGSWI   WGS Provider 10 Day LETTER REQUESTED"/>
    <s v=""/>
    <s v="CATES SR., ROBERT C"/>
    <s v=""/>
    <s v=""/>
    <s v=""/>
    <s v=""/>
    <s v=""/>
    <s v=""/>
    <s v=""/>
    <s v="Christine F Andayran"/>
    <s v="33"/>
    <s v=""/>
    <s v="CS"/>
    <s v="Local"/>
    <s v="396941217"/>
    <s v=""/>
    <s v=""/>
    <s v=""/>
    <s v=""/>
    <s v=""/>
    <s v=""/>
    <s v=""/>
    <s v=""/>
    <s v=""/>
    <s v=""/>
    <s v=""/>
    <s v=""/>
    <s v=""/>
    <s v=""/>
    <s v=""/>
    <s v=""/>
    <s v=""/>
    <m/>
  </r>
  <r>
    <x v="1"/>
    <m/>
    <x v="14"/>
    <x v="1"/>
    <x v="103"/>
    <s v="2026174660522"/>
    <n v="40"/>
    <n v="35"/>
    <s v="31-45 DAYS"/>
    <s v="CI-77009302"/>
    <s v="AL02716"/>
    <x v="0"/>
    <n v="33"/>
    <s v="Pending-Investigation"/>
    <s v="Finance Review"/>
    <s v="562W22151"/>
    <s v="IN"/>
    <s v="P"/>
    <s v="2026061CS4353"/>
    <s v="L11087"/>
    <s v=""/>
    <s v="IS-Dispute"/>
    <s v="BEN-Spider"/>
    <s v="RES-Unrestricted"/>
    <s v="GS-LocalFI"/>
    <s v="REG-CONV"/>
    <s v="IT-Internal"/>
    <s v="L11087M020"/>
    <s v="CO"/>
    <s v="840438224"/>
    <s v="1750189163"/>
    <s v="1942195292"/>
    <s v=""/>
    <s v=""/>
    <x v="35"/>
    <s v="Recovery_Disputes"/>
    <s v="20260623T234413.000 GMT"/>
    <s v="2543.8"/>
    <s v=""/>
    <s v=""/>
    <s v="562"/>
    <s v="No"/>
    <s v="20260625T105857.000 GMT"/>
    <d v="2026-06-25T00:00:00"/>
    <s v="AL02716"/>
    <s v="MEDICAL RECORDS ON MLH:  2026104RL3914"/>
    <s v=""/>
    <s v="SANCHEZ-CIFUENT, SAMANT L"/>
    <s v=""/>
    <s v=""/>
    <s v=""/>
    <s v=""/>
    <s v=""/>
    <s v=""/>
    <s v=""/>
    <s v="Christine F Andayran"/>
    <s v="35"/>
    <s v=""/>
    <s v="CS"/>
    <s v="Local"/>
    <s v="179567023"/>
    <s v=""/>
    <s v=""/>
    <s v=""/>
    <s v=""/>
    <s v=""/>
    <s v=""/>
    <s v=""/>
    <s v=""/>
    <s v=""/>
    <s v=""/>
    <s v=""/>
    <s v=""/>
    <s v=""/>
    <s v=""/>
    <s v=""/>
    <s v=""/>
    <s v=""/>
    <m/>
  </r>
  <r>
    <x v="0"/>
    <s v="&quot;&quot;&quot;&quot;&quot;&quot;&quot;_x0009__x000a_Awaiting review from PA&quot;&quot;&quot;&quot;&quot;&quot;&quot;"/>
    <x v="14"/>
    <x v="1"/>
    <x v="104"/>
    <s v="2026171810047"/>
    <n v="40"/>
    <n v="38"/>
    <s v="31-45 DAYS"/>
    <s v="CI-76834893"/>
    <s v="AM40216"/>
    <x v="0"/>
    <n v="8"/>
    <s v="Pending-Investigation"/>
    <s v="Awaiting CCA Response"/>
    <s v="291W04871"/>
    <s v="IN"/>
    <s v="P"/>
    <s v="2025273EF0167"/>
    <s v="SM0022"/>
    <s v="07/19/2026 07:47 PM"/>
    <s v="IS-Dispute"/>
    <s v="BEN-Spider"/>
    <s v="RES-Unrestricted"/>
    <s v="GS-LocalFI"/>
    <s v="REG-MO"/>
    <s v="IT-Written"/>
    <s v="SM0022M001"/>
    <s v="MO"/>
    <s v="430653611"/>
    <s v="1487694337"/>
    <s v="1962063222"/>
    <s v=""/>
    <s v="Teresa R Simpson"/>
    <x v="15"/>
    <s v="Recovery_Disputes"/>
    <s v="20260620T091611.000 GMT"/>
    <s v="8232"/>
    <s v=""/>
    <s v=""/>
    <s v="291"/>
    <s v="Yes"/>
    <s v="20260720T024754.000 GMT"/>
    <d v="2026-07-20T00:00:00"/>
    <s v="Christine P Gaviola"/>
    <s v="awaiting PA review"/>
    <s v=""/>
    <s v="ZHU, WILLIAM Y"/>
    <s v=""/>
    <s v=""/>
    <s v=""/>
    <s v=""/>
    <s v=""/>
    <s v=""/>
    <s v=""/>
    <s v="Christine P Gaviola"/>
    <s v="38"/>
    <s v=""/>
    <s v=""/>
    <s v="Local"/>
    <s v="499084446"/>
    <s v=""/>
    <s v=""/>
    <s v=""/>
    <s v=""/>
    <s v=""/>
    <s v=""/>
    <s v=""/>
    <s v=""/>
    <s v=""/>
    <s v=""/>
    <s v=""/>
    <s v=""/>
    <s v=""/>
    <s v=""/>
    <s v=""/>
    <s v=""/>
    <s v=""/>
    <m/>
  </r>
  <r>
    <x v="1"/>
    <m/>
    <x v="14"/>
    <x v="1"/>
    <x v="105"/>
    <s v="2026177290422"/>
    <n v="40"/>
    <n v="32"/>
    <s v="31-45 DAYS"/>
    <s v="CI-77183849"/>
    <s v="AL02716"/>
    <x v="0"/>
    <n v="31"/>
    <s v="Pending-Investigation"/>
    <s v="Finance Review"/>
    <s v="976279230"/>
    <s v="IN"/>
    <s v="P"/>
    <s v="2025196BK8719"/>
    <s v="SGD48607"/>
    <s v=""/>
    <s v="IS-Dispute"/>
    <s v="BEN-SpiderHMO"/>
    <s v="RES-Unrestricted"/>
    <s v="GS-ACA"/>
    <s v="REG-ME"/>
    <s v="IT-Written"/>
    <s v="8GQ800"/>
    <s v="ME"/>
    <s v="010353275"/>
    <s v="1366474611"/>
    <s v="1841827003"/>
    <s v=""/>
    <s v=""/>
    <x v="35"/>
    <s v="Recovery_Disputes"/>
    <s v="20260626T232424.000 GMT"/>
    <s v="192.21"/>
    <s v=""/>
    <s v=""/>
    <s v="976"/>
    <s v="Yes"/>
    <s v="20260627T132532.000 GMT"/>
    <d v="2026-06-27T00:00:00"/>
    <s v="AL02716"/>
    <s v="MR Automation: Not eligible for MR Automation due to the listed Account/Product/Provider level exclusions. Please review and process as per the guidelines."/>
    <s v=""/>
    <s v="POULIN, SAMUEL J"/>
    <s v=""/>
    <s v=""/>
    <s v=""/>
    <s v=""/>
    <s v=""/>
    <s v=""/>
    <s v=""/>
    <s v="Christine F Andayran"/>
    <s v="32"/>
    <s v=""/>
    <s v=""/>
    <s v="Local"/>
    <s v="006981858"/>
    <s v=""/>
    <s v=""/>
    <s v=""/>
    <s v=""/>
    <s v=""/>
    <s v=""/>
    <s v=""/>
    <s v=""/>
    <s v=""/>
    <s v=""/>
    <s v=""/>
    <s v=""/>
    <s v=""/>
    <s v=""/>
    <s v=""/>
    <s v=""/>
    <s v=""/>
    <m/>
  </r>
  <r>
    <x v="1"/>
    <m/>
    <x v="14"/>
    <x v="1"/>
    <x v="106"/>
    <s v="2026173580466"/>
    <n v="40"/>
    <n v="36"/>
    <s v="31-45 DAYS"/>
    <s v="CI-76949684"/>
    <s v="AL39293"/>
    <x v="2"/>
    <n v="11"/>
    <s v="Pending-Investigation"/>
    <s v="Awaiting CCA Response"/>
    <s v="0449851LI"/>
    <s v="IN"/>
    <s v="P"/>
    <s v="2025199CO6540"/>
    <s v="L12204"/>
    <s v="07/16/2026 10:57 PM"/>
    <s v="IS-Dispute"/>
    <s v="BEN-NonSpider"/>
    <s v="RES-Unrestricted"/>
    <s v="GS-JAALocal"/>
    <s v="REG-OH"/>
    <s v="IT-Written"/>
    <s v="L12204M001"/>
    <s v="OH"/>
    <s v="341768928"/>
    <s v="1720220098"/>
    <s v="1174714844"/>
    <s v=""/>
    <s v=""/>
    <x v="41"/>
    <s v="Recovery_Disputes"/>
    <s v="20260623T040454.000 GMT"/>
    <s v="265"/>
    <s v=""/>
    <s v=""/>
    <s v="044"/>
    <s v="Yes"/>
    <s v="20260717T055803.000 GMT"/>
    <d v="2026-07-17T00:00:00"/>
    <s v="Ryan E Asis"/>
    <s v="Pend - Sent to Provider Audit"/>
    <s v=""/>
    <s v="MILLER, DAVID W"/>
    <s v=""/>
    <s v=""/>
    <s v=""/>
    <s v=""/>
    <s v=""/>
    <s v=""/>
    <s v=""/>
    <s v="Ryan E Asis"/>
    <s v="36"/>
    <s v="Allied"/>
    <s v=""/>
    <s v="Local"/>
    <s v="298663614"/>
    <s v=""/>
    <s v=""/>
    <s v=""/>
    <s v=""/>
    <s v=""/>
    <s v=""/>
    <s v=""/>
    <s v=""/>
    <s v=""/>
    <s v=""/>
    <s v=""/>
    <s v=""/>
    <s v=""/>
    <s v=""/>
    <s v=""/>
    <s v=""/>
    <s v=""/>
    <m/>
  </r>
  <r>
    <x v="1"/>
    <m/>
    <x v="14"/>
    <x v="1"/>
    <x v="107"/>
    <s v="2026157910617"/>
    <n v="40"/>
    <n v="52"/>
    <s v="46-60 DAYS"/>
    <s v="CI-76166717"/>
    <s v="AH00092"/>
    <x v="2"/>
    <n v="28"/>
    <s v="Pending-Investigation"/>
    <s v="Awaiting CCA Response"/>
    <s v="756W01200"/>
    <s v="IN"/>
    <s v="P"/>
    <s v="2024355CN7216"/>
    <s v="IN"/>
    <s v="06/29/2026 09:45 PM"/>
    <s v="IS-Dispute"/>
    <s v="BEN-SpiderHMO"/>
    <s v="RES-Unrestricted"/>
    <s v="GS-ACA"/>
    <s v="REG-CONV"/>
    <s v="IT-Written"/>
    <s v="9BKJ00"/>
    <s v="CO"/>
    <s v="840175870"/>
    <s v="1821074196"/>
    <s v=""/>
    <s v=""/>
    <s v=""/>
    <x v="26"/>
    <s v="Recovery_Disputes"/>
    <s v="20260606T234052.000 GMT"/>
    <s v="195773.81"/>
    <s v=""/>
    <s v=""/>
    <s v="756"/>
    <s v="Yes"/>
    <s v="20260630T044528.000 GMT"/>
    <d v="2026-06-30T00:00:00"/>
    <s v="John Paul M Tuazon"/>
    <s v="Email sent for PA review"/>
    <s v=""/>
    <s v="BOULDER COMMUNITY HEALTH"/>
    <s v=""/>
    <s v=""/>
    <s v=""/>
    <s v=""/>
    <s v=""/>
    <s v=""/>
    <s v=""/>
    <s v="John Paul M Tuazon"/>
    <s v="52"/>
    <s v=""/>
    <s v="CS"/>
    <s v="Local"/>
    <s v="382923047"/>
    <s v=""/>
    <s v=""/>
    <s v=""/>
    <s v=""/>
    <s v=""/>
    <s v=""/>
    <s v=""/>
    <s v=""/>
    <s v=""/>
    <s v=""/>
    <s v=""/>
    <s v=""/>
    <s v=""/>
    <s v=""/>
    <s v=""/>
    <s v=""/>
    <s v=""/>
    <m/>
  </r>
  <r>
    <x v="1"/>
    <m/>
    <x v="14"/>
    <x v="1"/>
    <x v="108"/>
    <s v="2026159760013"/>
    <n v="40"/>
    <n v="50"/>
    <s v="46-60 DAYS"/>
    <s v="CI-76195236"/>
    <s v="AG49226"/>
    <x v="4"/>
    <n v="28"/>
    <s v="Pending-Investigation"/>
    <s v="Awaiting CCA Response"/>
    <s v="292W15800"/>
    <s v="IN"/>
    <s v="P"/>
    <s v="2025170CP5179"/>
    <s v="L11001"/>
    <s v="06/30/2026 12:00 AM"/>
    <s v="IS-Dispute"/>
    <s v="BEN-Spider"/>
    <s v="RES-Unrestricted"/>
    <s v="GS-LocalFI"/>
    <s v="REG-GA"/>
    <s v="IT-Written"/>
    <s v="L11001M024"/>
    <s v="GA"/>
    <s v="462531047"/>
    <s v="1952746638"/>
    <s v="1962766329"/>
    <s v=""/>
    <s v=""/>
    <x v="22"/>
    <s v="Recovery_Disputes"/>
    <s v="20260608T073905.000 GMT"/>
    <s v="1280"/>
    <s v=""/>
    <s v=""/>
    <s v="292"/>
    <s v="Yes"/>
    <s v="20260630T070026.000 GMT"/>
    <d v="2026-06-30T00:00:00"/>
    <s v="Kevin Michael M Santos"/>
    <s v="Awaiting CCA Response"/>
    <s v=""/>
    <s v="EZALDEEN A NUMUR"/>
    <s v=""/>
    <s v=""/>
    <s v=""/>
    <s v=""/>
    <s v=""/>
    <s v=""/>
    <s v=""/>
    <s v="Kevin Michael M Santos"/>
    <s v="50"/>
    <s v=""/>
    <s v=""/>
    <s v="Local"/>
    <s v="256635975"/>
    <s v=""/>
    <s v=""/>
    <s v=""/>
    <s v=""/>
    <s v=""/>
    <s v=""/>
    <s v=""/>
    <s v=""/>
    <s v=""/>
    <s v=""/>
    <s v=""/>
    <s v=""/>
    <s v=""/>
    <s v=""/>
    <s v=""/>
    <s v=""/>
    <s v=""/>
    <m/>
  </r>
  <r>
    <x v="1"/>
    <m/>
    <x v="14"/>
    <x v="1"/>
    <x v="109"/>
    <s v="2026126340587"/>
    <n v="50"/>
    <n v="83"/>
    <s v="61-90 DAYS"/>
    <s v="CI-74667456"/>
    <s v="AL64139"/>
    <x v="0"/>
    <n v="13"/>
    <s v="Pending-Investigation"/>
    <s v="Awaiting CCA Response"/>
    <s v="962W18215"/>
    <s v="IN"/>
    <s v="P"/>
    <s v="2024143BK3788"/>
    <s v="270138"/>
    <s v="07/15/2026 03:59 PM"/>
    <s v="IS-Dispute"/>
    <s v="BEN-NonSpider"/>
    <s v="RES-Unrestricted"/>
    <s v="GS-National"/>
    <s v="REG-OH"/>
    <s v="IT-Written"/>
    <s v="2701382AAA"/>
    <s v="GA"/>
    <s v="581973570"/>
    <s v="1154377166"/>
    <s v=""/>
    <s v=""/>
    <s v=""/>
    <x v="34"/>
    <s v="Recovery_Disputes"/>
    <s v="20260507T021444.000 GMT"/>
    <s v="102943"/>
    <s v=""/>
    <s v=""/>
    <s v="962"/>
    <s v="Yes"/>
    <s v="20260715T225942.000 GMT"/>
    <d v="2026-07-15T00:00:00"/>
    <s v="Carla Marie C Gulapa"/>
    <s v="HOLD. Sent email to PA for medical records review. FDOC # 7053269180. Sent follow up with SME dated 07/12/2026"/>
    <s v=""/>
    <s v="FLOYD HEALTHCARE MANAGEME"/>
    <s v=""/>
    <s v=""/>
    <s v=""/>
    <s v=""/>
    <s v=""/>
    <s v=""/>
    <s v=""/>
    <s v="Carla Marie C Gulapa"/>
    <s v="83"/>
    <s v=""/>
    <s v=""/>
    <s v="Local"/>
    <s v="255630804"/>
    <s v=""/>
    <s v=""/>
    <s v=""/>
    <s v=""/>
    <s v=""/>
    <s v=""/>
    <s v=""/>
    <s v=""/>
    <s v=""/>
    <s v=""/>
    <s v=""/>
    <s v=""/>
    <s v=""/>
    <s v=""/>
    <s v=""/>
    <s v=""/>
    <s v=""/>
    <m/>
  </r>
  <r>
    <x v="1"/>
    <m/>
    <x v="14"/>
    <x v="1"/>
    <x v="110"/>
    <s v="2026135740164"/>
    <n v="50"/>
    <n v="74"/>
    <s v="61-90 DAYS"/>
    <s v="CI-75188467"/>
    <s v="AL20338"/>
    <x v="1"/>
    <n v="14"/>
    <s v="Pending-Investigation"/>
    <s v="Awaiting CCA Response"/>
    <s v="943M76434"/>
    <s v="AP"/>
    <s v="P"/>
    <s v="2025213DY1749"/>
    <s v="C20001"/>
    <s v="07/13/2026 08:37 PM"/>
    <s v="IS-Dispute"/>
    <s v="BEN-NonSpider"/>
    <s v="RES-Unrestricted"/>
    <s v="GS-National"/>
    <s v="REG-CA"/>
    <s v="IT-Written"/>
    <s v="C20001M2A2"/>
    <s v="NY"/>
    <s v="135598093"/>
    <s v="1508266347"/>
    <s v="1467651083"/>
    <s v=""/>
    <s v=""/>
    <x v="19"/>
    <s v="Recovery_Disputes"/>
    <s v="20260518T022707.000 GMT"/>
    <s v="16175"/>
    <s v=""/>
    <s v=""/>
    <s v="943"/>
    <s v="Yes"/>
    <s v="20260714T033742.000 GMT"/>
    <d v="2026-07-14T00:00:00"/>
    <s v="Virgil Joseph L Domalaoco"/>
    <s v="Still Waiting for Response from Provider Audit"/>
    <s v=""/>
    <s v="JOHN M KARAMICHALIS, JOHN M"/>
    <s v=""/>
    <s v=""/>
    <s v=""/>
    <s v=""/>
    <s v=""/>
    <s v=""/>
    <s v=""/>
    <s v="Virgil Joseph L Domalaoco"/>
    <s v="72"/>
    <s v=""/>
    <s v="CS"/>
    <s v="Local"/>
    <s v="529791667"/>
    <s v=""/>
    <s v=""/>
    <s v=""/>
    <s v=""/>
    <s v=""/>
    <s v=""/>
    <s v=""/>
    <s v=""/>
    <s v=""/>
    <s v=""/>
    <s v=""/>
    <s v=""/>
    <s v=""/>
    <s v=""/>
    <s v=""/>
    <s v=""/>
    <s v=""/>
    <m/>
  </r>
  <r>
    <x v="0"/>
    <s v="For reversal, will adjust. Need to ask assistance with SME."/>
    <x v="14"/>
    <x v="1"/>
    <x v="111"/>
    <s v="2026111410201"/>
    <n v="60"/>
    <n v="98"/>
    <s v="91-120 DAYS"/>
    <s v="CI-73886884"/>
    <s v="AH89266"/>
    <x v="1"/>
    <n v="18"/>
    <s v="Pending-Investigation"/>
    <s v="Awaiting Medical Review"/>
    <s v="515W14996"/>
    <s v="IN"/>
    <s v="P"/>
    <s v="2024365DY0887"/>
    <s v="212117"/>
    <s v="07/09/2026 11:01 PM"/>
    <s v="IS-Dispute"/>
    <s v="BEN-NonSpider"/>
    <s v="RES-Unrestricted"/>
    <s v="GS-National"/>
    <s v="REG-OH"/>
    <s v="IT-Written"/>
    <s v="212117M1HB"/>
    <s v="CA"/>
    <s v="851644866"/>
    <s v="1013514199"/>
    <s v=""/>
    <s v=""/>
    <s v=""/>
    <x v="4"/>
    <s v="Recovery_Disputes"/>
    <s v="20260421T151414.000 GMT"/>
    <s v="46687.87"/>
    <s v=""/>
    <s v=""/>
    <s v="515"/>
    <s v="Yes"/>
    <s v="20260710T060159.000 GMT"/>
    <d v="2026-07-10T00:00:00"/>
    <s v="Ana Vanessa S Armada"/>
    <s v="For reversal, will adjust. Need to ask assistance with SME."/>
    <s v=""/>
    <s v="KECK HOSPITAL OF USC"/>
    <s v=""/>
    <s v=""/>
    <s v=""/>
    <s v=""/>
    <s v=""/>
    <s v=""/>
    <s v=""/>
    <s v="Ana Vanessa S Armada"/>
    <s v="98"/>
    <s v=""/>
    <s v=""/>
    <s v="Local"/>
    <s v="652096543"/>
    <s v=""/>
    <s v=""/>
    <s v=""/>
    <s v=""/>
    <s v=""/>
    <s v=""/>
    <s v=""/>
    <s v=""/>
    <s v=""/>
    <s v=""/>
    <s v=""/>
    <s v=""/>
    <s v=""/>
    <s v=""/>
    <s v=""/>
    <s v=""/>
    <s v=""/>
    <m/>
  </r>
  <r>
    <x v="1"/>
    <m/>
    <x v="14"/>
    <x v="1"/>
    <x v="112"/>
    <s v="2026113550470"/>
    <n v="60"/>
    <n v="96"/>
    <s v="91-120 DAYS"/>
    <s v="CI-74039155"/>
    <n v="0"/>
    <x v="4"/>
    <n v="8"/>
    <s v="Pending-Investigation"/>
    <s v="Awaiting HD pymt Group Approval"/>
    <s v="534W15386"/>
    <s v="IN"/>
    <s v="P"/>
    <s v="2023349CX4171"/>
    <s v="L01618"/>
    <s v="07/08/2026 06:16 PM"/>
    <s v="IS-Dispute"/>
    <s v="BEN-Spider"/>
    <s v="RES-Unrestricted"/>
    <s v="GS-Local"/>
    <s v="REG-OH"/>
    <s v="IT-Written"/>
    <s v="L01618M001"/>
    <s v="OH"/>
    <s v="310564121"/>
    <s v="1053339507"/>
    <s v=""/>
    <s v=""/>
    <s v=""/>
    <x v="42"/>
    <s v="Recovery_Disputes"/>
    <s v="20260423T224022.000 GMT"/>
    <s v="276114.43"/>
    <s v=""/>
    <s v=""/>
    <s v="534"/>
    <s v="Yes"/>
    <s v="20260720T040112.000 GMT"/>
    <d v="2026-07-20T00:00:00"/>
    <s v="System"/>
    <s v="MR Automation: Batch Automation Process - Claim in Open status"/>
    <s v=""/>
    <s v="KETTERING HEALTH DAYTON"/>
    <s v=""/>
    <s v=""/>
    <s v=""/>
    <s v=""/>
    <s v=""/>
    <s v=""/>
    <s v=""/>
    <s v="Henrico P Tan"/>
    <s v="96"/>
    <s v=""/>
    <s v=""/>
    <s v="Local"/>
    <s v="288607957"/>
    <s v=""/>
    <s v=""/>
    <s v=""/>
    <s v=""/>
    <s v=""/>
    <s v=""/>
    <s v=""/>
    <s v=""/>
    <s v=""/>
    <s v=""/>
    <s v=""/>
    <s v=""/>
    <s v=""/>
    <s v=""/>
    <s v=""/>
    <s v=""/>
    <s v=""/>
    <m/>
  </r>
  <r>
    <x v="2"/>
    <m/>
    <x v="15"/>
    <x v="0"/>
    <x v="113"/>
    <m/>
    <m/>
    <m/>
    <m/>
    <m/>
    <m/>
    <x v="5"/>
    <m/>
    <m/>
    <m/>
    <m/>
    <m/>
    <m/>
    <m/>
    <m/>
    <m/>
    <m/>
    <m/>
    <m/>
    <m/>
    <m/>
    <m/>
    <m/>
    <m/>
    <m/>
    <m/>
    <m/>
    <m/>
    <m/>
    <x v="43"/>
    <m/>
    <m/>
    <m/>
    <m/>
    <m/>
    <m/>
    <m/>
    <m/>
    <m/>
    <m/>
    <m/>
    <m/>
    <m/>
    <m/>
    <m/>
    <m/>
    <m/>
    <m/>
    <m/>
    <m/>
    <m/>
    <m/>
    <m/>
    <m/>
    <m/>
    <m/>
    <m/>
    <m/>
    <m/>
    <m/>
    <m/>
    <m/>
    <m/>
    <m/>
    <m/>
    <m/>
    <m/>
    <m/>
    <m/>
    <m/>
    <m/>
    <m/>
    <m/>
    <m/>
  </r>
  <r>
    <x v="2"/>
    <m/>
    <x v="15"/>
    <x v="1"/>
    <x v="114"/>
    <m/>
    <m/>
    <m/>
    <m/>
    <m/>
    <m/>
    <x v="5"/>
    <m/>
    <m/>
    <m/>
    <m/>
    <m/>
    <m/>
    <m/>
    <m/>
    <m/>
    <m/>
    <m/>
    <m/>
    <m/>
    <m/>
    <m/>
    <m/>
    <m/>
    <m/>
    <m/>
    <m/>
    <m/>
    <m/>
    <x v="43"/>
    <m/>
    <m/>
    <m/>
    <m/>
    <m/>
    <m/>
    <m/>
    <m/>
    <m/>
    <m/>
    <m/>
    <m/>
    <m/>
    <m/>
    <m/>
    <m/>
    <m/>
    <m/>
    <m/>
    <m/>
    <m/>
    <m/>
    <m/>
    <m/>
    <m/>
    <m/>
    <m/>
    <m/>
    <m/>
    <m/>
    <m/>
    <m/>
    <m/>
    <m/>
    <m/>
    <m/>
    <m/>
    <m/>
    <m/>
    <m/>
    <m/>
    <m/>
    <m/>
    <m/>
  </r>
  <r>
    <x v="1"/>
    <m/>
    <x v="16"/>
    <x v="0"/>
    <x v="115"/>
    <n v="2026184640219"/>
    <n v="40"/>
    <n v="34"/>
    <s v="31-45 DAYS"/>
    <s v="CI-77492633"/>
    <s v="AM38938"/>
    <x v="0"/>
    <n v="1"/>
    <s v="Pending-Investigation"/>
    <s v="Additional Research"/>
    <s v="461W10380"/>
    <s v="IN"/>
    <s v="P"/>
    <s v="2024255DQ0743"/>
    <s v="IN"/>
    <n v="46239.692361111112"/>
    <s v="IS-Dispute"/>
    <s v="BEN-Spider"/>
    <s v="RES-Unrestricted"/>
    <s v="GS-ACA"/>
    <s v="REG-MO"/>
    <s v="IT-Written"/>
    <s v="9G4B00"/>
    <s v="MO"/>
    <n v="431343281"/>
    <n v="1598835308"/>
    <m/>
    <m/>
    <m/>
    <x v="9"/>
    <s v="Recovery_Disputes"/>
    <s v="20260703T164632.000 GMT"/>
    <n v="135573.6"/>
    <m/>
    <m/>
    <n v="461"/>
    <s v="Yes"/>
    <s v="20260805T233716.000 GMT"/>
    <d v="2026-08-05T00:00:00"/>
    <s v="Rechelle C Berida"/>
    <s v="per provider Audit review. Modified - Clinical supports payment for 2 of 3 units. The 2 types of closure devices used do not meet policy (Mynx and Angioseal both implanted per the clinical). Recover 1 unit for $222.14. FDOC# 7175744676"/>
    <m/>
    <s v="SSM HEALTH CARE ST. LOUIS"/>
    <m/>
    <m/>
    <m/>
    <m/>
    <m/>
    <m/>
    <m/>
    <s v="Rechelle C Berida"/>
    <n v="34"/>
    <m/>
    <m/>
    <s v="Local"/>
    <n v="495765783"/>
    <m/>
    <m/>
    <m/>
    <m/>
    <m/>
    <m/>
    <m/>
    <m/>
    <m/>
    <m/>
    <m/>
    <m/>
    <m/>
    <m/>
    <m/>
    <m/>
    <m/>
    <d v="2026-08-06T00:00:00"/>
  </r>
  <r>
    <x v="1"/>
    <m/>
    <x v="16"/>
    <x v="0"/>
    <x v="116"/>
    <n v="2026184610274"/>
    <n v="40"/>
    <n v="34"/>
    <s v="31-45 DAYS"/>
    <s v="CI-77497749"/>
    <s v="AL20349"/>
    <x v="0"/>
    <n v="3"/>
    <s v="Pending-Investigation"/>
    <s v="Awaiting CCA Response"/>
    <s v="805A50919"/>
    <s v="IN"/>
    <s v="P"/>
    <s v="2025275BI3951"/>
    <s v="GA6447"/>
    <n v="46236.868055555555"/>
    <s v="IS-Dispute"/>
    <s v="BEN-NonSpider"/>
    <s v="RES-Unrestricted"/>
    <s v="GS-Local"/>
    <s v="REG-GA"/>
    <s v="IT-Written"/>
    <s v="GA6447M008"/>
    <s v="GA"/>
    <n v="833671516"/>
    <n v="1023734084"/>
    <m/>
    <m/>
    <s v="Melody D La Pena"/>
    <x v="44"/>
    <s v="Recovery_Disputes"/>
    <s v="20260703T194238.000 GMT"/>
    <n v="47237.94"/>
    <m/>
    <m/>
    <n v="805"/>
    <s v="Yes"/>
    <s v="20260803T040011.000 GMT"/>
    <d v="2026-08-03T00:00:00"/>
    <s v="Gerommel Marcelino"/>
    <s v="Sent email to provider audit."/>
    <m/>
    <s v="WEST GEORGIA SURGERY CENT"/>
    <m/>
    <m/>
    <m/>
    <m/>
    <m/>
    <m/>
    <m/>
    <s v="Gerommel Marcelino"/>
    <n v="34"/>
    <m/>
    <m/>
    <s v="Local"/>
    <n v="258312030"/>
    <m/>
    <m/>
    <m/>
    <m/>
    <m/>
    <m/>
    <m/>
    <m/>
    <m/>
    <m/>
    <m/>
    <m/>
    <m/>
    <m/>
    <m/>
    <m/>
    <m/>
    <d v="2026-08-06T00:00:00"/>
  </r>
  <r>
    <x v="1"/>
    <m/>
    <x v="16"/>
    <x v="0"/>
    <x v="117"/>
    <n v="2026188660032"/>
    <n v="40"/>
    <n v="31"/>
    <s v="31-45 DAYS"/>
    <s v="CI-77596019"/>
    <s v="AL20316"/>
    <x v="0"/>
    <n v="2"/>
    <s v="Pending-Investigation"/>
    <s v="Awaiting CCA Response"/>
    <s v="AN7739901"/>
    <s v="IN"/>
    <s v="P"/>
    <s v="2025118DP9449"/>
    <s v="W71114"/>
    <n v="46237.904166666667"/>
    <s v="IS-Dispute"/>
    <s v="BEN-NonSpider"/>
    <s v="RES-Unrestricted"/>
    <s v="GS-Local"/>
    <s v="REG-MO"/>
    <s v="IT-Written"/>
    <s v="W71114M005"/>
    <s v="MO"/>
    <n v="430653493"/>
    <n v="1427098169"/>
    <m/>
    <m/>
    <s v="Melody D La Pena"/>
    <x v="45"/>
    <s v="Recovery_Disputes"/>
    <s v="20260707T084146.000 GMT"/>
    <n v="29758.06"/>
    <m/>
    <m/>
    <s v="AN7"/>
    <s v="Yes"/>
    <s v="20260804T044221.000 GMT"/>
    <d v="2026-08-04T00:00:00"/>
    <s v="Edwin Romeo V Sabarre"/>
    <s v="Sent email to PA for medical records review."/>
    <m/>
    <s v="MERCY HOSPITAL ST LOUIS-E"/>
    <m/>
    <m/>
    <m/>
    <m/>
    <m/>
    <m/>
    <m/>
    <s v="Edwin Romeo V Sabarre"/>
    <n v="30"/>
    <m/>
    <m/>
    <s v="Local"/>
    <n v="492905161"/>
    <m/>
    <m/>
    <m/>
    <m/>
    <m/>
    <m/>
    <m/>
    <m/>
    <m/>
    <m/>
    <m/>
    <m/>
    <m/>
    <m/>
    <m/>
    <m/>
    <m/>
    <d v="2026-08-06T00:00:00"/>
  </r>
  <r>
    <x v="1"/>
    <m/>
    <x v="16"/>
    <x v="0"/>
    <x v="118"/>
    <n v="2026188960239"/>
    <n v="40"/>
    <n v="31"/>
    <s v="31-45 DAYS"/>
    <s v="CI-77622082"/>
    <s v="AL64139"/>
    <x v="0"/>
    <n v="3"/>
    <s v="Pending-Investigation"/>
    <s v="Awaiting CCA Response"/>
    <s v="458W12312"/>
    <s v="IN"/>
    <s v="P"/>
    <s v="2025051DT8697"/>
    <s v="IN"/>
    <n v="46237.663888888892"/>
    <s v="IS-Dispute"/>
    <s v="BEN-Spider"/>
    <s v="RES-Unrestricted"/>
    <s v="GS-ACA"/>
    <s v="REG-MO"/>
    <s v="IT-Written"/>
    <s v="9G4B00"/>
    <s v="MO"/>
    <n v="430653493"/>
    <n v="1427098169"/>
    <m/>
    <m/>
    <m/>
    <x v="34"/>
    <s v="Recovery_Disputes"/>
    <s v="20260707T170540.000 GMT"/>
    <n v="30610.36"/>
    <m/>
    <m/>
    <n v="458"/>
    <s v="Yes"/>
    <s v="20260803T225707.000 GMT"/>
    <d v="2026-08-03T00:00:00"/>
    <s v="Carla Marie C Gulapa"/>
    <s v="HOLD. Sent email to PA for medical records review. Unable to generate FDOC due to outlook restrictions."/>
    <m/>
    <s v="MERCY HOSPITAL ST LOUIS-E"/>
    <m/>
    <m/>
    <m/>
    <m/>
    <m/>
    <m/>
    <m/>
    <s v="Carla Marie C Gulapa"/>
    <n v="30"/>
    <m/>
    <m/>
    <s v="Local"/>
    <n v="410517229"/>
    <m/>
    <m/>
    <m/>
    <m/>
    <m/>
    <m/>
    <m/>
    <m/>
    <m/>
    <m/>
    <m/>
    <m/>
    <m/>
    <m/>
    <m/>
    <m/>
    <m/>
    <d v="2026-08-06T00:00:00"/>
  </r>
  <r>
    <x v="1"/>
    <m/>
    <x v="16"/>
    <x v="0"/>
    <x v="119"/>
    <n v="2026179590134"/>
    <n v="40"/>
    <n v="39"/>
    <s v="31-45 DAYS"/>
    <s v="CI-77237019"/>
    <s v="AG49226"/>
    <x v="4"/>
    <n v="9"/>
    <s v="Pending-Investigation"/>
    <s v="Awaiting CCA Response"/>
    <s v="499M87571"/>
    <s v="IN"/>
    <s v="P"/>
    <s v="2024351ER9699"/>
    <n v="210016"/>
    <n v="46230.802083333336"/>
    <s v="IS-Dispute"/>
    <s v="BEN-NonSpider"/>
    <s v="RES-Unrestricted"/>
    <s v="GS-National"/>
    <s v="REG-WI"/>
    <s v="IT-Written"/>
    <s v="210016M3AR"/>
    <s v="MO"/>
    <n v="205044859"/>
    <n v="1457552846"/>
    <m/>
    <m/>
    <m/>
    <x v="22"/>
    <s v="Recovery_Disputes"/>
    <s v="20260629T010006.000 GMT"/>
    <n v="204624.34"/>
    <m/>
    <m/>
    <n v="499"/>
    <s v="Yes"/>
    <s v="20260728T021515.000 GMT"/>
    <d v="2026-07-28T00:00:00"/>
    <s v="Kevin Michael M Santos"/>
    <s v="Awaiting CCA Response"/>
    <m/>
    <s v="ST LOUIS SPINE AND ORTHOP"/>
    <m/>
    <m/>
    <m/>
    <m/>
    <m/>
    <m/>
    <m/>
    <s v="Kevin Michael M Santos"/>
    <n v="39"/>
    <m/>
    <s v="CS"/>
    <s v="Local"/>
    <n v="359760423"/>
    <m/>
    <m/>
    <m/>
    <m/>
    <m/>
    <m/>
    <m/>
    <m/>
    <m/>
    <m/>
    <m/>
    <m/>
    <m/>
    <m/>
    <m/>
    <m/>
    <m/>
    <d v="2026-08-06T00:00:00"/>
  </r>
  <r>
    <x v="1"/>
    <m/>
    <x v="16"/>
    <x v="0"/>
    <x v="120"/>
    <m/>
    <n v="40"/>
    <n v="34"/>
    <s v="31-45 DAYS"/>
    <s v="CI-77471677"/>
    <s v="AG52464"/>
    <x v="2"/>
    <n v="2"/>
    <s v="Pending-Investigation"/>
    <s v="Awaiting CCA Response"/>
    <s v="737M98564"/>
    <s v="IN"/>
    <s v="Member"/>
    <s v="2025128FF7844"/>
    <n v="175104"/>
    <n v="46238.038194444445"/>
    <s v="IS-Dispute"/>
    <s v="BEN-NonSpider"/>
    <s v="RES-Unrestricted"/>
    <s v="GS-Local"/>
    <s v="REG-CA"/>
    <s v="IT-Internal"/>
    <s v="175104M277"/>
    <s v="CA"/>
    <n v="851644866"/>
    <n v="1013514199"/>
    <m/>
    <m/>
    <s v="Melody D La Pena"/>
    <x v="46"/>
    <s v="Recovery_Disputes"/>
    <s v="20260703T083501.000 GMT"/>
    <n v="69251.06"/>
    <m/>
    <m/>
    <n v="737"/>
    <s v="No"/>
    <s v="20260804T075517.000 GMT"/>
    <d v="2026-08-04T00:00:00"/>
    <s v="Joan Marie C Dalida"/>
    <s v="Sent to Provider Audit for review."/>
    <m/>
    <s v="KECK HOSPITAL OF USC"/>
    <m/>
    <m/>
    <m/>
    <m/>
    <m/>
    <m/>
    <m/>
    <s v="Joan Marie C Dalida"/>
    <n v="34"/>
    <m/>
    <s v="CS"/>
    <s v="Local"/>
    <n v="635037957"/>
    <m/>
    <m/>
    <m/>
    <m/>
    <m/>
    <m/>
    <m/>
    <m/>
    <m/>
    <m/>
    <m/>
    <m/>
    <m/>
    <m/>
    <m/>
    <m/>
    <m/>
    <d v="2026-08-06T00:00:00"/>
  </r>
  <r>
    <x v="1"/>
    <m/>
    <x v="16"/>
    <x v="0"/>
    <x v="121"/>
    <n v="2026178520191"/>
    <n v="40"/>
    <n v="40"/>
    <s v="31-45 DAYS"/>
    <s v="CI-77210550"/>
    <s v="AL20349"/>
    <x v="0"/>
    <n v="9"/>
    <s v="Pending-Investigation"/>
    <s v="Awaiting CCA Response"/>
    <s v="273M91837"/>
    <s v="IN"/>
    <s v="P"/>
    <s v="2025272R71884"/>
    <n v="721330"/>
    <n v="46230.82916666667"/>
    <s v="IS-Dispute"/>
    <s v="BEN-Spider"/>
    <s v="RES-Unrestricted"/>
    <s v="GS-Local"/>
    <s v="REG-NY"/>
    <s v="IT-Written"/>
    <s v="721330002M"/>
    <s v="NY"/>
    <n v="260768706"/>
    <n v="1134315922"/>
    <n v="1134315922"/>
    <m/>
    <s v="Melody D La Pena"/>
    <x v="44"/>
    <s v="Recovery_Disputes"/>
    <s v="20260627T191638.000 GMT"/>
    <n v="350"/>
    <m/>
    <m/>
    <n v="273"/>
    <s v="Yes"/>
    <s v="20260728T025426.000 GMT"/>
    <d v="2026-07-28T00:00:00"/>
    <s v="Gerommel Marcelino"/>
    <s v="Sent Email to provider audit appeals."/>
    <m/>
    <s v="YASHA  YANG"/>
    <m/>
    <m/>
    <m/>
    <m/>
    <m/>
    <m/>
    <m/>
    <s v="Gerommel Marcelino"/>
    <n v="40"/>
    <m/>
    <m/>
    <s v="Local"/>
    <n v="92624272"/>
    <m/>
    <m/>
    <m/>
    <m/>
    <m/>
    <m/>
    <m/>
    <m/>
    <m/>
    <m/>
    <m/>
    <m/>
    <m/>
    <m/>
    <m/>
    <m/>
    <m/>
    <d v="2026-08-06T00:00:00"/>
  </r>
  <r>
    <x v="1"/>
    <m/>
    <x v="16"/>
    <x v="0"/>
    <x v="122"/>
    <s v="CL-36413546"/>
    <n v="40"/>
    <n v="42"/>
    <s v="31-45 DAYS"/>
    <s v="CI-77111649"/>
    <s v="AG66028"/>
    <x v="1"/>
    <n v="11"/>
    <s v="Pending-Investigation"/>
    <s v="Awaiting Medical Review"/>
    <s v="LAV 054A77230"/>
    <s v="Standard"/>
    <s v="Provider"/>
    <s v="2025280CX5516"/>
    <n v="174161"/>
    <n v="46229.678472222222"/>
    <s v="IS-Dispute"/>
    <s v="BEN-NonSpider"/>
    <s v="RES-Unrestricted"/>
    <s v="GS-National"/>
    <s v="REG-CA"/>
    <s v="IT-ASPEN"/>
    <s v="174161M231"/>
    <s v="CA"/>
    <n v="951644600"/>
    <n v="1891940326"/>
    <m/>
    <m/>
    <m/>
    <x v="5"/>
    <s v="Recovery_Disputes"/>
    <s v="20260625T180936.000 GMT"/>
    <n v="10256.48"/>
    <m/>
    <m/>
    <s v="LAV"/>
    <s v="No"/>
    <s v="20260726T231754.000 GMT"/>
    <d v="2026-07-26T00:00:00"/>
    <s v="Gerramae Salanguit"/>
    <s v="FOR RI LOG"/>
    <m/>
    <s v="CEDARS-SINAI MEDICAL CTR"/>
    <m/>
    <m/>
    <m/>
    <m/>
    <m/>
    <s v="CL-36412987"/>
    <m/>
    <s v="Gerramae Salanguit"/>
    <n v="42"/>
    <m/>
    <s v="Claim Adjustment"/>
    <s v="Local"/>
    <n v="555663366"/>
    <m/>
    <m/>
    <m/>
    <m/>
    <m/>
    <m/>
    <m/>
    <m/>
    <m/>
    <m/>
    <m/>
    <m/>
    <m/>
    <m/>
    <m/>
    <m/>
    <m/>
    <d v="2026-08-06T00:00:00"/>
  </r>
  <r>
    <x v="1"/>
    <m/>
    <x v="16"/>
    <x v="0"/>
    <x v="123"/>
    <s v="CL-36255633"/>
    <n v="40"/>
    <n v="45"/>
    <s v="31-45 DAYS"/>
    <s v="CI-76918575"/>
    <n v="0"/>
    <x v="4"/>
    <n v="13"/>
    <s v="Pending-Investigation"/>
    <s v="Finance Review"/>
    <s v="A8Y 171W03476"/>
    <s v="Standard"/>
    <s v="Provider"/>
    <s v="2026034BA0242"/>
    <n v="270114"/>
    <m/>
    <s v="IS-Dispute"/>
    <s v="BEN-NonSpider"/>
    <s v="RES-Unrestricted"/>
    <s v="GS-National"/>
    <s v="REG-CT"/>
    <s v="IT-ASPEN"/>
    <s v="270114ADA4"/>
    <s v="NY"/>
    <n v="141630103"/>
    <n v="1326097700"/>
    <m/>
    <m/>
    <s v="Melody D La Pena"/>
    <x v="42"/>
    <s v="Recovery_Disputes"/>
    <s v="20260622T152331.000 GMT"/>
    <n v="14456.63"/>
    <m/>
    <m/>
    <s v="A8Y"/>
    <s v="Yes"/>
    <s v="20260724T021213.000 GMT"/>
    <d v="2026-07-24T00:00:00"/>
    <s v="Henrico P Tan"/>
    <s v="Claim has open Amount in ACR. Has 12/31/9999 Clip Date."/>
    <m/>
    <s v="MONTROSE VAMC"/>
    <m/>
    <m/>
    <m/>
    <m/>
    <m/>
    <s v="CL-36254488"/>
    <m/>
    <s v="Henrico P Tan"/>
    <n v="45"/>
    <m/>
    <s v="Claim Adjustment"/>
    <s v="Local"/>
    <n v="80583203"/>
    <m/>
    <m/>
    <m/>
    <m/>
    <m/>
    <m/>
    <m/>
    <m/>
    <m/>
    <m/>
    <m/>
    <m/>
    <m/>
    <m/>
    <m/>
    <m/>
    <m/>
    <d v="2026-08-06T00:00:00"/>
  </r>
  <r>
    <x v="1"/>
    <m/>
    <x v="16"/>
    <x v="0"/>
    <x v="124"/>
    <n v="2026181470562"/>
    <n v="40"/>
    <n v="37"/>
    <s v="31-45 DAYS"/>
    <s v="CI-77350116"/>
    <s v="AG49226"/>
    <x v="4"/>
    <n v="8"/>
    <s v="Pending-Investigation"/>
    <s v="Awaiting CCA Response"/>
    <s v="644W24422"/>
    <s v="AP"/>
    <s v="P"/>
    <s v="2025354BR2970"/>
    <s v="L08381"/>
    <n v="46232.35"/>
    <s v="IS-Dispute"/>
    <s v="BEN-Spider"/>
    <s v="RES-Unrestricted"/>
    <s v="GS-LocalFI"/>
    <s v="REG-CONV"/>
    <s v="IT-Written"/>
    <s v="L08381M001"/>
    <s v="NV"/>
    <n v="886000436"/>
    <n v="1548393127"/>
    <m/>
    <m/>
    <m/>
    <x v="22"/>
    <s v="Recovery_Disputes"/>
    <s v="20260701T032000.000 GMT"/>
    <n v="69239.149999999994"/>
    <m/>
    <m/>
    <n v="644"/>
    <s v="Yes"/>
    <s v="20260729T152412.000 GMT"/>
    <d v="2026-07-29T00:00:00"/>
    <s v="Kevin Michael M Santos"/>
    <s v="Awaiting CCA Response"/>
    <m/>
    <s v="UNIVERSITY MEDICAL CTR OF"/>
    <m/>
    <m/>
    <m/>
    <m/>
    <m/>
    <m/>
    <m/>
    <s v="Kevin Michael M Santos"/>
    <n v="37"/>
    <m/>
    <s v="CS"/>
    <s v="Local"/>
    <n v="493809014"/>
    <m/>
    <m/>
    <m/>
    <m/>
    <m/>
    <m/>
    <m/>
    <m/>
    <m/>
    <m/>
    <m/>
    <m/>
    <m/>
    <m/>
    <m/>
    <m/>
    <m/>
    <d v="2026-08-06T00:00:00"/>
  </r>
  <r>
    <x v="1"/>
    <m/>
    <x v="16"/>
    <x v="0"/>
    <x v="125"/>
    <n v="2026181840082"/>
    <n v="40"/>
    <n v="37"/>
    <s v="31-45 DAYS"/>
    <s v="CI-77302742"/>
    <s v="AH87327"/>
    <x v="0"/>
    <n v="8"/>
    <s v="Pending-Investigation"/>
    <s v="Awaiting CCA Response"/>
    <s v="783M82621"/>
    <s v="IN"/>
    <s v="P"/>
    <s v="2025247CY2740"/>
    <n v="201042"/>
    <n v="46231.834027777775"/>
    <s v="IS-Dispute"/>
    <s v="BEN-NonSpider"/>
    <s v="RES-Unrestricted"/>
    <s v="GS-National"/>
    <s v="REG-VA"/>
    <s v="IT-Written"/>
    <s v="201042M6A1"/>
    <s v="CO"/>
    <n v="463778226"/>
    <n v="1083021083"/>
    <n v="1265759955"/>
    <m/>
    <s v="Melody D La Pena"/>
    <x v="47"/>
    <s v="Recovery_Disputes"/>
    <s v="20260630T110509.000 GMT"/>
    <n v="3164"/>
    <m/>
    <m/>
    <n v="783"/>
    <s v="Yes"/>
    <s v="20260729T030128.000 GMT"/>
    <d v="2026-07-29T00:00:00"/>
    <s v="Cedie C Abina"/>
    <s v="Email sent to Provider Audit. Awaiting response."/>
    <m/>
    <s v="CHIH-TA  LIN"/>
    <m/>
    <m/>
    <m/>
    <m/>
    <m/>
    <m/>
    <m/>
    <s v="Cedie C Abina"/>
    <n v="37"/>
    <m/>
    <m/>
    <s v="Local"/>
    <n v="522278060"/>
    <m/>
    <m/>
    <m/>
    <m/>
    <m/>
    <m/>
    <m/>
    <m/>
    <m/>
    <m/>
    <m/>
    <m/>
    <m/>
    <m/>
    <m/>
    <m/>
    <m/>
    <d v="2026-08-06T00:00:00"/>
  </r>
  <r>
    <x v="1"/>
    <m/>
    <x v="16"/>
    <x v="0"/>
    <x v="126"/>
    <s v="CL-36572353"/>
    <n v="40"/>
    <n v="37"/>
    <s v="31-45 DAYS"/>
    <s v="CI-77338295"/>
    <s v="AL20338"/>
    <x v="1"/>
    <n v="8"/>
    <s v="Pending-Investigation"/>
    <s v="Awaiting CCA Response"/>
    <s v="RNW 171W23184"/>
    <s v="Standard"/>
    <s v="Provider"/>
    <s v="2025223DP8517"/>
    <s v="L08991"/>
    <n v="46232.025694444441"/>
    <s v="IS-Dispute"/>
    <s v="BEN-NonSpider"/>
    <s v="RES-Unrestricted"/>
    <s v="GS-Local"/>
    <s v="REG-CA"/>
    <s v="IT-ASPEN"/>
    <s v="L08991M003"/>
    <s v="CA"/>
    <n v="956130458"/>
    <n v="1013981554"/>
    <m/>
    <m/>
    <m/>
    <x v="19"/>
    <s v="Recovery_Disputes"/>
    <s v="20260630T214717.000 GMT"/>
    <n v="225086.73"/>
    <m/>
    <m/>
    <s v="RNW"/>
    <s v="No"/>
    <s v="20260729T073729.000 GMT"/>
    <d v="2026-07-29T00:00:00"/>
    <s v="Virgil Joseph L Domalaoco"/>
    <s v="For Provider Audit as per concept  Z050TD0015 with Medical Records with MLH Z050TD0015"/>
    <m/>
    <s v="EISENHOWER MEDICAL CENTER"/>
    <m/>
    <m/>
    <m/>
    <m/>
    <m/>
    <s v="CL-36572002"/>
    <m/>
    <s v="Virgil Joseph L Domalaoco"/>
    <n v="37"/>
    <m/>
    <s v="Claim Adjustment"/>
    <s v="Local"/>
    <n v="608881613"/>
    <m/>
    <m/>
    <m/>
    <m/>
    <m/>
    <m/>
    <m/>
    <m/>
    <m/>
    <m/>
    <m/>
    <m/>
    <m/>
    <m/>
    <m/>
    <m/>
    <m/>
    <d v="2026-08-06T00:00:00"/>
  </r>
  <r>
    <x v="1"/>
    <m/>
    <x v="16"/>
    <x v="0"/>
    <x v="127"/>
    <n v="2026179170107"/>
    <n v="40"/>
    <n v="39"/>
    <s v="31-45 DAYS"/>
    <s v="CI-77234628"/>
    <s v="AL66317"/>
    <x v="0"/>
    <n v="9"/>
    <s v="Pending-Investigation"/>
    <s v="Awaiting CCA Response"/>
    <s v="301A71441"/>
    <s v="IN"/>
    <s v="P"/>
    <s v="2023289EH8081"/>
    <s v="SM2905"/>
    <n v="46230.798611111109"/>
    <s v="IS-Dispute"/>
    <s v="BEN-Spider"/>
    <s v="RES-Unrestricted"/>
    <s v="GS-LocalFI"/>
    <s v="REG-MO"/>
    <s v="IT-Written"/>
    <s v="SM2905M001"/>
    <s v="MO"/>
    <n v="431343281"/>
    <n v="1851496152"/>
    <m/>
    <m/>
    <m/>
    <x v="38"/>
    <s v="Recovery_Disputes"/>
    <s v="20260628T172355.000 GMT"/>
    <n v="89704.03"/>
    <m/>
    <m/>
    <n v="301"/>
    <s v="Yes"/>
    <s v="20260728T021016.000 GMT"/>
    <d v="2026-07-28T00:00:00"/>
    <s v="Maria Fe A Gacgacao"/>
    <s v="Sent email to PA for medical records review. FDOC#:  7157875280"/>
    <m/>
    <s v="SSM HEALTH ST CLARE HOSPI"/>
    <m/>
    <m/>
    <m/>
    <m/>
    <m/>
    <m/>
    <m/>
    <s v="Maria Fe A Gacgacao"/>
    <n v="39"/>
    <m/>
    <m/>
    <s v="Local"/>
    <n v="486902223"/>
    <m/>
    <m/>
    <m/>
    <m/>
    <m/>
    <m/>
    <m/>
    <m/>
    <m/>
    <m/>
    <m/>
    <m/>
    <m/>
    <m/>
    <m/>
    <m/>
    <m/>
    <d v="2026-08-06T00:00:00"/>
  </r>
  <r>
    <x v="1"/>
    <m/>
    <x v="16"/>
    <x v="0"/>
    <x v="128"/>
    <n v="2026183410052"/>
    <n v="40"/>
    <n v="35"/>
    <s v="31-45 DAYS"/>
    <s v="CI-77419335"/>
    <s v="AL66317"/>
    <x v="0"/>
    <n v="6"/>
    <s v="Pending-Investigation"/>
    <s v="Awaiting CCA Response"/>
    <s v="915M40697"/>
    <s v="IN"/>
    <s v="P"/>
    <s v="2025198DL1575"/>
    <s v="DD1051"/>
    <n v="46233.745833333334"/>
    <s v="IS-Dispute"/>
    <s v="BEN-Spider"/>
    <s v="RES-Unrestricted"/>
    <s v="GS-Local"/>
    <s v="REG-OH"/>
    <s v="IT-Written"/>
    <s v="DD1051M001"/>
    <s v="OH"/>
    <n v="311369596"/>
    <n v="1740231448"/>
    <n v="1386057115"/>
    <m/>
    <m/>
    <x v="38"/>
    <s v="Recovery_Disputes"/>
    <s v="20260702T104644.000 GMT"/>
    <n v="15150"/>
    <m/>
    <m/>
    <n v="915"/>
    <s v="Yes"/>
    <s v="20260731T005423.000 GMT"/>
    <d v="2026-07-31T00:00:00"/>
    <s v="Maria Fe A Gacgacao"/>
    <s v="Sent email to PA for medical records review. FDOC#: 7164756898"/>
    <m/>
    <s v="KAVURI, VENKAT C"/>
    <m/>
    <m/>
    <m/>
    <m/>
    <m/>
    <m/>
    <m/>
    <s v="Maria Fe A Gacgacao"/>
    <n v="35"/>
    <m/>
    <m/>
    <s v="Local"/>
    <n v="298864181"/>
    <m/>
    <m/>
    <m/>
    <m/>
    <m/>
    <m/>
    <m/>
    <m/>
    <m/>
    <m/>
    <m/>
    <m/>
    <m/>
    <m/>
    <m/>
    <m/>
    <m/>
    <d v="2026-08-06T00:00:00"/>
  </r>
  <r>
    <x v="1"/>
    <m/>
    <x v="16"/>
    <x v="0"/>
    <x v="129"/>
    <n v="2026181640247"/>
    <n v="40"/>
    <n v="37"/>
    <s v="31-45 DAYS"/>
    <s v="CI-77318740"/>
    <s v="AG49226"/>
    <x v="4"/>
    <n v="8"/>
    <s v="Pending-Investigation"/>
    <s v="Awaiting CCA Response"/>
    <s v="040M91836"/>
    <s v="IN"/>
    <s v="P"/>
    <s v="2025288R70869"/>
    <n v="721330"/>
    <n v="46231.807638888888"/>
    <s v="IS-Dispute"/>
    <s v="BEN-Spider"/>
    <s v="RES-Unrestricted"/>
    <s v="GS-Local"/>
    <s v="REG-NY"/>
    <s v="IT-Written"/>
    <s v="721330002M"/>
    <s v="NY"/>
    <n v="260768706"/>
    <n v="1134315922"/>
    <n v="1134315922"/>
    <m/>
    <m/>
    <x v="22"/>
    <s v="Recovery_Disputes"/>
    <s v="20260630T160305.000 GMT"/>
    <n v="350"/>
    <m/>
    <m/>
    <n v="40"/>
    <s v="Yes"/>
    <s v="20260729T022346.000 GMT"/>
    <d v="2026-07-29T00:00:00"/>
    <s v="Kevin Michael M Santos"/>
    <s v="Awaiting CCA Response"/>
    <m/>
    <s v="YASHA  YANG"/>
    <m/>
    <m/>
    <m/>
    <m/>
    <m/>
    <m/>
    <m/>
    <s v="Kevin Michael M Santos"/>
    <n v="37"/>
    <m/>
    <m/>
    <s v="Local"/>
    <n v="78628148"/>
    <m/>
    <m/>
    <m/>
    <m/>
    <m/>
    <m/>
    <m/>
    <m/>
    <m/>
    <m/>
    <m/>
    <m/>
    <m/>
    <m/>
    <m/>
    <m/>
    <m/>
    <d v="2026-08-06T00:00:00"/>
  </r>
  <r>
    <x v="1"/>
    <m/>
    <x v="16"/>
    <x v="0"/>
    <x v="130"/>
    <n v="2026175830530"/>
    <n v="40"/>
    <n v="43"/>
    <s v="31-45 DAYS"/>
    <s v="CI-77074180"/>
    <s v="AL13290"/>
    <x v="1"/>
    <n v="9"/>
    <s v="Pending-Investigation"/>
    <s v="Awaiting CCA Response"/>
    <s v="252W20032"/>
    <s v="IN"/>
    <s v="P"/>
    <s v="2025275BO3728"/>
    <s v="IN"/>
    <n v="46230.723611111112"/>
    <s v="IS-Dispute"/>
    <s v="BEN-SpiderHMO"/>
    <s v="RES-Unrestricted"/>
    <s v="GS-ACA"/>
    <s v="REG-NY"/>
    <s v="IT-Written"/>
    <n v="835300"/>
    <s v="NY"/>
    <n v="131623978"/>
    <n v="1134422330"/>
    <n v="1346242476"/>
    <m/>
    <m/>
    <x v="48"/>
    <s v="Recovery_Disputes"/>
    <s v="20260625T023048.000 GMT"/>
    <n v="63700"/>
    <m/>
    <m/>
    <n v="252"/>
    <s v="Yes"/>
    <s v="20260728T002312.000 GMT"/>
    <d v="2026-07-28T00:00:00"/>
    <s v="Rafaelito Sarion"/>
    <s v="Sent to provider audit for further review."/>
    <m/>
    <s v="DAVID I KUTLER, DAVID I"/>
    <m/>
    <m/>
    <m/>
    <m/>
    <m/>
    <m/>
    <m/>
    <s v="Rafaelito Sarion"/>
    <n v="43"/>
    <m/>
    <m/>
    <s v="Local"/>
    <n v="68700273"/>
    <m/>
    <m/>
    <m/>
    <m/>
    <m/>
    <m/>
    <m/>
    <m/>
    <m/>
    <m/>
    <m/>
    <m/>
    <m/>
    <m/>
    <m/>
    <m/>
    <m/>
    <d v="2026-08-06T00:00:00"/>
  </r>
  <r>
    <x v="1"/>
    <m/>
    <x v="16"/>
    <x v="0"/>
    <x v="131"/>
    <n v="2026176360224"/>
    <n v="40"/>
    <n v="42"/>
    <s v="31-45 DAYS"/>
    <s v="CI-77104868"/>
    <s v="AL20320"/>
    <x v="0"/>
    <n v="13"/>
    <s v="Pending-Investigation"/>
    <s v="Awaiting CCA Response"/>
    <s v="760M82764"/>
    <s v="IN"/>
    <s v="P"/>
    <s v="2025213EX6999"/>
    <s v="IN"/>
    <n v="46226.777777777781"/>
    <s v="IS-Dispute"/>
    <s v="BEN-SpiderHMO"/>
    <s v="RES-Unrestricted"/>
    <s v="GS-ACA"/>
    <s v="REG-CONV"/>
    <s v="IT-Written"/>
    <s v="82K200"/>
    <s v="CO"/>
    <n v="30419967"/>
    <n v="1003944125"/>
    <m/>
    <m/>
    <m/>
    <x v="29"/>
    <s v="Recovery_Disputes"/>
    <s v="20260625T162828.000 GMT"/>
    <n v="43666"/>
    <m/>
    <m/>
    <n v="760"/>
    <s v="Yes"/>
    <s v="20260724T014116.000 GMT"/>
    <d v="2026-07-24T00:00:00"/>
    <s v="Alvin J Melgar"/>
    <s v="Waiting for PA response."/>
    <m/>
    <s v="VAIL VALLEY SURG CTR"/>
    <m/>
    <m/>
    <m/>
    <m/>
    <m/>
    <m/>
    <m/>
    <s v="Alvin J Melgar"/>
    <n v="42"/>
    <m/>
    <s v="CS"/>
    <s v="Local"/>
    <n v="523867643"/>
    <m/>
    <m/>
    <m/>
    <m/>
    <m/>
    <m/>
    <m/>
    <m/>
    <m/>
    <m/>
    <m/>
    <m/>
    <m/>
    <m/>
    <m/>
    <m/>
    <m/>
    <d v="2026-08-06T00:00:00"/>
  </r>
  <r>
    <x v="1"/>
    <m/>
    <x v="16"/>
    <x v="0"/>
    <x v="132"/>
    <n v="2026176600125"/>
    <n v="40"/>
    <n v="42"/>
    <s v="31-45 DAYS"/>
    <s v="CI-77091605"/>
    <s v="AL20320"/>
    <x v="0"/>
    <n v="3"/>
    <s v="Pending-Investigation"/>
    <s v="Awaiting CCA Response"/>
    <s v="405A75243"/>
    <s v="IN"/>
    <s v="P"/>
    <s v="2025090CI2222"/>
    <n v="197155"/>
    <n v="46236.844444444447"/>
    <s v="IS-Dispute"/>
    <s v="BEN-NonSpider"/>
    <s v="RES-Unrestricted"/>
    <s v="GS-Local"/>
    <s v="REG-CONV"/>
    <s v="IT-Written"/>
    <s v="197155M004"/>
    <s v="CO"/>
    <n v="475312741"/>
    <n v="1629858857"/>
    <n v="1790906261"/>
    <m/>
    <m/>
    <x v="29"/>
    <s v="Recovery_Disputes"/>
    <s v="20260625T124700.000 GMT"/>
    <n v="2002"/>
    <m/>
    <m/>
    <n v="405"/>
    <s v="Yes"/>
    <s v="20260803T031617.000 GMT"/>
    <d v="2026-08-03T00:00:00"/>
    <s v="Alvin J Melgar"/>
    <s v="No Add Item for EVM access. Waiting for sme response."/>
    <m/>
    <s v="SCHMALZ, MELISSA A"/>
    <m/>
    <m/>
    <m/>
    <m/>
    <m/>
    <m/>
    <m/>
    <s v="Alvin J Melgar"/>
    <n v="42"/>
    <m/>
    <m/>
    <s v="Local"/>
    <n v="535906126"/>
    <m/>
    <m/>
    <m/>
    <m/>
    <m/>
    <m/>
    <m/>
    <m/>
    <m/>
    <m/>
    <m/>
    <m/>
    <m/>
    <m/>
    <m/>
    <m/>
    <m/>
    <d v="2026-08-06T00:00:00"/>
  </r>
  <r>
    <x v="1"/>
    <m/>
    <x v="16"/>
    <x v="0"/>
    <x v="133"/>
    <n v="2026176590343"/>
    <n v="40"/>
    <n v="42"/>
    <s v="31-45 DAYS"/>
    <s v="CI-77115766"/>
    <s v="AL02716"/>
    <x v="0"/>
    <n v="13"/>
    <s v="Pending-Investigation"/>
    <s v="Awaiting CCA Response"/>
    <n v="976247950"/>
    <s v="IN"/>
    <s v="P"/>
    <s v="2025321FB1218"/>
    <s v="SGA89471"/>
    <n v="46226.853472222225"/>
    <s v="IS-Dispute"/>
    <s v="BEN-SpiderHMO"/>
    <s v="RES-Unrestricted"/>
    <s v="GS-ACA"/>
    <s v="REG-NH"/>
    <s v="IT-Written"/>
    <s v="8NZP00"/>
    <s v="NH"/>
    <n v="20222140"/>
    <n v="1023092053"/>
    <m/>
    <m/>
    <m/>
    <x v="35"/>
    <s v="Recovery_Disputes"/>
    <s v="20260625T190059.000 GMT"/>
    <n v="23334.2"/>
    <m/>
    <m/>
    <n v="976"/>
    <s v="Yes"/>
    <s v="20260724T033007.000 GMT"/>
    <d v="2026-07-24T00:00:00"/>
    <s v="Christine F Andayran"/>
    <s v="Claim pended"/>
    <m/>
    <s v="MARY HITCHCOCK MEMORIAL H"/>
    <m/>
    <m/>
    <m/>
    <m/>
    <m/>
    <m/>
    <m/>
    <s v="Christine F Andayran"/>
    <n v="42"/>
    <m/>
    <s v="CS"/>
    <s v="Local"/>
    <s v="N02724808"/>
    <m/>
    <m/>
    <m/>
    <m/>
    <m/>
    <m/>
    <m/>
    <m/>
    <m/>
    <m/>
    <m/>
    <m/>
    <m/>
    <m/>
    <m/>
    <m/>
    <m/>
    <d v="2026-08-06T00:00:00"/>
  </r>
  <r>
    <x v="1"/>
    <m/>
    <x v="16"/>
    <x v="0"/>
    <x v="134"/>
    <n v="2026175570436"/>
    <n v="40"/>
    <n v="43"/>
    <s v="31-45 DAYS"/>
    <s v="CI-77372391"/>
    <s v="AG66028"/>
    <x v="1"/>
    <n v="0"/>
    <s v="Pending-Investigation"/>
    <s v="Awaiting Medical Review"/>
    <s v="031A54723"/>
    <s v="AP"/>
    <s v="P"/>
    <s v="2026040DC8164"/>
    <n v="174336"/>
    <n v="46240.3125"/>
    <s v="IS-Dispute"/>
    <s v="BEN-NonSpider"/>
    <s v="RES-Unrestricted"/>
    <s v="GS-National"/>
    <s v="REG-CA"/>
    <s v="IT-Written"/>
    <s v="174336M1B2"/>
    <s v="CA"/>
    <n v="946036494"/>
    <n v="1710918545"/>
    <m/>
    <m/>
    <m/>
    <x v="5"/>
    <s v="Recovery_Disputes"/>
    <s v="20260701T153111.000 GMT"/>
    <n v="261.64999999999998"/>
    <m/>
    <m/>
    <n v="31"/>
    <s v="Yes"/>
    <s v="20260806T143104.000 GMT"/>
    <d v="2026-08-06T00:00:00"/>
    <s v="Gerramae Salanguit"/>
    <s v="Internal inquiry regarding ASL response"/>
    <m/>
    <s v="REGENTS OF THE UNIVERSITY"/>
    <m/>
    <m/>
    <m/>
    <m/>
    <m/>
    <m/>
    <m/>
    <s v="Gerramae Salanguit"/>
    <n v="36"/>
    <m/>
    <s v="CS"/>
    <s v="Local"/>
    <n v="551610753"/>
    <m/>
    <m/>
    <m/>
    <m/>
    <m/>
    <m/>
    <m/>
    <m/>
    <m/>
    <m/>
    <m/>
    <m/>
    <m/>
    <m/>
    <m/>
    <m/>
    <m/>
    <d v="2026-08-06T00:00:00"/>
  </r>
  <r>
    <x v="1"/>
    <m/>
    <x v="16"/>
    <x v="0"/>
    <x v="135"/>
    <n v="2026181320215"/>
    <n v="40"/>
    <n v="37"/>
    <s v="31-45 DAYS"/>
    <s v="CI-77407692"/>
    <s v="AL87020"/>
    <x v="1"/>
    <n v="7"/>
    <s v="Pending-Investigation"/>
    <s v="Awaiting CCA Response"/>
    <s v="856W16816"/>
    <s v="AP"/>
    <s v="P"/>
    <s v="2024024BC7168"/>
    <n v="175092"/>
    <n v="46232.734722222223"/>
    <s v="IS-Dispute"/>
    <s v="BEN-NonSpider"/>
    <s v="RES-Unrestricted"/>
    <s v="GS-Local"/>
    <s v="REG-CA"/>
    <s v="IT-Written"/>
    <s v="175092M343"/>
    <s v="CA"/>
    <n v="951644604"/>
    <n v="1689632374"/>
    <n v="1922074954"/>
    <m/>
    <m/>
    <x v="10"/>
    <s v="Recovery_Disputes"/>
    <s v="20260702T025234.000 GMT"/>
    <n v="48171.199999999997"/>
    <m/>
    <m/>
    <n v="856"/>
    <s v="Yes"/>
    <s v="20260730T003859.000 GMT"/>
    <d v="2026-07-30T00:00:00"/>
    <s v="Ronald Sydney D Alina"/>
    <s v="Sent to PA"/>
    <m/>
    <s v="WRIGHT, JOAN F"/>
    <m/>
    <m/>
    <m/>
    <m/>
    <m/>
    <m/>
    <m/>
    <s v="Ronald Sydney D Alina"/>
    <n v="36"/>
    <m/>
    <s v="CS"/>
    <s v="Local"/>
    <n v="568414091"/>
    <m/>
    <m/>
    <m/>
    <m/>
    <m/>
    <m/>
    <m/>
    <m/>
    <m/>
    <m/>
    <m/>
    <m/>
    <m/>
    <m/>
    <m/>
    <m/>
    <m/>
    <d v="2026-08-06T00:00:00"/>
  </r>
  <r>
    <x v="1"/>
    <m/>
    <x v="16"/>
    <x v="0"/>
    <x v="136"/>
    <m/>
    <n v="40"/>
    <n v="31"/>
    <s v="31-45 DAYS"/>
    <s v="CI-77561467"/>
    <s v="AL20303"/>
    <x v="1"/>
    <n v="1"/>
    <s v="Pending-Investigation"/>
    <s v="Pending Reversal"/>
    <s v="479W21978"/>
    <s v="Standard"/>
    <s v="Internal Request"/>
    <s v="2026161BW4594"/>
    <s v="L06444"/>
    <m/>
    <s v="IS-Dispute"/>
    <s v="BEN-Any"/>
    <s v="RES-Unrestricted"/>
    <s v="GS-DMPrepay"/>
    <s v="REG-Any"/>
    <s v="IT-Internal"/>
    <s v="L06444M007"/>
    <s v="OH"/>
    <n v="461048486"/>
    <n v="1497181036"/>
    <n v="1841451697"/>
    <m/>
    <s v="Melody D La Pena"/>
    <x v="33"/>
    <s v="Recovery_Disputes"/>
    <s v="20260706T160505.000 GMT"/>
    <n v="4280"/>
    <m/>
    <m/>
    <n v="479"/>
    <s v="Yes"/>
    <s v="20260805T194303.000 GMT"/>
    <d v="2026-08-05T00:00:00"/>
    <s v="Anahi Ruiz"/>
    <s v="algo b1773 applied correctly to claim, xref is the same as target claim. ag52824 8/5/26"/>
    <m/>
    <s v="SCHNEIDER, KEITH M"/>
    <m/>
    <m/>
    <m/>
    <m/>
    <m/>
    <m/>
    <m/>
    <s v="Mark Andre S Lipit"/>
    <n v="31"/>
    <m/>
    <m/>
    <s v="Local"/>
    <n v="289119743"/>
    <m/>
    <m/>
    <m/>
    <m/>
    <m/>
    <m/>
    <m/>
    <m/>
    <m/>
    <m/>
    <m/>
    <m/>
    <m/>
    <m/>
    <m/>
    <m/>
    <m/>
    <d v="2026-08-06T00:00:00"/>
  </r>
  <r>
    <x v="1"/>
    <m/>
    <x v="16"/>
    <x v="0"/>
    <x v="137"/>
    <n v="2026178960227"/>
    <n v="40"/>
    <n v="40"/>
    <s v="31-45 DAYS"/>
    <s v="CI-77212851"/>
    <s v="AL20316"/>
    <x v="0"/>
    <n v="9"/>
    <s v="Pending-Investigation"/>
    <s v="Awaiting CCA Response"/>
    <s v="169M91840"/>
    <s v="IN"/>
    <s v="P"/>
    <s v="2025272R71562"/>
    <n v="721330"/>
    <n v="46230.977777777778"/>
    <s v="IS-Dispute"/>
    <s v="BEN-Spider"/>
    <s v="RES-Unrestricted"/>
    <s v="GS-Local"/>
    <s v="REG-NY"/>
    <s v="IT-Written"/>
    <s v="721330002M"/>
    <s v="NY"/>
    <n v="260768706"/>
    <n v="1134315922"/>
    <n v="1134315922"/>
    <m/>
    <s v="Melody D La Pena"/>
    <x v="45"/>
    <s v="Recovery_Disputes"/>
    <s v="20260627T202249.000 GMT"/>
    <n v="350"/>
    <m/>
    <m/>
    <n v="169"/>
    <s v="Yes"/>
    <s v="20260728T062855.000 GMT"/>
    <d v="2026-07-28T00:00:00"/>
    <s v="Edwin Romeo V Sabarre"/>
    <s v="Sent email to PA for medical records review."/>
    <m/>
    <s v="YASHA  YANG"/>
    <m/>
    <m/>
    <m/>
    <m/>
    <m/>
    <m/>
    <m/>
    <s v="Edwin Romeo V Sabarre"/>
    <n v="40"/>
    <m/>
    <m/>
    <s v="Local"/>
    <n v="113702827"/>
    <m/>
    <m/>
    <m/>
    <m/>
    <m/>
    <m/>
    <m/>
    <m/>
    <m/>
    <m/>
    <m/>
    <m/>
    <m/>
    <m/>
    <m/>
    <m/>
    <m/>
    <d v="2026-08-06T00:00:00"/>
  </r>
  <r>
    <x v="1"/>
    <m/>
    <x v="16"/>
    <x v="0"/>
    <x v="138"/>
    <n v="2026184430176"/>
    <n v="40"/>
    <n v="34"/>
    <s v="31-45 DAYS"/>
    <s v="CI-77488545"/>
    <s v="AG49226"/>
    <x v="4"/>
    <n v="5"/>
    <s v="Pending-Investigation"/>
    <s v="Awaiting CCA Response"/>
    <s v="919W14918"/>
    <s v="IN"/>
    <s v="P"/>
    <s v="2025217EJ3109"/>
    <n v="720097"/>
    <n v="46234.992361111108"/>
    <s v="IS-Dispute"/>
    <s v="BEN-CS90Kernel"/>
    <s v="RES-Unrestricted"/>
    <s v="GS-Local"/>
    <s v="REG-NY"/>
    <s v="IT-Written"/>
    <s v="720097A00M"/>
    <s v="NY"/>
    <n v="134010372"/>
    <n v="1396158598"/>
    <n v="1396158598"/>
    <m/>
    <m/>
    <x v="22"/>
    <s v="Recovery_Disputes"/>
    <s v="20260703T144632.000 GMT"/>
    <n v="2815.2"/>
    <m/>
    <m/>
    <n v="919"/>
    <s v="Yes"/>
    <s v="20260801T064938.000 GMT"/>
    <d v="2026-08-01T00:00:00"/>
    <s v="Kevin Michael M Santos"/>
    <s v="Awaiting CCA Response"/>
    <m/>
    <s v="ESTHER  SON"/>
    <m/>
    <m/>
    <m/>
    <m/>
    <m/>
    <m/>
    <m/>
    <s v="Kevin Michael M Santos"/>
    <n v="34"/>
    <m/>
    <m/>
    <s v="Local"/>
    <n v="153622939"/>
    <m/>
    <m/>
    <m/>
    <m/>
    <m/>
    <m/>
    <m/>
    <m/>
    <m/>
    <m/>
    <m/>
    <m/>
    <m/>
    <m/>
    <m/>
    <m/>
    <m/>
    <d v="2026-08-06T00:00:00"/>
  </r>
  <r>
    <x v="1"/>
    <m/>
    <x v="16"/>
    <x v="0"/>
    <x v="139"/>
    <n v="2026183270502"/>
    <n v="40"/>
    <n v="35"/>
    <s v="31-45 DAYS"/>
    <s v="CI-77463097"/>
    <s v="AH89266"/>
    <x v="1"/>
    <n v="1"/>
    <s v="Pending-Investigation"/>
    <s v="Awaiting CCA Response"/>
    <n v="254217473"/>
    <s v="IN"/>
    <s v="P"/>
    <s v="2025247CR7992"/>
    <s v="L03103"/>
    <n v="46239.161805555559"/>
    <s v="IS-Dispute"/>
    <s v="BEN-NonSpider"/>
    <s v="RES-Unrestricted"/>
    <s v="GS-Local"/>
    <s v="REG-GA"/>
    <s v="IT-Written"/>
    <s v="L03103MR01"/>
    <s v="GA"/>
    <n v="581954432"/>
    <n v="1225050396"/>
    <m/>
    <m/>
    <m/>
    <x v="4"/>
    <s v="Recovery_Disputes"/>
    <s v="20260703T014400.000 GMT"/>
    <n v="187291.5"/>
    <m/>
    <m/>
    <n v="254"/>
    <s v="Yes"/>
    <s v="20260805T105417.000 GMT"/>
    <d v="2026-08-05T00:00:00"/>
    <s v="Ana Vanessa S Armada"/>
    <s v="Sent to provider audit review and waiting for response."/>
    <m/>
    <s v="NORTHSIDE HOSPITAL INC"/>
    <m/>
    <m/>
    <m/>
    <m/>
    <m/>
    <m/>
    <m/>
    <s v="Ana Vanessa S Armada"/>
    <n v="35"/>
    <m/>
    <m/>
    <s v="Local"/>
    <n v="254217473"/>
    <m/>
    <m/>
    <m/>
    <m/>
    <m/>
    <m/>
    <m/>
    <m/>
    <m/>
    <m/>
    <m/>
    <m/>
    <m/>
    <m/>
    <m/>
    <m/>
    <m/>
    <d v="2026-08-06T00:00:00"/>
  </r>
  <r>
    <x v="1"/>
    <m/>
    <x v="16"/>
    <x v="0"/>
    <x v="140"/>
    <m/>
    <n v="40"/>
    <n v="37"/>
    <s v="31-45 DAYS"/>
    <s v="CI-77350226"/>
    <s v="AG49226"/>
    <x v="4"/>
    <n v="8"/>
    <s v="Pending-Investigation"/>
    <s v="Awaiting CCA Response"/>
    <s v="327W15293"/>
    <s v="Standard"/>
    <s v="Internal Request"/>
    <s v="2024221DU5109"/>
    <s v="IN"/>
    <n v="46232.35"/>
    <s v="IS-Dispute"/>
    <s v="BEN-Spider"/>
    <s v="RES-Unrestricted"/>
    <s v="GS-ACA"/>
    <s v="REG-OH"/>
    <s v="IT-Internal"/>
    <s v="9KTQ00"/>
    <s v="OH"/>
    <n v="310537504"/>
    <n v="1073688354"/>
    <m/>
    <m/>
    <m/>
    <x v="22"/>
    <s v="Recovery_Disputes"/>
    <s v="20260701T034241.000 GMT"/>
    <n v="107192.01"/>
    <m/>
    <m/>
    <n v="327"/>
    <s v="No"/>
    <s v="20260729T152506.000 GMT"/>
    <d v="2026-07-29T00:00:00"/>
    <s v="Kevin Michael M Santos"/>
    <s v="Awaiting CCA Response"/>
    <m/>
    <s v="MIAMI VALLEY HOSPITAL-EFT"/>
    <m/>
    <m/>
    <m/>
    <m/>
    <m/>
    <m/>
    <m/>
    <s v="Kevin Michael M Santos"/>
    <n v="37"/>
    <m/>
    <m/>
    <s v="Local"/>
    <s v="U12392452"/>
    <m/>
    <m/>
    <m/>
    <m/>
    <m/>
    <m/>
    <m/>
    <m/>
    <m/>
    <m/>
    <m/>
    <m/>
    <m/>
    <m/>
    <m/>
    <m/>
    <m/>
    <d v="2026-08-06T00:00:00"/>
  </r>
  <r>
    <x v="1"/>
    <m/>
    <x v="16"/>
    <x v="0"/>
    <x v="141"/>
    <n v="2026178300210"/>
    <n v="40"/>
    <n v="40"/>
    <s v="31-45 DAYS"/>
    <s v="CI-77210739"/>
    <s v="AL20349"/>
    <x v="0"/>
    <n v="9"/>
    <s v="Pending-Investigation"/>
    <s v="Awaiting CCA Response"/>
    <s v="273M91837"/>
    <s v="IN"/>
    <s v="P"/>
    <s v="2025272R71758"/>
    <n v="721330"/>
    <n v="46230.826388888891"/>
    <s v="IS-Dispute"/>
    <s v="BEN-Spider"/>
    <s v="RES-Unrestricted"/>
    <s v="GS-Local"/>
    <s v="REG-NY"/>
    <s v="IT-Written"/>
    <s v="721330002M"/>
    <s v="NY"/>
    <n v="260768706"/>
    <n v="1134315922"/>
    <n v="1134315922"/>
    <m/>
    <s v="Melody D La Pena"/>
    <x v="44"/>
    <s v="Recovery_Disputes"/>
    <s v="20260627T192231.000 GMT"/>
    <n v="350"/>
    <m/>
    <m/>
    <n v="273"/>
    <s v="Yes"/>
    <s v="20260728T025028.000 GMT"/>
    <d v="2026-07-28T00:00:00"/>
    <s v="Gerommel Marcelino"/>
    <s v="Sent email to provider audit appeals."/>
    <m/>
    <s v="YASHA  YANG"/>
    <m/>
    <m/>
    <m/>
    <m/>
    <m/>
    <m/>
    <m/>
    <s v="Gerommel Marcelino"/>
    <n v="40"/>
    <m/>
    <m/>
    <s v="Local"/>
    <n v="92624272"/>
    <m/>
    <m/>
    <m/>
    <m/>
    <m/>
    <m/>
    <m/>
    <m/>
    <m/>
    <m/>
    <m/>
    <m/>
    <m/>
    <m/>
    <m/>
    <m/>
    <m/>
    <d v="2026-08-06T00:00:00"/>
  </r>
  <r>
    <x v="1"/>
    <m/>
    <x v="16"/>
    <x v="0"/>
    <x v="142"/>
    <m/>
    <n v="40"/>
    <n v="43"/>
    <s v="31-45 DAYS"/>
    <s v="CI-77028011"/>
    <s v="AL20349"/>
    <x v="0"/>
    <n v="15"/>
    <s v="Pending-Investigation"/>
    <s v="Awaiting CCA Response"/>
    <n v="580566256"/>
    <s v="IN"/>
    <s v="CS"/>
    <s v="2025059CG4804"/>
    <n v="174645"/>
    <n v="46225.676388888889"/>
    <s v="IS-Dispute"/>
    <s v="BEN-NonSpider"/>
    <s v="RES-Unrestricted"/>
    <s v="GS-Kroger"/>
    <s v="REG-GA"/>
    <s v="IT-Written"/>
    <s v="174645G33A"/>
    <s v="GA"/>
    <n v="580566256"/>
    <n v="1588640692"/>
    <m/>
    <m/>
    <s v="Melody D La Pena"/>
    <x v="44"/>
    <s v="Recovery_Disputes"/>
    <s v="20260624T112140.000 GMT"/>
    <n v="316581.71999999997"/>
    <m/>
    <m/>
    <n v="580"/>
    <s v="Yes"/>
    <s v="20260722T231448.000 GMT"/>
    <d v="2026-07-22T00:00:00"/>
    <s v="Gerommel Marcelino"/>
    <s v="Sent email to provider audit appeals."/>
    <m/>
    <s v="EMORY UNIVERSITY HOSPITAL"/>
    <m/>
    <m/>
    <m/>
    <m/>
    <m/>
    <m/>
    <m/>
    <s v="Gerommel Marcelino"/>
    <n v="43"/>
    <m/>
    <m/>
    <s v="Local"/>
    <n v="48507920"/>
    <m/>
    <m/>
    <m/>
    <m/>
    <m/>
    <m/>
    <m/>
    <m/>
    <m/>
    <m/>
    <m/>
    <m/>
    <m/>
    <m/>
    <m/>
    <m/>
    <m/>
    <d v="2026-08-06T00:00:00"/>
  </r>
  <r>
    <x v="1"/>
    <m/>
    <x v="16"/>
    <x v="0"/>
    <x v="143"/>
    <n v="2026187340131"/>
    <n v="40"/>
    <n v="31"/>
    <s v="31-45 DAYS"/>
    <s v="CI-77558365"/>
    <s v="AH22793"/>
    <x v="0"/>
    <n v="3"/>
    <s v="Pending-Investigation"/>
    <s v="Awaiting CCA Response"/>
    <s v="093A75680"/>
    <s v="IN"/>
    <s v="P"/>
    <s v="2025188RM2847"/>
    <n v="300667"/>
    <n v="46236.945138888892"/>
    <s v="IS-Dispute"/>
    <s v="BEN-Spider"/>
    <s v="RES-Unrestricted"/>
    <s v="GS-Local"/>
    <s v="REG-NY"/>
    <s v="IT-Written"/>
    <n v="3006670738"/>
    <s v="CA"/>
    <n v="941279779"/>
    <n v="1720078082"/>
    <m/>
    <m/>
    <m/>
    <x v="0"/>
    <s v="Recovery_Disputes"/>
    <s v="20260706T152203.000 GMT"/>
    <n v="246621.52"/>
    <m/>
    <m/>
    <n v="93"/>
    <s v="Yes"/>
    <s v="20260803T054204.000 GMT"/>
    <d v="2026-08-03T00:00:00"/>
    <s v="Mary Elizabeth C Pedregoza"/>
    <s v="Sent for PA review"/>
    <m/>
    <s v="ST HELENA HOSPITAL"/>
    <m/>
    <m/>
    <m/>
    <m/>
    <m/>
    <m/>
    <m/>
    <s v="Mary Elizabeth C Pedregoza"/>
    <n v="31"/>
    <m/>
    <m/>
    <s v="Local"/>
    <n v="381723242"/>
    <m/>
    <m/>
    <m/>
    <m/>
    <m/>
    <m/>
    <m/>
    <m/>
    <m/>
    <m/>
    <m/>
    <m/>
    <m/>
    <m/>
    <m/>
    <m/>
    <m/>
    <d v="2026-08-06T00:00:00"/>
  </r>
  <r>
    <x v="1"/>
    <m/>
    <x v="16"/>
    <x v="0"/>
    <x v="144"/>
    <n v="2026185000015"/>
    <n v="40"/>
    <n v="34"/>
    <s v="31-45 DAYS"/>
    <s v="CI-77511352"/>
    <s v="AL43840"/>
    <x v="0"/>
    <n v="3"/>
    <s v="Pending-Investigation"/>
    <s v="Awaiting CCA Response"/>
    <s v="804W15746"/>
    <s v="IN"/>
    <s v="P"/>
    <s v="2025009EM0978"/>
    <s v="W41456"/>
    <n v="46236.777083333334"/>
    <s v="IS-Dispute"/>
    <s v="BEN-Spider"/>
    <s v="RES-Unrestricted"/>
    <s v="GS-Local"/>
    <s v="REG-OH"/>
    <s v="IT-Written"/>
    <s v="W41456M009"/>
    <s v="OH"/>
    <n v="314379441"/>
    <n v="1134152986"/>
    <m/>
    <m/>
    <s v="Melody D La Pena"/>
    <x v="28"/>
    <s v="Recovery_Disputes"/>
    <s v="20260704T080957.000 GMT"/>
    <n v="45088.11"/>
    <m/>
    <m/>
    <n v="804"/>
    <s v="Yes"/>
    <s v="20260803T013927.000 GMT"/>
    <d v="2026-08-03T00:00:00"/>
    <s v="Nora Karla G Dela pena"/>
    <s v="Waiting for provider audit repsonse"/>
    <m/>
    <s v="NATIONWIDE CHILDREN'S HOS"/>
    <m/>
    <m/>
    <m/>
    <m/>
    <m/>
    <m/>
    <m/>
    <s v="Nora Karla G Dela pena"/>
    <n v="33"/>
    <m/>
    <m/>
    <s v="Local"/>
    <n v="269763110"/>
    <m/>
    <m/>
    <m/>
    <m/>
    <m/>
    <m/>
    <m/>
    <m/>
    <m/>
    <m/>
    <m/>
    <m/>
    <m/>
    <m/>
    <m/>
    <m/>
    <m/>
    <d v="2026-08-06T00:00:00"/>
  </r>
  <r>
    <x v="1"/>
    <m/>
    <x v="16"/>
    <x v="0"/>
    <x v="145"/>
    <n v="2026213620295"/>
    <n v="40"/>
    <n v="45"/>
    <s v="31-45 DAYS"/>
    <s v="CI-78861864"/>
    <s v="AL20338"/>
    <x v="1"/>
    <n v="3"/>
    <s v="Pending-Investigation"/>
    <s v="Awaiting CCA Response"/>
    <n v="973658894"/>
    <s v="IN"/>
    <s v="P"/>
    <s v="2025293DB5845"/>
    <s v="L11574"/>
    <n v="46237.018750000003"/>
    <s v="IS-Dispute"/>
    <s v="BEN-Spider"/>
    <s v="RES-Unrestricted"/>
    <s v="GS-LocalFI"/>
    <s v="REG-CT"/>
    <s v="IT-Written"/>
    <s v="L11574M002"/>
    <s v="NY"/>
    <n v="113447394"/>
    <n v="1063427706"/>
    <m/>
    <m/>
    <m/>
    <x v="19"/>
    <s v="Recovery_Disputes"/>
    <s v="20260802T003826.000 GMT"/>
    <n v="27300.1"/>
    <m/>
    <m/>
    <n v="973"/>
    <s v="Yes"/>
    <s v="20260803T072746.000 GMT"/>
    <d v="2026-08-03T00:00:00"/>
    <s v="Virgil Joseph L Domalaoco"/>
    <s v="For Provider Audit as per concept  Z400IA0445 with Medical Records with MLH_x000a_2026173R71789"/>
    <m/>
    <s v="PROHEALTH AMBULATORY SURG"/>
    <m/>
    <m/>
    <m/>
    <m/>
    <m/>
    <m/>
    <m/>
    <s v="Virgil Joseph L Domalaoco"/>
    <n v="5"/>
    <m/>
    <s v="CS"/>
    <s v="Local"/>
    <n v="108523605"/>
    <m/>
    <m/>
    <m/>
    <m/>
    <m/>
    <m/>
    <m/>
    <m/>
    <m/>
    <m/>
    <m/>
    <m/>
    <m/>
    <m/>
    <m/>
    <m/>
    <m/>
    <d v="2026-08-06T00:00:00"/>
  </r>
  <r>
    <x v="1"/>
    <m/>
    <x v="16"/>
    <x v="0"/>
    <x v="146"/>
    <n v="2026187580274"/>
    <n v="40"/>
    <n v="31"/>
    <s v="31-45 DAYS"/>
    <s v="CI-77572613"/>
    <s v="AG93888"/>
    <x v="0"/>
    <n v="3"/>
    <s v="Pending-Investigation"/>
    <s v="Awaiting CCA Response"/>
    <n v="972319451"/>
    <s v="IN"/>
    <s v="P"/>
    <s v="2025220BZ2377"/>
    <n v="653"/>
    <n v="46237.654166666667"/>
    <s v="IS-Dispute"/>
    <s v="BEN-Spider"/>
    <s v="RES-Unrestricted"/>
    <s v="GS-Local"/>
    <s v="REG-CT"/>
    <s v="IT-Written"/>
    <s v="000653M680"/>
    <s v="CT"/>
    <n v="60646973"/>
    <n v="1205822236"/>
    <n v="1730167404"/>
    <m/>
    <m/>
    <x v="14"/>
    <s v="Recovery_Disputes"/>
    <s v="20260706T191237.000 GMT"/>
    <n v="17418"/>
    <m/>
    <m/>
    <n v="972"/>
    <s v="Yes"/>
    <s v="20260803T224303.000 GMT"/>
    <d v="2026-08-03T00:00:00"/>
    <s v="Hilyn C Camilan"/>
    <s v="sent to PA review"/>
    <m/>
    <s v="PRASHA  VALLABHAJOSYULA"/>
    <m/>
    <m/>
    <m/>
    <m/>
    <m/>
    <m/>
    <m/>
    <s v="Hilyn C Camilan"/>
    <n v="31"/>
    <m/>
    <m/>
    <s v="Local"/>
    <n v="47581277"/>
    <m/>
    <m/>
    <m/>
    <m/>
    <m/>
    <m/>
    <m/>
    <m/>
    <m/>
    <m/>
    <m/>
    <m/>
    <m/>
    <m/>
    <m/>
    <m/>
    <m/>
    <d v="2026-08-06T00:00:00"/>
  </r>
  <r>
    <x v="1"/>
    <m/>
    <x v="16"/>
    <x v="0"/>
    <x v="147"/>
    <n v="2026177450401"/>
    <n v="40"/>
    <n v="41"/>
    <s v="31-45 DAYS"/>
    <s v="CI-77181752"/>
    <s v="AG71384"/>
    <x v="0"/>
    <n v="10"/>
    <s v="Pending-Investigation"/>
    <s v="Awaiting CCA Response"/>
    <s v="573W18901"/>
    <s v="IN"/>
    <s v="P"/>
    <s v="2025230EJ5323"/>
    <s v="IN"/>
    <n v="46229.960416666669"/>
    <s v="IS-Dispute"/>
    <s v="BEN-Spider"/>
    <s v="RES-Unrestricted"/>
    <s v="GS-ACA"/>
    <s v="REG-WI"/>
    <s v="IT-Written"/>
    <s v="86PA00"/>
    <s v="WI"/>
    <n v="390806261"/>
    <n v="1699720086"/>
    <n v="1033591185"/>
    <m/>
    <m/>
    <x v="1"/>
    <s v="Recovery_Disputes"/>
    <s v="20260626T223346.000 GMT"/>
    <n v="17069"/>
    <m/>
    <m/>
    <n v="573"/>
    <s v="Yes"/>
    <s v="20260727T060359.000 GMT"/>
    <d v="2026-07-27T00:00:00"/>
    <s v="Jhon Calvin Idnay"/>
    <s v="Sent Email to PA"/>
    <m/>
    <s v="DILDAY, JOSHUA C"/>
    <m/>
    <m/>
    <m/>
    <m/>
    <m/>
    <m/>
    <m/>
    <s v="Jhon Calvin Idnay"/>
    <n v="41"/>
    <m/>
    <m/>
    <s v="Local"/>
    <n v="390627766"/>
    <m/>
    <m/>
    <m/>
    <m/>
    <m/>
    <m/>
    <m/>
    <m/>
    <m/>
    <m/>
    <m/>
    <m/>
    <m/>
    <m/>
    <m/>
    <m/>
    <m/>
    <d v="2026-08-06T00:00:00"/>
  </r>
  <r>
    <x v="1"/>
    <m/>
    <x v="16"/>
    <x v="0"/>
    <x v="148"/>
    <n v="2026183910421"/>
    <n v="40"/>
    <n v="35"/>
    <s v="31-45 DAYS"/>
    <s v="CI-77434514"/>
    <s v="AL20320"/>
    <x v="0"/>
    <n v="3"/>
    <s v="Pending-Investigation"/>
    <s v="Awaiting CCA Response"/>
    <s v="349W13936"/>
    <s v="IN"/>
    <s v="P"/>
    <s v="2025224EQ2418"/>
    <n v="270213"/>
    <n v="46236.847222222219"/>
    <s v="IS-Dispute"/>
    <s v="BEN-NonSpider"/>
    <s v="RES-Unrestricted"/>
    <s v="GS-Raytheon"/>
    <s v="REG-IN"/>
    <s v="IT-Written"/>
    <s v="270213OFM7"/>
    <s v="NY"/>
    <n v="135562308"/>
    <n v="1285826438"/>
    <n v="1679729297"/>
    <m/>
    <m/>
    <x v="29"/>
    <s v="Recovery_Disputes"/>
    <s v="20260702T155721.000 GMT"/>
    <n v="82133"/>
    <m/>
    <m/>
    <n v="349"/>
    <s v="Yes"/>
    <s v="20260803T032020.000 GMT"/>
    <d v="2026-08-03T00:00:00"/>
    <s v="Alvin J Melgar"/>
    <s v="Awaiting for PA response."/>
    <m/>
    <s v="ZHAO, LEE C"/>
    <m/>
    <m/>
    <m/>
    <m/>
    <m/>
    <m/>
    <m/>
    <s v="Alvin J Melgar"/>
    <n v="35"/>
    <m/>
    <m/>
    <s v="Local"/>
    <n v="416435186"/>
    <m/>
    <m/>
    <m/>
    <m/>
    <m/>
    <m/>
    <m/>
    <m/>
    <m/>
    <m/>
    <m/>
    <m/>
    <m/>
    <m/>
    <m/>
    <m/>
    <m/>
    <d v="2026-08-06T00:00:00"/>
  </r>
  <r>
    <x v="1"/>
    <m/>
    <x v="16"/>
    <x v="0"/>
    <x v="149"/>
    <n v="2026187130464"/>
    <n v="40"/>
    <n v="31"/>
    <s v="31-45 DAYS"/>
    <s v="CI-77589861"/>
    <s v="AM40216"/>
    <x v="0"/>
    <n v="3"/>
    <s v="Pending-Investigation"/>
    <s v="Awaiting CCA Response"/>
    <s v="760W15527"/>
    <s v="IN"/>
    <s v="P"/>
    <s v="2025196BQ5083"/>
    <n v="270205"/>
    <n v="46237.643055555556"/>
    <s v="IS-Dispute"/>
    <s v="BEN-NonSpider"/>
    <s v="RES-Unrestricted"/>
    <s v="GS-National"/>
    <s v="REG-CT"/>
    <s v="IT-Written"/>
    <s v="270205M5A2"/>
    <s v="OH"/>
    <n v="611274265"/>
    <n v="1598714560"/>
    <n v="1285070771"/>
    <m/>
    <m/>
    <x v="15"/>
    <s v="Recovery_Disputes"/>
    <s v="20260707T022030.000 GMT"/>
    <n v="11388"/>
    <m/>
    <m/>
    <n v="760"/>
    <s v="Yes"/>
    <s v="20260803T222702.000 GMT"/>
    <d v="2026-08-03T00:00:00"/>
    <s v="Christine P Gaviola"/>
    <s v="Awaiting medical review from PA"/>
    <m/>
    <s v="WILLIAM W MCCLELLAN V, WILLIAM W"/>
    <m/>
    <m/>
    <m/>
    <m/>
    <m/>
    <m/>
    <m/>
    <s v="Christine P Gaviola"/>
    <n v="31"/>
    <m/>
    <m/>
    <s v="Local"/>
    <n v="287744144"/>
    <m/>
    <m/>
    <m/>
    <m/>
    <m/>
    <m/>
    <m/>
    <m/>
    <m/>
    <m/>
    <m/>
    <m/>
    <m/>
    <m/>
    <m/>
    <m/>
    <m/>
    <d v="2026-08-06T00:00:00"/>
  </r>
  <r>
    <x v="1"/>
    <m/>
    <x v="16"/>
    <x v="0"/>
    <x v="150"/>
    <n v="2026180470248"/>
    <n v="40"/>
    <n v="38"/>
    <s v="31-45 DAYS"/>
    <s v="CI-77267598"/>
    <s v="AG49226"/>
    <x v="4"/>
    <n v="9"/>
    <s v="Pending-Investigation"/>
    <s v="Awaiting CCA Response"/>
    <s v="153W22278"/>
    <s v="IN"/>
    <s v="P"/>
    <s v="2025072DS5630"/>
    <s v="L12433"/>
    <n v="46230.927777777775"/>
    <s v="IS-Dispute"/>
    <s v="BEN-Spider"/>
    <s v="RES-Unrestricted"/>
    <s v="GS-LocalFI"/>
    <s v="REG-CONV"/>
    <s v="IT-Written"/>
    <s v="L12433M002"/>
    <s v="CO"/>
    <n v="840438224"/>
    <n v="1386651297"/>
    <m/>
    <m/>
    <m/>
    <x v="22"/>
    <s v="Recovery_Disputes"/>
    <s v="20260629T174846.000 GMT"/>
    <n v="12895.02"/>
    <m/>
    <m/>
    <n v="153"/>
    <s v="Yes"/>
    <s v="20260728T051702.000 GMT"/>
    <d v="2026-07-28T00:00:00"/>
    <s v="Kevin Michael M Santos"/>
    <s v="Awaiting CCA Response"/>
    <m/>
    <s v="ADVENTHEALTH MEDICAL GROU"/>
    <m/>
    <m/>
    <m/>
    <m/>
    <m/>
    <m/>
    <m/>
    <s v="Kevin Michael M Santos"/>
    <n v="38"/>
    <m/>
    <m/>
    <s v="Local"/>
    <n v="480867562"/>
    <m/>
    <m/>
    <m/>
    <m/>
    <m/>
    <m/>
    <m/>
    <m/>
    <m/>
    <m/>
    <m/>
    <m/>
    <m/>
    <m/>
    <m/>
    <m/>
    <m/>
    <d v="2026-08-06T00:00:00"/>
  </r>
  <r>
    <x v="1"/>
    <m/>
    <x v="16"/>
    <x v="0"/>
    <x v="151"/>
    <n v="2026183110456"/>
    <n v="40"/>
    <n v="35"/>
    <s v="31-45 DAYS"/>
    <s v="CI-77461252"/>
    <s v="AL02716"/>
    <x v="0"/>
    <n v="3"/>
    <s v="Pending-Investigation"/>
    <s v="Awaiting CCA Response"/>
    <s v="230W10414"/>
    <s v="IN"/>
    <s v="P"/>
    <s v="2025340BG6177"/>
    <n v="270142"/>
    <n v="46237.103472222225"/>
    <s v="IS-Dispute"/>
    <s v="BEN-NonSpider"/>
    <s v="RES-Unrestricted"/>
    <s v="GS-National"/>
    <s v="REG-CT"/>
    <s v="IT-Written"/>
    <s v="270142M1AB"/>
    <s v="CA"/>
    <n v="770495522"/>
    <n v="1881662856"/>
    <m/>
    <m/>
    <m/>
    <x v="35"/>
    <s v="Recovery_Disputes"/>
    <s v="20260703T004120.000 GMT"/>
    <n v="89744.35"/>
    <m/>
    <m/>
    <n v="230"/>
    <s v="Yes"/>
    <s v="20260803T092937.000 GMT"/>
    <d v="2026-08-03T00:00:00"/>
    <s v="Christine F Andayran"/>
    <s v="Waiting for PA response."/>
    <m/>
    <s v="SILICON VALLEY SURGERY CT"/>
    <m/>
    <m/>
    <m/>
    <m/>
    <m/>
    <m/>
    <m/>
    <s v="Christine F Andayran"/>
    <n v="35"/>
    <m/>
    <m/>
    <s v="Local"/>
    <n v="613985822"/>
    <m/>
    <m/>
    <m/>
    <m/>
    <m/>
    <m/>
    <m/>
    <m/>
    <m/>
    <m/>
    <m/>
    <m/>
    <m/>
    <m/>
    <m/>
    <m/>
    <m/>
    <d v="2026-08-06T00:00:00"/>
  </r>
  <r>
    <x v="1"/>
    <m/>
    <x v="16"/>
    <x v="0"/>
    <x v="152"/>
    <n v="2026187400375"/>
    <n v="40"/>
    <n v="31"/>
    <s v="31-45 DAYS"/>
    <s v="CI-77582596"/>
    <s v="AL13268"/>
    <x v="1"/>
    <n v="3"/>
    <s v="Pending-Investigation"/>
    <s v="Awaiting CCA Response"/>
    <s v="946A24940"/>
    <s v="AP"/>
    <s v="P"/>
    <s v="2025098EO7354"/>
    <s v="L00996"/>
    <n v="46237.62777777778"/>
    <s v="IS-Dispute"/>
    <s v="BEN-NonSpider"/>
    <s v="RES-Unrestricted"/>
    <s v="GS-Local"/>
    <s v="REG-CA"/>
    <s v="IT-Written"/>
    <s v="L00996M023"/>
    <s v="CA"/>
    <n v="951643359"/>
    <n v="1558575746"/>
    <m/>
    <m/>
    <m/>
    <x v="49"/>
    <s v="Recovery_Disputes"/>
    <s v="20260706T224651.000 GMT"/>
    <n v="102311.69"/>
    <m/>
    <m/>
    <n v="946"/>
    <s v="Yes"/>
    <s v="20260803T220413.000 GMT"/>
    <d v="2026-08-03T00:00:00"/>
    <s v="Marvin M Niduaza"/>
    <s v="Send to Provider Audit for review."/>
    <m/>
    <s v="ST JOSEPH HOSPITAL OF ORA"/>
    <m/>
    <m/>
    <m/>
    <m/>
    <m/>
    <m/>
    <m/>
    <s v="Marvin M Niduaza"/>
    <n v="31"/>
    <m/>
    <s v="CS"/>
    <s v="Local"/>
    <n v="550882104"/>
    <m/>
    <m/>
    <m/>
    <m/>
    <m/>
    <m/>
    <m/>
    <m/>
    <m/>
    <m/>
    <m/>
    <m/>
    <m/>
    <m/>
    <m/>
    <m/>
    <m/>
    <d v="2026-08-06T00:00:00"/>
  </r>
  <r>
    <x v="1"/>
    <m/>
    <x v="16"/>
    <x v="0"/>
    <x v="153"/>
    <n v="2026188480027"/>
    <n v="40"/>
    <n v="31"/>
    <s v="31-45 DAYS"/>
    <s v="CI-77596853"/>
    <s v="AL20316"/>
    <x v="0"/>
    <n v="3"/>
    <s v="Pending-Investigation"/>
    <s v="Awaiting CCA Response"/>
    <s v="255A50859"/>
    <s v="IN"/>
    <s v="P"/>
    <s v="2025300CS7708"/>
    <s v="IN"/>
    <n v="46237.688194444447"/>
    <s v="IS-Dispute"/>
    <s v="BEN-Spider"/>
    <s v="RES-Unrestricted"/>
    <s v="GS-ACA"/>
    <s v="REG-GA"/>
    <s v="IT-Written"/>
    <s v="823X00"/>
    <s v="GA"/>
    <n v="581954432"/>
    <n v="1457396079"/>
    <m/>
    <m/>
    <s v="Melody D La Pena"/>
    <x v="45"/>
    <s v="Recovery_Disputes"/>
    <s v="20260707T085839.000 GMT"/>
    <n v="105312"/>
    <m/>
    <m/>
    <n v="255"/>
    <s v="Yes"/>
    <s v="20260803T233120.000 GMT"/>
    <d v="2026-08-03T00:00:00"/>
    <s v="Edwin Romeo V Sabarre"/>
    <s v="Sent email to PA for medical records review."/>
    <m/>
    <s v="NORTHSIDE HOSPITAL GWINNE"/>
    <m/>
    <m/>
    <m/>
    <m/>
    <m/>
    <m/>
    <m/>
    <s v="Edwin Romeo V Sabarre"/>
    <n v="30"/>
    <m/>
    <m/>
    <s v="Local"/>
    <n v="252432911"/>
    <m/>
    <m/>
    <m/>
    <m/>
    <m/>
    <m/>
    <m/>
    <m/>
    <m/>
    <m/>
    <m/>
    <m/>
    <m/>
    <m/>
    <m/>
    <m/>
    <m/>
    <d v="2026-08-06T00:00:00"/>
  </r>
  <r>
    <x v="1"/>
    <m/>
    <x v="16"/>
    <x v="0"/>
    <x v="154"/>
    <n v="2026184680045"/>
    <n v="40"/>
    <n v="35"/>
    <s v="31-45 DAYS"/>
    <s v="CI-77474495"/>
    <s v="AL39630"/>
    <x v="0"/>
    <n v="6"/>
    <s v="Pending-Investigation"/>
    <s v="Awaiting CCA Response"/>
    <s v="799W15420"/>
    <s v="IN"/>
    <s v="P"/>
    <s v="2025261DN6353"/>
    <s v="IN"/>
    <n v="46234.256944444445"/>
    <s v="IS-Dispute"/>
    <s v="BEN-Spider"/>
    <s v="RES-Unrestricted"/>
    <s v="GS-ACA"/>
    <s v="REG-MO"/>
    <s v="IT-Written"/>
    <s v="82W700"/>
    <s v="MO"/>
    <n v="474196634"/>
    <n v="1942685920"/>
    <m/>
    <m/>
    <m/>
    <x v="6"/>
    <s v="Recovery_Disputes"/>
    <s v="20260703T093229.000 GMT"/>
    <n v="85296.14"/>
    <m/>
    <m/>
    <n v="799"/>
    <s v="Yes"/>
    <s v="20260731T131107.000 GMT"/>
    <d v="2026-07-31T00:00:00"/>
    <s v="Angelica B Buan"/>
    <s v="Inquiry is pending for a CCA response and High Dollar review."/>
    <m/>
    <s v="SSM HEALTH SAINT LOUIS UN"/>
    <m/>
    <m/>
    <m/>
    <m/>
    <m/>
    <m/>
    <m/>
    <s v="Angelica B Buan"/>
    <n v="34"/>
    <m/>
    <m/>
    <s v="Local"/>
    <n v="490986393"/>
    <m/>
    <m/>
    <m/>
    <m/>
    <m/>
    <m/>
    <m/>
    <m/>
    <m/>
    <m/>
    <m/>
    <m/>
    <m/>
    <m/>
    <m/>
    <m/>
    <m/>
    <d v="2026-08-06T00:00:00"/>
  </r>
  <r>
    <x v="1"/>
    <m/>
    <x v="16"/>
    <x v="0"/>
    <x v="155"/>
    <n v="2026180020386"/>
    <n v="40"/>
    <n v="38"/>
    <s v="31-45 DAYS"/>
    <s v="CI-77282008"/>
    <s v="AH60028"/>
    <x v="2"/>
    <n v="9"/>
    <s v="Pending-Investigation"/>
    <s v="Awaiting CCA Response"/>
    <s v="774W19126"/>
    <s v="IN"/>
    <s v="P"/>
    <s v="2024145EH9126"/>
    <s v="L09714"/>
    <n v="46231.022222222222"/>
    <s v="IS-Dispute"/>
    <s v="BEN-Spider"/>
    <s v="RES-Unrestricted"/>
    <s v="GS-Local"/>
    <s v="REG-MO"/>
    <s v="IT-Written"/>
    <s v="L09714M006"/>
    <s v="MO"/>
    <n v="474196634"/>
    <n v="1942685920"/>
    <m/>
    <m/>
    <m/>
    <x v="7"/>
    <s v="Recovery_Disputes"/>
    <s v="20260629T222557.000 GMT"/>
    <n v="357561.47"/>
    <m/>
    <m/>
    <n v="774"/>
    <s v="Yes"/>
    <s v="20260728T073253.000 GMT"/>
    <d v="2026-07-28T00:00:00"/>
    <s v="Mark Ian D Ninas"/>
    <s v="Email sent for PA review"/>
    <m/>
    <s v="SSM HEALTH SAINT LOUIS UN"/>
    <m/>
    <m/>
    <m/>
    <m/>
    <m/>
    <m/>
    <m/>
    <s v="Mark Ian D Ninas"/>
    <n v="38"/>
    <m/>
    <s v="CS"/>
    <s v="Local"/>
    <n v="487629141"/>
    <m/>
    <m/>
    <m/>
    <m/>
    <m/>
    <m/>
    <m/>
    <m/>
    <m/>
    <m/>
    <m/>
    <m/>
    <m/>
    <m/>
    <m/>
    <m/>
    <m/>
    <d v="2026-08-06T00:00:00"/>
  </r>
  <r>
    <x v="1"/>
    <m/>
    <x v="16"/>
    <x v="0"/>
    <x v="156"/>
    <n v="2026178800293"/>
    <n v="40"/>
    <n v="40"/>
    <s v="31-45 DAYS"/>
    <s v="CI-77216035"/>
    <s v="AH00092"/>
    <x v="2"/>
    <n v="1"/>
    <s v="Pending-Investigation"/>
    <s v="Additional Research"/>
    <s v="962A52489"/>
    <s v="IN"/>
    <s v="P"/>
    <s v="2025188CT3146"/>
    <s v="GA6214"/>
    <n v="46239.644444444442"/>
    <s v="IS-Dispute"/>
    <s v="BEN-Spider"/>
    <s v="RES-Unrestricted"/>
    <s v="GS-LocalFI"/>
    <s v="REG-GA"/>
    <s v="IT-Written"/>
    <s v="GA6214M001"/>
    <s v="GA"/>
    <n v="581954432"/>
    <n v="1457396079"/>
    <m/>
    <m/>
    <m/>
    <x v="26"/>
    <s v="Recovery_Disputes"/>
    <s v="20260627T221236.000 GMT"/>
    <n v="271855"/>
    <m/>
    <m/>
    <n v="962"/>
    <s v="Yes"/>
    <s v="20260805T222900.000 GMT"/>
    <d v="2026-08-05T00:00:00"/>
    <s v="John Paul M Tuazon"/>
    <s v="Submitted intake to EVM site for review and still in progress"/>
    <m/>
    <s v="NORTHSIDE HOSPITAL GWINNE"/>
    <m/>
    <m/>
    <m/>
    <m/>
    <m/>
    <m/>
    <m/>
    <s v="John Paul M Tuazon"/>
    <n v="40"/>
    <m/>
    <m/>
    <s v="Local"/>
    <n v="616180146"/>
    <m/>
    <m/>
    <m/>
    <m/>
    <m/>
    <m/>
    <m/>
    <m/>
    <m/>
    <m/>
    <m/>
    <m/>
    <m/>
    <m/>
    <m/>
    <m/>
    <m/>
    <d v="2026-08-06T00:00:00"/>
  </r>
  <r>
    <x v="1"/>
    <m/>
    <x v="16"/>
    <x v="0"/>
    <x v="157"/>
    <n v="2026176800262"/>
    <n v="40"/>
    <n v="42"/>
    <s v="31-45 DAYS"/>
    <s v="CI-77109272"/>
    <s v="AL39630"/>
    <x v="0"/>
    <n v="13"/>
    <s v="Pending-Investigation"/>
    <s v="Awaiting CCA Response"/>
    <s v="761M87253"/>
    <s v="IN"/>
    <s v="P"/>
    <s v="2025255CK3735"/>
    <n v="174208"/>
    <n v="46226.811111111114"/>
    <s v="IS-Dispute"/>
    <s v="BEN-NonSpider"/>
    <s v="RES-Unrestricted"/>
    <s v="GS-WoodWard"/>
    <s v="REG-CONV"/>
    <s v="IT-Written"/>
    <s v="174208M8AE"/>
    <s v="WI"/>
    <n v="391805963"/>
    <n v="1346266319"/>
    <n v="1104447853"/>
    <m/>
    <m/>
    <x v="6"/>
    <s v="Recovery_Disputes"/>
    <s v="20260625T173505.000 GMT"/>
    <n v="15077"/>
    <m/>
    <m/>
    <n v="761"/>
    <s v="Yes"/>
    <s v="20260724T022921.000 GMT"/>
    <d v="2026-07-24T00:00:00"/>
    <s v="Angelica B Buan"/>
    <s v="Inquiry is pending for a CCA response and High Dollar review."/>
    <m/>
    <s v="MACASKILL, MICAH L"/>
    <m/>
    <m/>
    <m/>
    <m/>
    <m/>
    <m/>
    <m/>
    <s v="Angelica B Buan"/>
    <n v="42"/>
    <m/>
    <m/>
    <s v="Local"/>
    <n v="328662241"/>
    <m/>
    <m/>
    <m/>
    <m/>
    <m/>
    <m/>
    <m/>
    <m/>
    <m/>
    <m/>
    <m/>
    <m/>
    <m/>
    <m/>
    <m/>
    <m/>
    <m/>
    <d v="2026-08-06T00:00:00"/>
  </r>
  <r>
    <x v="1"/>
    <m/>
    <x v="16"/>
    <x v="0"/>
    <x v="158"/>
    <n v="2026176680471"/>
    <n v="40"/>
    <n v="42"/>
    <s v="31-45 DAYS"/>
    <s v="CI-77129129"/>
    <s v="AH60028"/>
    <x v="2"/>
    <n v="0"/>
    <s v="Pending-Investigation"/>
    <s v="Additional Research"/>
    <s v="994W07193"/>
    <s v="IN"/>
    <s v="P"/>
    <s v="2025094BJ9549"/>
    <s v="W11342"/>
    <n v="46239.751388888886"/>
    <s v="IS-Dispute"/>
    <s v="BEN-Spider"/>
    <s v="RES-Unrestricted"/>
    <s v="GS-Local"/>
    <s v="REG-IN"/>
    <s v="IT-Written"/>
    <s v="W11342M002"/>
    <s v="WI"/>
    <n v="272042610"/>
    <n v="1568787448"/>
    <n v="1023052073"/>
    <m/>
    <m/>
    <x v="7"/>
    <s v="Recovery_Disputes"/>
    <s v="20260625T233928.000 GMT"/>
    <n v="489"/>
    <m/>
    <m/>
    <n v="994"/>
    <s v="Yes"/>
    <s v="20260806T010309.000 GMT"/>
    <d v="2026-08-06T00:00:00"/>
    <s v="Mark Ian D Ninas"/>
    <s v="Still waiting for the response via Email."/>
    <m/>
    <s v="LARSON, KIRSTEN W"/>
    <m/>
    <m/>
    <m/>
    <m/>
    <m/>
    <m/>
    <m/>
    <s v="Mark Ian D Ninas"/>
    <n v="42"/>
    <m/>
    <m/>
    <s v="Local"/>
    <n v="305175917"/>
    <m/>
    <m/>
    <m/>
    <m/>
    <m/>
    <m/>
    <m/>
    <m/>
    <m/>
    <m/>
    <m/>
    <m/>
    <m/>
    <m/>
    <m/>
    <m/>
    <m/>
    <d v="2026-08-06T00:00:00"/>
  </r>
  <r>
    <x v="1"/>
    <m/>
    <x v="16"/>
    <x v="0"/>
    <x v="159"/>
    <n v="2026187210272"/>
    <n v="40"/>
    <n v="31"/>
    <s v="31-45 DAYS"/>
    <s v="CI-77573545"/>
    <s v="AL55790"/>
    <x v="0"/>
    <n v="1"/>
    <s v="Pending-Investigation"/>
    <s v="Awaiting CCA Response"/>
    <s v="081W16087"/>
    <s v="IN"/>
    <s v="P"/>
    <s v="2025311BS7944"/>
    <s v="IN"/>
    <n v="46239.056944444441"/>
    <s v="IS-Dispute"/>
    <s v="BEN-Spider"/>
    <s v="RES-Unrestricted"/>
    <s v="GS-ACA"/>
    <s v="REG-CT"/>
    <s v="IT-Written"/>
    <s v="817H00"/>
    <s v="CT"/>
    <n v="60646973"/>
    <n v="1205822236"/>
    <n v="1538391883"/>
    <m/>
    <m/>
    <x v="24"/>
    <s v="Recovery_Disputes"/>
    <s v="20260706T192915.000 GMT"/>
    <n v="8415"/>
    <m/>
    <m/>
    <n v="81"/>
    <s v="Yes"/>
    <s v="20260805T082235.000 GMT"/>
    <d v="2026-08-05T00:00:00"/>
    <s v="Dwena Joy D Sevilla"/>
    <s v="Sent email to PA for medical records review"/>
    <m/>
    <s v="BLASBERG, JUSTIN D"/>
    <m/>
    <m/>
    <m/>
    <m/>
    <m/>
    <m/>
    <m/>
    <s v="Dwena Joy D Sevilla"/>
    <n v="31"/>
    <m/>
    <m/>
    <s v="Local"/>
    <n v="44689186"/>
    <m/>
    <m/>
    <m/>
    <m/>
    <m/>
    <m/>
    <m/>
    <m/>
    <m/>
    <m/>
    <m/>
    <m/>
    <m/>
    <m/>
    <m/>
    <m/>
    <m/>
    <d v="2026-08-06T00:00:00"/>
  </r>
  <r>
    <x v="1"/>
    <m/>
    <x v="16"/>
    <x v="0"/>
    <x v="160"/>
    <n v="2026188640531"/>
    <n v="40"/>
    <n v="31"/>
    <s v="31-45 DAYS"/>
    <s v="CI-77650164"/>
    <s v="AM38938"/>
    <x v="0"/>
    <n v="3"/>
    <s v="Pending-Investigation"/>
    <s v="Awaiting CCA Response"/>
    <s v="227W11108"/>
    <s v="IN"/>
    <s v="P"/>
    <s v="2025128EO9752"/>
    <s v="IN"/>
    <n v="46237.668749999997"/>
    <s v="IS-Dispute"/>
    <s v="BEN-Spider"/>
    <s v="RES-Unrestricted"/>
    <s v="GS-ACA"/>
    <s v="REG-MO"/>
    <s v="IT-Written"/>
    <s v="82SR00"/>
    <s v="MO"/>
    <n v="430980256"/>
    <n v="1568481984"/>
    <m/>
    <m/>
    <m/>
    <x v="9"/>
    <s v="Recovery_Disputes"/>
    <s v="20260708T032322.000 GMT"/>
    <n v="32339.35"/>
    <m/>
    <m/>
    <n v="227"/>
    <s v="Yes"/>
    <s v="20260803T230327.000 GMT"/>
    <d v="2026-08-03T00:00:00"/>
    <s v="Rechelle C Berida"/>
    <s v="sent to Provider Audit Appeals for review"/>
    <m/>
    <s v="MERCY HOSPITAL SOUTH"/>
    <m/>
    <m/>
    <m/>
    <m/>
    <m/>
    <m/>
    <m/>
    <s v="Rechelle C Berida"/>
    <n v="30"/>
    <m/>
    <m/>
    <s v="Local"/>
    <n v="492868342"/>
    <m/>
    <m/>
    <m/>
    <m/>
    <m/>
    <m/>
    <m/>
    <m/>
    <m/>
    <m/>
    <m/>
    <m/>
    <m/>
    <m/>
    <m/>
    <m/>
    <m/>
    <d v="2026-08-06T00:00:00"/>
  </r>
  <r>
    <x v="1"/>
    <m/>
    <x v="16"/>
    <x v="0"/>
    <x v="161"/>
    <n v="2026187130284"/>
    <n v="40"/>
    <n v="31"/>
    <s v="31-45 DAYS"/>
    <s v="CI-77575227"/>
    <s v="AL20338"/>
    <x v="1"/>
    <n v="3"/>
    <s v="Pending-Investigation"/>
    <s v="Awaiting CCA Response"/>
    <s v="279W09879"/>
    <s v="IN"/>
    <s v="P"/>
    <s v="2025113BM0164"/>
    <s v="L03657"/>
    <n v="46237.055555555555"/>
    <s v="IS-Dispute"/>
    <s v="BEN-Spider"/>
    <s v="RES-Unrestricted"/>
    <s v="GS-LocalFI"/>
    <s v="REG-WI"/>
    <s v="IT-Written"/>
    <s v="L03657M003"/>
    <s v="WI"/>
    <n v="390806261"/>
    <n v="1699720086"/>
    <n v="1053765495"/>
    <m/>
    <m/>
    <x v="19"/>
    <s v="Recovery_Disputes"/>
    <s v="20260706T195931.000 GMT"/>
    <n v="21802"/>
    <m/>
    <m/>
    <n v="279"/>
    <s v="Yes"/>
    <s v="20260803T082024.000 GMT"/>
    <d v="2026-08-03T00:00:00"/>
    <s v="Virgil Joseph L Domalaoco"/>
    <s v="For Provider Audit as per concept COD1MODAS with Medical Records with MLH_x000a_2026187RH1982"/>
    <m/>
    <s v="MALLORY L HUNT, MALLORY L"/>
    <m/>
    <m/>
    <m/>
    <m/>
    <m/>
    <m/>
    <m/>
    <s v="Virgil Joseph L Domalaoco"/>
    <n v="31"/>
    <m/>
    <m/>
    <s v="Local"/>
    <n v="224514925"/>
    <m/>
    <m/>
    <m/>
    <m/>
    <m/>
    <m/>
    <m/>
    <m/>
    <m/>
    <m/>
    <m/>
    <m/>
    <m/>
    <m/>
    <m/>
    <m/>
    <m/>
    <d v="2026-08-06T00:00:00"/>
  </r>
  <r>
    <x v="1"/>
    <m/>
    <x v="16"/>
    <x v="0"/>
    <x v="162"/>
    <s v="CL-36711933"/>
    <n v="40"/>
    <n v="31"/>
    <s v="31-45 DAYS"/>
    <s v="CI-77571836"/>
    <s v="AL02716"/>
    <x v="0"/>
    <n v="3"/>
    <s v="Pending-Investigation"/>
    <s v="Additional Research"/>
    <s v="AJW 320W01380"/>
    <s v="Standard"/>
    <s v="Provider"/>
    <s v="2024211EV3812"/>
    <s v="L04105"/>
    <n v="46237.707638888889"/>
    <s v="IS-Dispute"/>
    <s v="BEN-Spider"/>
    <s v="RES-Unrestricted"/>
    <s v="GS-LocalFI"/>
    <s v="REG-KY"/>
    <s v="IT-ASPEN"/>
    <s v="L04105M001"/>
    <s v="KY"/>
    <n v="616001218"/>
    <n v="1518911338"/>
    <m/>
    <m/>
    <m/>
    <x v="35"/>
    <s v="Recovery_Disputes"/>
    <s v="20260706T185858.000 GMT"/>
    <n v="222842.99"/>
    <m/>
    <m/>
    <s v="AJW"/>
    <s v="No"/>
    <s v="20260803T235939.000 GMT"/>
    <d v="2026-08-03T00:00:00"/>
    <s v="Christine F Andayran"/>
    <s v="Logged to RI tracker"/>
    <m/>
    <s v="UK HEALTHCARE HOSPITALS-E"/>
    <m/>
    <m/>
    <m/>
    <m/>
    <m/>
    <s v="CL-36710558"/>
    <m/>
    <s v="Christine F Andayran"/>
    <n v="31"/>
    <m/>
    <s v="Claim Adjustment"/>
    <s v="Local"/>
    <n v="404061924"/>
    <m/>
    <m/>
    <m/>
    <m/>
    <m/>
    <m/>
    <m/>
    <m/>
    <m/>
    <m/>
    <m/>
    <m/>
    <m/>
    <m/>
    <m/>
    <m/>
    <m/>
    <d v="2026-08-06T00:00:00"/>
  </r>
  <r>
    <x v="1"/>
    <m/>
    <x v="16"/>
    <x v="0"/>
    <x v="163"/>
    <n v="2026200250299"/>
    <n v="40"/>
    <n v="31"/>
    <s v="31-45 DAYS"/>
    <s v="CI-78206742"/>
    <s v="AM21390"/>
    <x v="0"/>
    <n v="3"/>
    <s v="Pending-Investigation"/>
    <s v="Awaiting CCA Response"/>
    <s v="AN7822514"/>
    <s v="IN"/>
    <s v="P"/>
    <s v="2024305FV4727"/>
    <n v="270138"/>
    <n v="46237.684027777781"/>
    <s v="IS-Dispute"/>
    <s v="BEN-NonSpider"/>
    <s v="RES-Unrestricted"/>
    <s v="GS-National"/>
    <s v="REG-OH"/>
    <s v="IT-Written"/>
    <s v="270138PAAA"/>
    <s v="IN"/>
    <n v="833741084"/>
    <n v="1174165237"/>
    <m/>
    <m/>
    <m/>
    <x v="50"/>
    <s v="Recovery_Disputes"/>
    <s v="20260720T061438.000 GMT"/>
    <n v="88589.34"/>
    <m/>
    <m/>
    <s v="AN7"/>
    <s v="Yes"/>
    <s v="20260803T232546.000 GMT"/>
    <d v="2026-08-03T00:00:00"/>
    <s v="MARK ANTHONY V CUATON"/>
    <s v="Sent email to Provider audit for medical records review. FDOC#7171011902"/>
    <m/>
    <s v="RIVER RIDGE SURGICAL STE"/>
    <m/>
    <m/>
    <m/>
    <m/>
    <m/>
    <m/>
    <m/>
    <s v="MARK ANTHONY V CUATON"/>
    <n v="18"/>
    <m/>
    <s v="CS"/>
    <s v="Local"/>
    <n v="303649899"/>
    <m/>
    <m/>
    <m/>
    <m/>
    <m/>
    <m/>
    <m/>
    <m/>
    <m/>
    <m/>
    <m/>
    <m/>
    <m/>
    <m/>
    <m/>
    <m/>
    <m/>
    <d v="2026-08-06T00:00:00"/>
  </r>
  <r>
    <x v="1"/>
    <m/>
    <x v="16"/>
    <x v="0"/>
    <x v="164"/>
    <n v="2026178020350"/>
    <n v="40"/>
    <n v="40"/>
    <s v="31-45 DAYS"/>
    <s v="CI-77220203"/>
    <s v="AG93888"/>
    <x v="0"/>
    <n v="9"/>
    <s v="Pending-Investigation"/>
    <s v="Awaiting CCA Response"/>
    <s v="305M66991"/>
    <s v="IN"/>
    <s v="P"/>
    <s v="2025191BB8639"/>
    <s v="W61759"/>
    <n v="46230.729861111111"/>
    <s v="IS-Dispute"/>
    <s v="BEN-Spider"/>
    <s v="RES-Unrestricted"/>
    <s v="GS-Local"/>
    <s v="REG-MO"/>
    <s v="IT-Written"/>
    <s v="W61759M086"/>
    <s v="MO"/>
    <n v="430653611"/>
    <n v="1356381842"/>
    <n v="1437565819"/>
    <m/>
    <m/>
    <x v="14"/>
    <s v="Recovery_Disputes"/>
    <s v="20260628T002253.000 GMT"/>
    <n v="7768"/>
    <m/>
    <m/>
    <n v="305"/>
    <s v="Yes"/>
    <s v="20260728T003136.000 GMT"/>
    <d v="2026-07-28T00:00:00"/>
    <s v="Hilyn C Camilan"/>
    <s v="Sent to PA for review"/>
    <m/>
    <s v="PATRIK  PIPKORN"/>
    <m/>
    <m/>
    <m/>
    <m/>
    <m/>
    <m/>
    <m/>
    <s v="Hilyn C Camilan"/>
    <n v="40"/>
    <m/>
    <s v="CS"/>
    <s v="Local"/>
    <n v="499501018"/>
    <m/>
    <m/>
    <m/>
    <m/>
    <m/>
    <m/>
    <m/>
    <m/>
    <m/>
    <m/>
    <m/>
    <m/>
    <m/>
    <m/>
    <m/>
    <m/>
    <m/>
    <d v="2026-08-06T00:00:00"/>
  </r>
  <r>
    <x v="1"/>
    <m/>
    <x v="16"/>
    <x v="0"/>
    <x v="165"/>
    <m/>
    <n v="40"/>
    <n v="42"/>
    <s v="31-45 DAYS"/>
    <s v="CI-77117964"/>
    <s v="AL02716"/>
    <x v="0"/>
    <n v="13"/>
    <s v="Pending-Investigation"/>
    <s v="Additional Research"/>
    <s v="523W19087"/>
    <s v="Standard"/>
    <s v="Internal Request"/>
    <s v="2025307EP4506"/>
    <s v="IN"/>
    <n v="46226.893750000003"/>
    <s v="IS-Dispute"/>
    <s v="BEN-SpiderHMO"/>
    <s v="RES-Unrestricted"/>
    <s v="GS-ACA"/>
    <s v="REG-CONV"/>
    <s v="IT-Internal"/>
    <s v="82JP00"/>
    <s v="CA"/>
    <n v="371749452"/>
    <n v="1497093355"/>
    <n v="1326540907"/>
    <m/>
    <m/>
    <x v="35"/>
    <s v="Recovery_Disputes"/>
    <s v="20260625T193245.000 GMT"/>
    <n v="200"/>
    <m/>
    <m/>
    <n v="523"/>
    <s v="No"/>
    <s v="20260724T042729.000 GMT"/>
    <d v="2026-07-24T00:00:00"/>
    <s v="Christine F Andayran"/>
    <s v="sent to FAQS"/>
    <m/>
    <m/>
    <m/>
    <m/>
    <m/>
    <m/>
    <m/>
    <m/>
    <m/>
    <s v="Christine F Andayran"/>
    <n v="42"/>
    <m/>
    <m/>
    <s v="Local"/>
    <n v="857833184"/>
    <m/>
    <m/>
    <m/>
    <m/>
    <m/>
    <m/>
    <m/>
    <m/>
    <m/>
    <m/>
    <m/>
    <m/>
    <m/>
    <m/>
    <m/>
    <m/>
    <m/>
    <d v="2026-08-06T00:00:00"/>
  </r>
  <r>
    <x v="1"/>
    <m/>
    <x v="16"/>
    <x v="0"/>
    <x v="166"/>
    <n v="2026188000015"/>
    <n v="40"/>
    <n v="31"/>
    <s v="31-45 DAYS"/>
    <s v="CI-77595073"/>
    <s v="AL20316"/>
    <x v="0"/>
    <n v="2"/>
    <s v="Pending-Investigation"/>
    <s v="Awaiting CCA Response"/>
    <s v="568W22738"/>
    <s v="IN"/>
    <s v="P"/>
    <s v="2025090DS1741"/>
    <s v="SGD39082"/>
    <n v="46237.752083333333"/>
    <s v="IS-Dispute"/>
    <s v="BEN-Spider"/>
    <s v="RES-Unrestricted"/>
    <s v="GS-ACA"/>
    <s v="REG-MO"/>
    <s v="IT-Written"/>
    <s v="8P0800"/>
    <s v="MO"/>
    <n v="430980256"/>
    <n v="1568481984"/>
    <m/>
    <m/>
    <s v="Melody D La Pena"/>
    <x v="45"/>
    <s v="Recovery_Disputes"/>
    <s v="20260707T081700.000 GMT"/>
    <n v="34680.639999999999"/>
    <m/>
    <m/>
    <n v="568"/>
    <s v="Yes"/>
    <s v="20260804T010321.000 GMT"/>
    <d v="2026-08-04T00:00:00"/>
    <s v="Edwin Romeo V Sabarre"/>
    <s v="Sent email to PA for medical records review."/>
    <m/>
    <s v="MERCY HOSPITAL SOUTH"/>
    <m/>
    <m/>
    <m/>
    <m/>
    <m/>
    <m/>
    <m/>
    <s v="Edwin Romeo V Sabarre"/>
    <n v="30"/>
    <m/>
    <m/>
    <s v="Local"/>
    <n v="494111556"/>
    <m/>
    <m/>
    <m/>
    <m/>
    <m/>
    <m/>
    <m/>
    <m/>
    <m/>
    <m/>
    <m/>
    <m/>
    <m/>
    <m/>
    <m/>
    <m/>
    <m/>
    <d v="2026-08-06T00:00:00"/>
  </r>
  <r>
    <x v="1"/>
    <m/>
    <x v="16"/>
    <x v="0"/>
    <x v="167"/>
    <n v="2026177890141"/>
    <n v="40"/>
    <n v="41"/>
    <s v="31-45 DAYS"/>
    <s v="CI-77155553"/>
    <s v="AL13268"/>
    <x v="1"/>
    <n v="0"/>
    <s v="Pending-Investigation"/>
    <s v="Additional Research"/>
    <s v="749A23259"/>
    <s v="IN"/>
    <s v="P"/>
    <s v="2025314EP4054"/>
    <n v="195610"/>
    <n v="46239.711805555555"/>
    <s v="IS-Dispute"/>
    <s v="BEN-NonSpider"/>
    <s v="RES-Unrestricted"/>
    <s v="GS-ColoradoUniversity"/>
    <s v="REG-CONV"/>
    <s v="IT-Written"/>
    <s v="195610D011"/>
    <s v="CO"/>
    <n v="840166760"/>
    <n v="1336245828"/>
    <m/>
    <m/>
    <m/>
    <x v="49"/>
    <s v="Recovery_Disputes"/>
    <s v="20260626T140714.000 GMT"/>
    <n v="40371.53"/>
    <m/>
    <m/>
    <n v="749"/>
    <s v="Yes"/>
    <s v="20260806T000522.000 GMT"/>
    <d v="2026-08-06T00:00:00"/>
    <s v="Marvin M Niduaza"/>
    <s v="Pending due to need SME assistance for the adjustment."/>
    <m/>
    <s v="CHILDRENS HOSPITAL COLORA"/>
    <m/>
    <m/>
    <m/>
    <m/>
    <m/>
    <m/>
    <m/>
    <s v="Marvin M Niduaza"/>
    <n v="41"/>
    <m/>
    <s v="CS"/>
    <s v="Local"/>
    <s v="CUB128820"/>
    <m/>
    <m/>
    <m/>
    <m/>
    <m/>
    <m/>
    <m/>
    <m/>
    <m/>
    <m/>
    <m/>
    <m/>
    <m/>
    <m/>
    <m/>
    <m/>
    <m/>
    <d v="2026-08-06T00:00:00"/>
  </r>
  <r>
    <x v="1"/>
    <m/>
    <x v="16"/>
    <x v="0"/>
    <x v="168"/>
    <n v="2026182080179"/>
    <n v="40"/>
    <n v="36"/>
    <s v="31-45 DAYS"/>
    <s v="CI-77371975"/>
    <s v="AL13293"/>
    <x v="1"/>
    <n v="2"/>
    <s v="Pending-Investigation"/>
    <s v="Additional Research"/>
    <s v="954A74118"/>
    <s v="IN"/>
    <s v="P"/>
    <s v="2025042FF0674"/>
    <s v="L01352"/>
    <n v="46237.871527777781"/>
    <s v="IS-Dispute"/>
    <s v="BEN-NonSpider"/>
    <s v="RES-Unrestricted"/>
    <s v="GS-Local"/>
    <s v="REG-CA"/>
    <s v="IT-Written"/>
    <s v="L01352M016"/>
    <s v="CA"/>
    <n v="943235450"/>
    <n v="1851369284"/>
    <m/>
    <m/>
    <m/>
    <x v="39"/>
    <s v="Recovery_Disputes"/>
    <s v="20260701T152409.000 GMT"/>
    <n v="37300"/>
    <m/>
    <m/>
    <n v="954"/>
    <s v="Yes"/>
    <s v="20260804T035536.000 GMT"/>
    <d v="2026-08-04T00:00:00"/>
    <s v="Jayson M Castro"/>
    <s v="Waiting for e2e approval"/>
    <m/>
    <s v="FREMONT SURGERY CENTER"/>
    <m/>
    <m/>
    <m/>
    <m/>
    <m/>
    <m/>
    <m/>
    <s v="Jayson M Castro"/>
    <n v="36"/>
    <m/>
    <m/>
    <s v="Local"/>
    <n v="123528497"/>
    <m/>
    <m/>
    <m/>
    <m/>
    <m/>
    <n v="4704"/>
    <m/>
    <m/>
    <m/>
    <m/>
    <m/>
    <m/>
    <m/>
    <m/>
    <m/>
    <m/>
    <m/>
    <d v="2026-08-06T00:00:00"/>
  </r>
  <r>
    <x v="1"/>
    <m/>
    <x v="16"/>
    <x v="0"/>
    <x v="169"/>
    <n v="2026181770426"/>
    <n v="40"/>
    <n v="37"/>
    <s v="31-45 DAYS"/>
    <s v="CI-77342154"/>
    <s v="AL39630"/>
    <x v="0"/>
    <n v="8"/>
    <s v="Pending-Investigation"/>
    <s v="Awaiting CCA Response"/>
    <s v="573W20922"/>
    <s v="IN"/>
    <s v="P"/>
    <s v="2025188DM2814"/>
    <s v="L05604"/>
    <n v="46231.982638888891"/>
    <s v="IS-Dispute"/>
    <s v="BEN-Spider"/>
    <s v="RES-Unrestricted"/>
    <s v="GS-Local"/>
    <s v="REG-MO"/>
    <s v="IT-Written"/>
    <s v="L05604M003"/>
    <s v="CO"/>
    <n v="841415470"/>
    <n v="1952327835"/>
    <n v="1982747549"/>
    <m/>
    <m/>
    <x v="6"/>
    <s v="Recovery_Disputes"/>
    <s v="20260630T232239.000 GMT"/>
    <n v="20557"/>
    <m/>
    <m/>
    <n v="573"/>
    <s v="Yes"/>
    <s v="20260729T063540.000 GMT"/>
    <d v="2026-07-29T00:00:00"/>
    <s v="Angelica B Buan"/>
    <s v="Inquiry is pending for a CCA response and High Dollar review."/>
    <m/>
    <s v="MATTA, JOEL M"/>
    <m/>
    <m/>
    <m/>
    <m/>
    <m/>
    <m/>
    <m/>
    <s v="Angelica B Buan"/>
    <n v="37"/>
    <m/>
    <s v="CS"/>
    <s v="Local"/>
    <n v="494192759"/>
    <m/>
    <m/>
    <m/>
    <m/>
    <m/>
    <m/>
    <m/>
    <m/>
    <m/>
    <m/>
    <m/>
    <m/>
    <m/>
    <m/>
    <m/>
    <m/>
    <m/>
    <d v="2026-08-06T00:00:00"/>
  </r>
  <r>
    <x v="1"/>
    <m/>
    <x v="16"/>
    <x v="0"/>
    <x v="170"/>
    <n v="2026183030472"/>
    <n v="40"/>
    <n v="35"/>
    <s v="31-45 DAYS"/>
    <s v="CI-77539954"/>
    <s v="AL13268"/>
    <x v="1"/>
    <n v="0"/>
    <s v="Pending-Investigation"/>
    <s v="Additional Research"/>
    <s v="314A77713"/>
    <s v="AP"/>
    <s v="P"/>
    <s v="2024114EJ4475"/>
    <s v="L09514"/>
    <n v="46239.716666666667"/>
    <s v="IS-Dispute"/>
    <s v="BEN-NonSpider"/>
    <s v="RES-Unrestricted"/>
    <s v="GS-Local"/>
    <s v="REG-CA"/>
    <s v="IT-Written"/>
    <s v="L09514M001"/>
    <s v="CA"/>
    <n v="943246947"/>
    <n v="1568646735"/>
    <m/>
    <m/>
    <m/>
    <x v="49"/>
    <s v="Recovery_Disputes"/>
    <s v="20260706T063855.000 GMT"/>
    <n v="2755"/>
    <m/>
    <m/>
    <n v="314"/>
    <s v="Yes"/>
    <s v="20260806T001223.000 GMT"/>
    <d v="2026-08-06T00:00:00"/>
    <s v="Marvin M Niduaza"/>
    <s v="Not yet restored claim."/>
    <m/>
    <s v="DIGNITY HEALTH DBA SEQUOI"/>
    <m/>
    <m/>
    <m/>
    <m/>
    <m/>
    <m/>
    <m/>
    <s v="Marvin M Niduaza"/>
    <n v="32"/>
    <m/>
    <s v="CS"/>
    <s v="Local"/>
    <n v="573275035"/>
    <m/>
    <m/>
    <m/>
    <m/>
    <m/>
    <m/>
    <m/>
    <m/>
    <m/>
    <m/>
    <m/>
    <m/>
    <m/>
    <m/>
    <m/>
    <m/>
    <m/>
    <d v="2026-08-06T00:00:00"/>
  </r>
  <r>
    <x v="1"/>
    <m/>
    <x v="16"/>
    <x v="0"/>
    <x v="171"/>
    <n v="2026181190242"/>
    <n v="40"/>
    <n v="37"/>
    <s v="31-45 DAYS"/>
    <s v="CI-77320900"/>
    <s v="AM38611"/>
    <x v="0"/>
    <n v="8"/>
    <s v="Pending-Investigation"/>
    <s v="Awaiting CCA Response"/>
    <s v="040M91836"/>
    <s v="IN"/>
    <s v="P"/>
    <s v="2025272R71503"/>
    <n v="721330"/>
    <n v="46231.816666666666"/>
    <s v="IS-Dispute"/>
    <s v="BEN-Spider"/>
    <s v="RES-Unrestricted"/>
    <s v="GS-Local"/>
    <s v="REG-NY"/>
    <s v="IT-Written"/>
    <s v="721330002M"/>
    <s v="NY"/>
    <n v="260768706"/>
    <n v="1134315922"/>
    <n v="1134315922"/>
    <m/>
    <m/>
    <x v="16"/>
    <s v="Recovery_Disputes"/>
    <s v="20260630T163828.000 GMT"/>
    <n v="350"/>
    <m/>
    <m/>
    <n v="40"/>
    <s v="Yes"/>
    <s v="20260729T023627.000 GMT"/>
    <d v="2026-07-29T00:00:00"/>
    <s v="Jolo M Lapitan"/>
    <s v="Sent to provider audit appeals for medical review."/>
    <m/>
    <s v="YASHA  YANG"/>
    <m/>
    <m/>
    <m/>
    <m/>
    <m/>
    <m/>
    <m/>
    <s v="Jolo M Lapitan"/>
    <n v="37"/>
    <m/>
    <m/>
    <s v="Local"/>
    <n v="78628148"/>
    <m/>
    <m/>
    <m/>
    <m/>
    <m/>
    <m/>
    <m/>
    <m/>
    <m/>
    <m/>
    <m/>
    <m/>
    <m/>
    <m/>
    <m/>
    <m/>
    <m/>
    <d v="2026-08-06T00:00:00"/>
  </r>
  <r>
    <x v="1"/>
    <m/>
    <x v="16"/>
    <x v="0"/>
    <x v="172"/>
    <n v="2026182350406"/>
    <n v="40"/>
    <n v="36"/>
    <s v="31-45 DAYS"/>
    <s v="CI-77392157"/>
    <s v="AG49226"/>
    <x v="4"/>
    <n v="7"/>
    <s v="Pending-Investigation"/>
    <s v="Awaiting CCA Response"/>
    <s v="050M92240"/>
    <s v="IN"/>
    <s v="P"/>
    <s v="2024038DO2979"/>
    <n v="174097"/>
    <n v="46232.917361111111"/>
    <s v="IS-Dispute"/>
    <s v="BEN-NonSpider"/>
    <s v="RES-Unrestricted"/>
    <s v="GS-National"/>
    <s v="REG-CONV"/>
    <s v="IT-Written"/>
    <s v="174097M1AA"/>
    <s v="CA"/>
    <n v="870737749"/>
    <n v="1417580028"/>
    <m/>
    <m/>
    <m/>
    <x v="22"/>
    <s v="Recovery_Disputes"/>
    <s v="20260701T203905.000 GMT"/>
    <n v="2443.8000000000002"/>
    <m/>
    <m/>
    <n v="50"/>
    <s v="Yes"/>
    <s v="20260730T050223.000 GMT"/>
    <d v="2026-07-30T00:00:00"/>
    <s v="Kevin Michael M Santos"/>
    <s v="Awaiting CCA Response"/>
    <m/>
    <s v="SCRIPPS HEALTH DBA SCRIPP"/>
    <m/>
    <m/>
    <m/>
    <m/>
    <m/>
    <m/>
    <m/>
    <s v="Kevin Michael M Santos"/>
    <n v="36"/>
    <m/>
    <s v="CS"/>
    <s v="Local"/>
    <n v="553678254"/>
    <m/>
    <m/>
    <m/>
    <m/>
    <m/>
    <m/>
    <m/>
    <m/>
    <m/>
    <m/>
    <m/>
    <m/>
    <m/>
    <m/>
    <m/>
    <m/>
    <m/>
    <d v="2026-08-06T00:00:00"/>
  </r>
  <r>
    <x v="1"/>
    <m/>
    <x v="16"/>
    <x v="0"/>
    <x v="173"/>
    <n v="2026175770110"/>
    <n v="40"/>
    <n v="43"/>
    <s v="31-45 DAYS"/>
    <s v="CI-77030119"/>
    <s v="AH87327"/>
    <x v="0"/>
    <n v="14"/>
    <s v="Pending-Investigation"/>
    <s v="Awaiting CCA Response"/>
    <s v="678W19718"/>
    <s v="IN"/>
    <s v="P"/>
    <s v="2026062DG2237"/>
    <n v="270195"/>
    <n v="46225.82708333333"/>
    <s v="IS-Dispute"/>
    <s v="BEN-NonSpider"/>
    <s v="RES-Unrestricted"/>
    <s v="GS-National"/>
    <s v="REG-CT"/>
    <s v="IT-Written"/>
    <s v="270195C4VR"/>
    <s v="TX"/>
    <n v="364893809"/>
    <n v="1649848672"/>
    <m/>
    <m/>
    <s v="Melody D La Pena"/>
    <x v="47"/>
    <s v="Recovery_Disputes"/>
    <s v="20260624T120102.000 GMT"/>
    <n v="1440"/>
    <m/>
    <m/>
    <n v="678"/>
    <s v="Yes"/>
    <s v="20260723T025126.000 GMT"/>
    <d v="2026-07-23T00:00:00"/>
    <s v="Cedie C Abina"/>
    <s v="Email sent to Provider Audit. Awaiting response."/>
    <m/>
    <m/>
    <m/>
    <m/>
    <m/>
    <m/>
    <m/>
    <m/>
    <m/>
    <s v="Cedie C Abina"/>
    <n v="43"/>
    <m/>
    <s v="CS"/>
    <s v="Local"/>
    <n v="553456336"/>
    <m/>
    <m/>
    <m/>
    <m/>
    <m/>
    <m/>
    <m/>
    <m/>
    <m/>
    <m/>
    <m/>
    <m/>
    <m/>
    <m/>
    <m/>
    <m/>
    <m/>
    <d v="2026-08-06T00:00:00"/>
  </r>
  <r>
    <x v="1"/>
    <m/>
    <x v="16"/>
    <x v="0"/>
    <x v="174"/>
    <s v="CL-36721298"/>
    <n v="40"/>
    <n v="31"/>
    <s v="31-45 DAYS"/>
    <s v="CI-77983654"/>
    <s v="AH89266"/>
    <x v="1"/>
    <n v="2"/>
    <s v="Pending-Investigation"/>
    <s v="Additional Research"/>
    <s v="VHA 056W03853"/>
    <s v="Standard"/>
    <s v="Provider"/>
    <s v="2026140EV2999"/>
    <s v="IN"/>
    <n v="46238.218055555553"/>
    <s v="IS-Dispute"/>
    <s v="BEN-Spider"/>
    <s v="RES-Unrestricted"/>
    <s v="GS-ACA"/>
    <s v="REG-CT"/>
    <s v="IT-ASPEN"/>
    <s v="97Y500"/>
    <s v="NV"/>
    <n v="880426586"/>
    <n v="1477631976"/>
    <n v="1477631976"/>
    <m/>
    <m/>
    <x v="4"/>
    <s v="Recovery_Disputes"/>
    <s v="20260714T233847.000 GMT"/>
    <n v="60"/>
    <m/>
    <m/>
    <s v="VHA"/>
    <s v="No"/>
    <s v="20260804T121956.000 GMT"/>
    <d v="2026-08-04T00:00:00"/>
    <s v="Ana Vanessa S Armada"/>
    <s v="Claim is in pended research, not yet 15 days."/>
    <m/>
    <s v="LEVY, GLENN R"/>
    <m/>
    <m/>
    <m/>
    <m/>
    <m/>
    <s v="CL-36721226"/>
    <m/>
    <s v="Ana Vanessa S Armada"/>
    <n v="23"/>
    <m/>
    <s v="Claim Adjustment"/>
    <s v="Local"/>
    <n v="41924815"/>
    <m/>
    <m/>
    <m/>
    <m/>
    <m/>
    <m/>
    <m/>
    <m/>
    <m/>
    <m/>
    <m/>
    <m/>
    <m/>
    <m/>
    <m/>
    <m/>
    <m/>
    <d v="2026-08-06T00:00:00"/>
  </r>
  <r>
    <x v="1"/>
    <m/>
    <x v="16"/>
    <x v="0"/>
    <x v="175"/>
    <n v="2026182630229"/>
    <n v="40"/>
    <n v="36"/>
    <s v="31-45 DAYS"/>
    <e v="#N/A"/>
    <s v="AL13290"/>
    <x v="1"/>
    <n v="0"/>
    <s v="Pending-Investigation"/>
    <s v="Additional Research"/>
    <m/>
    <s v="IN"/>
    <s v="P"/>
    <s v="2023192BS5986"/>
    <s v="OH2142"/>
    <n v="46240.254166666666"/>
    <s v="IS-Dispute"/>
    <s v="BEN-NonSpider"/>
    <s v="RES-Unrestricted"/>
    <s v="GS-National"/>
    <s v="REG-CA"/>
    <s v="IT-Written"/>
    <s v="174168MA24"/>
    <m/>
    <m/>
    <m/>
    <m/>
    <m/>
    <m/>
    <x v="48"/>
    <s v="Recovery_Disputes"/>
    <s v="20260701T163757.000 GMT"/>
    <n v="0"/>
    <m/>
    <m/>
    <m/>
    <s v="Yes"/>
    <s v="20260806T130646.000 GMT"/>
    <d v="2026-08-06T00:00:00"/>
    <s v="Rafaelito Sarion"/>
    <s v="HOLD"/>
    <m/>
    <m/>
    <m/>
    <m/>
    <m/>
    <m/>
    <m/>
    <m/>
    <m/>
    <s v="Rafaelito Sarion"/>
    <n v="36"/>
    <m/>
    <m/>
    <m/>
    <m/>
    <m/>
    <m/>
    <m/>
    <m/>
    <m/>
    <m/>
    <m/>
    <m/>
    <m/>
    <m/>
    <m/>
    <m/>
    <m/>
    <m/>
    <m/>
    <m/>
    <m/>
    <d v="2026-08-06T00:00:00"/>
  </r>
  <r>
    <x v="1"/>
    <m/>
    <x v="16"/>
    <x v="0"/>
    <x v="176"/>
    <n v="2026176100282"/>
    <n v="40"/>
    <n v="42"/>
    <s v="31-45 DAYS"/>
    <s v="CI-77113620"/>
    <s v="AM40216"/>
    <x v="0"/>
    <n v="13"/>
    <s v="Pending-Investigation"/>
    <s v="Awaiting CCA Response"/>
    <s v="285W20495"/>
    <s v="IN"/>
    <s v="P"/>
    <s v="2025329FE4985"/>
    <s v="W42742"/>
    <n v="46226.896527777775"/>
    <s v="IS-Dispute"/>
    <s v="BEN-Spider"/>
    <s v="RES-Unrestricted"/>
    <s v="GS-Local"/>
    <s v="REG-OH"/>
    <s v="IT-Written"/>
    <s v="W42742M001"/>
    <s v="OH"/>
    <n v="310588183"/>
    <n v="1013942101"/>
    <n v="1295091213"/>
    <m/>
    <m/>
    <x v="15"/>
    <s v="Recovery_Disputes"/>
    <s v="20260625T183509.000 GMT"/>
    <n v="13686"/>
    <m/>
    <m/>
    <n v="285"/>
    <s v="Yes"/>
    <s v="20260724T043209.000 GMT"/>
    <d v="2026-07-24T00:00:00"/>
    <s v="Christine P Gaviola"/>
    <s v="Awaiting PA review"/>
    <m/>
    <s v="GODINSKY, RYAN J"/>
    <m/>
    <m/>
    <m/>
    <m/>
    <m/>
    <m/>
    <m/>
    <s v="Christine P Gaviola"/>
    <n v="42"/>
    <m/>
    <m/>
    <s v="Local"/>
    <n v="277827842"/>
    <m/>
    <m/>
    <m/>
    <m/>
    <m/>
    <m/>
    <m/>
    <m/>
    <m/>
    <m/>
    <m/>
    <m/>
    <m/>
    <m/>
    <m/>
    <m/>
    <m/>
    <d v="2026-08-06T00:00:00"/>
  </r>
  <r>
    <x v="1"/>
    <m/>
    <x v="16"/>
    <x v="0"/>
    <x v="177"/>
    <s v="CL-36502711"/>
    <n v="40"/>
    <n v="38"/>
    <s v="31-45 DAYS"/>
    <s v="CI-77263536"/>
    <s v="AH22793"/>
    <x v="0"/>
    <n v="1"/>
    <s v="Pending-Investigation"/>
    <s v="Additional Research"/>
    <s v="ALR AN7704353"/>
    <s v="Standard"/>
    <s v="Provider"/>
    <s v="2025345R40434"/>
    <n v="270191"/>
    <n v="46239.645833333336"/>
    <s v="IS-Dispute"/>
    <s v="BEN-NonSpider"/>
    <s v="RES-Unrestricted"/>
    <s v="GS-National"/>
    <s v="REG-CT"/>
    <s v="IT-ASPEN"/>
    <s v="270191A1AA"/>
    <s v="CT"/>
    <n v="462741096"/>
    <n v="1669809208"/>
    <n v="1669809208"/>
    <m/>
    <m/>
    <x v="0"/>
    <s v="Recovery_Disputes"/>
    <s v="20260629T164303.000 GMT"/>
    <n v="400"/>
    <m/>
    <m/>
    <s v="ALR"/>
    <s v="No"/>
    <s v="20260805T223105.000 GMT"/>
    <d v="2026-08-05T00:00:00"/>
    <s v="Mary Elizabeth C Pedregoza"/>
    <s v="Logged in RI tracker"/>
    <m/>
    <s v="JANE  GRANT"/>
    <m/>
    <m/>
    <m/>
    <m/>
    <m/>
    <m/>
    <m/>
    <s v="Mary Elizabeth C Pedregoza"/>
    <n v="38"/>
    <m/>
    <s v="Claim Adjustment"/>
    <s v="Local"/>
    <n v="43641223"/>
    <m/>
    <m/>
    <m/>
    <m/>
    <m/>
    <m/>
    <m/>
    <m/>
    <m/>
    <m/>
    <m/>
    <m/>
    <m/>
    <m/>
    <m/>
    <m/>
    <m/>
    <d v="2026-08-06T00:00:00"/>
  </r>
  <r>
    <x v="1"/>
    <m/>
    <x v="16"/>
    <x v="0"/>
    <x v="178"/>
    <n v="2026174730332"/>
    <n v="40"/>
    <n v="44"/>
    <s v="31-45 DAYS"/>
    <s v="CI-76992273"/>
    <s v="AL39630"/>
    <x v="0"/>
    <n v="15"/>
    <s v="Pending-Investigation"/>
    <s v="Awaiting CCA Response"/>
    <s v="733W23909"/>
    <s v="IN"/>
    <s v="P"/>
    <s v="2025352DR0172"/>
    <s v="L13830"/>
    <n v="46224.816666666666"/>
    <s v="IS-Dispute"/>
    <s v="BEN-Spider"/>
    <s v="RES-Unrestricted"/>
    <s v="GS-LocalFI"/>
    <s v="REG-WI"/>
    <s v="IT-Written"/>
    <s v="L13830M001"/>
    <s v="WI"/>
    <n v="391245484"/>
    <n v="1144274390"/>
    <n v="1417472168"/>
    <m/>
    <m/>
    <x v="6"/>
    <s v="Recovery_Disputes"/>
    <s v="20260623T185301.000 GMT"/>
    <n v="12004"/>
    <m/>
    <m/>
    <n v="733"/>
    <s v="Yes"/>
    <s v="20260722T023646.000 GMT"/>
    <d v="2026-07-22T00:00:00"/>
    <s v="Angelica B Buan"/>
    <s v="Inquiry is pending for a CCA response and High Dollar review."/>
    <m/>
    <s v="SCHOOLEY, WENDY R"/>
    <m/>
    <m/>
    <m/>
    <m/>
    <m/>
    <m/>
    <m/>
    <s v="Angelica B Buan"/>
    <n v="44"/>
    <m/>
    <m/>
    <s v="Local"/>
    <n v="396787026"/>
    <m/>
    <m/>
    <m/>
    <m/>
    <m/>
    <m/>
    <m/>
    <m/>
    <m/>
    <m/>
    <m/>
    <m/>
    <m/>
    <m/>
    <m/>
    <m/>
    <m/>
    <d v="2026-08-06T00:00:00"/>
  </r>
  <r>
    <x v="1"/>
    <m/>
    <x v="16"/>
    <x v="0"/>
    <x v="179"/>
    <n v="2026182610360"/>
    <n v="40"/>
    <n v="36"/>
    <s v="31-45 DAYS"/>
    <s v="CI-77389178"/>
    <s v="AL20338"/>
    <x v="1"/>
    <n v="7"/>
    <s v="Pending-Investigation"/>
    <s v="Awaiting CCA Response"/>
    <s v="675W12876"/>
    <s v="AP"/>
    <s v="P"/>
    <s v="2024095DT7806"/>
    <s v="L03869"/>
    <n v="46232.893055555556"/>
    <s v="IS-Dispute"/>
    <s v="BEN-NonSpider"/>
    <s v="RES-Unrestricted"/>
    <s v="GS-Local"/>
    <s v="REG-CA"/>
    <s v="IT-Written"/>
    <s v="L03869M001"/>
    <s v="CA"/>
    <n v="522380476"/>
    <n v="1003965328"/>
    <m/>
    <m/>
    <m/>
    <x v="19"/>
    <s v="Recovery_Disputes"/>
    <s v="20260701T194905.000 GMT"/>
    <n v="86571.43"/>
    <m/>
    <m/>
    <n v="675"/>
    <s v="Yes"/>
    <s v="20260730T042607.000 GMT"/>
    <d v="2026-07-30T00:00:00"/>
    <s v="Virgil Joseph L Domalaoco"/>
    <s v="For Provider Audit as per concept  Z050TD0015 with Medical Records with MLH  2026182RL3686"/>
    <m/>
    <s v="PACIFIC HEIGHTS SURGERY C"/>
    <m/>
    <m/>
    <m/>
    <m/>
    <m/>
    <m/>
    <m/>
    <s v="Virgil Joseph L Domalaoco"/>
    <n v="36"/>
    <m/>
    <s v="CS"/>
    <s v="Local"/>
    <n v="736815336"/>
    <m/>
    <m/>
    <m/>
    <m/>
    <m/>
    <m/>
    <m/>
    <m/>
    <m/>
    <m/>
    <m/>
    <m/>
    <m/>
    <m/>
    <m/>
    <m/>
    <m/>
    <d v="2026-08-06T00:00:00"/>
  </r>
  <r>
    <x v="1"/>
    <m/>
    <x v="16"/>
    <x v="0"/>
    <x v="180"/>
    <n v="2026178710350"/>
    <n v="40"/>
    <n v="40"/>
    <s v="31-45 DAYS"/>
    <s v="CI-77221174"/>
    <s v="AM38611"/>
    <x v="0"/>
    <n v="1"/>
    <s v="Pending-Investigation"/>
    <s v="Additional Research"/>
    <s v="811M60375"/>
    <s v="IN"/>
    <s v="P"/>
    <s v="2024110EA5656"/>
    <s v="L04329"/>
    <n v="46239.634722222225"/>
    <s v="IS-Dispute"/>
    <s v="BEN-Spider"/>
    <s v="RES-Unrestricted"/>
    <s v="GS-Local"/>
    <s v="REG-MO"/>
    <s v="IT-Written"/>
    <s v="L04329M001"/>
    <s v="MO"/>
    <n v="431343281"/>
    <n v="1598835308"/>
    <m/>
    <m/>
    <m/>
    <x v="16"/>
    <s v="Recovery_Disputes"/>
    <s v="20260628T005004.000 GMT"/>
    <n v="74585.02"/>
    <m/>
    <m/>
    <n v="811"/>
    <s v="Yes"/>
    <s v="20260805T221448.000 GMT"/>
    <d v="2026-08-05T00:00:00"/>
    <s v="Jolo M Lapitan"/>
    <s v="As per PA review revenue code 278 documentation received on appeal supports Implants billed. FDOC# 7175650702."/>
    <m/>
    <s v="SSM HEALTH CARE ST. LOUIS"/>
    <m/>
    <m/>
    <m/>
    <m/>
    <m/>
    <m/>
    <m/>
    <s v="Jolo M Lapitan"/>
    <n v="40"/>
    <m/>
    <m/>
    <s v="Local"/>
    <n v="283560043"/>
    <m/>
    <m/>
    <m/>
    <m/>
    <m/>
    <m/>
    <m/>
    <m/>
    <m/>
    <m/>
    <m/>
    <m/>
    <m/>
    <m/>
    <m/>
    <m/>
    <m/>
    <d v="2026-08-06T00:00:00"/>
  </r>
  <r>
    <x v="1"/>
    <m/>
    <x v="16"/>
    <x v="0"/>
    <x v="181"/>
    <n v="2026182250132"/>
    <n v="40"/>
    <n v="36"/>
    <s v="31-45 DAYS"/>
    <s v="CI-77367968"/>
    <s v="AL20316"/>
    <x v="0"/>
    <n v="3"/>
    <s v="Pending-Investigation"/>
    <s v="Awaiting CCA Response"/>
    <s v="023M58450"/>
    <s v="IN"/>
    <s v="P"/>
    <s v="2025254DD2500"/>
    <n v="5050"/>
    <n v="46236.831944444442"/>
    <s v="IS-Dispute"/>
    <s v="BEN-Spider"/>
    <s v="RES-Unrestricted"/>
    <s v="GS-Local"/>
    <s v="REG-VA"/>
    <s v="IT-Written"/>
    <s v="005050M006"/>
    <s v="VA"/>
    <n v="521976286"/>
    <n v="1477583599"/>
    <n v="1477552552"/>
    <m/>
    <s v="Melody D La Pena"/>
    <x v="45"/>
    <s v="Recovery_Disputes"/>
    <s v="20260701T141028.000 GMT"/>
    <n v="21275"/>
    <m/>
    <m/>
    <n v="23"/>
    <s v="Yes"/>
    <s v="20260803T025902.000 GMT"/>
    <d v="2026-08-03T00:00:00"/>
    <s v="Edwin Romeo V Sabarre"/>
    <s v="Sent email to PA for medical records review."/>
    <m/>
    <s v="VINCENT, DAVID A"/>
    <m/>
    <m/>
    <m/>
    <m/>
    <m/>
    <m/>
    <m/>
    <s v="Edwin Romeo V Sabarre"/>
    <n v="36"/>
    <m/>
    <m/>
    <s v="Local"/>
    <n v="228294723"/>
    <m/>
    <m/>
    <m/>
    <m/>
    <m/>
    <m/>
    <m/>
    <m/>
    <m/>
    <m/>
    <m/>
    <m/>
    <m/>
    <m/>
    <m/>
    <m/>
    <m/>
    <d v="2026-08-06T00:00:00"/>
  </r>
  <r>
    <x v="1"/>
    <m/>
    <x v="16"/>
    <x v="0"/>
    <x v="182"/>
    <n v="2026214480247"/>
    <n v="40"/>
    <n v="41"/>
    <s v="31-45 DAYS"/>
    <s v="CI-78890101"/>
    <s v="AL86932"/>
    <x v="4"/>
    <n v="2"/>
    <s v="Pending-Investigation"/>
    <s v="Additional Research"/>
    <s v="5570441AB"/>
    <s v="AP"/>
    <s v="P"/>
    <s v="25288GD2298"/>
    <s v="L03729"/>
    <n v="46236.841666666667"/>
    <s v="IS-Dispute"/>
    <s v="BEN-NonSpider"/>
    <s v="RES-Unrestricted"/>
    <s v="GS-Local"/>
    <s v="REG-CA"/>
    <s v="IT-Written"/>
    <s v="L03729M001"/>
    <m/>
    <m/>
    <m/>
    <m/>
    <m/>
    <m/>
    <x v="51"/>
    <s v="Recovery_Disputes"/>
    <s v="20260803T020920.000 GMT"/>
    <n v="0"/>
    <m/>
    <m/>
    <n v="557"/>
    <s v="Yes"/>
    <s v="20260804T065512.000 GMT"/>
    <d v="2026-08-04T00:00:00"/>
    <s v="KRISTIANNA MARIE C LOPEZ"/>
    <s v="JAA"/>
    <m/>
    <m/>
    <m/>
    <m/>
    <m/>
    <m/>
    <m/>
    <m/>
    <m/>
    <s v="KRISTIANNA MARIE C LOPEZ"/>
    <n v="4"/>
    <s v="AmeriBen"/>
    <s v="CS"/>
    <m/>
    <n v="571576025"/>
    <m/>
    <m/>
    <m/>
    <m/>
    <m/>
    <m/>
    <m/>
    <m/>
    <m/>
    <m/>
    <m/>
    <m/>
    <m/>
    <m/>
    <m/>
    <m/>
    <m/>
    <d v="2026-08-06T00:00:00"/>
  </r>
  <r>
    <x v="1"/>
    <m/>
    <x v="16"/>
    <x v="0"/>
    <x v="183"/>
    <n v="2026177840138"/>
    <n v="40"/>
    <n v="41"/>
    <s v="31-45 DAYS"/>
    <s v="CI-77154739"/>
    <s v="AG89688"/>
    <x v="4"/>
    <n v="1"/>
    <s v="Pending-Investigation"/>
    <s v="Awaiting CCA Response"/>
    <s v="540A65743"/>
    <s v="IN"/>
    <s v="P"/>
    <s v="2025253DQ1411"/>
    <n v="270233"/>
    <n v="46230.700694444444"/>
    <s v="IS-Dispute"/>
    <s v="BEN-NonSpider"/>
    <s v="RES-Unrestricted"/>
    <s v="GS-National"/>
    <s v="REG-IN"/>
    <s v="IT-Written"/>
    <s v="270233L1AA"/>
    <s v="MO"/>
    <n v="272481555"/>
    <n v="1043530538"/>
    <n v="1770799314"/>
    <m/>
    <s v="Melody D La Pena"/>
    <x v="52"/>
    <s v="Recovery_Disputes"/>
    <s v="20260626T135028.000 GMT"/>
    <n v="3667"/>
    <m/>
    <m/>
    <n v="540"/>
    <s v="Yes"/>
    <s v="20260805T231553.000 GMT"/>
    <d v="2026-08-05T00:00:00"/>
    <s v="Ruby Rose T Samson"/>
    <s v="Still waiting for response."/>
    <m/>
    <s v="RHEE, JASON Y"/>
    <m/>
    <m/>
    <m/>
    <m/>
    <m/>
    <m/>
    <m/>
    <s v="Ruby Rose T Samson"/>
    <n v="41"/>
    <m/>
    <m/>
    <s v="Local"/>
    <n v="447649320"/>
    <m/>
    <m/>
    <m/>
    <m/>
    <m/>
    <m/>
    <m/>
    <m/>
    <m/>
    <m/>
    <m/>
    <m/>
    <m/>
    <m/>
    <m/>
    <m/>
    <m/>
    <d v="2026-08-06T00:00:00"/>
  </r>
  <r>
    <x v="1"/>
    <m/>
    <x v="16"/>
    <x v="0"/>
    <x v="184"/>
    <n v="2026188420073"/>
    <n v="40"/>
    <n v="31"/>
    <s v="31-45 DAYS"/>
    <s v="CI-77600784"/>
    <s v="AG93888"/>
    <x v="0"/>
    <n v="3"/>
    <s v="Pending-Investigation"/>
    <s v="Awaiting CCA Response"/>
    <s v="AN8807862"/>
    <s v="IN"/>
    <s v="P"/>
    <s v="2025072CX3307"/>
    <s v="W33023"/>
    <n v="46237.663888888892"/>
    <s v="IS-Dispute"/>
    <s v="BEN-NonSpider"/>
    <s v="RES-Unrestricted"/>
    <s v="GS-Local"/>
    <s v="REG-KY"/>
    <s v="IT-Written"/>
    <s v="W33023M033"/>
    <s v="KY"/>
    <n v="610703799"/>
    <n v="1982609442"/>
    <m/>
    <m/>
    <m/>
    <x v="14"/>
    <s v="Recovery_Disputes"/>
    <s v="20260707T104126.000 GMT"/>
    <n v="16731"/>
    <m/>
    <m/>
    <s v="AN8"/>
    <s v="Yes"/>
    <s v="20260803T225658.000 GMT"/>
    <d v="2026-08-03T00:00:00"/>
    <s v="Hilyn C Camilan"/>
    <s v="sent to PA review"/>
    <m/>
    <s v="NORTON CHILDRENS HOSPITAL"/>
    <m/>
    <m/>
    <m/>
    <m/>
    <m/>
    <m/>
    <m/>
    <s v="Hilyn C Camilan"/>
    <n v="30"/>
    <m/>
    <m/>
    <s v="Local"/>
    <n v="307965595"/>
    <m/>
    <m/>
    <m/>
    <m/>
    <m/>
    <m/>
    <m/>
    <m/>
    <m/>
    <m/>
    <m/>
    <m/>
    <m/>
    <m/>
    <m/>
    <m/>
    <m/>
    <d v="2026-08-06T00:00:00"/>
  </r>
  <r>
    <x v="1"/>
    <m/>
    <x v="16"/>
    <x v="0"/>
    <x v="185"/>
    <n v="2026174120312"/>
    <n v="40"/>
    <n v="44"/>
    <s v="31-45 DAYS"/>
    <s v="CI-76991273"/>
    <s v="AL87020"/>
    <x v="1"/>
    <n v="15"/>
    <s v="Pending-Investigation"/>
    <s v="Awaiting CCA Response"/>
    <s v="627A67886"/>
    <s v="AP"/>
    <s v="P"/>
    <s v="2023243CU0097"/>
    <n v="174232"/>
    <n v="46224.813194444447"/>
    <s v="IS-Dispute"/>
    <s v="BEN-NonSpider"/>
    <s v="RES-Unrestricted"/>
    <s v="GS-National"/>
    <s v="REG-CA"/>
    <s v="IT-Written"/>
    <s v="174232M3A1"/>
    <s v="CA"/>
    <n v="951643359"/>
    <n v="1912982216"/>
    <m/>
    <m/>
    <m/>
    <x v="10"/>
    <s v="Recovery_Disputes"/>
    <s v="20260623T184054.000 GMT"/>
    <n v="113221.42"/>
    <m/>
    <m/>
    <n v="627"/>
    <s v="Yes"/>
    <s v="20260722T023148.000 GMT"/>
    <d v="2026-07-22T00:00:00"/>
    <s v="Ronald Sydney D Alina"/>
    <s v="Sent to PA"/>
    <m/>
    <s v="PROVIDENCE ST JOSEPH HOSP"/>
    <m/>
    <m/>
    <m/>
    <m/>
    <m/>
    <m/>
    <m/>
    <s v="Ronald Sydney D Alina"/>
    <n v="44"/>
    <m/>
    <s v="CS"/>
    <s v="Local"/>
    <n v="549856191"/>
    <m/>
    <m/>
    <m/>
    <m/>
    <m/>
    <m/>
    <m/>
    <m/>
    <m/>
    <m/>
    <m/>
    <m/>
    <m/>
    <m/>
    <m/>
    <m/>
    <m/>
    <d v="2026-08-06T00:00:00"/>
  </r>
  <r>
    <x v="1"/>
    <m/>
    <x v="16"/>
    <x v="0"/>
    <x v="186"/>
    <n v="2026178380207"/>
    <n v="40"/>
    <n v="40"/>
    <s v="31-45 DAYS"/>
    <s v="CI-77211036"/>
    <s v="AL20349"/>
    <x v="0"/>
    <n v="9"/>
    <s v="Pending-Investigation"/>
    <s v="Awaiting CCA Response"/>
    <s v="273M91837"/>
    <s v="IN"/>
    <s v="P"/>
    <s v="2025272R71563"/>
    <n v="721330"/>
    <n v="46230.906944444447"/>
    <s v="IS-Dispute"/>
    <s v="BEN-Spider"/>
    <s v="RES-Unrestricted"/>
    <s v="GS-Local"/>
    <s v="REG-NY"/>
    <s v="IT-Written"/>
    <s v="721330002M"/>
    <s v="NY"/>
    <n v="260768706"/>
    <n v="1134315922"/>
    <n v="1134315922"/>
    <m/>
    <s v="Melody D La Pena"/>
    <x v="44"/>
    <s v="Recovery_Disputes"/>
    <s v="20260627T193055.000 GMT"/>
    <n v="350"/>
    <m/>
    <m/>
    <n v="273"/>
    <s v="Yes"/>
    <s v="20260728T044708.000 GMT"/>
    <d v="2026-07-28T00:00:00"/>
    <s v="Gerommel Marcelino"/>
    <s v="Sent email to provider audit."/>
    <m/>
    <s v="YASHA  YANG"/>
    <m/>
    <m/>
    <m/>
    <m/>
    <m/>
    <m/>
    <m/>
    <s v="Gerommel Marcelino"/>
    <n v="40"/>
    <m/>
    <m/>
    <s v="Local"/>
    <n v="92624272"/>
    <m/>
    <m/>
    <m/>
    <m/>
    <m/>
    <m/>
    <m/>
    <m/>
    <m/>
    <m/>
    <m/>
    <m/>
    <m/>
    <m/>
    <m/>
    <m/>
    <m/>
    <d v="2026-08-06T00:00:00"/>
  </r>
  <r>
    <x v="1"/>
    <m/>
    <x v="16"/>
    <x v="0"/>
    <x v="187"/>
    <n v="2026188880020"/>
    <n v="40"/>
    <n v="31"/>
    <s v="31-45 DAYS"/>
    <s v="CI-77595560"/>
    <s v="AL20316"/>
    <x v="0"/>
    <n v="2"/>
    <s v="Pending-Investigation"/>
    <s v="Awaiting CCA Response"/>
    <s v="819A72732"/>
    <s v="IN"/>
    <s v="P"/>
    <s v="2025247CF4746"/>
    <s v="GA6470"/>
    <n v="46237.78402777778"/>
    <s v="IS-Dispute"/>
    <s v="BEN-NonSpider"/>
    <s v="RES-Unrestricted"/>
    <s v="GS-Local"/>
    <s v="REG-GA"/>
    <s v="IT-Written"/>
    <s v="GA6470M027"/>
    <s v="GA"/>
    <n v="472863935"/>
    <n v="1114317062"/>
    <n v="1912340613"/>
    <m/>
    <s v="Melody D La Pena"/>
    <x v="45"/>
    <s v="Recovery_Disputes"/>
    <s v="20260707T083106.000 GMT"/>
    <n v="19182.009999999998"/>
    <m/>
    <m/>
    <n v="819"/>
    <s v="Yes"/>
    <s v="20260804T014916.000 GMT"/>
    <d v="2026-08-04T00:00:00"/>
    <s v="Edwin Romeo V Sabarre"/>
    <s v="Sent email to PA for medical records review."/>
    <m/>
    <s v="ANUJ  PATEL"/>
    <m/>
    <m/>
    <m/>
    <m/>
    <m/>
    <m/>
    <m/>
    <s v="Edwin Romeo V Sabarre"/>
    <n v="30"/>
    <m/>
    <m/>
    <s v="Local"/>
    <n v="22608677"/>
    <m/>
    <m/>
    <m/>
    <m/>
    <m/>
    <m/>
    <m/>
    <m/>
    <m/>
    <m/>
    <m/>
    <m/>
    <m/>
    <m/>
    <m/>
    <m/>
    <m/>
    <d v="2026-08-06T00:00:00"/>
  </r>
  <r>
    <x v="1"/>
    <m/>
    <x v="16"/>
    <x v="0"/>
    <x v="188"/>
    <n v="2026182120384"/>
    <n v="40"/>
    <n v="36"/>
    <s v="31-45 DAYS"/>
    <s v="CI-77467462"/>
    <s v="AL13293"/>
    <x v="1"/>
    <n v="1"/>
    <s v="Pending-Investigation"/>
    <s v="Additional Research"/>
    <s v="713A75353"/>
    <s v="AP"/>
    <s v="P"/>
    <s v="2025337BD3728"/>
    <n v="174311"/>
    <n v="46238.951388888891"/>
    <s v="IS-Dispute"/>
    <s v="BEN-NonSpider"/>
    <s v="RES-Unrestricted"/>
    <s v="GS-National"/>
    <s v="REG-CA"/>
    <s v="IT-Written"/>
    <s v="174311M2AA"/>
    <s v="CA"/>
    <n v="870737749"/>
    <n v="1417580028"/>
    <m/>
    <m/>
    <m/>
    <x v="39"/>
    <s v="Recovery_Disputes"/>
    <s v="20260703T045625.000 GMT"/>
    <n v="34908.26"/>
    <m/>
    <m/>
    <n v="713"/>
    <s v="Yes"/>
    <s v="20260805T055109.000 GMT"/>
    <d v="2026-08-05T00:00:00"/>
    <s v="Jayson M Castro"/>
    <s v="waiting for e2e approval"/>
    <m/>
    <s v="SCRIPPS HEALTH DBA SCRIPP"/>
    <m/>
    <m/>
    <m/>
    <m/>
    <m/>
    <m/>
    <m/>
    <s v="Jayson M Castro"/>
    <n v="35"/>
    <m/>
    <s v="CS"/>
    <s v="Local"/>
    <n v="613204208"/>
    <m/>
    <m/>
    <m/>
    <m/>
    <m/>
    <m/>
    <m/>
    <m/>
    <m/>
    <m/>
    <m/>
    <m/>
    <m/>
    <m/>
    <m/>
    <m/>
    <m/>
    <d v="2026-08-06T00:00:00"/>
  </r>
  <r>
    <x v="1"/>
    <m/>
    <x v="16"/>
    <x v="0"/>
    <x v="189"/>
    <m/>
    <n v="40"/>
    <n v="37"/>
    <s v="31-45 DAYS"/>
    <s v="CI-77315491"/>
    <n v="0"/>
    <x v="4"/>
    <n v="8"/>
    <s v="Pending-Investigation"/>
    <s v="Finance Review"/>
    <s v="351M92429"/>
    <s v="Standard"/>
    <s v="Internal Request"/>
    <s v="2026022EK1289"/>
    <s v="IN"/>
    <m/>
    <s v="IS-Dispute"/>
    <s v="BEN-SpiderHMO"/>
    <s v="RES-Unrestricted"/>
    <s v="GS-ACA"/>
    <s v="REG-CONV"/>
    <s v="IT-Internal"/>
    <s v="92VX00"/>
    <s v="CO"/>
    <n v="846008116"/>
    <n v="1932109048"/>
    <m/>
    <m/>
    <s v="Melody D La Pena"/>
    <x v="53"/>
    <s v="Recovery_Disputes"/>
    <s v="20260630T150810.000 GMT"/>
    <n v="54166.69"/>
    <m/>
    <m/>
    <n v="351"/>
    <s v="No"/>
    <s v="20260729T014731.000 GMT"/>
    <d v="2026-07-29T00:00:00"/>
    <s v="Melody D La Pena"/>
    <s v="transfer assignment"/>
    <m/>
    <s v="GUNNISON VALLEY HOSPITAL"/>
    <m/>
    <m/>
    <m/>
    <m/>
    <m/>
    <m/>
    <m/>
    <s v="Camille Pasco"/>
    <n v="37"/>
    <m/>
    <m/>
    <s v="Local"/>
    <n v="473825393"/>
    <m/>
    <m/>
    <m/>
    <m/>
    <m/>
    <m/>
    <m/>
    <m/>
    <m/>
    <m/>
    <m/>
    <m/>
    <m/>
    <m/>
    <m/>
    <m/>
    <m/>
    <d v="2026-08-06T00:00:00"/>
  </r>
  <r>
    <x v="1"/>
    <m/>
    <x v="16"/>
    <x v="0"/>
    <x v="190"/>
    <n v="2026186850008"/>
    <n v="40"/>
    <n v="32"/>
    <s v="31-45 DAYS"/>
    <s v="CI-77531227"/>
    <s v="AL66317"/>
    <x v="0"/>
    <n v="1"/>
    <s v="Pending-Investigation"/>
    <s v="Awaiting CCA Response"/>
    <s v="970M64159"/>
    <s v="IN"/>
    <s v="P"/>
    <s v="2025352EL1241"/>
    <s v="SM4283"/>
    <n v="46238.768055555556"/>
    <s v="IS-Dispute"/>
    <s v="BEN-Spider"/>
    <s v="RES-Unrestricted"/>
    <s v="GS-LocalFI"/>
    <s v="REG-MO"/>
    <s v="IT-Internal"/>
    <s v="SM4283M001"/>
    <s v="MO"/>
    <n v="431343281"/>
    <n v="1467521146"/>
    <m/>
    <m/>
    <m/>
    <x v="38"/>
    <s v="Recovery_Disputes"/>
    <s v="20260705T084433.000 GMT"/>
    <n v="95839.84"/>
    <m/>
    <m/>
    <n v="970"/>
    <s v="No"/>
    <s v="20260805T012651.000 GMT"/>
    <d v="2026-08-05T00:00:00"/>
    <s v="Maria Fe A Gacgacao"/>
    <s v="Sent email to PA for medical records review. FDOC#: 7173759275"/>
    <m/>
    <s v="SSM HEALTH CARE ST LOUIS"/>
    <m/>
    <m/>
    <m/>
    <m/>
    <m/>
    <m/>
    <m/>
    <s v="Maria Fe A Gacgacao"/>
    <n v="32"/>
    <m/>
    <s v="CS"/>
    <s v="Local"/>
    <n v="493781720"/>
    <m/>
    <m/>
    <m/>
    <m/>
    <m/>
    <m/>
    <m/>
    <m/>
    <m/>
    <m/>
    <m/>
    <m/>
    <m/>
    <m/>
    <m/>
    <m/>
    <m/>
    <d v="2026-08-06T00:00:00"/>
  </r>
  <r>
    <x v="1"/>
    <m/>
    <x v="16"/>
    <x v="0"/>
    <x v="191"/>
    <n v="2026174250473"/>
    <n v="40"/>
    <n v="44"/>
    <s v="31-45 DAYS"/>
    <s v="CI-77008581"/>
    <s v="AL39630"/>
    <x v="0"/>
    <n v="15"/>
    <s v="Pending-Investigation"/>
    <s v="Awaiting CCA Response"/>
    <s v="407W15005"/>
    <s v="IN"/>
    <s v="P"/>
    <s v="2025304BL4133"/>
    <s v="IN"/>
    <n v="46224.946527777778"/>
    <s v="IS-Dispute"/>
    <s v="BEN-Spider"/>
    <s v="RES-Unrestricted"/>
    <s v="GS-ACA"/>
    <s v="REG-WI"/>
    <s v="IT-Written"/>
    <s v="81VQ00"/>
    <s v="WI"/>
    <n v="390806261"/>
    <n v="1699720086"/>
    <n v="1073403465"/>
    <m/>
    <m/>
    <x v="6"/>
    <s v="Recovery_Disputes"/>
    <s v="20260623T232744.000 GMT"/>
    <n v="31913"/>
    <m/>
    <m/>
    <n v="407"/>
    <s v="Yes"/>
    <s v="20260722T054406.000 GMT"/>
    <d v="2026-07-22T00:00:00"/>
    <s v="Angelica B Buan"/>
    <s v="Inquiry is pending for a CCA response and High Dollar review."/>
    <m/>
    <s v="ADRIAN J BATTISTON, ADRIAN J"/>
    <m/>
    <m/>
    <m/>
    <m/>
    <m/>
    <m/>
    <m/>
    <s v="Angelica B Buan"/>
    <n v="44"/>
    <m/>
    <m/>
    <s v="Local"/>
    <n v="388901005"/>
    <m/>
    <m/>
    <m/>
    <m/>
    <m/>
    <m/>
    <m/>
    <m/>
    <m/>
    <m/>
    <m/>
    <m/>
    <m/>
    <m/>
    <m/>
    <m/>
    <m/>
    <d v="2026-08-06T00:00:00"/>
  </r>
  <r>
    <x v="1"/>
    <m/>
    <x v="16"/>
    <x v="0"/>
    <x v="192"/>
    <n v="2026182880491"/>
    <n v="40"/>
    <n v="36"/>
    <s v="31-45 DAYS"/>
    <s v="CI-77400602"/>
    <s v="AI02198"/>
    <x v="1"/>
    <n v="7"/>
    <s v="Pending-Investigation"/>
    <s v="Awaiting CCA Response"/>
    <s v="281W15976"/>
    <s v="IN"/>
    <s v="P"/>
    <s v="2025281EJ3960"/>
    <n v="174161"/>
    <n v="46233.038194444445"/>
    <s v="IS-Dispute"/>
    <s v="BEN-NonSpider"/>
    <s v="RES-Unrestricted"/>
    <s v="GS-National"/>
    <s v="REG-CA"/>
    <s v="IT-Written"/>
    <s v="174161M131"/>
    <s v="CA"/>
    <n v="951684082"/>
    <n v="1124026273"/>
    <m/>
    <m/>
    <m/>
    <x v="2"/>
    <s v="Recovery_Disputes"/>
    <s v="20260701T233947.000 GMT"/>
    <n v="13199.69"/>
    <m/>
    <m/>
    <n v="281"/>
    <s v="Yes"/>
    <s v="20260730T075524.000 GMT"/>
    <d v="2026-07-30T00:00:00"/>
    <s v="Ralfh Roger Bobiles"/>
    <s v="Sent to PA"/>
    <m/>
    <s v="PROVIDENCE SAINT JOHN'S H"/>
    <m/>
    <m/>
    <m/>
    <m/>
    <m/>
    <m/>
    <m/>
    <s v="Ralfh Roger Bobiles"/>
    <n v="36"/>
    <m/>
    <m/>
    <s v="Local"/>
    <n v="620582565"/>
    <m/>
    <m/>
    <m/>
    <m/>
    <m/>
    <m/>
    <m/>
    <m/>
    <m/>
    <m/>
    <m/>
    <m/>
    <m/>
    <m/>
    <m/>
    <m/>
    <m/>
    <d v="2026-08-06T00:00:00"/>
  </r>
  <r>
    <x v="1"/>
    <m/>
    <x v="16"/>
    <x v="0"/>
    <x v="193"/>
    <n v="2026188530191"/>
    <n v="40"/>
    <n v="31"/>
    <s v="31-45 DAYS"/>
    <s v="CI-77617711"/>
    <s v="AL20316"/>
    <x v="0"/>
    <n v="2"/>
    <s v="Pending-Investigation"/>
    <s v="Awaiting CCA Response"/>
    <s v="185A54719"/>
    <s v="IN"/>
    <s v="P"/>
    <s v="2025274CT3364"/>
    <s v="IN"/>
    <n v="46237.824999999997"/>
    <s v="IS-Dispute"/>
    <s v="BEN-Spider"/>
    <s v="RES-Unrestricted"/>
    <s v="GS-ACA"/>
    <s v="REG-CT"/>
    <s v="IT-Written"/>
    <n v="817500"/>
    <s v="CT"/>
    <n v="60646973"/>
    <n v="1205822236"/>
    <n v="1538391883"/>
    <m/>
    <s v="Melody D La Pena"/>
    <x v="45"/>
    <s v="Recovery_Disputes"/>
    <s v="20260707T155106.000 GMT"/>
    <n v="14645"/>
    <m/>
    <m/>
    <n v="185"/>
    <s v="Yes"/>
    <s v="20260804T024839.000 GMT"/>
    <d v="2026-08-04T00:00:00"/>
    <s v="Edwin Romeo V Sabarre"/>
    <s v="Sent email to PA for medical records review."/>
    <m/>
    <s v="JUSTIN D BLASBERG, JUSTIN D"/>
    <m/>
    <m/>
    <m/>
    <m/>
    <m/>
    <m/>
    <m/>
    <s v="Edwin Romeo V Sabarre"/>
    <n v="30"/>
    <m/>
    <m/>
    <s v="Local"/>
    <n v="551553586"/>
    <m/>
    <m/>
    <m/>
    <m/>
    <m/>
    <m/>
    <m/>
    <m/>
    <m/>
    <m/>
    <m/>
    <m/>
    <m/>
    <m/>
    <m/>
    <m/>
    <m/>
    <d v="2026-08-06T00:00:00"/>
  </r>
  <r>
    <x v="1"/>
    <m/>
    <x v="16"/>
    <x v="0"/>
    <x v="194"/>
    <n v="2026181010073"/>
    <n v="40"/>
    <n v="37"/>
    <s v="31-45 DAYS"/>
    <s v="CI-77300285"/>
    <s v="AH17430"/>
    <x v="0"/>
    <n v="8"/>
    <s v="Pending-Investigation"/>
    <s v="Awaiting CCA Response"/>
    <s v="040M91836"/>
    <s v="IN"/>
    <s v="P"/>
    <s v="2025272R71888"/>
    <n v="721330"/>
    <n v="46231.746527777781"/>
    <s v="IS-Dispute"/>
    <s v="BEN-Spider"/>
    <s v="RES-Unrestricted"/>
    <s v="GS-Local"/>
    <s v="REG-NY"/>
    <s v="IT-Written"/>
    <s v="721330002M"/>
    <s v="NY"/>
    <n v="260768706"/>
    <n v="1134315922"/>
    <n v="1134315922"/>
    <m/>
    <m/>
    <x v="17"/>
    <s v="Recovery_Disputes"/>
    <s v="20260630T101232.000 GMT"/>
    <n v="350"/>
    <m/>
    <m/>
    <n v="40"/>
    <s v="Yes"/>
    <s v="20260729T005539.000 GMT"/>
    <d v="2026-07-29T00:00:00"/>
    <s v="Nesty Hope A Lagarto"/>
    <s v="Sent to PA for review"/>
    <m/>
    <s v="YASHA  YANG"/>
    <m/>
    <m/>
    <m/>
    <m/>
    <m/>
    <m/>
    <m/>
    <s v="Nesty Hope A Lagarto"/>
    <n v="37"/>
    <m/>
    <m/>
    <s v="Local"/>
    <n v="78628148"/>
    <m/>
    <m/>
    <m/>
    <m/>
    <m/>
    <m/>
    <m/>
    <m/>
    <m/>
    <m/>
    <m/>
    <m/>
    <m/>
    <m/>
    <m/>
    <m/>
    <m/>
    <d v="2026-08-06T00:00:00"/>
  </r>
  <r>
    <x v="1"/>
    <m/>
    <x v="16"/>
    <x v="0"/>
    <x v="195"/>
    <m/>
    <n v="40"/>
    <n v="35"/>
    <s v="31-45 DAYS"/>
    <s v="CI-77427950"/>
    <s v="AG52464"/>
    <x v="2"/>
    <n v="6"/>
    <s v="Pending-Investigation"/>
    <s v="Awaiting CCA Response"/>
    <s v="AN7825724"/>
    <s v="IN"/>
    <s v="Provider"/>
    <s v="2025305BA2415"/>
    <n v="270138"/>
    <n v="46233.93472222222"/>
    <s v="IS-Dispute"/>
    <s v="BEN-NonSpider"/>
    <s v="RES-Unrestricted"/>
    <s v="GS-National"/>
    <s v="REG-OH"/>
    <s v="IT-Written"/>
    <s v="2701386BBA"/>
    <s v="MO"/>
    <n v="436003859"/>
    <n v="1699769901"/>
    <m/>
    <m/>
    <s v="Melody D La Pena"/>
    <x v="46"/>
    <s v="Recovery_Disputes"/>
    <s v="20260702T135024.000 GMT"/>
    <n v="138431.9"/>
    <m/>
    <m/>
    <s v="AN7"/>
    <s v="No"/>
    <s v="20260731T052623.000 GMT"/>
    <d v="2026-07-31T00:00:00"/>
    <s v="Joan Marie C Dalida"/>
    <s v="Sent to Provider Audit for review."/>
    <m/>
    <s v="CURATORS OF THE UNIVERSIT"/>
    <m/>
    <m/>
    <m/>
    <m/>
    <m/>
    <m/>
    <m/>
    <s v="Joan Marie C Dalida"/>
    <n v="35"/>
    <m/>
    <s v="CS"/>
    <s v="Local"/>
    <n v="494742559"/>
    <m/>
    <m/>
    <m/>
    <m/>
    <m/>
    <m/>
    <m/>
    <m/>
    <m/>
    <m/>
    <m/>
    <m/>
    <m/>
    <m/>
    <m/>
    <m/>
    <m/>
    <d v="2026-08-06T00:00:00"/>
  </r>
  <r>
    <x v="1"/>
    <m/>
    <x v="16"/>
    <x v="0"/>
    <x v="196"/>
    <n v="2026182360247"/>
    <n v="40"/>
    <n v="36"/>
    <s v="31-45 DAYS"/>
    <s v="CI-77377534"/>
    <s v="AH60028"/>
    <x v="2"/>
    <n v="7"/>
    <s v="Pending-Investigation"/>
    <s v="Awaiting CCA Response"/>
    <s v="AN7594384"/>
    <s v="IN"/>
    <s v="P"/>
    <s v="2025059DN2686"/>
    <s v="W51018"/>
    <n v="46232.802777777775"/>
    <s v="IS-Dispute"/>
    <s v="BEN-NonSpider"/>
    <s v="RES-Unrestricted"/>
    <s v="GS-Local"/>
    <s v="REG-OH"/>
    <s v="IT-Written"/>
    <s v="W51018M011"/>
    <s v="OH"/>
    <n v="341032526"/>
    <n v="1649236142"/>
    <n v="1689662843"/>
    <m/>
    <m/>
    <x v="7"/>
    <s v="Recovery_Disputes"/>
    <s v="20260701T170242.000 GMT"/>
    <n v="472.2"/>
    <m/>
    <m/>
    <s v="AN7"/>
    <s v="Yes"/>
    <s v="20260730T021627.000 GMT"/>
    <d v="2026-07-30T00:00:00"/>
    <s v="Mark Ian D Ninas"/>
    <s v="Email sent for PA review"/>
    <m/>
    <s v="SETH, AJAY K"/>
    <m/>
    <m/>
    <m/>
    <m/>
    <m/>
    <m/>
    <m/>
    <s v="Mark Ian D Ninas"/>
    <n v="36"/>
    <m/>
    <s v="CS"/>
    <s v="Local"/>
    <n v="291765891"/>
    <m/>
    <m/>
    <m/>
    <m/>
    <m/>
    <m/>
    <m/>
    <m/>
    <m/>
    <m/>
    <m/>
    <m/>
    <m/>
    <m/>
    <m/>
    <m/>
    <m/>
    <d v="2026-08-06T00:00:00"/>
  </r>
  <r>
    <x v="1"/>
    <m/>
    <x v="16"/>
    <x v="0"/>
    <x v="197"/>
    <n v="2026177760080"/>
    <n v="40"/>
    <n v="42"/>
    <s v="31-45 DAYS"/>
    <s v="CI-77144004"/>
    <s v="AL02716"/>
    <x v="0"/>
    <n v="10"/>
    <s v="Pending-Investigation"/>
    <s v="Awaiting CCA Response"/>
    <s v="680M92112"/>
    <s v="IN"/>
    <s v="P"/>
    <s v="2025042EI1321"/>
    <s v="L12174"/>
    <n v="46230.029166666667"/>
    <s v="IS-Dispute"/>
    <s v="BEN-Spider"/>
    <s v="RES-Unrestricted"/>
    <s v="GS-Local"/>
    <s v="REG-NY"/>
    <s v="IT-Written"/>
    <s v="L1217445AM"/>
    <s v="NY"/>
    <n v="141338428"/>
    <n v="1487644993"/>
    <m/>
    <m/>
    <m/>
    <x v="35"/>
    <s v="Recovery_Disputes"/>
    <s v="20260626T094846.000 GMT"/>
    <n v="38134.230000000003"/>
    <m/>
    <m/>
    <n v="680"/>
    <s v="Yes"/>
    <s v="20260727T074245.000 GMT"/>
    <d v="2026-07-27T00:00:00"/>
    <s v="Christine F Andayran"/>
    <s v="Waiting for PA response."/>
    <m/>
    <s v="ELLIS MEDICINE"/>
    <m/>
    <m/>
    <m/>
    <m/>
    <m/>
    <m/>
    <m/>
    <s v="Christine F Andayran"/>
    <n v="41"/>
    <m/>
    <m/>
    <s v="Local"/>
    <n v="134622470"/>
    <m/>
    <m/>
    <m/>
    <m/>
    <m/>
    <m/>
    <m/>
    <m/>
    <m/>
    <m/>
    <m/>
    <m/>
    <m/>
    <m/>
    <m/>
    <m/>
    <m/>
    <d v="2026-08-06T00:00:00"/>
  </r>
  <r>
    <x v="1"/>
    <m/>
    <x v="16"/>
    <x v="0"/>
    <x v="198"/>
    <n v="2026181560024"/>
    <n v="40"/>
    <n v="37"/>
    <s v="31-45 DAYS"/>
    <s v="CI-77295074"/>
    <s v="AH22793"/>
    <x v="0"/>
    <n v="9"/>
    <s v="Pending-Investigation"/>
    <s v="Additional Research"/>
    <s v="275W16761"/>
    <s v="IN"/>
    <s v="P"/>
    <s v="2025266EO9720"/>
    <s v="IN"/>
    <n v="46231.700694444444"/>
    <s v="IS-Dispute"/>
    <s v="BEN-SpiderHMO"/>
    <s v="RES-Unrestricted"/>
    <s v="GS-ACA"/>
    <s v="REG-NY"/>
    <s v="IT-Written"/>
    <n v="833000"/>
    <s v="NY"/>
    <n v="800071212"/>
    <n v="1396799409"/>
    <n v="1003282930"/>
    <m/>
    <m/>
    <x v="0"/>
    <s v="Recovery_Disputes"/>
    <s v="20260630T081836.000 GMT"/>
    <n v="607"/>
    <m/>
    <m/>
    <n v="275"/>
    <s v="Yes"/>
    <s v="20260728T234917.000 GMT"/>
    <d v="2026-07-28T00:00:00"/>
    <s v="Mary Elizabeth C Pedregoza"/>
    <s v="Logged in RI tracker"/>
    <m/>
    <s v="MACINA, MATTHEW L"/>
    <m/>
    <m/>
    <m/>
    <m/>
    <m/>
    <m/>
    <m/>
    <s v="Mary Elizabeth C Pedregoza"/>
    <n v="37"/>
    <m/>
    <m/>
    <s v="Local"/>
    <n v="102647606"/>
    <m/>
    <m/>
    <m/>
    <m/>
    <m/>
    <m/>
    <m/>
    <m/>
    <m/>
    <m/>
    <m/>
    <m/>
    <m/>
    <m/>
    <m/>
    <m/>
    <m/>
    <d v="2026-08-06T00:00:00"/>
  </r>
  <r>
    <x v="1"/>
    <m/>
    <x v="16"/>
    <x v="0"/>
    <x v="199"/>
    <n v="2026176020503"/>
    <n v="40"/>
    <n v="42"/>
    <s v="31-45 DAYS"/>
    <s v="CI-77131940"/>
    <s v="AL20338"/>
    <x v="1"/>
    <n v="9"/>
    <s v="Pending-Investigation"/>
    <s v="Awaiting CCA Response"/>
    <s v="472W22662"/>
    <s v="IN"/>
    <s v="P"/>
    <s v="2025250BC9083"/>
    <s v="L11361"/>
    <n v="46230.878472222219"/>
    <s v="IS-Dispute"/>
    <s v="BEN-NonSpider"/>
    <s v="RES-Unrestricted"/>
    <s v="GS-Local"/>
    <s v="REG-CA"/>
    <s v="IT-UnknownCorr"/>
    <s v="L11361M001"/>
    <s v="CA"/>
    <n v="951684089"/>
    <n v="1700829199"/>
    <m/>
    <m/>
    <m/>
    <x v="19"/>
    <s v="Recovery_Disputes"/>
    <s v="20260626T011958.000 GMT"/>
    <n v="263300.19"/>
    <m/>
    <m/>
    <n v="472"/>
    <s v="Yes"/>
    <s v="20260728T040612.000 GMT"/>
    <d v="2026-07-28T00:00:00"/>
    <s v="Virgil Joseph L Domalaoco"/>
    <s v="Still Waiting for Response from Provider Audit"/>
    <m/>
    <s v="SMH-ENCINITAS"/>
    <m/>
    <m/>
    <m/>
    <m/>
    <m/>
    <m/>
    <m/>
    <s v="Virgil Joseph L Domalaoco"/>
    <n v="42"/>
    <m/>
    <m/>
    <s v="Local"/>
    <n v="489948588"/>
    <m/>
    <m/>
    <m/>
    <m/>
    <m/>
    <m/>
    <m/>
    <m/>
    <m/>
    <m/>
    <m/>
    <m/>
    <m/>
    <m/>
    <m/>
    <m/>
    <m/>
    <d v="2026-08-06T00:00:00"/>
  </r>
  <r>
    <x v="1"/>
    <m/>
    <x v="16"/>
    <x v="0"/>
    <x v="200"/>
    <n v="2026177350523"/>
    <n v="40"/>
    <n v="41"/>
    <s v="31-45 DAYS"/>
    <s v="CI-77187324"/>
    <s v="AH17430"/>
    <x v="0"/>
    <n v="10"/>
    <s v="Pending-Investigation"/>
    <s v="Awaiting CCA Response"/>
    <s v="189W09701"/>
    <s v="IN"/>
    <s v="P"/>
    <s v="2025098DK6879"/>
    <s v="W26289"/>
    <n v="46230.018750000003"/>
    <s v="IS-Dispute"/>
    <s v="BEN-Spider"/>
    <s v="RES-Unrestricted"/>
    <s v="GS-Local"/>
    <s v="REG-KY"/>
    <s v="IT-Written"/>
    <s v="W26289M111"/>
    <s v="MO"/>
    <n v="431343281"/>
    <n v="1851496152"/>
    <m/>
    <m/>
    <m/>
    <x v="17"/>
    <s v="Recovery_Disputes"/>
    <s v="20260627T011913.000 GMT"/>
    <n v="17610.990000000002"/>
    <m/>
    <m/>
    <n v="189"/>
    <s v="Yes"/>
    <s v="20260727T072735.000 GMT"/>
    <d v="2026-07-27T00:00:00"/>
    <s v="Nesty Hope A Lagarto"/>
    <s v="Sent to PA for review"/>
    <m/>
    <s v="SSM HEALTH ST CLARE HOSPI"/>
    <m/>
    <m/>
    <m/>
    <m/>
    <m/>
    <m/>
    <m/>
    <s v="Nesty Hope A Lagarto"/>
    <n v="41"/>
    <m/>
    <m/>
    <s v="Local"/>
    <n v="578044180"/>
    <m/>
    <m/>
    <m/>
    <m/>
    <m/>
    <m/>
    <m/>
    <m/>
    <m/>
    <m/>
    <m/>
    <m/>
    <m/>
    <m/>
    <m/>
    <m/>
    <m/>
    <d v="2026-08-06T00:00:00"/>
  </r>
  <r>
    <x v="1"/>
    <m/>
    <x v="16"/>
    <x v="0"/>
    <x v="201"/>
    <n v="2026180970624"/>
    <n v="40"/>
    <n v="38"/>
    <s v="31-45 DAYS"/>
    <s v="CI-77291851"/>
    <s v="AL20349"/>
    <x v="0"/>
    <n v="9"/>
    <s v="Pending-Investigation"/>
    <s v="Awaiting CCA Response"/>
    <s v="AN6636710"/>
    <s v="IN"/>
    <s v="P"/>
    <s v="2025161BM4565"/>
    <n v="270105"/>
    <n v="46231.693749999999"/>
    <s v="IS-Dispute"/>
    <s v="BEN-NonSpider"/>
    <s v="RES-Unrestricted"/>
    <s v="GS-National"/>
    <s v="REG-IN"/>
    <s v="IT-Written"/>
    <s v="270105M1OA"/>
    <s v="WI"/>
    <n v="390806261"/>
    <n v="1699720086"/>
    <n v="1689970543"/>
    <m/>
    <s v="Melody D La Pena"/>
    <x v="44"/>
    <s v="Recovery_Disputes"/>
    <s v="20260630T054852.000 GMT"/>
    <n v="21777"/>
    <m/>
    <m/>
    <s v="AN6"/>
    <s v="Yes"/>
    <s v="20260728T233930.000 GMT"/>
    <d v="2026-07-28T00:00:00"/>
    <s v="Gerommel Marcelino"/>
    <s v="Sent email to provider audit."/>
    <m/>
    <s v="NATHAN T ZWAGERMAN, NATHAN T"/>
    <m/>
    <m/>
    <m/>
    <m/>
    <m/>
    <m/>
    <m/>
    <s v="Gerommel Marcelino"/>
    <n v="38"/>
    <m/>
    <m/>
    <s v="Local"/>
    <n v="285508658"/>
    <m/>
    <m/>
    <m/>
    <m/>
    <m/>
    <m/>
    <m/>
    <m/>
    <m/>
    <m/>
    <m/>
    <m/>
    <m/>
    <m/>
    <m/>
    <m/>
    <m/>
    <d v="2026-08-06T00:00:00"/>
  </r>
  <r>
    <x v="1"/>
    <m/>
    <x v="16"/>
    <x v="0"/>
    <x v="202"/>
    <n v="2026183710299"/>
    <n v="40"/>
    <n v="35"/>
    <s v="31-45 DAYS"/>
    <s v="CI-77448559"/>
    <s v="AL02716"/>
    <x v="0"/>
    <n v="4"/>
    <s v="Pending-Investigation"/>
    <s v="Additional Research"/>
    <s v="951M93455"/>
    <s v="IN"/>
    <s v="P"/>
    <s v="2025272CW8437"/>
    <s v="IN"/>
    <n v="46236.645138888889"/>
    <s v="IS-Dispute"/>
    <s v="BEN-SpiderHMO"/>
    <s v="RES-Unrestricted"/>
    <s v="GS-ACA"/>
    <s v="REG-GA"/>
    <s v="IT-Written"/>
    <s v="829D00"/>
    <s v="GA"/>
    <n v="814223395"/>
    <n v="1922530468"/>
    <m/>
    <m/>
    <m/>
    <x v="35"/>
    <s v="Recovery_Disputes"/>
    <s v="20260702T200214.000 GMT"/>
    <n v="6052.5"/>
    <m/>
    <m/>
    <n v="951"/>
    <s v="Yes"/>
    <s v="20260802T222938.000 GMT"/>
    <d v="2026-08-02T00:00:00"/>
    <s v="Christine F Andayran"/>
    <s v="sent email to release"/>
    <m/>
    <s v="MEMORIAL SATILLA HEALTH"/>
    <m/>
    <m/>
    <m/>
    <m/>
    <m/>
    <m/>
    <m/>
    <s v="Christine F Andayran"/>
    <n v="35"/>
    <m/>
    <m/>
    <s v="Local"/>
    <n v="255217166"/>
    <m/>
    <m/>
    <m/>
    <m/>
    <m/>
    <m/>
    <m/>
    <m/>
    <m/>
    <m/>
    <m/>
    <m/>
    <m/>
    <m/>
    <m/>
    <m/>
    <m/>
    <d v="2026-08-06T00:00:00"/>
  </r>
  <r>
    <x v="1"/>
    <m/>
    <x v="16"/>
    <x v="0"/>
    <x v="203"/>
    <n v="2026173350435"/>
    <n v="40"/>
    <n v="45"/>
    <s v="31-45 DAYS"/>
    <s v="CI-76946241"/>
    <s v="AG49226"/>
    <x v="4"/>
    <n v="13"/>
    <s v="Pending-Investigation"/>
    <s v="Awaiting CCA Response"/>
    <s v="403W20412"/>
    <s v="IN"/>
    <s v="P"/>
    <s v="2025363DB7372"/>
    <s v="W51001"/>
    <n v="46223.859027777777"/>
    <s v="IS-Dispute"/>
    <s v="BEN-NonSpider"/>
    <s v="RES-Unrestricted"/>
    <s v="GS-Local"/>
    <s v="REG-OH"/>
    <s v="IT-Written"/>
    <s v="W51001M013"/>
    <s v="WI"/>
    <n v="391128616"/>
    <n v="1053358846"/>
    <n v="1184664773"/>
    <m/>
    <m/>
    <x v="22"/>
    <s v="Recovery_Disputes"/>
    <s v="20260623T013950.000 GMT"/>
    <n v="9410"/>
    <m/>
    <m/>
    <n v="403"/>
    <s v="Yes"/>
    <s v="20260724T192053.000 GMT"/>
    <d v="2026-07-24T00:00:00"/>
    <s v="System"/>
    <s v="Duplicate Inquiry CI-78476685 received,Documents added to Attachment tab,refer to Related inquiries tab/Attachment tab"/>
    <m/>
    <s v="KING, NOREEN R"/>
    <m/>
    <m/>
    <m/>
    <m/>
    <m/>
    <m/>
    <m/>
    <s v="Kevin Michael M Santos"/>
    <n v="45"/>
    <m/>
    <m/>
    <s v="Local"/>
    <n v="868310293"/>
    <m/>
    <m/>
    <m/>
    <m/>
    <m/>
    <m/>
    <m/>
    <m/>
    <m/>
    <m/>
    <m/>
    <m/>
    <m/>
    <m/>
    <m/>
    <m/>
    <m/>
    <d v="2026-08-06T00:00:00"/>
  </r>
  <r>
    <x v="1"/>
    <m/>
    <x v="16"/>
    <x v="0"/>
    <x v="204"/>
    <n v="2026181990391"/>
    <n v="40"/>
    <n v="37"/>
    <s v="31-45 DAYS"/>
    <s v="CI-77337880"/>
    <s v="AL20320"/>
    <x v="0"/>
    <n v="8"/>
    <s v="Pending-Investigation"/>
    <s v="Awaiting CCA Response"/>
    <s v="AN4024443"/>
    <s v="IN"/>
    <s v="P"/>
    <s v="2025309CK6229"/>
    <n v="270196"/>
    <n v="46231.943055555559"/>
    <s v="IS-Dispute"/>
    <s v="BEN-NonSpider"/>
    <s v="RES-Unrestricted"/>
    <s v="GS-National"/>
    <s v="REG-CT"/>
    <s v="IT-Written"/>
    <s v="270196A64A"/>
    <s v="WI"/>
    <n v="391824445"/>
    <n v="1598784555"/>
    <n v="1477741577"/>
    <m/>
    <m/>
    <x v="29"/>
    <s v="Recovery_Disputes"/>
    <s v="20260630T213721.000 GMT"/>
    <n v="13692"/>
    <m/>
    <m/>
    <s v="AN4"/>
    <s v="Yes"/>
    <s v="20260729T053833.000 GMT"/>
    <d v="2026-07-29T00:00:00"/>
    <s v="Alvin J Melgar"/>
    <s v="Awaiting for PA response."/>
    <m/>
    <s v="HAACK, TRACY L"/>
    <m/>
    <m/>
    <m/>
    <m/>
    <m/>
    <m/>
    <m/>
    <s v="Alvin J Melgar"/>
    <n v="37"/>
    <m/>
    <m/>
    <s v="Local"/>
    <n v="393843498"/>
    <m/>
    <m/>
    <m/>
    <m/>
    <m/>
    <m/>
    <m/>
    <m/>
    <m/>
    <m/>
    <m/>
    <m/>
    <m/>
    <m/>
    <m/>
    <m/>
    <m/>
    <d v="2026-08-06T00:00:00"/>
  </r>
  <r>
    <x v="1"/>
    <m/>
    <x v="16"/>
    <x v="0"/>
    <x v="205"/>
    <m/>
    <n v="40"/>
    <n v="37"/>
    <s v="31-45 DAYS"/>
    <s v="CI-77314397"/>
    <n v="0"/>
    <x v="4"/>
    <n v="0"/>
    <s v="Pending-Investigation"/>
    <s v="Pending Reversal"/>
    <s v="832W11150"/>
    <s v="IN"/>
    <s v="Internal Request"/>
    <s v="2026153DM5181"/>
    <s v="IN"/>
    <m/>
    <s v="IS-Dispute"/>
    <s v="BEN-Any"/>
    <s v="RES-Unrestricted"/>
    <s v="GS-DMPrepay"/>
    <s v="REG-Any"/>
    <s v="IT-Written"/>
    <s v="9KTR00"/>
    <s v="OH"/>
    <n v="310646568"/>
    <n v="1851390850"/>
    <n v="1114129293"/>
    <m/>
    <s v="Anahi Ruiz"/>
    <x v="53"/>
    <s v="Recovery_Disputes"/>
    <s v="20260630T145106.000 GMT"/>
    <n v="207"/>
    <m/>
    <m/>
    <n v="832"/>
    <s v="Yes"/>
    <s v="20260806T154747.000 GMT"/>
    <d v="2026-08-06T00:00:00"/>
    <s v="Anahi Ruiz"/>
    <s v="Adjusted claim to no longer apply algo b1270, claim is denying for no auth on file. ag52824 8/6/26"/>
    <m/>
    <s v="ALKALAY, IDAN"/>
    <m/>
    <m/>
    <m/>
    <m/>
    <m/>
    <m/>
    <m/>
    <s v="Camille Pasco"/>
    <n v="37"/>
    <m/>
    <m/>
    <s v="Local"/>
    <n v="281667310"/>
    <m/>
    <m/>
    <s v="Issue Resolved"/>
    <m/>
    <m/>
    <m/>
    <m/>
    <m/>
    <m/>
    <m/>
    <m/>
    <m/>
    <m/>
    <m/>
    <m/>
    <m/>
    <m/>
    <d v="2026-08-06T00:00:00"/>
  </r>
  <r>
    <x v="1"/>
    <m/>
    <x v="16"/>
    <x v="0"/>
    <x v="206"/>
    <n v="2026188460281"/>
    <n v="40"/>
    <n v="31"/>
    <s v="31-45 DAYS"/>
    <s v="CI-77627757"/>
    <s v="AL20316"/>
    <x v="0"/>
    <n v="3"/>
    <s v="Pending-Investigation"/>
    <s v="Awaiting CCA Response"/>
    <s v="207W17065"/>
    <s v="IN"/>
    <s v="P"/>
    <s v="2025274FY2085"/>
    <s v="W24174"/>
    <n v="46237.677083333336"/>
    <s v="IS-Dispute"/>
    <s v="BEN-NonSpider"/>
    <s v="RES-Unrestricted"/>
    <s v="GS-StateOfIN"/>
    <s v="REG-IN"/>
    <s v="IT-Written"/>
    <s v="W24174M307"/>
    <s v="IN"/>
    <n v="356005697"/>
    <n v="1568407310"/>
    <m/>
    <m/>
    <s v="Melody D La Pena"/>
    <x v="45"/>
    <s v="Recovery_Disputes"/>
    <s v="20260707T184344.000 GMT"/>
    <n v="170221.56"/>
    <m/>
    <m/>
    <n v="207"/>
    <s v="Yes"/>
    <s v="20260803T231642.000 GMT"/>
    <d v="2026-08-03T00:00:00"/>
    <s v="Edwin Romeo V Sabarre"/>
    <s v="Sent email to PA for medical records review."/>
    <m/>
    <s v="THE HEALTH AND HOSPITAL C"/>
    <m/>
    <m/>
    <m/>
    <m/>
    <m/>
    <m/>
    <m/>
    <s v="Edwin Romeo V Sabarre"/>
    <n v="30"/>
    <m/>
    <m/>
    <s v="Local"/>
    <n v="272986918"/>
    <m/>
    <m/>
    <m/>
    <m/>
    <m/>
    <m/>
    <m/>
    <m/>
    <m/>
    <m/>
    <m/>
    <m/>
    <m/>
    <m/>
    <m/>
    <m/>
    <m/>
    <d v="2026-08-06T00:00:00"/>
  </r>
  <r>
    <x v="1"/>
    <m/>
    <x v="16"/>
    <x v="0"/>
    <x v="207"/>
    <n v="2026175850487"/>
    <n v="40"/>
    <n v="43"/>
    <s v="31-45 DAYS"/>
    <s v="CI-77070564"/>
    <s v="AL20303"/>
    <x v="1"/>
    <n v="14"/>
    <s v="Pending-Investigation"/>
    <s v="Awaiting CCA Response"/>
    <s v="918W16051"/>
    <s v="IN"/>
    <s v="P"/>
    <s v="2025228DA5727"/>
    <s v="OH2611"/>
    <n v="46225.964583333334"/>
    <s v="IS-Dispute"/>
    <s v="BEN-Spider"/>
    <s v="RES-Unrestricted"/>
    <s v="GS-Local"/>
    <s v="REG-OH"/>
    <s v="IT-Written"/>
    <s v="OH2611M019"/>
    <s v="OH"/>
    <n v="311411364"/>
    <n v="1225192610"/>
    <n v="1174061667"/>
    <m/>
    <m/>
    <x v="33"/>
    <s v="Recovery_Disputes"/>
    <s v="20260625T005357.000 GMT"/>
    <n v="5920"/>
    <m/>
    <m/>
    <n v="918"/>
    <s v="Yes"/>
    <s v="20260723T060950.000 GMT"/>
    <d v="2026-07-23T00:00:00"/>
    <s v="Mark Andre S Lipit"/>
    <s v="Sent to Provider Audit Appeals."/>
    <m/>
    <s v="HILARY  WILLIAMSON"/>
    <m/>
    <m/>
    <m/>
    <m/>
    <m/>
    <m/>
    <m/>
    <s v="Mark Andre S Lipit"/>
    <n v="43"/>
    <m/>
    <m/>
    <s v="Local"/>
    <n v="294864172"/>
    <m/>
    <m/>
    <m/>
    <m/>
    <m/>
    <m/>
    <m/>
    <m/>
    <m/>
    <m/>
    <m/>
    <m/>
    <m/>
    <m/>
    <m/>
    <m/>
    <m/>
    <d v="2026-08-06T00:00:00"/>
  </r>
  <r>
    <x v="1"/>
    <m/>
    <x v="16"/>
    <x v="0"/>
    <x v="208"/>
    <n v="2026181770195"/>
    <n v="40"/>
    <n v="37"/>
    <s v="31-45 DAYS"/>
    <s v="CI-77315494"/>
    <s v="AH60028"/>
    <x v="2"/>
    <n v="8"/>
    <s v="Pending-Investigation"/>
    <s v="Awaiting CCA Response"/>
    <s v="055217MDT"/>
    <s v="IN"/>
    <s v="P"/>
    <s v="2025107CB4786"/>
    <s v="MO2000"/>
    <n v="46231.794444444444"/>
    <s v="IS-Dispute"/>
    <s v="BEN-NonSpider"/>
    <s v="RES-Unrestricted"/>
    <s v="GS-MODOT"/>
    <s v="REG-MO"/>
    <s v="IT-Written"/>
    <s v="MO2000M104"/>
    <s v="MO"/>
    <n v="205953313"/>
    <n v="1740673953"/>
    <m/>
    <m/>
    <m/>
    <x v="7"/>
    <s v="Recovery_Disputes"/>
    <s v="20260630T150811.000 GMT"/>
    <n v="83101.899999999994"/>
    <m/>
    <m/>
    <n v="55"/>
    <s v="Yes"/>
    <s v="20260729T020508.000 GMT"/>
    <d v="2026-07-29T00:00:00"/>
    <s v="Mark Ian D Ninas"/>
    <s v="Email sent for PA review."/>
    <m/>
    <s v="MANCHESTER SURGERY CENTER"/>
    <m/>
    <m/>
    <m/>
    <m/>
    <m/>
    <m/>
    <m/>
    <s v="Mark Ian D Ninas"/>
    <n v="37"/>
    <m/>
    <s v="CS"/>
    <s v="Local"/>
    <s v="055217MDT"/>
    <m/>
    <m/>
    <m/>
    <m/>
    <m/>
    <m/>
    <m/>
    <m/>
    <m/>
    <m/>
    <m/>
    <m/>
    <m/>
    <m/>
    <m/>
    <m/>
    <m/>
    <d v="2026-08-06T00:00:00"/>
  </r>
  <r>
    <x v="1"/>
    <m/>
    <x v="16"/>
    <x v="0"/>
    <x v="209"/>
    <n v="2026181680195"/>
    <n v="40"/>
    <n v="37"/>
    <s v="31-45 DAYS"/>
    <s v="CI-77313302"/>
    <n v="0"/>
    <x v="4"/>
    <n v="7"/>
    <s v="Pending-Investigation"/>
    <s v="Awaiting CCA Response"/>
    <s v="798W15600"/>
    <s v="IN"/>
    <s v="P"/>
    <s v="2025218EP5271"/>
    <n v="212065"/>
    <n v="46232.79791666667"/>
    <s v="IS-Dispute"/>
    <s v="BEN-NonSpider"/>
    <s v="RES-Unrestricted"/>
    <s v="GS-National"/>
    <s v="REG-OH"/>
    <s v="IT-Written"/>
    <s v="212065M3JA"/>
    <s v="IN"/>
    <n v="200602959"/>
    <n v="1821326240"/>
    <n v="1649278235"/>
    <m/>
    <s v="Melody D La Pena"/>
    <x v="53"/>
    <s v="Recovery_Disputes"/>
    <s v="20260630T143307.000 GMT"/>
    <n v="65677"/>
    <m/>
    <m/>
    <n v="798"/>
    <s v="Yes"/>
    <s v="20260730T020941.000 GMT"/>
    <d v="2026-07-30T00:00:00"/>
    <s v="Camille Pasco"/>
    <s v="Sent for PA review. Waiting for response"/>
    <m/>
    <s v="THOMPKINS, ANTON A"/>
    <m/>
    <m/>
    <m/>
    <m/>
    <m/>
    <m/>
    <m/>
    <s v="Camille Pasco"/>
    <n v="37"/>
    <m/>
    <s v="CS"/>
    <s v="Local"/>
    <n v="342845167"/>
    <m/>
    <m/>
    <m/>
    <m/>
    <m/>
    <m/>
    <m/>
    <m/>
    <m/>
    <m/>
    <m/>
    <m/>
    <m/>
    <m/>
    <m/>
    <m/>
    <m/>
    <d v="2026-08-06T00:00:00"/>
  </r>
  <r>
    <x v="1"/>
    <m/>
    <x v="16"/>
    <x v="0"/>
    <x v="210"/>
    <n v="2026182250392"/>
    <n v="40"/>
    <n v="36"/>
    <s v="31-45 DAYS"/>
    <s v="CI-77395083"/>
    <s v="AG49226"/>
    <x v="4"/>
    <n v="7"/>
    <s v="Pending-Investigation"/>
    <s v="Awaiting CCA Response"/>
    <s v="866M53965"/>
    <s v="IN"/>
    <s v="P"/>
    <s v="2025364CU2337"/>
    <n v="212069"/>
    <n v="46232.932638888888"/>
    <s v="IS-Dispute"/>
    <s v="BEN-NonSpider"/>
    <s v="RES-Unrestricted"/>
    <s v="GS-National"/>
    <s v="REG-OH"/>
    <s v="IT-Written"/>
    <s v="212069M1AH"/>
    <s v="KY"/>
    <n v="610703799"/>
    <n v="1447388335"/>
    <m/>
    <m/>
    <m/>
    <x v="22"/>
    <s v="Recovery_Disputes"/>
    <s v="20260701T213029.000 GMT"/>
    <n v="148319.75"/>
    <m/>
    <m/>
    <n v="866"/>
    <s v="Yes"/>
    <s v="20260730T052337.000 GMT"/>
    <d v="2026-07-30T00:00:00"/>
    <s v="Kevin Michael M Santos"/>
    <s v="Awaiting CCA Response"/>
    <m/>
    <s v="NORTON BROWNSBORO HOSPITA"/>
    <m/>
    <m/>
    <m/>
    <m/>
    <m/>
    <m/>
    <m/>
    <s v="Kevin Michael M Santos"/>
    <n v="36"/>
    <m/>
    <m/>
    <s v="Local"/>
    <n v="295781433"/>
    <m/>
    <m/>
    <m/>
    <m/>
    <m/>
    <m/>
    <m/>
    <m/>
    <m/>
    <m/>
    <m/>
    <m/>
    <m/>
    <m/>
    <m/>
    <m/>
    <m/>
    <d v="2026-08-06T00:00:00"/>
  </r>
  <r>
    <x v="1"/>
    <m/>
    <x v="16"/>
    <x v="0"/>
    <x v="211"/>
    <n v="2026178660199"/>
    <n v="40"/>
    <n v="40"/>
    <s v="31-45 DAYS"/>
    <s v="CI-77212029"/>
    <s v="AL20349"/>
    <x v="0"/>
    <n v="9"/>
    <s v="Pending-Investigation"/>
    <s v="Awaiting CCA Response"/>
    <s v="273M91837"/>
    <s v="IN"/>
    <s v="P"/>
    <s v="2025272R71757"/>
    <n v="721330"/>
    <n v="46230.890972222223"/>
    <s v="IS-Dispute"/>
    <s v="BEN-Spider"/>
    <s v="RES-Unrestricted"/>
    <s v="GS-Local"/>
    <s v="REG-NY"/>
    <s v="IT-Written"/>
    <s v="721330002M"/>
    <s v="NY"/>
    <n v="260768706"/>
    <n v="1134315922"/>
    <n v="1134315922"/>
    <m/>
    <s v="Melody D La Pena"/>
    <x v="44"/>
    <s v="Recovery_Disputes"/>
    <s v="20260627T195851.000 GMT"/>
    <n v="350"/>
    <m/>
    <m/>
    <n v="273"/>
    <s v="Yes"/>
    <s v="20260728T042413.000 GMT"/>
    <d v="2026-07-28T00:00:00"/>
    <s v="Gerommel Marcelino"/>
    <s v="Sent email to provider audit."/>
    <m/>
    <s v="YASHA  YANG"/>
    <m/>
    <m/>
    <m/>
    <m/>
    <m/>
    <m/>
    <m/>
    <s v="Gerommel Marcelino"/>
    <n v="40"/>
    <m/>
    <m/>
    <s v="Local"/>
    <n v="92624272"/>
    <m/>
    <m/>
    <m/>
    <m/>
    <m/>
    <m/>
    <m/>
    <m/>
    <m/>
    <m/>
    <m/>
    <m/>
    <m/>
    <m/>
    <m/>
    <m/>
    <m/>
    <d v="2026-08-06T00:00:00"/>
  </r>
  <r>
    <x v="1"/>
    <m/>
    <x v="16"/>
    <x v="0"/>
    <x v="212"/>
    <n v="2026183770203"/>
    <n v="40"/>
    <n v="35"/>
    <s v="31-45 DAYS"/>
    <s v="CI-77435126"/>
    <s v="AL39630"/>
    <x v="0"/>
    <n v="6"/>
    <s v="Pending-Investigation"/>
    <s v="Awaiting CCA Response"/>
    <s v="672A67254"/>
    <s v="IN"/>
    <s v="P"/>
    <s v="2025116CI2397"/>
    <s v="W10204"/>
    <n v="46233.8"/>
    <s v="IS-Dispute"/>
    <s v="BEN-Spider"/>
    <s v="RES-Unrestricted"/>
    <s v="GS-Local"/>
    <s v="REG-IN"/>
    <s v="IT-Written"/>
    <s v="W10204M001"/>
    <s v="IN"/>
    <n v="351568821"/>
    <n v="1225082878"/>
    <n v="1770587321"/>
    <m/>
    <m/>
    <x v="6"/>
    <s v="Recovery_Disputes"/>
    <s v="20260702T160822.000 GMT"/>
    <n v="310"/>
    <m/>
    <m/>
    <n v="672"/>
    <s v="Yes"/>
    <s v="20260731T021243.000 GMT"/>
    <d v="2026-07-31T00:00:00"/>
    <s v="Angelica B Buan"/>
    <s v="Inquiry is pending for a CCA response and High Dollar review."/>
    <m/>
    <s v="PATEL, SACHIN R"/>
    <m/>
    <m/>
    <m/>
    <m/>
    <m/>
    <m/>
    <m/>
    <s v="Angelica B Buan"/>
    <n v="35"/>
    <m/>
    <m/>
    <s v="Local"/>
    <n v="489701290"/>
    <m/>
    <m/>
    <m/>
    <m/>
    <m/>
    <m/>
    <m/>
    <m/>
    <m/>
    <m/>
    <m/>
    <m/>
    <m/>
    <m/>
    <m/>
    <m/>
    <m/>
    <d v="2026-08-06T00:00:00"/>
  </r>
  <r>
    <x v="1"/>
    <m/>
    <x v="16"/>
    <x v="0"/>
    <x v="213"/>
    <n v="2026176170696"/>
    <n v="40"/>
    <n v="42"/>
    <s v="31-45 DAYS"/>
    <s v="CI-77135494"/>
    <s v="AH89266"/>
    <x v="1"/>
    <n v="13"/>
    <s v="Pending-Investigation"/>
    <s v="Awaiting CCA Response"/>
    <s v="115W03237"/>
    <s v="IN"/>
    <s v="P"/>
    <s v="2025035DY8788"/>
    <s v="SO0001"/>
    <n v="46227.326388888891"/>
    <s v="IS-Dispute"/>
    <s v="BEN-Spider"/>
    <s v="RES-Unrestricted"/>
    <s v="GS-LocalFI"/>
    <s v="REG-OH"/>
    <s v="IT-Written"/>
    <s v="SO0001M001"/>
    <s v="OH"/>
    <n v="310672132"/>
    <n v="1457379448"/>
    <m/>
    <m/>
    <m/>
    <x v="4"/>
    <s v="Recovery_Disputes"/>
    <s v="20260626T050739.000 GMT"/>
    <n v="9483.61"/>
    <m/>
    <m/>
    <n v="115"/>
    <s v="Yes"/>
    <s v="20260724T145025.000 GMT"/>
    <d v="2026-07-24T00:00:00"/>
    <s v="Ana Vanessa S Armada"/>
    <s v="Sent to provider audit review and waiting for response."/>
    <m/>
    <s v="DAYTON CHILDRENS HOSPITAL"/>
    <m/>
    <m/>
    <m/>
    <m/>
    <m/>
    <m/>
    <m/>
    <s v="Ana Vanessa S Armada"/>
    <n v="42"/>
    <m/>
    <m/>
    <s v="Local"/>
    <n v="292922082"/>
    <m/>
    <m/>
    <m/>
    <m/>
    <m/>
    <m/>
    <m/>
    <m/>
    <m/>
    <m/>
    <m/>
    <m/>
    <m/>
    <m/>
    <m/>
    <m/>
    <m/>
    <d v="2026-08-06T00:00:00"/>
  </r>
  <r>
    <x v="1"/>
    <m/>
    <x v="16"/>
    <x v="0"/>
    <x v="214"/>
    <n v="2026179580130"/>
    <n v="40"/>
    <n v="39"/>
    <s v="31-45 DAYS"/>
    <s v="CI-77236028"/>
    <s v="AH87327"/>
    <x v="0"/>
    <n v="9"/>
    <s v="Pending-Investigation"/>
    <s v="Awaiting CCA Response"/>
    <s v="875M91836"/>
    <s v="IN"/>
    <s v="P"/>
    <s v="2025288R70872"/>
    <n v="721330"/>
    <n v="46230.838888888888"/>
    <s v="IS-Dispute"/>
    <s v="BEN-Spider"/>
    <s v="RES-Unrestricted"/>
    <s v="GS-Local"/>
    <s v="REG-NY"/>
    <s v="IT-Written"/>
    <s v="721330002M"/>
    <s v="NY"/>
    <n v="260768706"/>
    <n v="1134315922"/>
    <n v="1134315922"/>
    <m/>
    <s v="Melody D La Pena"/>
    <x v="47"/>
    <s v="Recovery_Disputes"/>
    <s v="20260628T195408.000 GMT"/>
    <n v="350"/>
    <m/>
    <m/>
    <n v="875"/>
    <s v="Yes"/>
    <s v="20260728T030825.000 GMT"/>
    <d v="2026-07-28T00:00:00"/>
    <s v="Cedie C Abina"/>
    <s v="Email sent to Provider Audit. Awaiting response."/>
    <m/>
    <s v="YASHA  YANG"/>
    <m/>
    <m/>
    <m/>
    <m/>
    <m/>
    <m/>
    <m/>
    <s v="Cedie C Abina"/>
    <n v="39"/>
    <m/>
    <m/>
    <s v="Local"/>
    <n v="89666990"/>
    <m/>
    <m/>
    <m/>
    <m/>
    <m/>
    <m/>
    <m/>
    <m/>
    <m/>
    <m/>
    <m/>
    <m/>
    <m/>
    <m/>
    <m/>
    <m/>
    <m/>
    <d v="2026-08-06T00:00:00"/>
  </r>
  <r>
    <x v="1"/>
    <m/>
    <x v="16"/>
    <x v="0"/>
    <x v="215"/>
    <m/>
    <n v="40"/>
    <n v="31"/>
    <s v="31-45 DAYS"/>
    <s v="CI-77544213"/>
    <s v="AL02716"/>
    <x v="0"/>
    <n v="31"/>
    <s v="Pending-Investigation"/>
    <s v="Finance Review"/>
    <s v="936W05518"/>
    <s v="Standard"/>
    <s v="Internal Request"/>
    <s v="2024303CE0828"/>
    <n v="195610"/>
    <m/>
    <s v="IS-Dispute"/>
    <s v="BEN-NonSpider"/>
    <s v="RES-Unrestricted"/>
    <s v="GS-ColoradoUniversity"/>
    <s v="REG-CONV"/>
    <s v="IT-Internal"/>
    <s v="195610X011"/>
    <s v="CO"/>
    <n v="262132446"/>
    <n v="1285887273"/>
    <n v="1689102550"/>
    <m/>
    <m/>
    <x v="35"/>
    <s v="Recovery_Disputes"/>
    <s v="20260706T094424.000 GMT"/>
    <n v="134.44"/>
    <m/>
    <m/>
    <n v="936"/>
    <s v="No"/>
    <s v="20260706T094557.000 GMT"/>
    <d v="2026-07-06T00:00:00"/>
    <s v="AL47421"/>
    <s v="hello team,_x000a_the claim was recouped fully and we are unable to get the recouped reason in text SWEEP SC-LOC-100808 mentioned please provide us a recoup reason and we also received a query from provider : See accepted and paid claims on DOS 07/29/2024, 08/07/2024, 08/12/2024, 08/14/2024, 08/26/2024, 09/09/2024, 09/18/2024, 09/25/2024. This is a covered service. Our contract rate for this service as of 10/15/2024 is $85.00. Tis must be reprocessed and payment issued.._x000a__x000a_please review and advice"/>
    <m/>
    <m/>
    <m/>
    <m/>
    <m/>
    <m/>
    <m/>
    <m/>
    <m/>
    <s v="Christine F Andayran"/>
    <n v="31"/>
    <m/>
    <m/>
    <s v="Local"/>
    <s v="CUB338009"/>
    <m/>
    <m/>
    <m/>
    <m/>
    <m/>
    <m/>
    <m/>
    <m/>
    <m/>
    <m/>
    <m/>
    <m/>
    <m/>
    <m/>
    <m/>
    <m/>
    <m/>
    <d v="2026-08-06T00:00:00"/>
  </r>
  <r>
    <x v="1"/>
    <m/>
    <x v="16"/>
    <x v="0"/>
    <x v="216"/>
    <n v="2026180350600"/>
    <n v="40"/>
    <n v="38"/>
    <s v="31-45 DAYS"/>
    <s v="CI-77292200"/>
    <s v="AL20349"/>
    <x v="0"/>
    <n v="9"/>
    <s v="Pending-Investigation"/>
    <s v="Additional Research"/>
    <s v="914W06694"/>
    <s v="IN"/>
    <s v="P"/>
    <s v="2025365BY9778"/>
    <n v="300496"/>
    <n v="46231.65625"/>
    <s v="IS-Dispute"/>
    <s v="BEN-Spider"/>
    <s v="RES-Unrestricted"/>
    <s v="GS-LocalFI"/>
    <s v="REG-NY"/>
    <s v="IT-Written"/>
    <s v="300496002M"/>
    <s v="NY"/>
    <n v="141338547"/>
    <n v="1881924322"/>
    <n v="1659579332"/>
    <m/>
    <s v="Melody D La Pena"/>
    <x v="44"/>
    <s v="Recovery_Disputes"/>
    <s v="20260630T061942.000 GMT"/>
    <n v="3068"/>
    <m/>
    <m/>
    <n v="914"/>
    <s v="Yes"/>
    <s v="20260728T224514.000 GMT"/>
    <d v="2026-07-28T00:00:00"/>
    <s v="Gerommel Marcelino"/>
    <s v="Logged in RI tracker."/>
    <m/>
    <s v="AMBROSINO, CARRIE B"/>
    <m/>
    <m/>
    <m/>
    <m/>
    <m/>
    <m/>
    <m/>
    <s v="Gerommel Marcelino"/>
    <n v="38"/>
    <m/>
    <s v="CS"/>
    <s v="Local"/>
    <n v="98706901"/>
    <m/>
    <m/>
    <m/>
    <m/>
    <m/>
    <m/>
    <m/>
    <m/>
    <m/>
    <m/>
    <m/>
    <m/>
    <m/>
    <m/>
    <m/>
    <m/>
    <m/>
    <d v="2026-08-06T00:00:00"/>
  </r>
  <r>
    <x v="1"/>
    <m/>
    <x v="16"/>
    <x v="0"/>
    <x v="217"/>
    <n v="2026187530483"/>
    <n v="40"/>
    <n v="31"/>
    <s v="31-45 DAYS"/>
    <s v="CI-77591148"/>
    <s v="AL87020"/>
    <x v="1"/>
    <n v="3"/>
    <s v="Pending-Investigation"/>
    <s v="Awaiting CCA Response"/>
    <s v="514A69933"/>
    <s v="IN"/>
    <s v="P"/>
    <s v="2024253DV5113"/>
    <n v="174205"/>
    <n v="46237.673611111109"/>
    <s v="IS-Dispute"/>
    <s v="BEN-NonSpider"/>
    <s v="RES-Unrestricted"/>
    <s v="GS-National"/>
    <s v="REG-CA"/>
    <s v="IT-Written"/>
    <s v="174205M5A3"/>
    <s v="CA"/>
    <n v="943235450"/>
    <n v="1851369284"/>
    <m/>
    <m/>
    <m/>
    <x v="10"/>
    <s v="Recovery_Disputes"/>
    <s v="20260707T032638.000 GMT"/>
    <n v="17300"/>
    <m/>
    <m/>
    <n v="514"/>
    <s v="Yes"/>
    <s v="20260803T231052.000 GMT"/>
    <d v="2026-08-03T00:00:00"/>
    <s v="Ronald Sydney D Alina"/>
    <s v="Sent to PA"/>
    <m/>
    <s v="FREMONT SURGERY CENTER"/>
    <m/>
    <m/>
    <m/>
    <m/>
    <m/>
    <m/>
    <m/>
    <s v="Ronald Sydney D Alina"/>
    <n v="31"/>
    <m/>
    <m/>
    <s v="Local"/>
    <n v="609498083"/>
    <m/>
    <m/>
    <m/>
    <m/>
    <m/>
    <m/>
    <m/>
    <m/>
    <m/>
    <m/>
    <m/>
    <m/>
    <m/>
    <m/>
    <m/>
    <m/>
    <m/>
    <d v="2026-08-06T00:00:00"/>
  </r>
  <r>
    <x v="1"/>
    <m/>
    <x v="16"/>
    <x v="0"/>
    <x v="218"/>
    <n v="2026184850026"/>
    <n v="40"/>
    <n v="35"/>
    <s v="31-45 DAYS"/>
    <s v="CI-77471153"/>
    <s v="AL13290"/>
    <x v="1"/>
    <n v="3"/>
    <s v="Pending-Investigation"/>
    <s v="Awaiting CCA Response"/>
    <s v="260A66674"/>
    <s v="IN"/>
    <s v="P"/>
    <s v="2025002BU7944"/>
    <s v="L08893"/>
    <n v="46236.870138888888"/>
    <s v="IS-Dispute"/>
    <s v="BEN-NonSpider"/>
    <s v="RES-Unrestricted"/>
    <s v="GS-Local"/>
    <s v="REG-WI"/>
    <s v="IT-Written"/>
    <s v="L08893M006"/>
    <s v="WI"/>
    <n v="390824015"/>
    <n v="1902832306"/>
    <m/>
    <m/>
    <m/>
    <x v="48"/>
    <s v="Recovery_Disputes"/>
    <s v="20260703T082519.000 GMT"/>
    <n v="5352.55"/>
    <m/>
    <m/>
    <n v="260"/>
    <s v="Yes"/>
    <s v="20260803T035359.000 GMT"/>
    <d v="2026-08-03T00:00:00"/>
    <s v="Rafaelito Sarion"/>
    <s v="Sent to provider audit for further review."/>
    <m/>
    <s v="THEDACARE REGIONAL MEDICA"/>
    <m/>
    <m/>
    <m/>
    <m/>
    <m/>
    <m/>
    <m/>
    <s v="Rafaelito Sarion"/>
    <n v="34"/>
    <m/>
    <m/>
    <s v="Local"/>
    <n v="393746020"/>
    <m/>
    <m/>
    <m/>
    <m/>
    <m/>
    <m/>
    <m/>
    <m/>
    <m/>
    <m/>
    <m/>
    <m/>
    <m/>
    <m/>
    <m/>
    <m/>
    <m/>
    <d v="2026-08-06T00:00:00"/>
  </r>
  <r>
    <x v="1"/>
    <m/>
    <x v="16"/>
    <x v="0"/>
    <x v="219"/>
    <n v="2026176070501"/>
    <n v="40"/>
    <n v="42"/>
    <s v="31-45 DAYS"/>
    <s v="CI-77133308"/>
    <s v="AL20338"/>
    <x v="1"/>
    <n v="9"/>
    <s v="Pending-Investigation"/>
    <s v="Awaiting CCA Response"/>
    <s v="213M89911"/>
    <s v="IN"/>
    <s v="P"/>
    <s v="2026023EP6512"/>
    <s v="L13511"/>
    <n v="46230.880555555559"/>
    <s v="IS-Dispute"/>
    <s v="BEN-Spider"/>
    <s v="RES-Unrestricted"/>
    <s v="GS-LocalFI"/>
    <s v="REG-NY"/>
    <s v="IT-Written"/>
    <s v="L13511R009"/>
    <s v="NY"/>
    <n v="834437296"/>
    <n v="1679174841"/>
    <m/>
    <m/>
    <m/>
    <x v="19"/>
    <s v="Recovery_Disputes"/>
    <s v="20260626T022239.000 GMT"/>
    <n v="29851.3"/>
    <m/>
    <m/>
    <n v="213"/>
    <s v="Yes"/>
    <s v="20260728T040831.000 GMT"/>
    <d v="2026-07-28T00:00:00"/>
    <s v="Virgil Joseph L Domalaoco"/>
    <s v="Still Waiting for Response from Provider Audit"/>
    <m/>
    <s v="CENTER FOR ADVANCED AMBUL"/>
    <m/>
    <m/>
    <m/>
    <m/>
    <m/>
    <m/>
    <m/>
    <s v="Virgil Joseph L Domalaoco"/>
    <n v="42"/>
    <m/>
    <m/>
    <s v="Local"/>
    <n v="119644172"/>
    <m/>
    <m/>
    <m/>
    <m/>
    <m/>
    <m/>
    <m/>
    <m/>
    <m/>
    <m/>
    <m/>
    <m/>
    <m/>
    <m/>
    <m/>
    <m/>
    <m/>
    <d v="2026-08-06T00:00:00"/>
  </r>
  <r>
    <x v="1"/>
    <m/>
    <x v="16"/>
    <x v="0"/>
    <x v="220"/>
    <m/>
    <n v="40"/>
    <n v="31"/>
    <s v="31-45 DAYS"/>
    <s v="CI-77554295"/>
    <s v="AL20316"/>
    <x v="0"/>
    <n v="1"/>
    <s v="Pending-Investigation"/>
    <s v="Pending Reversal"/>
    <s v="567A16305"/>
    <s v="IN"/>
    <s v="P"/>
    <s v="2026139BE1999"/>
    <s v="GA6470"/>
    <m/>
    <s v="IS-Dispute"/>
    <s v="BEN-Any"/>
    <s v="RES-Unrestricted"/>
    <s v="GS-DMPrepay"/>
    <s v="REG-Any"/>
    <s v="IT-Internal"/>
    <s v="GA6470H001"/>
    <s v="GA"/>
    <n v="582030692"/>
    <n v="1396798229"/>
    <n v="1316213788"/>
    <m/>
    <s v="Melody D La Pena"/>
    <x v="45"/>
    <s v="Recovery_Disputes"/>
    <s v="20260706T141922.000 GMT"/>
    <n v="421.2"/>
    <m/>
    <m/>
    <n v="567"/>
    <s v="Yes"/>
    <s v="20260805T162335.000 GMT"/>
    <d v="2026-08-05T00:00:00"/>
    <s v="Anahi Ruiz"/>
    <s v="statistical adjustment. Per 5w edit cpt 36680 is not payable for assistant surgeon. ag52824 8/5/26"/>
    <m/>
    <s v="OREN  GOLTZER"/>
    <m/>
    <m/>
    <m/>
    <m/>
    <m/>
    <m/>
    <m/>
    <s v="Edwin Romeo V Sabarre"/>
    <n v="31"/>
    <m/>
    <m/>
    <s v="Local"/>
    <n v="412312849"/>
    <m/>
    <m/>
    <m/>
    <m/>
    <m/>
    <m/>
    <m/>
    <m/>
    <m/>
    <m/>
    <m/>
    <m/>
    <m/>
    <m/>
    <m/>
    <m/>
    <m/>
    <d v="2026-08-06T00:00:00"/>
  </r>
  <r>
    <x v="1"/>
    <m/>
    <x v="16"/>
    <x v="0"/>
    <x v="221"/>
    <n v="2026177510456"/>
    <n v="40"/>
    <n v="41"/>
    <s v="31-45 DAYS"/>
    <s v="CI-77185642"/>
    <s v="AG66056"/>
    <x v="1"/>
    <n v="9"/>
    <s v="Pending-Investigation"/>
    <s v="Awaiting CCA Response"/>
    <s v="816W02549"/>
    <s v="IN"/>
    <s v="P"/>
    <s v="2025205BJ6149"/>
    <n v="375752"/>
    <n v="46230.8125"/>
    <s v="IS-Dispute"/>
    <s v="BEN-CS90Kernel"/>
    <s v="RES-Unrestricted"/>
    <s v="GS-Local"/>
    <s v="REG-NY"/>
    <s v="IT-Written"/>
    <s v="37575200AM"/>
    <s v="NY"/>
    <n v="133672812"/>
    <n v="1043352982"/>
    <n v="1043352982"/>
    <m/>
    <s v="Melody D La Pena"/>
    <x v="37"/>
    <s v="Recovery_Disputes"/>
    <s v="20260627T000747.000 GMT"/>
    <n v="530"/>
    <m/>
    <m/>
    <n v="816"/>
    <s v="Yes"/>
    <s v="20260728T023038.000 GMT"/>
    <d v="2026-07-28T00:00:00"/>
    <s v="Juana Marie Villamor"/>
    <s v="Sent to provider audit for review"/>
    <m/>
    <s v="SCOTT  WEISS"/>
    <m/>
    <m/>
    <m/>
    <m/>
    <m/>
    <m/>
    <m/>
    <s v="Juana Marie Villamor"/>
    <n v="41"/>
    <m/>
    <m/>
    <s v="Local"/>
    <n v="50685893"/>
    <m/>
    <m/>
    <m/>
    <m/>
    <m/>
    <m/>
    <m/>
    <m/>
    <m/>
    <m/>
    <m/>
    <m/>
    <m/>
    <m/>
    <m/>
    <m/>
    <m/>
    <d v="2026-08-06T00:00:00"/>
  </r>
  <r>
    <x v="1"/>
    <m/>
    <x v="16"/>
    <x v="0"/>
    <x v="222"/>
    <s v="CL-36487192"/>
    <n v="40"/>
    <n v="38"/>
    <s v="31-45 DAYS"/>
    <s v="CI-77249726"/>
    <s v="AH22793"/>
    <x v="0"/>
    <n v="9"/>
    <s v="Pending-Investigation"/>
    <s v="Awaiting CCA Response"/>
    <s v="AOC 093A70941"/>
    <s v="Standard"/>
    <s v="Provider"/>
    <s v="2024269DL1561"/>
    <s v="W61397"/>
    <n v="46230.867361111108"/>
    <s v="IS-Dispute"/>
    <s v="BEN-Spider"/>
    <s v="RES-Unrestricted"/>
    <s v="GS-LocalFI"/>
    <s v="REG-MO"/>
    <s v="IT-ASPEN"/>
    <s v="W61397M001"/>
    <s v="MO"/>
    <n v="474196634"/>
    <n v="1942685920"/>
    <m/>
    <m/>
    <m/>
    <x v="0"/>
    <s v="Recovery_Disputes"/>
    <s v="20260629T130023.000 GMT"/>
    <n v="118950.5"/>
    <m/>
    <m/>
    <s v="AOC"/>
    <s v="No"/>
    <s v="20260728T034941.000 GMT"/>
    <d v="2026-07-28T00:00:00"/>
    <s v="Mary Elizabeth C Pedregoza"/>
    <s v="Sent for PA review"/>
    <m/>
    <s v="SSM HEALTH SAINT LOUIS UN"/>
    <m/>
    <m/>
    <m/>
    <m/>
    <m/>
    <s v="CL-36486513"/>
    <m/>
    <s v="Mary Elizabeth C Pedregoza"/>
    <n v="38"/>
    <m/>
    <s v="Claim Adjustment"/>
    <s v="Local"/>
    <n v="490785287"/>
    <m/>
    <m/>
    <m/>
    <m/>
    <m/>
    <m/>
    <m/>
    <m/>
    <m/>
    <m/>
    <m/>
    <m/>
    <m/>
    <m/>
    <m/>
    <m/>
    <m/>
    <d v="2026-08-06T00:00:00"/>
  </r>
  <r>
    <x v="1"/>
    <m/>
    <x v="16"/>
    <x v="0"/>
    <x v="223"/>
    <n v="2026187990338"/>
    <n v="40"/>
    <n v="31"/>
    <s v="31-45 DAYS"/>
    <s v="CI-77577496"/>
    <s v="AL55790"/>
    <x v="0"/>
    <n v="1"/>
    <s v="Pending-Investigation"/>
    <s v="Awaiting CCA Response"/>
    <s v="854W03256"/>
    <s v="IN"/>
    <s v="P"/>
    <s v="2025220DI8207"/>
    <n v="197184"/>
    <n v="46239.05972222222"/>
    <s v="IS-Dispute"/>
    <s v="BEN-NonSpider"/>
    <s v="RES-Unrestricted"/>
    <s v="GS-Local"/>
    <s v="REG-CONV"/>
    <s v="IT-Written"/>
    <s v="197184M008"/>
    <s v="CA"/>
    <n v="946050274"/>
    <n v="1003867565"/>
    <m/>
    <m/>
    <m/>
    <x v="24"/>
    <s v="Recovery_Disputes"/>
    <s v="20260706T204231.000 GMT"/>
    <n v="788073.4"/>
    <m/>
    <m/>
    <n v="854"/>
    <s v="Yes"/>
    <s v="20260805T082706.000 GMT"/>
    <d v="2026-08-05T00:00:00"/>
    <s v="Dwena Joy D Sevilla"/>
    <s v="Sent email to PA for medical records review"/>
    <m/>
    <s v="BARTON HEALTHCARE SYSTEM"/>
    <m/>
    <m/>
    <m/>
    <m/>
    <m/>
    <m/>
    <m/>
    <s v="Dwena Joy D Sevilla"/>
    <n v="31"/>
    <m/>
    <m/>
    <s v="Local"/>
    <n v="556151137"/>
    <m/>
    <m/>
    <m/>
    <m/>
    <m/>
    <m/>
    <m/>
    <m/>
    <m/>
    <m/>
    <m/>
    <m/>
    <m/>
    <m/>
    <m/>
    <m/>
    <m/>
    <d v="2026-08-06T00:00:00"/>
  </r>
  <r>
    <x v="1"/>
    <m/>
    <x v="16"/>
    <x v="0"/>
    <x v="224"/>
    <n v="2026180180313"/>
    <n v="40"/>
    <n v="38"/>
    <s v="31-45 DAYS"/>
    <s v="CI-77276364"/>
    <s v="AH17430"/>
    <x v="0"/>
    <n v="9"/>
    <s v="Pending-Investigation"/>
    <s v="Awaiting CCA Response"/>
    <s v="281M87255"/>
    <s v="IN"/>
    <s v="P"/>
    <s v="2025300CJ4002"/>
    <n v="174208"/>
    <n v="46230.987500000003"/>
    <s v="IS-Dispute"/>
    <s v="BEN-NonSpider"/>
    <s v="RES-Unrestricted"/>
    <s v="GS-WoodWard"/>
    <s v="REG-CONV"/>
    <s v="IT-Written"/>
    <s v="174208M7AE"/>
    <s v="WI"/>
    <n v="391824445"/>
    <n v="1598784555"/>
    <n v="1891323549"/>
    <m/>
    <m/>
    <x v="17"/>
    <s v="Recovery_Disputes"/>
    <s v="20260629T203255.000 GMT"/>
    <n v="40330.75"/>
    <m/>
    <m/>
    <n v="281"/>
    <s v="Yes"/>
    <s v="20260728T064259.000 GMT"/>
    <d v="2026-07-28T00:00:00"/>
    <s v="Nesty Hope A Lagarto"/>
    <s v="Sent to PA for review"/>
    <m/>
    <s v="BRIAN J HALLIS, BRIAN J"/>
    <m/>
    <m/>
    <m/>
    <m/>
    <m/>
    <m/>
    <m/>
    <s v="Nesty Hope A Lagarto"/>
    <n v="38"/>
    <m/>
    <m/>
    <s v="Local"/>
    <n v="353501769"/>
    <m/>
    <m/>
    <m/>
    <m/>
    <m/>
    <m/>
    <m/>
    <m/>
    <m/>
    <m/>
    <m/>
    <m/>
    <m/>
    <m/>
    <m/>
    <m/>
    <m/>
    <d v="2026-08-06T00:00:00"/>
  </r>
  <r>
    <x v="1"/>
    <m/>
    <x v="16"/>
    <x v="0"/>
    <x v="225"/>
    <n v="2026183250023"/>
    <n v="40"/>
    <n v="35"/>
    <s v="31-45 DAYS"/>
    <s v="CI-77413723"/>
    <s v="AM21390"/>
    <x v="0"/>
    <n v="3"/>
    <s v="Pending-Investigation"/>
    <s v="Additional Research"/>
    <s v="603M61906"/>
    <s v="IN"/>
    <s v="P"/>
    <s v="2026092GA7809"/>
    <n v="213052"/>
    <n v="46237.640972222223"/>
    <s v="IS-Dispute"/>
    <s v="BEN-NonSpider"/>
    <s v="RES-Unrestricted"/>
    <s v="GS-WIPRONationalMHAP"/>
    <s v="REG-IN"/>
    <s v="IT-Written"/>
    <s v="213052M8FA"/>
    <s v="IN"/>
    <n v="205439620"/>
    <n v="1245320639"/>
    <m/>
    <m/>
    <m/>
    <x v="50"/>
    <s v="Recovery_Disputes"/>
    <s v="20260702T082820.000 GMT"/>
    <n v="9164.7199999999993"/>
    <m/>
    <m/>
    <n v="603"/>
    <s v="Yes"/>
    <s v="20260803T222358.000 GMT"/>
    <d v="2026-08-03T00:00:00"/>
    <s v="MARK ANTHONY V CUATON"/>
    <s v="Claim is still in pending-investigation status less than 15 days. Waiting for update."/>
    <m/>
    <s v="LIBERTY DIALYSIS LAFAYETT"/>
    <m/>
    <m/>
    <m/>
    <m/>
    <m/>
    <m/>
    <m/>
    <s v="MARK ANTHONY V CUATON"/>
    <n v="35"/>
    <m/>
    <m/>
    <s v="Local"/>
    <n v="312154713"/>
    <m/>
    <m/>
    <m/>
    <m/>
    <m/>
    <m/>
    <m/>
    <m/>
    <m/>
    <m/>
    <m/>
    <m/>
    <m/>
    <m/>
    <m/>
    <m/>
    <m/>
    <d v="2026-08-06T00:00:00"/>
  </r>
  <r>
    <x v="1"/>
    <m/>
    <x v="16"/>
    <x v="0"/>
    <x v="226"/>
    <s v="CL-36519150"/>
    <n v="40"/>
    <n v="38"/>
    <s v="31-45 DAYS"/>
    <s v="CI-77275413"/>
    <s v="AL55790"/>
    <x v="0"/>
    <n v="4"/>
    <s v="Pending-Investigation"/>
    <s v="Awaiting CCA Response"/>
    <s v="KJV MM1036039"/>
    <s v="Standard"/>
    <s v="Provider"/>
    <s v="2025287EV0926"/>
    <s v="L06189"/>
    <n v="46236.705555555556"/>
    <s v="IS-Dispute"/>
    <s v="BEN-Spider"/>
    <s v="RES-Unrestricted"/>
    <s v="GS-Local"/>
    <s v="REG-NY"/>
    <s v="IT-ASPEN"/>
    <s v="L06189A001"/>
    <s v="IN"/>
    <n v="872032935"/>
    <n v="1790443950"/>
    <m/>
    <m/>
    <m/>
    <x v="24"/>
    <s v="Recovery_Disputes"/>
    <s v="20260629T201836.000 GMT"/>
    <n v="214660"/>
    <m/>
    <m/>
    <s v="KJV"/>
    <s v="No"/>
    <s v="20260802T235702.000 GMT"/>
    <d v="2026-08-02T00:00:00"/>
    <s v="Dwena Joy D Sevilla"/>
    <s v="Sent email to PA for medical records review"/>
    <m/>
    <s v="KOKOMO CENTER FOR OUTPATI"/>
    <m/>
    <m/>
    <m/>
    <m/>
    <m/>
    <s v="CL-36518757"/>
    <m/>
    <s v="Dwena Joy D Sevilla"/>
    <n v="38"/>
    <m/>
    <s v="Claim Adjustment"/>
    <s v="Local"/>
    <s v="MM1036039"/>
    <m/>
    <m/>
    <m/>
    <m/>
    <m/>
    <m/>
    <m/>
    <m/>
    <m/>
    <m/>
    <m/>
    <m/>
    <m/>
    <m/>
    <m/>
    <m/>
    <m/>
    <d v="2026-08-06T00:00:00"/>
  </r>
  <r>
    <x v="1"/>
    <m/>
    <x v="16"/>
    <x v="0"/>
    <x v="227"/>
    <s v="CL-36615680"/>
    <n v="40"/>
    <n v="36"/>
    <s v="31-45 DAYS"/>
    <s v="CI-77391852"/>
    <s v="AL39630"/>
    <x v="0"/>
    <n v="7"/>
    <s v="Pending-Investigation"/>
    <s v="Awaiting CCA Response"/>
    <s v="LEM AN7940132"/>
    <s v="Standard"/>
    <s v="Provider"/>
    <s v="2025319CU8048"/>
    <s v="W91001"/>
    <n v="46232.913888888892"/>
    <s v="IS-Dispute"/>
    <s v="BEN-NonSpider"/>
    <s v="RES-Unrestricted"/>
    <s v="GS-Local"/>
    <s v="REG-WI"/>
    <s v="IT-ASPEN"/>
    <s v="W91001MC02"/>
    <s v="NY"/>
    <n v="881825426"/>
    <n v="1508643610"/>
    <m/>
    <m/>
    <m/>
    <x v="6"/>
    <s v="Recovery_Disputes"/>
    <s v="20260701T203303.000 GMT"/>
    <n v="59843"/>
    <m/>
    <m/>
    <s v="LEM"/>
    <s v="No"/>
    <s v="20260730T045617.000 GMT"/>
    <d v="2026-07-30T00:00:00"/>
    <s v="Angelica B Buan"/>
    <s v="Inquiry is pending for a CCA response and High Dollar review."/>
    <m/>
    <s v="PEAKPOINT MIDTOWN WEST SU"/>
    <m/>
    <m/>
    <m/>
    <m/>
    <m/>
    <s v="CL-36615208"/>
    <m/>
    <s v="Angelica B Buan"/>
    <n v="36"/>
    <m/>
    <s v="Claim Adjustment"/>
    <s v="Local"/>
    <n v="52740736"/>
    <m/>
    <m/>
    <m/>
    <m/>
    <m/>
    <m/>
    <m/>
    <m/>
    <m/>
    <m/>
    <m/>
    <m/>
    <m/>
    <m/>
    <m/>
    <m/>
    <m/>
    <d v="2026-08-06T00:00:00"/>
  </r>
  <r>
    <x v="1"/>
    <m/>
    <x v="16"/>
    <x v="0"/>
    <x v="228"/>
    <n v="2026178930226"/>
    <n v="40"/>
    <n v="40"/>
    <s v="31-45 DAYS"/>
    <s v="CI-77213158"/>
    <s v="AL20316"/>
    <x v="0"/>
    <n v="9"/>
    <s v="Pending-Investigation"/>
    <s v="Awaiting CCA Response"/>
    <s v="875M91836"/>
    <s v="IN"/>
    <s v="P"/>
    <s v="2025272R71756"/>
    <n v="721330"/>
    <n v="46230.847222222219"/>
    <s v="IS-Dispute"/>
    <s v="BEN-Spider"/>
    <s v="RES-Unrestricted"/>
    <s v="GS-Local"/>
    <s v="REG-NY"/>
    <s v="IT-Written"/>
    <s v="721330002M"/>
    <s v="NY"/>
    <n v="260768706"/>
    <n v="1134315922"/>
    <n v="1134315922"/>
    <m/>
    <s v="Melody D La Pena"/>
    <x v="45"/>
    <s v="Recovery_Disputes"/>
    <s v="20260627T203235.000 GMT"/>
    <n v="350"/>
    <m/>
    <m/>
    <n v="875"/>
    <s v="Yes"/>
    <s v="20260728T032039.000 GMT"/>
    <d v="2026-07-28T00:00:00"/>
    <s v="Edwin Romeo V Sabarre"/>
    <s v="Sent email to PA for medical records review."/>
    <m/>
    <s v="YASHA  YANG, YASHA"/>
    <m/>
    <m/>
    <m/>
    <m/>
    <m/>
    <m/>
    <m/>
    <s v="Edwin Romeo V Sabarre"/>
    <n v="40"/>
    <m/>
    <m/>
    <s v="Local"/>
    <n v="89666990"/>
    <m/>
    <m/>
    <m/>
    <m/>
    <m/>
    <m/>
    <m/>
    <m/>
    <m/>
    <m/>
    <m/>
    <m/>
    <m/>
    <m/>
    <m/>
    <m/>
    <m/>
    <d v="2026-08-06T00:00:00"/>
  </r>
  <r>
    <x v="1"/>
    <m/>
    <x v="16"/>
    <x v="0"/>
    <x v="229"/>
    <n v="2026184050199"/>
    <n v="40"/>
    <n v="34"/>
    <s v="31-45 DAYS"/>
    <s v="CI-77539515"/>
    <s v="AH17430"/>
    <x v="0"/>
    <n v="3"/>
    <s v="Pending-Investigation"/>
    <s v="Awaiting CCA Response"/>
    <s v="423A65876"/>
    <s v="IN"/>
    <s v="P"/>
    <s v="2025220EC4234"/>
    <s v="W60277"/>
    <n v="46236.790972222225"/>
    <s v="IS-Dispute"/>
    <s v="BEN-Spider"/>
    <s v="RES-Unrestricted"/>
    <s v="GS-LocalFI"/>
    <s v="REG-MO"/>
    <s v="IT-Written"/>
    <s v="W60277M004"/>
    <s v="MO"/>
    <n v="440577118"/>
    <n v="1750036703"/>
    <n v="1609162817"/>
    <m/>
    <m/>
    <x v="17"/>
    <s v="Recovery_Disputes"/>
    <s v="20260706T060549.000 GMT"/>
    <n v="5443.82"/>
    <m/>
    <m/>
    <n v="423"/>
    <s v="Yes"/>
    <s v="20260803T020001.000 GMT"/>
    <d v="2026-08-03T00:00:00"/>
    <s v="Nesty Hope A Lagarto"/>
    <s v="Sent to PA for review"/>
    <m/>
    <s v="WIESNER, PHILIPP A"/>
    <m/>
    <m/>
    <m/>
    <m/>
    <m/>
    <m/>
    <m/>
    <s v="Nesty Hope A Lagarto"/>
    <n v="32"/>
    <m/>
    <m/>
    <s v="Local"/>
    <n v="492641370"/>
    <m/>
    <m/>
    <m/>
    <m/>
    <m/>
    <m/>
    <m/>
    <m/>
    <m/>
    <m/>
    <m/>
    <m/>
    <m/>
    <m/>
    <m/>
    <m/>
    <m/>
    <d v="2026-08-06T00:00:00"/>
  </r>
  <r>
    <x v="1"/>
    <m/>
    <x v="16"/>
    <x v="0"/>
    <x v="230"/>
    <n v="2026181500333"/>
    <n v="40"/>
    <n v="37"/>
    <s v="31-45 DAYS"/>
    <s v="CI-77332220"/>
    <s v="AG49226"/>
    <x v="4"/>
    <n v="8"/>
    <s v="Pending-Investigation"/>
    <s v="Awaiting CCA Response"/>
    <s v="AN5258151"/>
    <s v="IN"/>
    <s v="P"/>
    <s v="2025220BR8014"/>
    <n v="174577"/>
    <n v="46231.914583333331"/>
    <s v="IS-Dispute"/>
    <s v="BEN-NonSpider"/>
    <s v="RES-Unrestricted"/>
    <s v="GS-HomeDepot"/>
    <s v="REG-GA"/>
    <s v="IT-Written"/>
    <s v="174577B2HA"/>
    <s v="GA"/>
    <n v="331216751"/>
    <n v="1407082308"/>
    <m/>
    <m/>
    <m/>
    <x v="22"/>
    <s v="Recovery_Disputes"/>
    <s v="20260630T194248.000 GMT"/>
    <n v="42621.19"/>
    <m/>
    <m/>
    <s v="AN5"/>
    <s v="Yes"/>
    <s v="20260729T045753.000 GMT"/>
    <d v="2026-07-29T00:00:00"/>
    <s v="Kevin Michael M Santos"/>
    <s v="Awaiting CCA Response"/>
    <m/>
    <s v="PIEDMONT COLUMBUS REGIONA"/>
    <m/>
    <m/>
    <m/>
    <m/>
    <m/>
    <m/>
    <m/>
    <s v="Kevin Michael M Santos"/>
    <n v="37"/>
    <m/>
    <m/>
    <s v="Local"/>
    <n v="254983451"/>
    <m/>
    <m/>
    <m/>
    <m/>
    <m/>
    <m/>
    <m/>
    <m/>
    <m/>
    <m/>
    <m/>
    <m/>
    <m/>
    <m/>
    <m/>
    <m/>
    <m/>
    <d v="2026-08-06T00:00:00"/>
  </r>
  <r>
    <x v="1"/>
    <m/>
    <x v="16"/>
    <x v="0"/>
    <x v="231"/>
    <n v="2026187910592"/>
    <n v="40"/>
    <n v="31"/>
    <s v="31-45 DAYS"/>
    <s v="CI-77574217"/>
    <s v="AH60028"/>
    <x v="2"/>
    <n v="2"/>
    <s v="Pending-Investigation"/>
    <s v="Awaiting CCA Response"/>
    <s v="806W10900"/>
    <s v="IN"/>
    <s v="P"/>
    <s v="2024122CO0337"/>
    <n v="270213"/>
    <n v="46237.799305555556"/>
    <s v="IS-Dispute"/>
    <s v="BEN-NonSpider"/>
    <s v="RES-Unrestricted"/>
    <s v="GS-Raytheon"/>
    <s v="REG-IN"/>
    <s v="IT-Written"/>
    <s v="270213OHU1"/>
    <s v="CA"/>
    <n v="951684089"/>
    <n v="1841277704"/>
    <m/>
    <m/>
    <m/>
    <x v="7"/>
    <s v="Recovery_Disputes"/>
    <s v="20260706T193932.000 GMT"/>
    <n v="217468.77"/>
    <m/>
    <m/>
    <n v="806"/>
    <s v="Yes"/>
    <s v="20260804T021136.000 GMT"/>
    <d v="2026-08-04T00:00:00"/>
    <s v="Mark Ian D Ninas"/>
    <s v="Email sent for PA review"/>
    <m/>
    <s v="SCRIPPS MEMORIAL HOSPITAL"/>
    <m/>
    <m/>
    <m/>
    <m/>
    <m/>
    <m/>
    <m/>
    <s v="Mark Ian D Ninas"/>
    <n v="31"/>
    <m/>
    <m/>
    <s v="Local"/>
    <n v="526084118"/>
    <m/>
    <m/>
    <m/>
    <m/>
    <m/>
    <m/>
    <m/>
    <m/>
    <m/>
    <m/>
    <m/>
    <m/>
    <m/>
    <m/>
    <m/>
    <m/>
    <m/>
    <d v="2026-08-06T00:00:00"/>
  </r>
  <r>
    <x v="1"/>
    <m/>
    <x v="16"/>
    <x v="0"/>
    <x v="232"/>
    <n v="2026188110068"/>
    <n v="40"/>
    <n v="31"/>
    <s v="31-45 DAYS"/>
    <s v="CI-77601092"/>
    <s v="AL20316"/>
    <x v="0"/>
    <n v="2"/>
    <s v="Pending-Investigation"/>
    <s v="Awaiting CCA Response"/>
    <s v="AN6524177"/>
    <s v="IN"/>
    <s v="P"/>
    <s v="2025230DU8980"/>
    <s v="W24174"/>
    <n v="46237.788194444445"/>
    <s v="IS-Dispute"/>
    <s v="BEN-NonSpider"/>
    <s v="RES-Unrestricted"/>
    <s v="GS-StateOfIN"/>
    <s v="REG-IN"/>
    <s v="IT-Written"/>
    <s v="W24174M319"/>
    <s v="IN"/>
    <n v="350867958"/>
    <n v="1225195340"/>
    <m/>
    <m/>
    <s v="Melody D La Pena"/>
    <x v="45"/>
    <s v="Recovery_Disputes"/>
    <s v="20260707T105111.000 GMT"/>
    <n v="234265.73"/>
    <m/>
    <m/>
    <s v="AN6"/>
    <s v="Yes"/>
    <s v="20260804T015613.000 GMT"/>
    <d v="2026-08-04T00:00:00"/>
    <s v="Edwin Romeo V Sabarre"/>
    <s v="Sent email to PA for medical records review."/>
    <m/>
    <s v="INDIANA UNIVERSITY HEALTH"/>
    <m/>
    <m/>
    <m/>
    <m/>
    <m/>
    <m/>
    <m/>
    <s v="Edwin Romeo V Sabarre"/>
    <n v="30"/>
    <m/>
    <m/>
    <s v="Local"/>
    <n v="304806406"/>
    <m/>
    <m/>
    <m/>
    <m/>
    <m/>
    <m/>
    <m/>
    <m/>
    <m/>
    <m/>
    <m/>
    <m/>
    <m/>
    <m/>
    <m/>
    <m/>
    <m/>
    <d v="2026-08-06T00:00:00"/>
  </r>
  <r>
    <x v="1"/>
    <m/>
    <x v="16"/>
    <x v="0"/>
    <x v="233"/>
    <n v="2026188130158"/>
    <n v="40"/>
    <n v="31"/>
    <s v="31-45 DAYS"/>
    <s v="CI-77613158"/>
    <s v="AL20316"/>
    <x v="0"/>
    <n v="2"/>
    <s v="Pending-Investigation"/>
    <s v="Purge Claim Request"/>
    <s v="122M54003"/>
    <s v="IN"/>
    <s v="P"/>
    <s v="2024025EB7004"/>
    <n v="212124"/>
    <n v="46237.847222222219"/>
    <s v="IS-Dispute"/>
    <s v="BEN-NonSpider"/>
    <s v="RES-Unrestricted"/>
    <s v="GS-National"/>
    <s v="REG-OH"/>
    <s v="IT-Written"/>
    <s v="212124M1HA"/>
    <m/>
    <m/>
    <m/>
    <m/>
    <m/>
    <s v="Melody D La Pena"/>
    <x v="45"/>
    <s v="Recovery_Disputes"/>
    <s v="20260707T144010.000 GMT"/>
    <n v="0"/>
    <m/>
    <m/>
    <n v="122"/>
    <s v="Yes"/>
    <s v="20260804T032157.000 GMT"/>
    <d v="2026-08-04T00:00:00"/>
    <s v="Edwin Romeo V Sabarre"/>
    <s v="Waiting for cross reference claim to be restored."/>
    <m/>
    <m/>
    <m/>
    <m/>
    <m/>
    <m/>
    <m/>
    <m/>
    <m/>
    <s v="Edwin Romeo V Sabarre"/>
    <n v="30"/>
    <m/>
    <m/>
    <m/>
    <n v="301604188"/>
    <m/>
    <m/>
    <m/>
    <m/>
    <m/>
    <m/>
    <m/>
    <m/>
    <m/>
    <m/>
    <m/>
    <m/>
    <m/>
    <m/>
    <m/>
    <m/>
    <m/>
    <d v="2026-08-06T00:00:00"/>
  </r>
  <r>
    <x v="1"/>
    <m/>
    <x v="16"/>
    <x v="0"/>
    <x v="234"/>
    <n v="2026180770469"/>
    <n v="40"/>
    <n v="38"/>
    <s v="31-45 DAYS"/>
    <s v="CI-77290744"/>
    <s v="AL20316"/>
    <x v="0"/>
    <n v="8"/>
    <s v="Pending-Investigation"/>
    <s v="Awaiting CCA Response"/>
    <s v="067W22124"/>
    <s v="IN"/>
    <s v="P"/>
    <s v="2025043ER3600"/>
    <n v="213031"/>
    <n v="46231.925000000003"/>
    <s v="IS-Dispute"/>
    <s v="BEN-NonSpider"/>
    <s v="RES-Unrestricted"/>
    <s v="GS-National"/>
    <s v="REG-IN"/>
    <s v="IT-Written"/>
    <s v="213031M3AC"/>
    <s v="MO"/>
    <n v="436003859"/>
    <n v="1699769901"/>
    <m/>
    <m/>
    <s v="Melody D La Pena"/>
    <x v="45"/>
    <s v="Recovery_Disputes"/>
    <s v="20260630T034905.000 GMT"/>
    <n v="523940.76"/>
    <m/>
    <m/>
    <n v="67"/>
    <s v="Yes"/>
    <s v="20260729T051223.000 GMT"/>
    <d v="2026-07-29T00:00:00"/>
    <s v="Edwin Romeo V Sabarre"/>
    <s v="Sent email to PA for medical records review."/>
    <m/>
    <s v="CURATORS OF THE UNIVERSIT"/>
    <m/>
    <m/>
    <m/>
    <m/>
    <m/>
    <m/>
    <m/>
    <s v="Edwin Romeo V Sabarre"/>
    <n v="38"/>
    <m/>
    <m/>
    <s v="Local"/>
    <n v="494020525"/>
    <m/>
    <m/>
    <m/>
    <m/>
    <m/>
    <m/>
    <m/>
    <m/>
    <m/>
    <m/>
    <m/>
    <m/>
    <m/>
    <m/>
    <m/>
    <m/>
    <m/>
    <d v="2026-08-06T00:00:00"/>
  </r>
  <r>
    <x v="1"/>
    <m/>
    <x v="16"/>
    <x v="0"/>
    <x v="235"/>
    <s v="CL-36710836"/>
    <n v="40"/>
    <n v="31"/>
    <s v="31-45 DAYS"/>
    <s v="CI-77570996"/>
    <s v="AL43840"/>
    <x v="0"/>
    <n v="1"/>
    <s v="Pending-Investigation"/>
    <s v="Additional Research"/>
    <s v="JVP 869W02220"/>
    <s v="Standard"/>
    <s v="Provider"/>
    <s v="2026124DJ9895"/>
    <s v="E00207"/>
    <n v="46239.645138888889"/>
    <s v="IS-Dispute"/>
    <s v="BEN-Spider"/>
    <s v="RES-Unrestricted"/>
    <s v="GS-LocalFI"/>
    <s v="REG-ME"/>
    <s v="IT-ASPEN"/>
    <s v="E002070012"/>
    <s v="ME"/>
    <n v="10238552"/>
    <n v="1760436216"/>
    <n v="1821502477"/>
    <m/>
    <s v="Melody D La Pena"/>
    <x v="28"/>
    <s v="Recovery_Disputes"/>
    <s v="20260706T184430.000 GMT"/>
    <n v="1543.8"/>
    <m/>
    <m/>
    <s v="JVP"/>
    <s v="No"/>
    <s v="20260805T222924.000 GMT"/>
    <d v="2026-08-05T00:00:00"/>
    <s v="Nora Karla G Dela pena"/>
    <s v="The claim has been in adj/pend status since 7/31/2026 waiting to be process."/>
    <m/>
    <s v="WANG, WEN"/>
    <m/>
    <m/>
    <m/>
    <m/>
    <m/>
    <s v="CL-36710144"/>
    <m/>
    <s v="Nora Karla G Dela pena"/>
    <n v="31"/>
    <m/>
    <s v="Claim Adjustment"/>
    <s v="Local"/>
    <n v="160721788"/>
    <m/>
    <m/>
    <m/>
    <m/>
    <m/>
    <m/>
    <m/>
    <m/>
    <m/>
    <m/>
    <m/>
    <m/>
    <m/>
    <m/>
    <m/>
    <m/>
    <m/>
    <d v="2026-08-06T00:00:00"/>
  </r>
  <r>
    <x v="1"/>
    <m/>
    <x v="16"/>
    <x v="0"/>
    <x v="236"/>
    <n v="2026176950410"/>
    <n v="40"/>
    <n v="42"/>
    <s v="31-45 DAYS"/>
    <s v="CI-77127722"/>
    <s v="AL20320"/>
    <x v="0"/>
    <n v="13"/>
    <s v="Pending-Investigation"/>
    <s v="Awaiting CCA Response"/>
    <s v="529A22773"/>
    <s v="IN"/>
    <s v="P"/>
    <s v="2025062EF7794"/>
    <n v="201004"/>
    <n v="46226.944444444445"/>
    <s v="IS-Dispute"/>
    <s v="BEN-NonSpider"/>
    <s v="RES-Unrestricted"/>
    <s v="GS-National"/>
    <s v="REG-VA"/>
    <s v="IT-Written"/>
    <s v="201004ME0N"/>
    <s v="IN"/>
    <n v="351955872"/>
    <n v="1144266024"/>
    <m/>
    <m/>
    <m/>
    <x v="29"/>
    <s v="Recovery_Disputes"/>
    <s v="20260625T230657.000 GMT"/>
    <n v="158669.09"/>
    <m/>
    <m/>
    <n v="529"/>
    <s v="Yes"/>
    <s v="20260724T054051.000 GMT"/>
    <d v="2026-07-24T00:00:00"/>
    <s v="Alvin J Melgar"/>
    <s v="Awaiting for PA review."/>
    <m/>
    <s v="INDIANA UNIVERSITY HEALTH"/>
    <m/>
    <m/>
    <m/>
    <m/>
    <m/>
    <m/>
    <m/>
    <s v="Alvin J Melgar"/>
    <n v="42"/>
    <m/>
    <s v="CS"/>
    <s v="Local"/>
    <n v="309705419"/>
    <m/>
    <m/>
    <m/>
    <m/>
    <m/>
    <m/>
    <m/>
    <m/>
    <m/>
    <m/>
    <m/>
    <m/>
    <m/>
    <m/>
    <m/>
    <m/>
    <m/>
    <d v="2026-08-06T00:00:00"/>
  </r>
  <r>
    <x v="1"/>
    <m/>
    <x v="16"/>
    <x v="0"/>
    <x v="237"/>
    <m/>
    <n v="40"/>
    <n v="37"/>
    <s v="31-45 DAYS"/>
    <s v="CI-77326820"/>
    <s v="AG49226"/>
    <x v="4"/>
    <n v="8"/>
    <s v="Pending-Investigation"/>
    <s v="Awaiting CCA Response"/>
    <s v="165A24516"/>
    <s v="Standard"/>
    <s v="P"/>
    <s v="2025274FJ1914"/>
    <n v="212061"/>
    <n v="46231.842361111114"/>
    <s v="IS-Dispute"/>
    <s v="BEN-NonSpider"/>
    <s v="RES-Unrestricted"/>
    <s v="GS-National"/>
    <s v="REG-OH"/>
    <s v="IT-Written"/>
    <s v="212061M1NB"/>
    <s v="CA"/>
    <n v="951643360"/>
    <n v="1992752315"/>
    <m/>
    <m/>
    <m/>
    <x v="22"/>
    <s v="Recovery_Disputes"/>
    <s v="20260630T180803.000 GMT"/>
    <n v="24510.75"/>
    <m/>
    <m/>
    <n v="165"/>
    <s v="Yes"/>
    <s v="20260729T031357.000 GMT"/>
    <d v="2026-07-29T00:00:00"/>
    <s v="Kevin Michael M Santos"/>
    <s v="Awaiting CCA Response"/>
    <m/>
    <s v="PROVIDENCE MISSION HOSPIT"/>
    <m/>
    <m/>
    <m/>
    <m/>
    <m/>
    <m/>
    <m/>
    <s v="Kevin Michael M Santos"/>
    <n v="37"/>
    <m/>
    <m/>
    <s v="Local"/>
    <n v="617658567"/>
    <m/>
    <m/>
    <m/>
    <m/>
    <m/>
    <m/>
    <m/>
    <m/>
    <m/>
    <m/>
    <m/>
    <m/>
    <m/>
    <m/>
    <m/>
    <m/>
    <m/>
    <d v="2026-08-06T00:00:00"/>
  </r>
  <r>
    <x v="1"/>
    <m/>
    <x v="16"/>
    <x v="0"/>
    <x v="238"/>
    <n v="2026186820003"/>
    <n v="40"/>
    <n v="32"/>
    <s v="31-45 DAYS"/>
    <s v="CI-77530969"/>
    <s v="AH22793"/>
    <x v="0"/>
    <n v="3"/>
    <s v="Pending-Investigation"/>
    <s v="Awaiting CCA Response"/>
    <s v="169M91840"/>
    <s v="IN"/>
    <s v="P"/>
    <s v="2025279R70250"/>
    <n v="721330"/>
    <n v="46236.814583333333"/>
    <s v="IS-Dispute"/>
    <s v="BEN-Spider"/>
    <s v="RES-Unrestricted"/>
    <s v="GS-Local"/>
    <s v="REG-NY"/>
    <s v="IT-Written"/>
    <s v="721330002M"/>
    <s v="NY"/>
    <n v="260768706"/>
    <n v="1134315922"/>
    <n v="1134315922"/>
    <m/>
    <m/>
    <x v="0"/>
    <s v="Recovery_Disputes"/>
    <s v="20260705T071009.000 GMT"/>
    <n v="350"/>
    <m/>
    <m/>
    <n v="169"/>
    <s v="Yes"/>
    <s v="20260803T023352.000 GMT"/>
    <d v="2026-08-03T00:00:00"/>
    <s v="Mary Elizabeth C Pedregoza"/>
    <s v="Sent for CCA review."/>
    <m/>
    <s v="YASHA  YANG"/>
    <m/>
    <m/>
    <m/>
    <m/>
    <m/>
    <m/>
    <m/>
    <s v="Mary Elizabeth C Pedregoza"/>
    <n v="32"/>
    <m/>
    <m/>
    <s v="Local"/>
    <n v="113702827"/>
    <m/>
    <m/>
    <m/>
    <m/>
    <m/>
    <m/>
    <m/>
    <m/>
    <m/>
    <m/>
    <m/>
    <m/>
    <m/>
    <m/>
    <m/>
    <m/>
    <m/>
    <d v="2026-08-06T00:00:00"/>
  </r>
  <r>
    <x v="1"/>
    <m/>
    <x v="16"/>
    <x v="0"/>
    <x v="239"/>
    <n v="2026181420009"/>
    <n v="40"/>
    <n v="38"/>
    <s v="31-45 DAYS"/>
    <s v="CI-77293660"/>
    <s v="AL20349"/>
    <x v="0"/>
    <n v="8"/>
    <s v="Pending-Investigation"/>
    <s v="Awaiting CCA Response"/>
    <s v="313W08489"/>
    <s v="IN"/>
    <s v="P"/>
    <s v="2025228CW8717"/>
    <n v="376415"/>
    <n v="46231.727777777778"/>
    <s v="IS-Dispute"/>
    <s v="BEN-Spider"/>
    <s v="RES-Unrestricted"/>
    <s v="GS-LocalFI"/>
    <s v="REG-NY"/>
    <s v="IT-Written"/>
    <s v="376415C77S"/>
    <s v="NY"/>
    <n v="134010372"/>
    <n v="1699766261"/>
    <n v="1447944087"/>
    <m/>
    <s v="Melody D La Pena"/>
    <x v="44"/>
    <s v="Recovery_Disputes"/>
    <s v="20260630T073753.000 GMT"/>
    <n v="4973.6000000000004"/>
    <m/>
    <m/>
    <n v="313"/>
    <s v="Yes"/>
    <s v="20260729T002851.000 GMT"/>
    <d v="2026-07-29T00:00:00"/>
    <s v="Gerommel Marcelino"/>
    <s v="MR Automation: Not eligible for MR automation due to the presense of  ,QT1 edit. Please review and process as per the guidelines."/>
    <m/>
    <s v="OLIVIA  SCIOLETTI"/>
    <m/>
    <m/>
    <m/>
    <m/>
    <m/>
    <m/>
    <m/>
    <s v="Gerommel Marcelino"/>
    <n v="37"/>
    <m/>
    <m/>
    <s v="Local"/>
    <n v="54387962"/>
    <m/>
    <m/>
    <m/>
    <m/>
    <m/>
    <m/>
    <m/>
    <m/>
    <m/>
    <m/>
    <m/>
    <m/>
    <m/>
    <m/>
    <m/>
    <m/>
    <m/>
    <d v="2026-08-06T00:00:00"/>
  </r>
  <r>
    <x v="1"/>
    <m/>
    <x v="16"/>
    <x v="0"/>
    <x v="240"/>
    <s v="CL-36629616"/>
    <n v="100"/>
    <n v="35"/>
    <s v="31-45 DAYS"/>
    <s v="CI-77581215"/>
    <s v="AH89140"/>
    <x v="0"/>
    <n v="3"/>
    <s v="Pending-Investigation"/>
    <s v="Additional Research"/>
    <s v="X9P 582W18090"/>
    <s v="Urgent Management Request"/>
    <s v="Provider"/>
    <s v="2024123BX6672"/>
    <s v="IN"/>
    <n v="46237.674305555556"/>
    <s v="IS-DisputeEscalations"/>
    <s v="BEN-Spider"/>
    <s v="RES-Unrestricted"/>
    <s v="GS-ACA"/>
    <s v="REG-WI"/>
    <s v="IT-ASPEN"/>
    <s v="755M00"/>
    <s v="WI"/>
    <n v="390806181"/>
    <n v="1861447179"/>
    <m/>
    <m/>
    <m/>
    <x v="27"/>
    <s v="Recovery_Disputes"/>
    <s v="20260706T221448.000 GMT"/>
    <n v="62352.14"/>
    <m/>
    <m/>
    <s v="X9P"/>
    <s v="No"/>
    <s v="20260803T231116.000 GMT"/>
    <d v="2026-08-03T00:00:00"/>
    <s v="Alvin F Fejer"/>
    <s v="Adjusted on 07/16/2026 but still on hold due research. Awaiting claim to finalize prior to completion. Thank you"/>
    <m/>
    <s v="AURORA ST LUKES MEDICAL C"/>
    <m/>
    <m/>
    <m/>
    <m/>
    <m/>
    <s v="CL-36627845"/>
    <m/>
    <s v="Alvin F Fejer"/>
    <n v="31"/>
    <m/>
    <s v="Claim Adjustment"/>
    <s v="Local"/>
    <n v="117709312"/>
    <m/>
    <m/>
    <m/>
    <m/>
    <m/>
    <m/>
    <m/>
    <m/>
    <m/>
    <m/>
    <m/>
    <m/>
    <m/>
    <m/>
    <m/>
    <m/>
    <m/>
    <d v="2026-08-06T00:00:00"/>
  </r>
  <r>
    <x v="1"/>
    <m/>
    <x v="16"/>
    <x v="0"/>
    <x v="241"/>
    <n v="2026218910131"/>
    <n v="40"/>
    <n v="47"/>
    <s v="46-60 DAYS"/>
    <e v="#N/A"/>
    <s v="AL86940"/>
    <x v="2"/>
    <n v="0"/>
    <s v="Pending-Investigation"/>
    <s v="Finance Review"/>
    <s v="CX0802466"/>
    <s v="AP"/>
    <s v="P"/>
    <s v="2025310EM2973"/>
    <s v="L09010"/>
    <m/>
    <s v="IS-Dispute"/>
    <s v="BEN-NonSpider"/>
    <s v="RES-Unrestricted"/>
    <s v="GS-JAALocal"/>
    <s v="REG-CA"/>
    <s v="IT-Written"/>
    <s v="L09010M003"/>
    <s v="CA"/>
    <n v="952588614"/>
    <n v="1639101116"/>
    <m/>
    <m/>
    <m/>
    <x v="23"/>
    <s v="Recovery_Disputes"/>
    <s v="20260806T094521.000 GMT"/>
    <n v="29874"/>
    <m/>
    <m/>
    <s v="CX0"/>
    <s v="Yes"/>
    <s v="20260806T104521.000 GMT"/>
    <d v="2026-08-06T00:00:00"/>
    <s v="AL86940"/>
    <s v="O CCOA TO REVIEW AND RESPOND."/>
    <m/>
    <s v="SIERRA VISTA REGIONAL MED"/>
    <m/>
    <m/>
    <m/>
    <m/>
    <m/>
    <m/>
    <m/>
    <s v="Katrina Y Williams"/>
    <n v="0"/>
    <s v="Advantek"/>
    <s v="CS"/>
    <s v="Local"/>
    <n v="545898233"/>
    <m/>
    <m/>
    <m/>
    <m/>
    <m/>
    <m/>
    <m/>
    <m/>
    <m/>
    <m/>
    <m/>
    <m/>
    <m/>
    <m/>
    <m/>
    <m/>
    <m/>
    <d v="2026-08-06T00:00:00"/>
  </r>
  <r>
    <x v="1"/>
    <m/>
    <x v="16"/>
    <x v="0"/>
    <x v="242"/>
    <n v="2026167780260"/>
    <n v="40"/>
    <n v="51"/>
    <s v="46-60 DAYS"/>
    <s v="CI-76645885"/>
    <s v="AL87020"/>
    <x v="1"/>
    <n v="23"/>
    <s v="Pending-Investigation"/>
    <s v="Awaiting CCA Response"/>
    <s v="326M58922"/>
    <s v="IN"/>
    <s v="P"/>
    <s v="2024137BH0152"/>
    <s v="L06774"/>
    <n v="46216.723611111112"/>
    <s v="IS-Dispute"/>
    <s v="BEN-Spider"/>
    <s v="RES-Unrestricted"/>
    <s v="GS-LocalFI"/>
    <s v="REG-NY"/>
    <s v="IT-Written"/>
    <s v="L06774M002"/>
    <s v="IN"/>
    <n v="611630276"/>
    <n v="1225327984"/>
    <n v="1861455156"/>
    <m/>
    <m/>
    <x v="10"/>
    <s v="Recovery_Disputes"/>
    <s v="20260616T182614.000 GMT"/>
    <n v="8996"/>
    <m/>
    <m/>
    <n v="326"/>
    <s v="Yes"/>
    <s v="20260714T002304.000 GMT"/>
    <d v="2026-07-14T00:00:00"/>
    <s v="Ronald Sydney D Alina"/>
    <s v="Sent to PA"/>
    <m/>
    <s v="KIELL, CHARLES S"/>
    <m/>
    <m/>
    <m/>
    <m/>
    <m/>
    <m/>
    <m/>
    <s v="Ronald Sydney D Alina"/>
    <n v="51"/>
    <m/>
    <s v="CS"/>
    <s v="Local"/>
    <n v="324624074"/>
    <m/>
    <m/>
    <m/>
    <m/>
    <m/>
    <m/>
    <m/>
    <m/>
    <m/>
    <m/>
    <m/>
    <m/>
    <m/>
    <m/>
    <m/>
    <m/>
    <m/>
    <d v="2026-08-06T00:00:00"/>
  </r>
  <r>
    <x v="1"/>
    <m/>
    <x v="16"/>
    <x v="0"/>
    <x v="243"/>
    <n v="2026218680227"/>
    <n v="40"/>
    <n v="59"/>
    <s v="46-60 DAYS"/>
    <e v="#N/A"/>
    <s v="AG52852"/>
    <x v="0"/>
    <n v="0"/>
    <s v="Pending-Investigation"/>
    <s v="Awaiting CCA Response"/>
    <s v="383W18378"/>
    <s v="IN"/>
    <s v="P"/>
    <s v="2025062CQ7459"/>
    <n v="174577"/>
    <n v="46240.390277777777"/>
    <s v="IS-Dispute"/>
    <s v="BEN-NonSpider"/>
    <s v="RES-Unrestricted"/>
    <s v="GS-HomeDepot"/>
    <s v="REG-GA"/>
    <s v="IT-Written"/>
    <s v="174577MMHA"/>
    <s v="CT"/>
    <n v="61016137"/>
    <n v="1366468837"/>
    <n v="1114997665"/>
    <m/>
    <m/>
    <x v="12"/>
    <s v="Recovery_Disputes"/>
    <s v="20260806T161834.000 GMT"/>
    <n v="6455"/>
    <m/>
    <m/>
    <n v="383"/>
    <s v="Yes"/>
    <s v="20260806T171833.000 GMT"/>
    <d v="2026-08-06T00:00:00"/>
    <s v="AG52852"/>
    <s v="Sent to PA for review"/>
    <m/>
    <s v="PAZ, ANTONIO J"/>
    <m/>
    <m/>
    <m/>
    <m/>
    <m/>
    <m/>
    <m/>
    <s v="Jayson Dave I Espinas"/>
    <n v="0"/>
    <m/>
    <s v="CS"/>
    <s v="Local"/>
    <n v="47827968"/>
    <m/>
    <m/>
    <m/>
    <m/>
    <m/>
    <m/>
    <m/>
    <m/>
    <m/>
    <m/>
    <m/>
    <m/>
    <m/>
    <m/>
    <m/>
    <m/>
    <m/>
    <d v="2026-08-06T00:00:00"/>
  </r>
  <r>
    <x v="1"/>
    <m/>
    <x v="16"/>
    <x v="0"/>
    <x v="244"/>
    <n v="2026173370015"/>
    <n v="40"/>
    <n v="46"/>
    <s v="46-60 DAYS"/>
    <s v="CI-76900862"/>
    <s v="AH89266"/>
    <x v="1"/>
    <n v="13"/>
    <s v="Pending-Investigation"/>
    <s v="Awaiting CCA Response"/>
    <s v="442M94967"/>
    <s v="IN"/>
    <s v="P"/>
    <s v="2025199DL2215"/>
    <s v="J61597"/>
    <n v="46227.147222222222"/>
    <s v="IS-Dispute"/>
    <s v="BEN-Spider"/>
    <s v="RES-Unrestricted"/>
    <s v="GS-ACA"/>
    <s v="REG-CONV"/>
    <s v="IT-Written"/>
    <s v="J62172"/>
    <s v="CO"/>
    <n v="840370617"/>
    <n v="1083640239"/>
    <m/>
    <m/>
    <m/>
    <x v="4"/>
    <s v="Recovery_Disputes"/>
    <s v="20260622T074404.000 GMT"/>
    <n v="22044.799999999999"/>
    <m/>
    <m/>
    <n v="442"/>
    <s v="Yes"/>
    <s v="20260724T103532.000 GMT"/>
    <d v="2026-07-24T00:00:00"/>
    <s v="Ana Vanessa S Armada"/>
    <s v="Sent to provider audit review and waiting for response."/>
    <m/>
    <s v="WRAY COMM DIST HOSP"/>
    <m/>
    <m/>
    <m/>
    <m/>
    <m/>
    <m/>
    <m/>
    <s v="Ana Vanessa S Armada"/>
    <n v="45"/>
    <m/>
    <m/>
    <s v="Local"/>
    <n v="522981419"/>
    <m/>
    <m/>
    <m/>
    <m/>
    <m/>
    <m/>
    <m/>
    <m/>
    <m/>
    <m/>
    <m/>
    <m/>
    <m/>
    <m/>
    <m/>
    <m/>
    <m/>
    <d v="2026-08-06T00:00:00"/>
  </r>
  <r>
    <x v="1"/>
    <m/>
    <x v="16"/>
    <x v="0"/>
    <x v="245"/>
    <m/>
    <n v="40"/>
    <n v="49"/>
    <s v="46-60 DAYS"/>
    <s v="CI-76785148"/>
    <s v="AH22793"/>
    <x v="0"/>
    <n v="3"/>
    <s v="Pending-Investigation"/>
    <s v="Additional Research"/>
    <n v="141536357"/>
    <s v="IN"/>
    <s v="Provider"/>
    <s v="2025351CJ0517"/>
    <s v="L12020"/>
    <n v="46236.996527777781"/>
    <s v="IS-Dispute"/>
    <s v="BEN-NonSpider"/>
    <s v="RES-Unrestricted"/>
    <s v="GS-Local"/>
    <s v="REG-NY"/>
    <s v="IT-Written"/>
    <s v="L12020M001"/>
    <s v="NY"/>
    <n v="141536357"/>
    <n v="1255437166"/>
    <n v="1043315153"/>
    <m/>
    <m/>
    <x v="0"/>
    <s v="Recovery_Disputes"/>
    <s v="20260619T044955.000 GMT"/>
    <n v="234"/>
    <m/>
    <m/>
    <n v="141"/>
    <s v="Yes"/>
    <s v="20260803T065553.000 GMT"/>
    <d v="2026-08-03T00:00:00"/>
    <s v="Mary Elizabeth C Pedregoza"/>
    <s v="Pending clarif"/>
    <m/>
    <s v="RABI  SINHA"/>
    <m/>
    <m/>
    <m/>
    <m/>
    <m/>
    <m/>
    <m/>
    <s v="Mary Elizabeth C Pedregoza"/>
    <n v="49"/>
    <m/>
    <s v="CS"/>
    <s v="Local"/>
    <n v="107629155"/>
    <m/>
    <m/>
    <m/>
    <m/>
    <m/>
    <m/>
    <m/>
    <m/>
    <m/>
    <m/>
    <m/>
    <m/>
    <m/>
    <m/>
    <m/>
    <m/>
    <m/>
    <d v="2026-08-06T00:00:00"/>
  </r>
  <r>
    <x v="1"/>
    <m/>
    <x v="16"/>
    <x v="0"/>
    <x v="246"/>
    <n v="2026218920048"/>
    <n v="40"/>
    <n v="58"/>
    <s v="46-60 DAYS"/>
    <e v="#N/A"/>
    <s v="AI02198"/>
    <x v="1"/>
    <n v="0"/>
    <s v="Pending-Investigation"/>
    <s v="Additional Research"/>
    <s v="6234951CH"/>
    <s v="AP"/>
    <s v="P"/>
    <s v="2025356DU2552"/>
    <n v="174256"/>
    <n v="46240.243750000001"/>
    <s v="IS-Dispute"/>
    <s v="BEN-NonSpider"/>
    <s v="RES-Unrestricted"/>
    <s v="GS-National"/>
    <s v="REG-CA"/>
    <s v="IT-Written"/>
    <s v="174256M2A1"/>
    <m/>
    <m/>
    <m/>
    <m/>
    <m/>
    <m/>
    <x v="2"/>
    <s v="Recovery_Disputes"/>
    <s v="20260806T085407.000 GMT"/>
    <n v="0"/>
    <m/>
    <m/>
    <n v="623"/>
    <s v="Yes"/>
    <s v="20260806T125339.000 GMT"/>
    <d v="2026-08-06T00:00:00"/>
    <s v="Ralfh Roger Bobiles"/>
    <s v="JAA Claim"/>
    <m/>
    <m/>
    <m/>
    <m/>
    <m/>
    <m/>
    <m/>
    <m/>
    <m/>
    <s v="Ralfh Roger Bobiles"/>
    <n v="0"/>
    <s v="Collective Health"/>
    <s v="CS"/>
    <s v="Local"/>
    <n v="40867648"/>
    <m/>
    <m/>
    <m/>
    <m/>
    <m/>
    <m/>
    <m/>
    <m/>
    <m/>
    <m/>
    <m/>
    <m/>
    <m/>
    <m/>
    <m/>
    <m/>
    <m/>
    <d v="2026-08-06T00:00:00"/>
  </r>
  <r>
    <x v="1"/>
    <m/>
    <x v="16"/>
    <x v="0"/>
    <x v="247"/>
    <n v="2026146450418"/>
    <n v="50"/>
    <n v="72"/>
    <s v="61-90 DAYS"/>
    <s v="CI-75599183"/>
    <s v="AL20338"/>
    <x v="1"/>
    <n v="0"/>
    <s v="Pending-Investigation"/>
    <s v="Additional Research"/>
    <s v="114W06191"/>
    <s v="IN"/>
    <s v="P"/>
    <s v="2025104DH4720"/>
    <s v="SK2650"/>
    <n v="46240.295138888891"/>
    <s v="IS-Dispute"/>
    <s v="BEN-Spider"/>
    <s v="RES-Unrestricted"/>
    <s v="GS-LocalFI"/>
    <s v="REG-KY"/>
    <s v="IT-Written"/>
    <s v="SK2650M001"/>
    <s v="KY"/>
    <n v="611293786"/>
    <n v="1861554438"/>
    <m/>
    <m/>
    <m/>
    <x v="19"/>
    <s v="Recovery_Disputes"/>
    <s v="20260526T232552.000 GMT"/>
    <n v="68387.399999999994"/>
    <m/>
    <m/>
    <n v="114"/>
    <s v="Yes"/>
    <s v="20260806T140505.000 GMT"/>
    <d v="2026-08-06T00:00:00"/>
    <s v="Virgil Joseph L Domalaoco"/>
    <s v="Waiting for SME assistance for adjustment"/>
    <m/>
    <s v="U OF L HOSPITAL AND JAMES"/>
    <m/>
    <m/>
    <m/>
    <m/>
    <m/>
    <m/>
    <m/>
    <s v="Virgil Joseph L Domalaoco"/>
    <n v="72"/>
    <m/>
    <s v="CS"/>
    <s v="Local"/>
    <n v="401519318"/>
    <m/>
    <m/>
    <m/>
    <m/>
    <m/>
    <m/>
    <m/>
    <m/>
    <m/>
    <m/>
    <m/>
    <m/>
    <m/>
    <m/>
    <m/>
    <m/>
    <m/>
    <d v="2026-08-06T00:00:00"/>
  </r>
  <r>
    <x v="1"/>
    <m/>
    <x v="16"/>
    <x v="0"/>
    <x v="248"/>
    <n v="2026115670169"/>
    <n v="60"/>
    <n v="103"/>
    <s v="91-120 DAYS"/>
    <s v="CI-74122663"/>
    <s v="AG52464"/>
    <x v="2"/>
    <n v="0"/>
    <s v="Pending-Investigation"/>
    <s v="Awaiting CCA Response"/>
    <s v="872A74540"/>
    <s v="IN"/>
    <s v="P"/>
    <s v="2025093DK5634"/>
    <s v="SP5128"/>
    <n v="46239.719444444447"/>
    <s v="IS-Dispute"/>
    <s v="BEN-Spider"/>
    <s v="RES-Unrestricted"/>
    <s v="GS-LocalFI"/>
    <s v="REG-GA"/>
    <s v="IT-Written"/>
    <s v="SP5128M001"/>
    <s v="GA"/>
    <n v="580566200"/>
    <n v="1144203563"/>
    <m/>
    <m/>
    <s v="Melody D La Pena"/>
    <x v="46"/>
    <s v="Recovery_Disputes"/>
    <s v="20260425T154847.000 GMT"/>
    <n v="31493.87"/>
    <m/>
    <m/>
    <n v="872"/>
    <s v="Yes"/>
    <s v="20260806T001625.000 GMT"/>
    <d v="2026-08-06T00:00:00"/>
    <s v="Joan Marie C Dalida"/>
    <s v="Sent to Provider Audit for review."/>
    <m/>
    <s v="EMORY UNIVERSITY HOSP MID"/>
    <m/>
    <m/>
    <m/>
    <m/>
    <m/>
    <m/>
    <m/>
    <s v="Joan Marie C Dalida"/>
    <n v="103"/>
    <m/>
    <s v="CS"/>
    <s v="Local"/>
    <n v="226415442"/>
    <m/>
    <m/>
    <m/>
    <m/>
    <m/>
    <m/>
    <m/>
    <m/>
    <m/>
    <m/>
    <m/>
    <m/>
    <m/>
    <m/>
    <m/>
    <m/>
    <m/>
    <d v="2026-08-06T00:00:00"/>
  </r>
  <r>
    <x v="1"/>
    <m/>
    <x v="16"/>
    <x v="0"/>
    <x v="249"/>
    <n v="2026125850024"/>
    <n v="60"/>
    <n v="94"/>
    <s v="91-120 DAYS"/>
    <s v="CI-74552889"/>
    <s v="AG66028"/>
    <x v="1"/>
    <n v="3"/>
    <s v="Pending-Investigation"/>
    <s v="Awaiting Medical Review"/>
    <s v="294A52506"/>
    <s v="IN"/>
    <s v="P"/>
    <s v="2024341CS3359"/>
    <s v="L08669"/>
    <n v="46237.088888888888"/>
    <s v="IS-Dispute"/>
    <s v="BEN-NonSpider"/>
    <s v="RES-Unrestricted"/>
    <s v="GS-Local"/>
    <s v="REG-CA"/>
    <s v="IT-Written"/>
    <s v="L08669M003"/>
    <s v="CA"/>
    <n v="951690977"/>
    <n v="1124073366"/>
    <m/>
    <m/>
    <m/>
    <x v="5"/>
    <s v="Recovery_Disputes"/>
    <s v="20260505T082421.000 GMT"/>
    <n v="263837.98"/>
    <m/>
    <m/>
    <n v="294"/>
    <s v="Yes"/>
    <s v="20260803T090811.000 GMT"/>
    <d v="2026-08-03T00:00:00"/>
    <s v="Gerramae Salanguit"/>
    <s v="For high dollar review"/>
    <m/>
    <s v="CHILDREN'S HOSPITAL LOS A"/>
    <m/>
    <m/>
    <m/>
    <m/>
    <m/>
    <m/>
    <m/>
    <s v="Gerramae Salanguit"/>
    <n v="93"/>
    <m/>
    <m/>
    <s v="Local"/>
    <n v="618250015"/>
    <m/>
    <m/>
    <m/>
    <m/>
    <m/>
    <m/>
    <m/>
    <m/>
    <m/>
    <m/>
    <m/>
    <m/>
    <m/>
    <m/>
    <m/>
    <m/>
    <m/>
    <d v="2026-08-06T00:00:00"/>
  </r>
  <r>
    <x v="1"/>
    <m/>
    <x v="16"/>
    <x v="0"/>
    <x v="250"/>
    <n v="2026105380540"/>
    <n v="60"/>
    <n v="113"/>
    <s v="91-120 DAYS"/>
    <s v="CI-73636806"/>
    <s v="AG89330"/>
    <x v="0"/>
    <n v="0"/>
    <s v="Pending-Investigation"/>
    <s v="Additional Research"/>
    <s v="911M61670"/>
    <s v="IN"/>
    <s v="P"/>
    <s v="2025190BM4859"/>
    <n v="210040"/>
    <n v="46239.750694444447"/>
    <s v="IS-Dispute"/>
    <s v="BEN-NonSpider"/>
    <s v="RES-Unrestricted"/>
    <s v="GS-National"/>
    <s v="REG-WI"/>
    <s v="IT-Written"/>
    <s v="210040XAWU"/>
    <s v="WI"/>
    <n v="391990012"/>
    <n v="1942970405"/>
    <n v="1134263619"/>
    <m/>
    <m/>
    <x v="54"/>
    <s v="Recovery_Disputes"/>
    <s v="20260416T032157.000 GMT"/>
    <n v="7823"/>
    <m/>
    <m/>
    <n v="911"/>
    <s v="Yes"/>
    <s v="20260806T010205.000 GMT"/>
    <d v="2026-08-06T00:00:00"/>
    <s v="Justine Kevin B Umali"/>
    <s v="no response yet from the follow up email"/>
    <m/>
    <s v="WAGNER, AMY J"/>
    <m/>
    <m/>
    <m/>
    <m/>
    <m/>
    <m/>
    <m/>
    <s v="Justine Kevin B Umali"/>
    <n v="113"/>
    <m/>
    <s v="CS"/>
    <s v="Local"/>
    <n v="399861410"/>
    <m/>
    <m/>
    <m/>
    <m/>
    <m/>
    <m/>
    <m/>
    <m/>
    <m/>
    <m/>
    <m/>
    <m/>
    <m/>
    <m/>
    <m/>
    <m/>
    <m/>
    <d v="2026-08-06T00:00:00"/>
  </r>
  <r>
    <x v="1"/>
    <m/>
    <x v="16"/>
    <x v="0"/>
    <x v="251"/>
    <n v="2026115620151"/>
    <n v="60"/>
    <n v="103"/>
    <s v="91-120 DAYS"/>
    <s v="CI-74753973"/>
    <s v="AL20338"/>
    <x v="1"/>
    <n v="0"/>
    <s v="Pending-Investigation"/>
    <s v="Additional Research"/>
    <s v="124W22492"/>
    <s v="AP"/>
    <s v="P"/>
    <s v="2026021CP8544"/>
    <n v="174336"/>
    <n v="46240.294444444444"/>
    <s v="IS-Dispute"/>
    <s v="BEN-NonSpider"/>
    <s v="RES-Unrestricted"/>
    <s v="GS-National"/>
    <s v="REG-CA"/>
    <s v="IT-Written"/>
    <s v="174336M1B1"/>
    <s v="CA"/>
    <n v="951684089"/>
    <n v="1700829199"/>
    <m/>
    <m/>
    <m/>
    <x v="19"/>
    <s v="Recovery_Disputes"/>
    <s v="20260508T145620.000 GMT"/>
    <n v="22710.62"/>
    <m/>
    <m/>
    <n v="124"/>
    <s v="Yes"/>
    <s v="20260806T140417.000 GMT"/>
    <d v="2026-08-06T00:00:00"/>
    <s v="Virgil Joseph L Domalaoco"/>
    <s v="Waiting for SME assistance for adjustment"/>
    <m/>
    <s v="SMH-ENCINITAS"/>
    <m/>
    <m/>
    <m/>
    <m/>
    <m/>
    <m/>
    <m/>
    <s v="Virgil Joseph L Domalaoco"/>
    <n v="90"/>
    <m/>
    <s v="CS"/>
    <s v="Local"/>
    <n v="52763182"/>
    <m/>
    <m/>
    <m/>
    <m/>
    <m/>
    <m/>
    <m/>
    <m/>
    <m/>
    <m/>
    <m/>
    <m/>
    <m/>
    <m/>
    <m/>
    <m/>
    <m/>
    <d v="2026-08-06T00:00:00"/>
  </r>
  <r>
    <x v="1"/>
    <m/>
    <x v="16"/>
    <x v="0"/>
    <x v="252"/>
    <n v="2026114520630"/>
    <n v="60"/>
    <n v="104"/>
    <s v="91-120 DAYS"/>
    <s v="CI-74104607"/>
    <s v="AL20338"/>
    <x v="1"/>
    <n v="0"/>
    <s v="Pending-Investigation"/>
    <s v="Additional Research"/>
    <s v="116W23013"/>
    <s v="IN"/>
    <s v="P"/>
    <s v="2025112DR5106"/>
    <s v="L02290"/>
    <n v="46240.293749999997"/>
    <s v="IS-Dispute"/>
    <s v="BEN-Spider"/>
    <s v="RES-Unrestricted"/>
    <s v="GS-LocalFI"/>
    <s v="REG-OH"/>
    <s v="IT-Written"/>
    <s v="L02290M003"/>
    <s v="MO"/>
    <n v="431343281"/>
    <n v="1962572396"/>
    <m/>
    <m/>
    <m/>
    <x v="19"/>
    <s v="Recovery_Disputes"/>
    <s v="20260425T051716.000 GMT"/>
    <n v="34455.919999999998"/>
    <m/>
    <m/>
    <n v="116"/>
    <s v="Yes"/>
    <s v="20260806T140356.000 GMT"/>
    <d v="2026-08-06T00:00:00"/>
    <s v="Virgil Joseph L Domalaoco"/>
    <s v="Waiting for SME assistance for adjustment"/>
    <m/>
    <s v="SSM HEALTH ST MARYS HOSPI"/>
    <m/>
    <m/>
    <m/>
    <m/>
    <m/>
    <m/>
    <m/>
    <s v="Virgil Joseph L Domalaoco"/>
    <n v="104"/>
    <m/>
    <m/>
    <s v="Local"/>
    <n v="363809872"/>
    <m/>
    <m/>
    <m/>
    <m/>
    <m/>
    <m/>
    <m/>
    <m/>
    <m/>
    <m/>
    <m/>
    <m/>
    <m/>
    <m/>
    <m/>
    <m/>
    <m/>
    <d v="2026-08-06T00:00:00"/>
  </r>
  <r>
    <x v="1"/>
    <m/>
    <x v="16"/>
    <x v="1"/>
    <x v="253"/>
    <n v="2026203750228"/>
    <n v="30"/>
    <n v="15"/>
    <s v="8-15 DAYS"/>
    <s v="CI-78564981"/>
    <s v="AL87301"/>
    <x v="2"/>
    <n v="8"/>
    <s v="Pending-Investigation"/>
    <s v="Awaiting CCA Response"/>
    <s v="2115395BY"/>
    <s v="IN"/>
    <s v="P"/>
    <s v="2025189DL7444"/>
    <s v="JMQ031"/>
    <n v="46231.722222222219"/>
    <s v="IS-Dispute"/>
    <s v="BEN-NonSpider"/>
    <s v="RES-Unrestricted"/>
    <s v="GS-JAALocal"/>
    <s v="REG-MO"/>
    <s v="IT-Written"/>
    <s v="JMQ031M004"/>
    <s v="MO"/>
    <n v="430653611"/>
    <n v="1356381842"/>
    <n v="1255330650"/>
    <m/>
    <m/>
    <x v="55"/>
    <s v="Recovery_Disputes"/>
    <s v="20260727T134114.000 GMT"/>
    <n v="12940"/>
    <m/>
    <m/>
    <n v="211"/>
    <s v="Yes"/>
    <s v="20260729T090814.000 GMT"/>
    <d v="2026-07-29T00:00:00"/>
    <s v="AL87301"/>
    <s v="provider audit review"/>
    <m/>
    <s v="HERZOG, JACQUES A"/>
    <m/>
    <m/>
    <m/>
    <m/>
    <m/>
    <m/>
    <m/>
    <s v="Jalean G Mayo"/>
    <n v="10"/>
    <s v="Benesys"/>
    <m/>
    <s v="Local"/>
    <s v="2115395BY"/>
    <m/>
    <m/>
    <m/>
    <m/>
    <m/>
    <m/>
    <m/>
    <m/>
    <m/>
    <m/>
    <m/>
    <m/>
    <m/>
    <m/>
    <m/>
    <m/>
    <m/>
    <d v="2026-08-06T00:00:00"/>
  </r>
  <r>
    <x v="1"/>
    <m/>
    <x v="16"/>
    <x v="1"/>
    <x v="254"/>
    <n v="2026205450477"/>
    <n v="30"/>
    <n v="13"/>
    <s v="8-15 DAYS"/>
    <s v="CI-78489695"/>
    <s v="AL87802"/>
    <x v="2"/>
    <n v="8"/>
    <s v="Pending-Investigation"/>
    <s v="Awaiting CCA Response"/>
    <s v="11262863E"/>
    <s v="IN"/>
    <s v="P"/>
    <s v="2024187DE0982"/>
    <s v="L06503"/>
    <n v="46231.918749999997"/>
    <s v="IS-Dispute"/>
    <s v="BEN-NonSpider"/>
    <s v="RES-Unrestricted"/>
    <s v="GS-JAALocal"/>
    <s v="REG-NY"/>
    <s v="IT-Written"/>
    <s v="L06503M001"/>
    <s v="NY"/>
    <n v="141364536"/>
    <n v="1609875772"/>
    <m/>
    <m/>
    <m/>
    <x v="40"/>
    <s v="Recovery_Disputes"/>
    <s v="20260725T011725.000 GMT"/>
    <n v="59653.68"/>
    <m/>
    <m/>
    <n v="112"/>
    <s v="Yes"/>
    <s v="20260729T050351.000 GMT"/>
    <d v="2026-07-29T00:00:00"/>
    <s v="Keano Richard Torre"/>
    <s v="Email sent to Provider Audit for review."/>
    <m/>
    <s v="GARNET HEALTH MEDICAL CEN"/>
    <m/>
    <m/>
    <m/>
    <m/>
    <m/>
    <m/>
    <m/>
    <s v="Keano Richard Torre"/>
    <n v="13"/>
    <s v="Sage"/>
    <s v="CS"/>
    <s v="Local"/>
    <n v="52663781"/>
    <m/>
    <m/>
    <m/>
    <m/>
    <m/>
    <m/>
    <m/>
    <m/>
    <m/>
    <m/>
    <m/>
    <m/>
    <m/>
    <m/>
    <m/>
    <m/>
    <m/>
    <d v="2026-08-06T00:00:00"/>
  </r>
  <r>
    <x v="1"/>
    <m/>
    <x v="16"/>
    <x v="1"/>
    <x v="255"/>
    <n v="2026204320487"/>
    <n v="30"/>
    <n v="14"/>
    <s v="8-15 DAYS"/>
    <s v="CI-78440208"/>
    <s v="AL87275"/>
    <x v="2"/>
    <n v="8"/>
    <s v="Pending-Investigation"/>
    <s v="Awaiting CCA Response"/>
    <s v="01398073Q"/>
    <s v="AP"/>
    <s v="P"/>
    <s v="2025200DP0248"/>
    <n v="277163"/>
    <n v="46231.803472222222"/>
    <s v="IS-Dispute"/>
    <s v="BEN-NonSpider"/>
    <s v="RES-Unrestricted"/>
    <s v="GS-JAAMPILocal"/>
    <s v="REG-CANorth"/>
    <s v="IT-Written"/>
    <s v="277163M408"/>
    <s v="CA"/>
    <n v="951684082"/>
    <n v="1124026273"/>
    <m/>
    <m/>
    <m/>
    <x v="31"/>
    <s v="Recovery_Disputes"/>
    <s v="20260724T015327.000 GMT"/>
    <n v="97659.839999999997"/>
    <m/>
    <m/>
    <n v="13"/>
    <s v="Yes"/>
    <s v="20260729T021803.000 GMT"/>
    <d v="2026-07-29T00:00:00"/>
    <s v="RANDEL ABAYARI"/>
    <s v="Email sent to provider audit for review"/>
    <m/>
    <s v="PROVIDENCE SAINT JOHN'S H"/>
    <m/>
    <m/>
    <m/>
    <m/>
    <m/>
    <m/>
    <m/>
    <s v="RANDEL ABAYARI"/>
    <n v="14"/>
    <s v="Motion Picture Industry Health Plan"/>
    <s v="CS"/>
    <s v="Local"/>
    <n v="552417456"/>
    <m/>
    <m/>
    <m/>
    <m/>
    <m/>
    <m/>
    <m/>
    <m/>
    <m/>
    <m/>
    <m/>
    <m/>
    <m/>
    <m/>
    <m/>
    <m/>
    <m/>
    <d v="2026-08-06T00:00:00"/>
  </r>
  <r>
    <x v="1"/>
    <m/>
    <x v="16"/>
    <x v="1"/>
    <x v="256"/>
    <n v="2026203610271"/>
    <n v="30"/>
    <n v="15"/>
    <s v="8-15 DAYS"/>
    <s v="CI-78358746"/>
    <s v="AH00180"/>
    <x v="2"/>
    <n v="9"/>
    <s v="Pending-Investigation"/>
    <s v="Awaiting CCA Response"/>
    <s v="568M93132"/>
    <s v="AP"/>
    <s v="P"/>
    <s v="2026028CH3848"/>
    <n v="276444"/>
    <n v="46230.963888888888"/>
    <s v="IS-Dispute"/>
    <s v="BEN-NonSpider"/>
    <s v="RES-Unrestricted"/>
    <s v="GS-JAALocal"/>
    <s v="REG-CANorth"/>
    <s v="IT-Written"/>
    <s v="276444M004"/>
    <s v="CA"/>
    <n v="330057155"/>
    <n v="1457462459"/>
    <m/>
    <m/>
    <m/>
    <x v="20"/>
    <s v="Recovery_Disputes"/>
    <s v="20260722T171039.000 GMT"/>
    <n v="888.17"/>
    <m/>
    <m/>
    <n v="568"/>
    <s v="Yes"/>
    <s v="20260728T060825.000 GMT"/>
    <d v="2026-07-28T00:00:00"/>
    <s v="Renier F Pajalla"/>
    <s v="Sent to PA"/>
    <m/>
    <m/>
    <m/>
    <m/>
    <m/>
    <m/>
    <m/>
    <m/>
    <m/>
    <s v="Renier F Pajalla"/>
    <n v="15"/>
    <s v="Pacific Southwest Administrators (PSWA)"/>
    <s v="CS"/>
    <s v="Local"/>
    <n v="564497677"/>
    <m/>
    <m/>
    <m/>
    <m/>
    <m/>
    <m/>
    <m/>
    <m/>
    <m/>
    <m/>
    <m/>
    <m/>
    <m/>
    <m/>
    <m/>
    <m/>
    <m/>
    <d v="2026-08-06T00:00:00"/>
  </r>
  <r>
    <x v="1"/>
    <m/>
    <x v="16"/>
    <x v="1"/>
    <x v="257"/>
    <n v="2026205110415"/>
    <n v="30"/>
    <n v="13"/>
    <s v="8-15 DAYS"/>
    <s v="CI-78486620"/>
    <s v="AL39293"/>
    <x v="2"/>
    <n v="8"/>
    <s v="Pending-Investigation"/>
    <s v="Awaiting CCA Response"/>
    <s v="30329579Q"/>
    <s v="AP"/>
    <s v="P"/>
    <s v="2024184EW2218"/>
    <n v="277163"/>
    <n v="46231.890277777777"/>
    <s v="IS-Dispute"/>
    <s v="BEN-NonSpider"/>
    <s v="RES-Unrestricted"/>
    <s v="GS-JAAMPILocal"/>
    <s v="REG-CANorth"/>
    <s v="IT-Written"/>
    <s v="277163M402"/>
    <s v="CA"/>
    <n v="951675600"/>
    <n v="1336173269"/>
    <m/>
    <m/>
    <m/>
    <x v="41"/>
    <s v="Recovery_Disputes"/>
    <s v="20260724T233942.000 GMT"/>
    <n v="80314.09"/>
    <m/>
    <m/>
    <n v="303"/>
    <s v="Yes"/>
    <s v="20260729T042222.000 GMT"/>
    <d v="2026-07-29T00:00:00"/>
    <s v="Ryan E Asis"/>
    <s v="Pend - Sent to Provider Audit"/>
    <m/>
    <s v="PROVIDENCE SAINT JOSEPH M"/>
    <m/>
    <m/>
    <m/>
    <m/>
    <m/>
    <m/>
    <m/>
    <s v="Ryan E Asis"/>
    <n v="13"/>
    <s v="Motion Picture Industry Health Plan"/>
    <s v="CS"/>
    <s v="Local"/>
    <n v="554757935"/>
    <m/>
    <m/>
    <m/>
    <m/>
    <m/>
    <m/>
    <m/>
    <m/>
    <m/>
    <m/>
    <m/>
    <m/>
    <m/>
    <m/>
    <m/>
    <m/>
    <m/>
    <d v="2026-08-06T00:00:00"/>
  </r>
  <r>
    <x v="1"/>
    <m/>
    <x v="16"/>
    <x v="1"/>
    <x v="258"/>
    <n v="2026203010445"/>
    <n v="30"/>
    <n v="15"/>
    <s v="8-15 DAYS"/>
    <s v="CI-78454033"/>
    <s v="AL87802"/>
    <x v="2"/>
    <n v="9"/>
    <s v="Pending-Investigation"/>
    <s v="Awaiting Medical Review"/>
    <s v="HC0154762"/>
    <s v="AP"/>
    <s v="P"/>
    <s v="2026031CD7079"/>
    <n v="279342"/>
    <n v="46231.701388888891"/>
    <s v="IS-Dispute"/>
    <s v="BEN-NonSpider"/>
    <s v="RES-Unrestricted"/>
    <s v="GS-JAALocal"/>
    <s v="REG-CANorth"/>
    <s v="IT-Written"/>
    <s v="279342M009"/>
    <s v="CA"/>
    <n v="770306947"/>
    <n v="1871732933"/>
    <n v="1265825541"/>
    <m/>
    <m/>
    <x v="40"/>
    <s v="Recovery_Disputes"/>
    <s v="20260724T113141.000 GMT"/>
    <n v="866"/>
    <m/>
    <m/>
    <s v="HC0"/>
    <s v="Yes"/>
    <s v="20260728T235040.000 GMT"/>
    <d v="2026-07-28T00:00:00"/>
    <s v="Keano Richard Torre"/>
    <s v="Provider authorized the recoupment and has open amount in ACR not in recouping status."/>
    <m/>
    <m/>
    <m/>
    <m/>
    <m/>
    <m/>
    <m/>
    <m/>
    <m/>
    <s v="Keano Richard Torre"/>
    <n v="13"/>
    <s v="Personify Health - West"/>
    <s v="CS"/>
    <s v="Local"/>
    <n v="613308654"/>
    <m/>
    <m/>
    <m/>
    <m/>
    <m/>
    <m/>
    <m/>
    <m/>
    <m/>
    <m/>
    <m/>
    <m/>
    <m/>
    <m/>
    <m/>
    <m/>
    <m/>
    <d v="2026-08-06T00:00:00"/>
  </r>
  <r>
    <x v="1"/>
    <m/>
    <x v="16"/>
    <x v="1"/>
    <x v="259"/>
    <n v="2026189140156"/>
    <n v="30"/>
    <n v="29"/>
    <s v="16-30 DAYS"/>
    <s v="CI-77668795"/>
    <n v="0"/>
    <x v="4"/>
    <n v="16"/>
    <s v="Pending-Investigation"/>
    <s v="Finance Review"/>
    <s v="391M71699"/>
    <s v="IN"/>
    <s v="P"/>
    <s v="2023213DF6351"/>
    <n v="214021"/>
    <m/>
    <s v="IS-Dispute"/>
    <s v="BEN-NonSpider"/>
    <s v="RES-Unrestricted"/>
    <s v="GS-Toyota"/>
    <s v="REG-KY"/>
    <s v="IT-Written"/>
    <s v="214021M1EA"/>
    <s v="KY"/>
    <n v="621757921"/>
    <n v="1326107319"/>
    <m/>
    <m/>
    <s v="Melody D La Pena"/>
    <x v="42"/>
    <s v="Recovery_Disputes"/>
    <s v="20260708T131255.000 GMT"/>
    <n v="2858.59"/>
    <m/>
    <m/>
    <n v="391"/>
    <s v="Yes"/>
    <s v="20260721T212932.000 GMT"/>
    <d v="2026-07-21T00:00:00"/>
    <s v="System"/>
    <s v="transfer assignment"/>
    <m/>
    <s v="GEORGETOWN COMMUNITY HOSP"/>
    <m/>
    <m/>
    <m/>
    <m/>
    <m/>
    <m/>
    <m/>
    <s v="Henrico P Tan"/>
    <n v="29"/>
    <m/>
    <s v="CS"/>
    <s v="Local"/>
    <n v="400454673"/>
    <m/>
    <m/>
    <m/>
    <m/>
    <m/>
    <m/>
    <m/>
    <m/>
    <m/>
    <m/>
    <m/>
    <m/>
    <m/>
    <m/>
    <m/>
    <m/>
    <m/>
    <d v="2026-08-06T00:00:00"/>
  </r>
  <r>
    <x v="1"/>
    <m/>
    <x v="16"/>
    <x v="1"/>
    <x v="260"/>
    <n v="2026189010208"/>
    <n v="30"/>
    <n v="29"/>
    <s v="16-30 DAYS"/>
    <s v="CI-77678344"/>
    <s v="AL02716"/>
    <x v="0"/>
    <n v="27"/>
    <s v="Pending-Investigation"/>
    <s v="Finance Review"/>
    <s v="675A76714"/>
    <s v="IN"/>
    <s v="P"/>
    <s v="2025336DW4267"/>
    <n v="270102"/>
    <m/>
    <s v="IS-Dispute"/>
    <s v="BEN-NonSpider"/>
    <s v="RES-Unrestricted"/>
    <s v="GS-National"/>
    <s v="REG-VA"/>
    <s v="IT-Written"/>
    <s v="270102M3B1"/>
    <s v="IN"/>
    <n v="351373436"/>
    <n v="1154452696"/>
    <n v="1144298712"/>
    <m/>
    <m/>
    <x v="35"/>
    <s v="Recovery_Disputes"/>
    <s v="20260708T154137.000 GMT"/>
    <n v="7611"/>
    <m/>
    <m/>
    <n v="675"/>
    <s v="Yes"/>
    <s v="20260710T093603.000 GMT"/>
    <d v="2026-07-10T00:00:00"/>
    <s v="AL02716"/>
    <s v="MR Automation: Not eligible for MR Automation due to the listed Account/Product/Provider level exclusions. Please review and process as per the guidelines."/>
    <m/>
    <s v="THOMAS, SARAH"/>
    <m/>
    <m/>
    <m/>
    <m/>
    <m/>
    <m/>
    <m/>
    <s v="Christine F Andayran"/>
    <n v="29"/>
    <m/>
    <s v="CS"/>
    <s v="Local"/>
    <n v="500949198"/>
    <m/>
    <m/>
    <m/>
    <m/>
    <m/>
    <m/>
    <m/>
    <m/>
    <m/>
    <m/>
    <m/>
    <m/>
    <m/>
    <m/>
    <m/>
    <m/>
    <m/>
    <d v="2026-08-06T00:00:00"/>
  </r>
  <r>
    <x v="1"/>
    <m/>
    <x v="16"/>
    <x v="1"/>
    <x v="261"/>
    <n v="2026190470405"/>
    <n v="30"/>
    <n v="28"/>
    <s v="16-30 DAYS"/>
    <s v="CI-77755816"/>
    <s v="AH60028"/>
    <x v="2"/>
    <n v="24"/>
    <s v="Pending-Investigation"/>
    <s v="Finance Review"/>
    <s v="652A59001"/>
    <s v="IN"/>
    <s v="P"/>
    <s v="2026132BF6935"/>
    <s v="W24164"/>
    <m/>
    <s v="IS-Dispute"/>
    <s v="BEN-Spider"/>
    <s v="RES-Unrestricted"/>
    <s v="GS-Local"/>
    <s v="REG-IN"/>
    <s v="IT-Written"/>
    <s v="W24164M084"/>
    <s v="IN"/>
    <n v="350868130"/>
    <n v="1770679201"/>
    <m/>
    <m/>
    <m/>
    <x v="7"/>
    <s v="Recovery_Disputes"/>
    <s v="20260709T210134.000 GMT"/>
    <n v="13848"/>
    <m/>
    <m/>
    <n v="652"/>
    <s v="Yes"/>
    <s v="20260713T084054.000 GMT"/>
    <d v="2026-07-13T00:00:00"/>
    <s v="AH60028"/>
    <s v="CPRAS Response : CLAIM : 2026132BF6935 - Inquiry category: Correspondence.  Eligible for adjustment"/>
    <m/>
    <s v="MARION GENERAL HOSPITAL"/>
    <m/>
    <m/>
    <m/>
    <m/>
    <m/>
    <m/>
    <m/>
    <s v="Mark Ian D Ninas"/>
    <n v="28"/>
    <m/>
    <s v="CS"/>
    <s v="Local"/>
    <n v="315906245"/>
    <m/>
    <m/>
    <m/>
    <m/>
    <m/>
    <m/>
    <m/>
    <m/>
    <m/>
    <m/>
    <m/>
    <m/>
    <m/>
    <m/>
    <m/>
    <m/>
    <m/>
    <d v="2026-08-06T00:00:00"/>
  </r>
  <r>
    <x v="1"/>
    <m/>
    <x v="16"/>
    <x v="1"/>
    <x v="262"/>
    <n v="2026190750276"/>
    <n v="30"/>
    <n v="28"/>
    <s v="16-30 DAYS"/>
    <s v="CI-77739170"/>
    <s v="AL86932"/>
    <x v="4"/>
    <n v="28"/>
    <s v="Pending-Investigation"/>
    <s v="Finance Review"/>
    <n v="970559394"/>
    <s v="IN"/>
    <s v="P"/>
    <s v="2025216BR5243"/>
    <n v="363053"/>
    <m/>
    <s v="IS-Dispute"/>
    <s v="BEN-Spider"/>
    <s v="RES-Unrestricted"/>
    <s v="GS-HealthTrust"/>
    <s v="REG-NH"/>
    <s v="IT-Written"/>
    <s v="363053M037"/>
    <s v="NH"/>
    <n v="851443782"/>
    <n v="1053495234"/>
    <m/>
    <m/>
    <s v="Melody D La Pena"/>
    <x v="51"/>
    <s v="Recovery_Disputes"/>
    <s v="20260709T161232.000 GMT"/>
    <n v="1881"/>
    <m/>
    <m/>
    <n v="970"/>
    <s v="Yes"/>
    <s v="20260709T161251.000 GMT"/>
    <d v="2026-07-09T00:00:00"/>
    <s v="System"/>
    <s v="transfer assignment"/>
    <m/>
    <s v="CONCORD HOSPITAL LACONIA"/>
    <m/>
    <m/>
    <m/>
    <m/>
    <m/>
    <m/>
    <m/>
    <s v="KRISTIANNA MARIE C LOPEZ"/>
    <n v="28"/>
    <m/>
    <s v="CS"/>
    <s v="Local"/>
    <n v="1765451"/>
    <m/>
    <m/>
    <m/>
    <m/>
    <m/>
    <m/>
    <m/>
    <m/>
    <m/>
    <m/>
    <m/>
    <m/>
    <m/>
    <m/>
    <m/>
    <m/>
    <m/>
    <d v="2026-08-06T00:00:00"/>
  </r>
  <r>
    <x v="1"/>
    <m/>
    <x v="16"/>
    <x v="1"/>
    <x v="263"/>
    <m/>
    <n v="30"/>
    <n v="30"/>
    <s v="16-30 DAYS"/>
    <s v="CI-77628387"/>
    <s v="AL02716"/>
    <x v="0"/>
    <n v="30"/>
    <s v="Pending-Investigation"/>
    <s v="Finance Review"/>
    <s v="AN3057928"/>
    <s v="IN"/>
    <s v="Provider"/>
    <s v="2026009EK5361"/>
    <n v="212077"/>
    <m/>
    <s v="IS-Dispute"/>
    <s v="BEN-NonSpider"/>
    <s v="RES-Unrestricted"/>
    <s v="GS-National"/>
    <s v="REG-OH"/>
    <s v="IT-Written"/>
    <s v="212077M1AA"/>
    <s v="OH"/>
    <n v="341369963"/>
    <n v="1699718320"/>
    <n v="1942812193"/>
    <m/>
    <m/>
    <x v="35"/>
    <s v="Recovery_Disputes"/>
    <s v="20260707T185302.000 GMT"/>
    <n v="1671"/>
    <m/>
    <m/>
    <s v="AN3"/>
    <s v="No"/>
    <s v="20260707T185359.000 GMT"/>
    <d v="2026-07-07T00:00:00"/>
    <s v="AL86153"/>
    <s v="claim is having PING edit kindly review"/>
    <m/>
    <s v="VAN ATTA, KELLEY L"/>
    <m/>
    <m/>
    <m/>
    <m/>
    <m/>
    <m/>
    <m/>
    <s v="Christine F Andayran"/>
    <n v="30"/>
    <m/>
    <s v="CS"/>
    <s v="Local"/>
    <n v="274825060"/>
    <m/>
    <m/>
    <m/>
    <m/>
    <m/>
    <m/>
    <m/>
    <m/>
    <m/>
    <m/>
    <m/>
    <m/>
    <m/>
    <m/>
    <m/>
    <m/>
    <m/>
    <d v="2026-08-06T00:00:00"/>
  </r>
  <r>
    <x v="1"/>
    <m/>
    <x v="16"/>
    <x v="1"/>
    <x v="264"/>
    <n v="2026192890221"/>
    <n v="30"/>
    <n v="26"/>
    <s v="16-30 DAYS"/>
    <s v="CI-77848463"/>
    <s v="AH00185"/>
    <x v="1"/>
    <n v="9"/>
    <s v="Pending-Investigation"/>
    <s v="Awaiting Medical Review"/>
    <s v="0093106LR"/>
    <s v="IN"/>
    <s v="P"/>
    <s v="20252347A1613"/>
    <s v="JNY115"/>
    <n v="46225.879861111112"/>
    <s v="IS-Dispute"/>
    <s v="BEN-NonSpider"/>
    <s v="RES-Unrestricted"/>
    <s v="GS-JAALocal"/>
    <s v="REG-NY"/>
    <s v="IT-Written"/>
    <s v="JNY115M431"/>
    <s v="NY"/>
    <n v="800071212"/>
    <n v="1396799409"/>
    <n v="1588061642"/>
    <m/>
    <m/>
    <x v="30"/>
    <s v="Recovery_Disputes"/>
    <s v="20260711T172851.000 GMT"/>
    <n v="472"/>
    <m/>
    <m/>
    <n v="9"/>
    <s v="Yes"/>
    <s v="20260728T220209.000 GMT"/>
    <d v="2026-07-28T00:00:00"/>
    <s v="Ricaflor M Anninon"/>
    <s v="Claim was in S01 ** ADJ PENDED/RESEARCHED-07-24-26"/>
    <m/>
    <s v="NUGENT, MICHAEL P"/>
    <m/>
    <m/>
    <m/>
    <m/>
    <m/>
    <m/>
    <m/>
    <s v="Ricaflor M Anninon"/>
    <n v="26"/>
    <s v="Amalgamated Employee Benefit Administration (AEBA)"/>
    <m/>
    <s v="Local"/>
    <s v="0093106LR"/>
    <m/>
    <m/>
    <m/>
    <m/>
    <m/>
    <m/>
    <m/>
    <m/>
    <m/>
    <m/>
    <m/>
    <m/>
    <m/>
    <m/>
    <m/>
    <m/>
    <m/>
    <d v="2026-08-06T00:00:00"/>
  </r>
  <r>
    <x v="1"/>
    <m/>
    <x v="16"/>
    <x v="1"/>
    <x v="265"/>
    <n v="2026190170543"/>
    <n v="30"/>
    <n v="28"/>
    <s v="16-30 DAYS"/>
    <s v="CI-77768684"/>
    <s v="AH87327"/>
    <x v="0"/>
    <n v="27"/>
    <s v="Pending-Investigation"/>
    <s v="MRReceived"/>
    <s v="AN1440391"/>
    <s v="IN"/>
    <s v="P"/>
    <s v="2025298BM0521"/>
    <n v="212087"/>
    <m/>
    <s v="IS-Dispute"/>
    <s v="BEN-NonSpider"/>
    <s v="RES-Unrestricted"/>
    <s v="GS-National"/>
    <s v="REG-OH"/>
    <s v="IT-Written"/>
    <s v="212087B4AS"/>
    <s v="OH"/>
    <n v="340936207"/>
    <n v="1144217894"/>
    <n v="1437491495"/>
    <m/>
    <s v="Melody D La Pena"/>
    <x v="47"/>
    <s v="Recovery_Disputes"/>
    <s v="20260710T040834.000 GMT"/>
    <n v="11853"/>
    <m/>
    <m/>
    <s v="AN1"/>
    <s v="Yes"/>
    <s v="20260710T040859.000 GMT"/>
    <d v="2026-07-10T00:00:00"/>
    <s v="System"/>
    <s v="transfer assignment"/>
    <m/>
    <s v="BRITTANY L BALUSIK, BRITTANY L"/>
    <m/>
    <m/>
    <m/>
    <m/>
    <m/>
    <m/>
    <m/>
    <s v="Cedie C Abina"/>
    <n v="28"/>
    <m/>
    <m/>
    <s v="Local"/>
    <n v="276660797"/>
    <m/>
    <m/>
    <m/>
    <m/>
    <m/>
    <m/>
    <m/>
    <m/>
    <m/>
    <m/>
    <m/>
    <m/>
    <m/>
    <m/>
    <m/>
    <m/>
    <m/>
    <d v="2026-08-06T00:00:00"/>
  </r>
  <r>
    <x v="1"/>
    <m/>
    <x v="16"/>
    <x v="1"/>
    <x v="266"/>
    <n v="2026190820058"/>
    <n v="30"/>
    <n v="28"/>
    <s v="16-30 DAYS"/>
    <s v="CI-77833940"/>
    <s v="AH87327"/>
    <x v="0"/>
    <n v="28"/>
    <s v="Pending-Investigation"/>
    <s v="Finance Review"/>
    <s v="991W09672"/>
    <s v="IN"/>
    <s v="P"/>
    <s v="2026078CD5124"/>
    <n v="300601"/>
    <m/>
    <s v="IS-Dispute"/>
    <s v="BEN-Spider"/>
    <s v="RES-Unrestricted"/>
    <s v="GS-Local"/>
    <s v="REG-NY"/>
    <s v="IT-Internal"/>
    <s v="300601A005"/>
    <s v="NY"/>
    <n v="112868878"/>
    <n v="1407877137"/>
    <m/>
    <m/>
    <s v="Melody D La Pena"/>
    <x v="47"/>
    <s v="Recovery_Disputes"/>
    <s v="20260711T093026.000 GMT"/>
    <n v="3951"/>
    <m/>
    <m/>
    <n v="991"/>
    <s v="No"/>
    <s v="20260709T080400.000 GMT"/>
    <d v="2026-07-09T00:00:00"/>
    <s v="GNS066"/>
    <s v="transfer assignment"/>
    <m/>
    <s v="STATEN ISLAND UNIVERSITY"/>
    <m/>
    <m/>
    <m/>
    <m/>
    <m/>
    <m/>
    <m/>
    <s v="Cedie C Abina"/>
    <n v="26"/>
    <m/>
    <m/>
    <s v="Local"/>
    <n v="82661037"/>
    <m/>
    <m/>
    <m/>
    <m/>
    <m/>
    <m/>
    <m/>
    <m/>
    <m/>
    <m/>
    <m/>
    <m/>
    <m/>
    <m/>
    <m/>
    <m/>
    <m/>
    <d v="2026-08-06T00:00:00"/>
  </r>
  <r>
    <x v="1"/>
    <m/>
    <x v="16"/>
    <x v="1"/>
    <x v="267"/>
    <m/>
    <n v="30"/>
    <n v="29"/>
    <s v="16-30 DAYS"/>
    <s v="CI-77671398"/>
    <n v="0"/>
    <x v="4"/>
    <n v="29"/>
    <s v="Pending-Investigation"/>
    <s v="Finance Review"/>
    <n v="112585617"/>
    <s v="Standard"/>
    <s v="Internal Request"/>
    <s v="2026087BE3222"/>
    <s v="GAITSH"/>
    <m/>
    <s v="IS-Dispute"/>
    <s v="BEN-NoBenefit"/>
    <s v="RES-Unrestricted"/>
    <s v="GS-Host"/>
    <s v="REG-GA"/>
    <s v="IT-Written"/>
    <s v="ITSPPO102"/>
    <s v="GA"/>
    <n v="580566256"/>
    <n v="1588640692"/>
    <m/>
    <n v="1.02202609203818E+16"/>
    <s v="Melody D La Pena"/>
    <x v="42"/>
    <s v="Recovery_Disputes"/>
    <s v="20260708T135704.000 GMT"/>
    <n v="16177.59"/>
    <m/>
    <m/>
    <n v="112"/>
    <s v="Yes"/>
    <s v="20260708T135926.000 GMT"/>
    <d v="2026-07-08T00:00:00"/>
    <s v="AG58981"/>
    <s v="transfer assignment"/>
    <m/>
    <s v="EMORY UNIVERSITY HOSPITAL"/>
    <m/>
    <m/>
    <m/>
    <m/>
    <m/>
    <m/>
    <m/>
    <s v="Henrico P Tan"/>
    <n v="29"/>
    <m/>
    <m/>
    <s v="BlueCard"/>
    <n v="112585617"/>
    <m/>
    <m/>
    <m/>
    <m/>
    <m/>
    <m/>
    <m/>
    <m/>
    <m/>
    <m/>
    <m/>
    <m/>
    <m/>
    <m/>
    <m/>
    <m/>
    <m/>
    <d v="2026-08-06T00:00:00"/>
  </r>
  <r>
    <x v="1"/>
    <m/>
    <x v="16"/>
    <x v="1"/>
    <x v="268"/>
    <n v="2026190490528"/>
    <n v="30"/>
    <n v="28"/>
    <s v="16-30 DAYS"/>
    <s v="CI-78068263"/>
    <s v="AH87327"/>
    <x v="0"/>
    <n v="21"/>
    <s v="Pending-Investigation"/>
    <s v="Finance Review"/>
    <n v="976295537"/>
    <s v="IN"/>
    <s v="P"/>
    <s v="2025337CG6447"/>
    <s v="IN"/>
    <m/>
    <s v="IS-Dispute"/>
    <s v="BEN-Spider"/>
    <s v="RES-Unrestricted"/>
    <s v="GS-ACA"/>
    <s v="REG-ME"/>
    <s v="IT-Written"/>
    <s v="863A00"/>
    <s v="CA"/>
    <n v="813115799"/>
    <n v="1306381694"/>
    <m/>
    <m/>
    <s v="Melody D La Pena"/>
    <x v="47"/>
    <s v="Recovery_Disputes"/>
    <s v="20260716T201509.000 GMT"/>
    <n v="4266.1000000000004"/>
    <m/>
    <m/>
    <n v="976"/>
    <s v="Yes"/>
    <s v="20260716T201523.000 GMT"/>
    <d v="2026-07-16T00:00:00"/>
    <s v="System"/>
    <s v="transfer assignment"/>
    <m/>
    <m/>
    <m/>
    <m/>
    <m/>
    <m/>
    <m/>
    <m/>
    <m/>
    <s v="Cedie C Abina"/>
    <n v="21"/>
    <m/>
    <s v="CS"/>
    <s v="Local"/>
    <n v="554131349"/>
    <m/>
    <m/>
    <m/>
    <m/>
    <m/>
    <m/>
    <m/>
    <m/>
    <m/>
    <m/>
    <m/>
    <m/>
    <m/>
    <m/>
    <m/>
    <m/>
    <m/>
    <d v="2026-08-06T00:00:00"/>
  </r>
  <r>
    <x v="1"/>
    <m/>
    <x v="16"/>
    <x v="1"/>
    <x v="269"/>
    <n v="2026188200375"/>
    <n v="30"/>
    <n v="30"/>
    <s v="16-30 DAYS"/>
    <s v="CI-77636920"/>
    <s v="AH22793"/>
    <x v="0"/>
    <n v="28"/>
    <s v="Pending-Investigation"/>
    <s v="Finance Review"/>
    <s v="821W10314"/>
    <s v="IN"/>
    <s v="P"/>
    <s v="2026064CS8055"/>
    <n v="212053"/>
    <m/>
    <s v="IS-Dispute"/>
    <s v="BEN-NonSpider"/>
    <s v="RES-Unrestricted"/>
    <s v="GS-National"/>
    <s v="REG-OH"/>
    <s v="IT-Written"/>
    <s v="212053M3AY"/>
    <s v="OH"/>
    <n v="272413974"/>
    <n v="1811215742"/>
    <n v="1396063947"/>
    <m/>
    <m/>
    <x v="0"/>
    <s v="Recovery_Disputes"/>
    <s v="20260707T212503.000 GMT"/>
    <n v="1023"/>
    <m/>
    <m/>
    <n v="821"/>
    <s v="Yes"/>
    <s v="20260709T094240.000 GMT"/>
    <d v="2026-07-09T00:00:00"/>
    <s v="AH22793"/>
    <s v="MR Automation: Not eligible for MR Automation due to the listed Account/Product/Provider level exclusions. Please review and process as per the guidelines."/>
    <m/>
    <s v="OGBURN, CASEY A"/>
    <m/>
    <m/>
    <m/>
    <m/>
    <m/>
    <m/>
    <m/>
    <s v="Mary Elizabeth C Pedregoza"/>
    <n v="30"/>
    <m/>
    <s v="CS"/>
    <s v="Local"/>
    <n v="297962852"/>
    <m/>
    <m/>
    <m/>
    <m/>
    <m/>
    <m/>
    <m/>
    <m/>
    <m/>
    <m/>
    <m/>
    <m/>
    <m/>
    <m/>
    <m/>
    <m/>
    <m/>
    <d v="2026-08-06T00:00:00"/>
  </r>
  <r>
    <x v="1"/>
    <m/>
    <x v="16"/>
    <x v="1"/>
    <x v="270"/>
    <m/>
    <n v="30"/>
    <n v="29"/>
    <s v="16-30 DAYS"/>
    <s v="CI-77657836"/>
    <n v="0"/>
    <x v="4"/>
    <n v="29"/>
    <s v="Pending-Investigation"/>
    <s v="Finance Review"/>
    <s v="507W11335"/>
    <s v="Standard"/>
    <s v="Internal Request"/>
    <s v="2025167EV6094"/>
    <s v="L10720"/>
    <m/>
    <s v="IS-Dispute"/>
    <s v="BEN-Spider"/>
    <s v="RES-Unrestricted"/>
    <s v="GS-Local"/>
    <s v="REG-OH"/>
    <s v="IT-Written"/>
    <s v="L10720M001"/>
    <s v="OH"/>
    <n v="340936207"/>
    <n v="1144217894"/>
    <n v="1609031509"/>
    <m/>
    <s v="Melody D La Pena"/>
    <x v="53"/>
    <s v="Recovery_Disputes"/>
    <s v="20260708T091736.000 GMT"/>
    <n v="6333"/>
    <m/>
    <m/>
    <n v="507"/>
    <s v="Yes"/>
    <s v="20260708T091929.000 GMT"/>
    <d v="2026-07-08T00:00:00"/>
    <s v="AL86128"/>
    <s v="transfer assignment"/>
    <m/>
    <s v="ALVI, SAUD A"/>
    <m/>
    <m/>
    <m/>
    <m/>
    <m/>
    <m/>
    <m/>
    <s v="Camille Pasco"/>
    <n v="29"/>
    <m/>
    <m/>
    <s v="Local"/>
    <n v="299688188"/>
    <m/>
    <m/>
    <m/>
    <m/>
    <m/>
    <m/>
    <m/>
    <m/>
    <m/>
    <m/>
    <m/>
    <m/>
    <m/>
    <m/>
    <m/>
    <m/>
    <m/>
    <d v="2026-08-06T00:00:00"/>
  </r>
  <r>
    <x v="1"/>
    <m/>
    <x v="16"/>
    <x v="1"/>
    <x v="271"/>
    <n v="2026191370054"/>
    <n v="30"/>
    <n v="27"/>
    <s v="16-30 DAYS"/>
    <s v="CI-77775199"/>
    <s v="AL20356"/>
    <x v="1"/>
    <n v="27"/>
    <s v="Pending-Investigation"/>
    <s v="Finance Review"/>
    <s v="732A56162"/>
    <s v="AP"/>
    <s v="P"/>
    <s v="2025345EF5916"/>
    <n v="174023"/>
    <m/>
    <s v="IS-Dispute"/>
    <s v="BEN-NonSpider"/>
    <s v="RES-Unrestricted"/>
    <s v="GS-DignityHealth"/>
    <s v="REG-CA"/>
    <s v="IT-Written"/>
    <s v="174023MCA1"/>
    <s v="CA"/>
    <n v="721561118"/>
    <n v="1083732853"/>
    <m/>
    <m/>
    <m/>
    <x v="36"/>
    <s v="Recovery_Disputes"/>
    <s v="20260710T092732.000 GMT"/>
    <n v="9021"/>
    <m/>
    <m/>
    <n v="732"/>
    <s v="Yes"/>
    <s v="20260710T080600.000 GMT"/>
    <d v="2026-07-10T00:00:00"/>
    <s v="NextGen"/>
    <s v="CCOA FOR FURTHER REVIEW AND APPROPRIATE RESPONSE."/>
    <m/>
    <s v="ST. ELIZABETH COMMUNITY H"/>
    <m/>
    <m/>
    <m/>
    <m/>
    <m/>
    <m/>
    <m/>
    <s v="Katrina Y Williams"/>
    <n v="27"/>
    <m/>
    <s v="CS"/>
    <s v="Local"/>
    <n v="607944219"/>
    <m/>
    <m/>
    <m/>
    <m/>
    <m/>
    <m/>
    <m/>
    <m/>
    <m/>
    <m/>
    <m/>
    <m/>
    <m/>
    <m/>
    <m/>
    <m/>
    <m/>
    <d v="2026-08-06T00:00:00"/>
  </r>
  <r>
    <x v="1"/>
    <m/>
    <x v="16"/>
    <x v="1"/>
    <x v="272"/>
    <n v="2026195090020"/>
    <n v="30"/>
    <n v="28"/>
    <s v="16-30 DAYS"/>
    <s v="CI-77936446"/>
    <s v="AH87327"/>
    <x v="0"/>
    <n v="23"/>
    <s v="Pending-Investigation"/>
    <s v="Finance Review"/>
    <s v="497A73908"/>
    <s v="AP"/>
    <s v="P"/>
    <s v="2025342EW5600"/>
    <s v="G41232"/>
    <m/>
    <s v="IS-Dispute"/>
    <s v="BEN-Spider"/>
    <s v="RES-Unrestricted"/>
    <s v="GS-ACA"/>
    <s v="REG-CONV"/>
    <s v="IT-Written"/>
    <s v="F77662"/>
    <s v="CO"/>
    <n v="822666059"/>
    <n v="1780183145"/>
    <m/>
    <m/>
    <s v="Melody D La Pena"/>
    <x v="47"/>
    <s v="Recovery_Disputes"/>
    <s v="20260714T085921.000 GMT"/>
    <n v="75170.63"/>
    <m/>
    <m/>
    <n v="497"/>
    <s v="Yes"/>
    <s v="20260714T080800.000 GMT"/>
    <d v="2026-07-14T00:00:00"/>
    <s v="AL31990"/>
    <s v="transfer assignment"/>
    <m/>
    <s v="UCHEALTH GREELEY HOSPITAL"/>
    <m/>
    <m/>
    <m/>
    <m/>
    <m/>
    <m/>
    <m/>
    <s v="Cedie C Abina"/>
    <n v="23"/>
    <m/>
    <s v="CS"/>
    <s v="Local"/>
    <n v="506983654"/>
    <m/>
    <m/>
    <m/>
    <m/>
    <m/>
    <m/>
    <m/>
    <m/>
    <m/>
    <m/>
    <m/>
    <m/>
    <m/>
    <m/>
    <m/>
    <m/>
    <m/>
    <d v="2026-08-06T00:00:00"/>
  </r>
  <r>
    <x v="1"/>
    <m/>
    <x v="16"/>
    <x v="1"/>
    <x v="273"/>
    <n v="2026189970049"/>
    <n v="30"/>
    <n v="29"/>
    <s v="16-30 DAYS"/>
    <s v="CI-77658150"/>
    <n v="0"/>
    <x v="4"/>
    <n v="29"/>
    <s v="Pending-Investigation"/>
    <s v="Finance Review"/>
    <n v="972327406"/>
    <s v="IN"/>
    <s v="P"/>
    <s v="2026141EK4031"/>
    <n v="342883"/>
    <m/>
    <s v="IS-Dispute"/>
    <s v="BEN-Spider"/>
    <s v="RES-Unrestricted"/>
    <s v="GS-Local"/>
    <s v="REG-NH"/>
    <s v="IT-Written"/>
    <s v="342883M078"/>
    <s v="NH"/>
    <n v="20456218"/>
    <n v="1033162037"/>
    <n v="1588008452"/>
    <m/>
    <s v="Melody D La Pena"/>
    <x v="53"/>
    <s v="Recovery_Disputes"/>
    <s v="20260708T092414.000 GMT"/>
    <n v="404.32"/>
    <m/>
    <m/>
    <n v="972"/>
    <s v="Yes"/>
    <s v="20260708T092433.000 GMT"/>
    <d v="2026-07-08T00:00:00"/>
    <s v="System"/>
    <s v="transfer assignment"/>
    <m/>
    <s v="ZHANG, RUI"/>
    <m/>
    <m/>
    <m/>
    <m/>
    <m/>
    <m/>
    <m/>
    <s v="Camille Pasco"/>
    <n v="29"/>
    <m/>
    <m/>
    <s v="Local"/>
    <n v="1787327"/>
    <m/>
    <m/>
    <m/>
    <m/>
    <m/>
    <m/>
    <m/>
    <m/>
    <m/>
    <m/>
    <m/>
    <m/>
    <m/>
    <m/>
    <m/>
    <m/>
    <m/>
    <d v="2026-08-06T00:00:00"/>
  </r>
  <r>
    <x v="1"/>
    <m/>
    <x v="16"/>
    <x v="1"/>
    <x v="274"/>
    <m/>
    <n v="30"/>
    <n v="27"/>
    <s v="16-30 DAYS"/>
    <s v="CI-77786723"/>
    <s v="AL13268"/>
    <x v="1"/>
    <n v="27"/>
    <s v="Pending-Investigation"/>
    <s v="Finance Review"/>
    <s v="339A51860"/>
    <s v="IN"/>
    <s v="Member"/>
    <s v="2026001BC3827"/>
    <n v="175075"/>
    <m/>
    <s v="IS-Dispute"/>
    <s v="BEN-NonSpider"/>
    <s v="RES-Unrestricted"/>
    <s v="GS-GroupSvcsPrism"/>
    <s v="REG-CANorth"/>
    <s v="IT-Internal"/>
    <s v="175075M255"/>
    <s v="CA"/>
    <n v="953382344"/>
    <n v="1013998921"/>
    <n v="1013998921"/>
    <m/>
    <m/>
    <x v="49"/>
    <s v="Recovery_Disputes"/>
    <s v="20260710T132510.000 GMT"/>
    <n v="7362.25"/>
    <m/>
    <m/>
    <n v="339"/>
    <s v="No"/>
    <s v="20260710T132544.000 GMT"/>
    <d v="2026-07-10T00:00:00"/>
    <s v="AH43920"/>
    <s v="The claim has been partially retracted but no retraction reason is found . Kindly please provide a valid retraction determination ."/>
    <m/>
    <m/>
    <m/>
    <m/>
    <m/>
    <m/>
    <m/>
    <m/>
    <m/>
    <s v="Katrina Y Williams"/>
    <n v="27"/>
    <m/>
    <s v="CS"/>
    <s v="Local"/>
    <n v="560939597"/>
    <m/>
    <m/>
    <m/>
    <m/>
    <m/>
    <m/>
    <m/>
    <m/>
    <m/>
    <m/>
    <m/>
    <m/>
    <m/>
    <m/>
    <m/>
    <m/>
    <m/>
    <d v="2026-08-06T00:00:00"/>
  </r>
  <r>
    <x v="1"/>
    <m/>
    <x v="16"/>
    <x v="1"/>
    <x v="275"/>
    <m/>
    <n v="30"/>
    <n v="29"/>
    <s v="16-30 DAYS"/>
    <s v="CI-77658286"/>
    <n v="0"/>
    <x v="4"/>
    <n v="29"/>
    <s v="Pending-Investigation"/>
    <s v="Finance Review"/>
    <s v="379M87881"/>
    <s v="IN"/>
    <s v="Provider"/>
    <s v="2025035DY2076"/>
    <n v="212034"/>
    <m/>
    <s v="IS-Dispute"/>
    <s v="BEN-NonSpider"/>
    <s v="RES-Unrestricted"/>
    <s v="GS-National"/>
    <s v="REG-OH"/>
    <s v="IT-Written"/>
    <s v="212034M1L1"/>
    <s v="OH"/>
    <n v="310672132"/>
    <n v="1457379448"/>
    <m/>
    <m/>
    <s v="Melody D La Pena"/>
    <x v="53"/>
    <s v="Recovery_Disputes"/>
    <s v="20260708T092658.000 GMT"/>
    <n v="4141.32"/>
    <m/>
    <m/>
    <n v="379"/>
    <s v="Yes"/>
    <s v="20260708T092800.000 GMT"/>
    <d v="2026-07-08T00:00:00"/>
    <s v="AH97014"/>
    <s v="transfer assignment"/>
    <m/>
    <s v="DAYTON CHILDRENS HOSPITAL"/>
    <m/>
    <m/>
    <m/>
    <m/>
    <m/>
    <m/>
    <m/>
    <s v="Camille Pasco"/>
    <n v="29"/>
    <m/>
    <s v="CS"/>
    <s v="Local"/>
    <n v="272906908"/>
    <m/>
    <m/>
    <m/>
    <m/>
    <m/>
    <m/>
    <m/>
    <m/>
    <m/>
    <m/>
    <m/>
    <m/>
    <m/>
    <m/>
    <m/>
    <m/>
    <m/>
    <d v="2026-08-06T00:00:00"/>
  </r>
  <r>
    <x v="1"/>
    <m/>
    <x v="16"/>
    <x v="1"/>
    <x v="276"/>
    <n v="2026189520083"/>
    <n v="30"/>
    <n v="29"/>
    <s v="16-30 DAYS"/>
    <s v="CI-77661186"/>
    <n v="0"/>
    <x v="4"/>
    <n v="29"/>
    <s v="Pending-Investigation"/>
    <s v="Finance Review"/>
    <n v="809452217"/>
    <s v="IN"/>
    <s v="P"/>
    <s v="2025252EL8427"/>
    <n v="173325"/>
    <m/>
    <s v="IS-Dispute"/>
    <s v="BEN-NoBenefit"/>
    <s v="RES-Unrestricted"/>
    <s v="GS-Host"/>
    <s v="REG-MO"/>
    <s v="IT-Written"/>
    <s v="ITSPPO748"/>
    <s v="MO"/>
    <n v="430653493"/>
    <n v="1427098169"/>
    <m/>
    <n v="7.4820252521963904E+16"/>
    <s v="Melody D La Pena"/>
    <x v="42"/>
    <s v="Recovery_Disputes"/>
    <s v="20260708T104020.000 GMT"/>
    <n v="70181.86"/>
    <m/>
    <m/>
    <n v="809"/>
    <s v="Yes"/>
    <s v="20260708T104035.000 GMT"/>
    <d v="2026-07-08T00:00:00"/>
    <s v="System"/>
    <s v="transfer assignment"/>
    <m/>
    <s v="MERCY HOSPITAL ST LOUIS-E"/>
    <m/>
    <m/>
    <m/>
    <m/>
    <m/>
    <m/>
    <m/>
    <s v="Henrico P Tan"/>
    <n v="29"/>
    <m/>
    <m/>
    <s v="BlueCard"/>
    <n v="809452217"/>
    <m/>
    <m/>
    <m/>
    <m/>
    <m/>
    <m/>
    <m/>
    <m/>
    <m/>
    <m/>
    <m/>
    <m/>
    <m/>
    <m/>
    <m/>
    <m/>
    <m/>
    <d v="2026-08-06T00:00:00"/>
  </r>
  <r>
    <x v="1"/>
    <m/>
    <x v="16"/>
    <x v="1"/>
    <x v="277"/>
    <n v="2026198930377"/>
    <n v="30"/>
    <n v="20"/>
    <s v="16-30 DAYS"/>
    <s v="CI-78130324"/>
    <s v="AL87802"/>
    <x v="2"/>
    <n v="10"/>
    <s v="Pending-Investigation"/>
    <s v="Awaiting CCA Response"/>
    <s v="1000163WM"/>
    <s v="IN"/>
    <s v="P"/>
    <s v="2025339CU4328"/>
    <s v="JWI042"/>
    <n v="46229.759722222225"/>
    <s v="IS-Dispute"/>
    <s v="BEN-NonSpider"/>
    <s v="RES-Unrestricted"/>
    <s v="GS-JAALocal"/>
    <s v="REG-WI"/>
    <s v="IT-Written"/>
    <s v="JWI042M009"/>
    <s v="WI"/>
    <n v="390813418"/>
    <n v="1235588831"/>
    <n v="1841801651"/>
    <m/>
    <m/>
    <x v="40"/>
    <s v="Recovery_Disputes"/>
    <s v="20260717T205514.000 GMT"/>
    <n v="20196"/>
    <m/>
    <m/>
    <n v="100"/>
    <s v="Yes"/>
    <s v="20260727T080700.000 GMT"/>
    <d v="2026-07-27T00:00:00"/>
    <s v="GNS310"/>
    <s v="P-100WGSWI   WGS Provider 10 Day LETTER REQUESTED"/>
    <m/>
    <s v="MUNGER, KRISTIN J"/>
    <m/>
    <m/>
    <m/>
    <m/>
    <m/>
    <m/>
    <m/>
    <s v="Keano Richard Torre"/>
    <n v="20"/>
    <s v="Wilson-McShane Corporation"/>
    <s v="CS"/>
    <s v="Local"/>
    <s v="1000163WM"/>
    <m/>
    <m/>
    <m/>
    <m/>
    <m/>
    <m/>
    <m/>
    <m/>
    <m/>
    <m/>
    <m/>
    <m/>
    <m/>
    <m/>
    <m/>
    <m/>
    <m/>
    <d v="2026-08-06T00:00:00"/>
  </r>
  <r>
    <x v="1"/>
    <m/>
    <x v="16"/>
    <x v="1"/>
    <x v="278"/>
    <n v="2026200090104"/>
    <n v="30"/>
    <n v="18"/>
    <s v="16-30 DAYS"/>
    <s v="CI-78191657"/>
    <s v="AL39293"/>
    <x v="2"/>
    <n v="10"/>
    <s v="Pending-Investigation"/>
    <s v="Awaiting CCA Response"/>
    <s v="6012749CN"/>
    <s v="IN"/>
    <s v="P"/>
    <s v="2025294CK1497"/>
    <s v="L11163"/>
    <n v="46229.915277777778"/>
    <s v="IS-Dispute"/>
    <s v="BEN-NonSpider"/>
    <s v="RES-Unrestricted"/>
    <s v="GS-JAALocal"/>
    <s v="REG-CT"/>
    <s v="IT-Written"/>
    <s v="L11163M002"/>
    <s v="CT"/>
    <n v="60646668"/>
    <n v="1770696643"/>
    <m/>
    <m/>
    <m/>
    <x v="41"/>
    <s v="Recovery_Disputes"/>
    <s v="20260719T164340.000 GMT"/>
    <n v="21115.01"/>
    <m/>
    <m/>
    <n v="601"/>
    <s v="Yes"/>
    <s v="20260727T045906.000 GMT"/>
    <d v="2026-07-27T00:00:00"/>
    <s v="Ryan E Asis"/>
    <s v="Pend - Sent to Provider Audit"/>
    <m/>
    <s v="HARTFORD HOSPITAL"/>
    <m/>
    <m/>
    <m/>
    <m/>
    <m/>
    <m/>
    <m/>
    <s v="Ryan E Asis"/>
    <n v="18"/>
    <s v="Solxsys"/>
    <m/>
    <s v="Local"/>
    <s v="6012749CN"/>
    <m/>
    <m/>
    <m/>
    <m/>
    <m/>
    <m/>
    <m/>
    <m/>
    <m/>
    <m/>
    <m/>
    <m/>
    <m/>
    <m/>
    <m/>
    <m/>
    <m/>
    <d v="2026-08-06T00:00:00"/>
  </r>
  <r>
    <x v="1"/>
    <m/>
    <x v="16"/>
    <x v="1"/>
    <x v="279"/>
    <n v="2026190870431"/>
    <n v="30"/>
    <n v="28"/>
    <s v="16-30 DAYS"/>
    <s v="CI-77760422"/>
    <s v="AL02716"/>
    <x v="0"/>
    <n v="24"/>
    <s v="Pending-Investigation"/>
    <s v="Finance Review"/>
    <n v="970458588"/>
    <s v="IN"/>
    <s v="P"/>
    <s v="2026020BB7377"/>
    <n v="360687"/>
    <m/>
    <s v="IS-Dispute"/>
    <s v="BEN-SpiderHMO"/>
    <s v="RES-Unrestricted"/>
    <s v="GS-LocalFI"/>
    <s v="REG-NH"/>
    <s v="IT-Written"/>
    <s v="360687M002"/>
    <s v="NH"/>
    <n v="300709677"/>
    <n v="1801501622"/>
    <n v="1174196182"/>
    <m/>
    <m/>
    <x v="35"/>
    <s v="Recovery_Disputes"/>
    <s v="20260709T224044.000 GMT"/>
    <n v="1095.3"/>
    <m/>
    <m/>
    <n v="970"/>
    <s v="Yes"/>
    <s v="20260713T084224.000 GMT"/>
    <d v="2026-07-13T00:00:00"/>
    <s v="AL02716"/>
    <s v="MR Automation: Not eligible for MR Automation due to the listed Account/Product/Provider level exclusions. Please review and process as per the guidelines."/>
    <m/>
    <s v="ANDRIA  GILMAN"/>
    <m/>
    <m/>
    <m/>
    <m/>
    <m/>
    <m/>
    <m/>
    <s v="Christine F Andayran"/>
    <n v="28"/>
    <m/>
    <s v="CS"/>
    <s v="Local"/>
    <n v="53605572"/>
    <m/>
    <m/>
    <m/>
    <m/>
    <m/>
    <m/>
    <m/>
    <m/>
    <m/>
    <m/>
    <m/>
    <m/>
    <m/>
    <m/>
    <m/>
    <m/>
    <m/>
    <d v="2026-08-06T00:00:00"/>
  </r>
  <r>
    <x v="1"/>
    <m/>
    <x v="16"/>
    <x v="1"/>
    <x v="280"/>
    <n v="2026189590070"/>
    <n v="30"/>
    <n v="29"/>
    <s v="16-30 DAYS"/>
    <s v="CI-77660235"/>
    <n v="0"/>
    <x v="4"/>
    <n v="29"/>
    <s v="Pending-Investigation"/>
    <s v="Finance Review"/>
    <s v="626A23862"/>
    <s v="IN"/>
    <s v="P"/>
    <s v="2025220EL2013"/>
    <s v="L10964"/>
    <m/>
    <s v="IS-Dispute"/>
    <s v="BEN-NonSpider"/>
    <s v="RES-Unrestricted"/>
    <s v="GS-Local"/>
    <s v="REG-CONV"/>
    <s v="IT-Written"/>
    <s v="L10964MC12"/>
    <s v="CO"/>
    <n v="840175870"/>
    <n v="1609822030"/>
    <n v="1073737664"/>
    <m/>
    <s v="Melody D La Pena"/>
    <x v="53"/>
    <s v="Recovery_Disputes"/>
    <s v="20260708T101640.000 GMT"/>
    <n v="168"/>
    <m/>
    <m/>
    <n v="626"/>
    <s v="Yes"/>
    <s v="20260708T101654.000 GMT"/>
    <d v="2026-07-08T00:00:00"/>
    <s v="System"/>
    <s v="transfer assignment"/>
    <m/>
    <s v="IYENGAR, SRINIVAS"/>
    <m/>
    <m/>
    <m/>
    <m/>
    <m/>
    <m/>
    <m/>
    <s v="Camille Pasco"/>
    <n v="29"/>
    <m/>
    <s v="CS"/>
    <s v="Local"/>
    <s v="CUB206880"/>
    <m/>
    <m/>
    <m/>
    <m/>
    <m/>
    <m/>
    <m/>
    <m/>
    <m/>
    <m/>
    <m/>
    <m/>
    <m/>
    <m/>
    <m/>
    <m/>
    <m/>
    <d v="2026-08-06T00:00:00"/>
  </r>
  <r>
    <x v="1"/>
    <m/>
    <x v="16"/>
    <x v="1"/>
    <x v="281"/>
    <n v="2026190790536"/>
    <n v="30"/>
    <n v="28"/>
    <s v="16-30 DAYS"/>
    <s v="CI-77768712"/>
    <s v="AH87327"/>
    <x v="0"/>
    <n v="27"/>
    <s v="Pending-Investigation"/>
    <s v="Finance Review"/>
    <s v="261M81364"/>
    <s v="IN"/>
    <s v="P"/>
    <s v="2026066BA0180"/>
    <s v="SGD44675"/>
    <m/>
    <s v="IS-Dispute"/>
    <s v="BEN-Spider"/>
    <s v="RES-Unrestricted"/>
    <s v="GS-ACA"/>
    <s v="REG-CT"/>
    <s v="IT-Written"/>
    <s v="80CV00"/>
    <s v="NH"/>
    <n v="993848294"/>
    <n v="1174414882"/>
    <n v="1649440959"/>
    <m/>
    <s v="Melody D La Pena"/>
    <x v="47"/>
    <s v="Recovery_Disputes"/>
    <s v="20260710T040936.000 GMT"/>
    <n v="611"/>
    <m/>
    <m/>
    <n v="261"/>
    <s v="Yes"/>
    <s v="20260710T041000.000 GMT"/>
    <d v="2026-07-10T00:00:00"/>
    <s v="System"/>
    <s v="transfer assignment"/>
    <m/>
    <s v="MATTHEW D MOORE, MATTHEW D"/>
    <m/>
    <m/>
    <m/>
    <m/>
    <m/>
    <m/>
    <m/>
    <s v="Cedie C Abina"/>
    <n v="28"/>
    <m/>
    <m/>
    <s v="Local"/>
    <n v="49702742"/>
    <m/>
    <m/>
    <m/>
    <m/>
    <m/>
    <m/>
    <m/>
    <m/>
    <m/>
    <m/>
    <m/>
    <m/>
    <m/>
    <m/>
    <m/>
    <m/>
    <m/>
    <d v="2026-08-06T00:00:00"/>
  </r>
  <r>
    <x v="1"/>
    <m/>
    <x v="16"/>
    <x v="1"/>
    <x v="282"/>
    <n v="2026190100530"/>
    <n v="30"/>
    <n v="28"/>
    <s v="16-30 DAYS"/>
    <s v="CI-78068088"/>
    <s v="AH87327"/>
    <x v="0"/>
    <n v="21"/>
    <s v="Pending-Investigation"/>
    <s v="Finance Review"/>
    <n v="976303445"/>
    <s v="IN"/>
    <s v="P"/>
    <s v="2026064BW4668"/>
    <s v="IN"/>
    <m/>
    <s v="IS-Dispute"/>
    <s v="BEN-Spider"/>
    <s v="RES-Unrestricted"/>
    <s v="GS-ACA"/>
    <s v="REG-ME"/>
    <s v="IT-Written"/>
    <s v="97KT00"/>
    <s v="CA"/>
    <n v="813115799"/>
    <n v="1306381694"/>
    <m/>
    <m/>
    <s v="Melody D La Pena"/>
    <x v="47"/>
    <s v="Recovery_Disputes"/>
    <s v="20260716T201255.000 GMT"/>
    <n v="4266.1000000000004"/>
    <m/>
    <m/>
    <n v="976"/>
    <s v="Yes"/>
    <s v="20260716T201309.000 GMT"/>
    <d v="2026-07-16T00:00:00"/>
    <s v="System"/>
    <s v="transfer assignment"/>
    <m/>
    <m/>
    <m/>
    <m/>
    <m/>
    <m/>
    <m/>
    <m/>
    <m/>
    <s v="Cedie C Abina"/>
    <n v="21"/>
    <m/>
    <s v="CS"/>
    <s v="Local"/>
    <n v="422392629"/>
    <m/>
    <m/>
    <m/>
    <m/>
    <m/>
    <m/>
    <m/>
    <m/>
    <m/>
    <m/>
    <m/>
    <m/>
    <m/>
    <m/>
    <m/>
    <m/>
    <m/>
    <d v="2026-08-06T00:00:00"/>
  </r>
  <r>
    <x v="1"/>
    <m/>
    <x v="16"/>
    <x v="1"/>
    <x v="283"/>
    <n v="2026191320093"/>
    <n v="30"/>
    <n v="27"/>
    <s v="16-30 DAYS"/>
    <s v="CI-77781659"/>
    <s v="AL66317"/>
    <x v="0"/>
    <n v="27"/>
    <s v="Pending-Investigation"/>
    <s v="Finance Review"/>
    <s v="330A56922"/>
    <s v="IN"/>
    <s v="S"/>
    <s v="2025300EZ3436"/>
    <n v="131192"/>
    <m/>
    <s v="IS-Dispute"/>
    <s v="BEN-NonSpider"/>
    <s v="RES-Unrestricted"/>
    <s v="GS-GICRetiree"/>
    <s v="REG-Unicare"/>
    <s v="IT-Written"/>
    <s v="131192M038"/>
    <s v="FL"/>
    <n v="270354278"/>
    <n v="1255568879"/>
    <n v="1780736975"/>
    <m/>
    <m/>
    <x v="38"/>
    <s v="Recovery_Disputes"/>
    <s v="20260710T114339.000 GMT"/>
    <n v="1000"/>
    <m/>
    <m/>
    <n v="330"/>
    <s v="Yes"/>
    <s v="20260710T114353.000 GMT"/>
    <d v="2026-07-10T00:00:00"/>
    <s v="System"/>
    <s v="MR Automation: Not eligible for MR Automation due to the listed Account/Product/Provider level exclusions. Please review and process as per the guidelines."/>
    <m/>
    <s v="TATE, STEPHEN M"/>
    <m/>
    <m/>
    <m/>
    <m/>
    <m/>
    <m/>
    <m/>
    <s v="Katrina Y Williams"/>
    <n v="27"/>
    <m/>
    <s v="CS"/>
    <s v="Local"/>
    <n v="17342989"/>
    <m/>
    <m/>
    <m/>
    <m/>
    <m/>
    <m/>
    <m/>
    <m/>
    <m/>
    <m/>
    <m/>
    <m/>
    <m/>
    <m/>
    <m/>
    <m/>
    <m/>
    <d v="2026-08-06T00:00:00"/>
  </r>
  <r>
    <x v="1"/>
    <m/>
    <x v="16"/>
    <x v="1"/>
    <x v="284"/>
    <n v="2026188770185"/>
    <n v="30"/>
    <n v="30"/>
    <s v="16-30 DAYS"/>
    <s v="CI-77616077"/>
    <s v="AH22793"/>
    <x v="0"/>
    <n v="28"/>
    <s v="Pending-Investigation"/>
    <s v="Finance Review"/>
    <s v="AN0102780"/>
    <s v="IN"/>
    <s v="P"/>
    <s v="2025063GB2860"/>
    <n v="212077"/>
    <m/>
    <s v="IS-Dispute"/>
    <s v="BEN-NonSpider"/>
    <s v="RES-Unrestricted"/>
    <s v="GS-National"/>
    <s v="REG-OH"/>
    <s v="IT-Written"/>
    <s v="212077M5AR"/>
    <s v="KY"/>
    <n v="843751824"/>
    <n v="1720160997"/>
    <m/>
    <m/>
    <m/>
    <x v="0"/>
    <s v="Recovery_Disputes"/>
    <s v="20260707T152540.000 GMT"/>
    <n v="47069.919999999998"/>
    <m/>
    <m/>
    <s v="AN0"/>
    <s v="Yes"/>
    <s v="20260709T102111.000 GMT"/>
    <d v="2026-07-09T00:00:00"/>
    <s v="AH22793"/>
    <s v="MR Automation: Not eligible for MR Automation due to the listed Account/Product/Provider level exclusions. Please review and process as per the guidelines."/>
    <m/>
    <m/>
    <m/>
    <m/>
    <m/>
    <m/>
    <m/>
    <m/>
    <m/>
    <s v="Mary Elizabeth C Pedregoza"/>
    <n v="30"/>
    <m/>
    <s v="CS"/>
    <s v="Local"/>
    <n v="405049026"/>
    <m/>
    <m/>
    <m/>
    <m/>
    <m/>
    <m/>
    <m/>
    <m/>
    <m/>
    <m/>
    <m/>
    <m/>
    <m/>
    <m/>
    <m/>
    <m/>
    <m/>
    <d v="2026-08-06T00:00:00"/>
  </r>
  <r>
    <x v="1"/>
    <m/>
    <x v="16"/>
    <x v="1"/>
    <x v="285"/>
    <n v="2026189940075"/>
    <n v="30"/>
    <n v="29"/>
    <s v="16-30 DAYS"/>
    <s v="CI-77659529"/>
    <n v="0"/>
    <x v="4"/>
    <n v="29"/>
    <s v="Pending-Investigation"/>
    <s v="Finance Review"/>
    <s v="AN9199805"/>
    <s v="IN"/>
    <s v="P"/>
    <s v="2025267DC2433"/>
    <n v="174570"/>
    <m/>
    <s v="IS-Dispute"/>
    <s v="BEN-NonSpider"/>
    <s v="RES-Unrestricted"/>
    <s v="GS-National"/>
    <s v="REG-GA"/>
    <s v="IT-Written"/>
    <s v="174570A5A1"/>
    <s v="GA"/>
    <n v="273818647"/>
    <n v="1275992240"/>
    <n v="1326628959"/>
    <m/>
    <s v="Melody D La Pena"/>
    <x v="53"/>
    <s v="Recovery_Disputes"/>
    <s v="20260708T100030.000 GMT"/>
    <n v="533"/>
    <m/>
    <m/>
    <s v="AN9"/>
    <s v="Yes"/>
    <s v="20260708T100049.000 GMT"/>
    <d v="2026-07-08T00:00:00"/>
    <s v="System"/>
    <s v="transfer assignment"/>
    <m/>
    <s v="DWAYNE L TERRY"/>
    <m/>
    <m/>
    <m/>
    <m/>
    <m/>
    <m/>
    <m/>
    <s v="Camille Pasco"/>
    <n v="29"/>
    <m/>
    <s v="CS"/>
    <s v="Local"/>
    <n v="254898106"/>
    <m/>
    <m/>
    <m/>
    <m/>
    <m/>
    <m/>
    <m/>
    <m/>
    <m/>
    <m/>
    <m/>
    <m/>
    <m/>
    <m/>
    <m/>
    <m/>
    <m/>
    <d v="2026-08-06T00:00:00"/>
  </r>
  <r>
    <x v="1"/>
    <m/>
    <x v="16"/>
    <x v="1"/>
    <x v="286"/>
    <m/>
    <n v="30"/>
    <n v="29"/>
    <s v="16-30 DAYS"/>
    <s v="CI-77660331"/>
    <n v="0"/>
    <x v="4"/>
    <n v="29"/>
    <s v="Pending-Investigation"/>
    <s v="Finance Review"/>
    <s v="892W09377"/>
    <s v="IN"/>
    <s v="P"/>
    <s v="2026085DE6674"/>
    <n v="213028"/>
    <m/>
    <s v="IS-Dispute"/>
    <s v="BEN-NonSpider"/>
    <s v="RES-Unrestricted"/>
    <s v="GS-National"/>
    <s v="REG-IN"/>
    <s v="IT-Written"/>
    <s v="213028M1A4"/>
    <s v="IN"/>
    <n v="262101949"/>
    <n v="1437398492"/>
    <n v="1740897362"/>
    <m/>
    <s v="Melody D La Pena"/>
    <x v="53"/>
    <s v="Recovery_Disputes"/>
    <s v="20260708T101916.000 GMT"/>
    <n v="1040"/>
    <m/>
    <m/>
    <n v="892"/>
    <s v="Yes"/>
    <s v="20260708T102542.000 GMT"/>
    <d v="2026-07-08T00:00:00"/>
    <s v="AL93591"/>
    <s v="transfer assignment"/>
    <m/>
    <s v="TAYLOR  TROLIAN"/>
    <m/>
    <m/>
    <m/>
    <m/>
    <m/>
    <m/>
    <m/>
    <s v="Camille Pasco"/>
    <n v="29"/>
    <m/>
    <s v="CS"/>
    <s v="Local"/>
    <n v="307086059"/>
    <m/>
    <m/>
    <m/>
    <m/>
    <m/>
    <m/>
    <m/>
    <m/>
    <m/>
    <m/>
    <m/>
    <m/>
    <m/>
    <m/>
    <m/>
    <m/>
    <m/>
    <d v="2026-08-06T00:00:00"/>
  </r>
  <r>
    <x v="1"/>
    <m/>
    <x v="16"/>
    <x v="1"/>
    <x v="287"/>
    <n v="2026189330084"/>
    <n v="30"/>
    <n v="29"/>
    <s v="16-30 DAYS"/>
    <s v="CI-77661478"/>
    <n v="0"/>
    <x v="4"/>
    <n v="29"/>
    <s v="Pending-Investigation"/>
    <s v="Finance Review"/>
    <n v="134786965"/>
    <s v="IN"/>
    <s v="P"/>
    <s v="2024102DL7366"/>
    <s v="NYITSH"/>
    <m/>
    <s v="IS-Dispute"/>
    <s v="BEN-NoBenefit"/>
    <s v="RES-Unrestricted"/>
    <s v="GS-Host"/>
    <s v="REG-NY"/>
    <s v="IT-Written"/>
    <s v="ITSPPO254"/>
    <s v="NY"/>
    <n v="611661781"/>
    <n v="1750626560"/>
    <n v="1467436162"/>
    <n v="2.54202410223452E+16"/>
    <s v="Melody D La Pena"/>
    <x v="42"/>
    <s v="Recovery_Disputes"/>
    <s v="20260708T104723.000 GMT"/>
    <n v="22500"/>
    <m/>
    <m/>
    <n v="134"/>
    <s v="Yes"/>
    <s v="20260708T104743.000 GMT"/>
    <d v="2026-07-08T00:00:00"/>
    <s v="System"/>
    <s v="transfer assignment"/>
    <m/>
    <s v="STELZER, PAUL E"/>
    <m/>
    <m/>
    <m/>
    <m/>
    <m/>
    <m/>
    <m/>
    <s v="Henrico P Tan"/>
    <n v="29"/>
    <m/>
    <m/>
    <s v="BlueCard"/>
    <n v="134786965"/>
    <m/>
    <m/>
    <m/>
    <m/>
    <m/>
    <m/>
    <m/>
    <m/>
    <m/>
    <m/>
    <m/>
    <m/>
    <m/>
    <m/>
    <m/>
    <m/>
    <m/>
    <d v="2026-08-06T00:00:00"/>
  </r>
  <r>
    <x v="1"/>
    <m/>
    <x v="16"/>
    <x v="1"/>
    <x v="288"/>
    <s v="CL-36839501"/>
    <n v="30"/>
    <n v="28"/>
    <s v="16-30 DAYS"/>
    <s v="CI-77740566"/>
    <s v="AL86932"/>
    <x v="4"/>
    <n v="21"/>
    <s v="Pending-Investigation"/>
    <s v="Finance Review"/>
    <s v="TOA 893W16339"/>
    <s v="Standard"/>
    <s v="Provider"/>
    <s v="2026047EU4878"/>
    <n v="214021"/>
    <m/>
    <s v="IS-Dispute"/>
    <s v="BEN-NonSpider"/>
    <s v="RES-Unrestricted"/>
    <s v="GS-Toyota"/>
    <s v="REG-KY"/>
    <s v="IT-ASPEN"/>
    <s v="214021M3EA"/>
    <s v="KY"/>
    <n v="832261516"/>
    <n v="1083185938"/>
    <n v="1316263718"/>
    <m/>
    <s v="Melody D La Pena"/>
    <x v="51"/>
    <s v="Recovery_Disputes"/>
    <s v="20260709T163452.000 GMT"/>
    <n v="402"/>
    <m/>
    <m/>
    <s v="TOA"/>
    <s v="No"/>
    <s v="20260716T150430.000 GMT"/>
    <d v="2026-07-16T00:00:00"/>
    <s v="AI05286"/>
    <s v="transfer assignment"/>
    <m/>
    <s v="BARKO, AMY A"/>
    <m/>
    <m/>
    <m/>
    <m/>
    <m/>
    <s v="CL-36838343"/>
    <m/>
    <s v="KRISTIANNA MARIE C LOPEZ"/>
    <n v="28"/>
    <m/>
    <s v="Claim Adjustment"/>
    <s v="Local"/>
    <n v="269783257"/>
    <m/>
    <m/>
    <m/>
    <m/>
    <m/>
    <m/>
    <m/>
    <m/>
    <m/>
    <m/>
    <m/>
    <m/>
    <m/>
    <m/>
    <m/>
    <m/>
    <m/>
    <d v="2026-08-06T00:00:00"/>
  </r>
  <r>
    <x v="1"/>
    <m/>
    <x v="16"/>
    <x v="1"/>
    <x v="289"/>
    <n v="2026190740372"/>
    <n v="30"/>
    <n v="28"/>
    <s v="16-30 DAYS"/>
    <s v="CI-77772794"/>
    <s v="AL39293"/>
    <x v="2"/>
    <n v="27"/>
    <s v="Pending-Investigation"/>
    <s v="Finance Review"/>
    <s v="641W01812"/>
    <s v="AP"/>
    <s v="P"/>
    <s v="2025281DY0293"/>
    <n v="174023"/>
    <m/>
    <s v="IS-Dispute"/>
    <s v="BEN-NonSpider"/>
    <s v="RES-Unrestricted"/>
    <s v="GS-DignityHealth"/>
    <s v="REG-CA"/>
    <s v="IT-Written"/>
    <s v="174023MCA1"/>
    <s v="CA"/>
    <n v="562360411"/>
    <n v="1477671535"/>
    <m/>
    <m/>
    <m/>
    <x v="41"/>
    <s v="Recovery_Disputes"/>
    <s v="20260710T084602.000 GMT"/>
    <n v="518"/>
    <m/>
    <m/>
    <n v="641"/>
    <s v="Yes"/>
    <s v="20260710T113951.000 GMT"/>
    <d v="2026-07-10T00:00:00"/>
    <s v="AL39293"/>
    <s v="CPRAS Response : CLAIM : 2025281DY0293 - Inquiry category: West Provider Follow current guidelines"/>
    <m/>
    <s v="MERCY REDDING"/>
    <m/>
    <m/>
    <m/>
    <m/>
    <m/>
    <m/>
    <m/>
    <s v="Katrina Y Williams"/>
    <n v="27"/>
    <m/>
    <s v="CS"/>
    <s v="Local"/>
    <n v="772107548"/>
    <m/>
    <m/>
    <m/>
    <m/>
    <m/>
    <m/>
    <m/>
    <m/>
    <m/>
    <m/>
    <m/>
    <m/>
    <m/>
    <m/>
    <m/>
    <m/>
    <m/>
    <d v="2026-08-06T00:00:00"/>
  </r>
  <r>
    <x v="1"/>
    <m/>
    <x v="16"/>
    <x v="1"/>
    <x v="290"/>
    <m/>
    <n v="30"/>
    <n v="29"/>
    <s v="16-30 DAYS"/>
    <s v="CI-77657685"/>
    <n v="0"/>
    <x v="4"/>
    <n v="29"/>
    <s v="Pending-Investigation"/>
    <s v="Finance Review"/>
    <s v="010A78766"/>
    <s v="IN"/>
    <s v="Provider"/>
    <s v="2026063EY9061"/>
    <n v="270240"/>
    <m/>
    <s v="IS-Dispute"/>
    <s v="BEN-NonSpider"/>
    <s v="RES-Unrestricted"/>
    <s v="GS-National"/>
    <s v="REG-IN"/>
    <s v="IT-Written"/>
    <s v="270240M12C"/>
    <s v="CA"/>
    <n v="951675600"/>
    <n v="1336173269"/>
    <m/>
    <m/>
    <s v="Melody D La Pena"/>
    <x v="53"/>
    <s v="Recovery_Disputes"/>
    <s v="20260708T091351.000 GMT"/>
    <n v="16823.400000000001"/>
    <m/>
    <m/>
    <n v="10"/>
    <s v="Yes"/>
    <s v="20260708T091429.000 GMT"/>
    <d v="2026-07-08T00:00:00"/>
    <s v="AH97014"/>
    <s v="transfer assignment"/>
    <m/>
    <s v="PROVIDENCE SAINT JOSEPH M"/>
    <m/>
    <m/>
    <m/>
    <m/>
    <m/>
    <m/>
    <m/>
    <s v="Camille Pasco"/>
    <n v="29"/>
    <m/>
    <s v="CS"/>
    <s v="Local"/>
    <n v="99745652"/>
    <m/>
    <m/>
    <m/>
    <m/>
    <m/>
    <m/>
    <m/>
    <m/>
    <m/>
    <m/>
    <m/>
    <m/>
    <m/>
    <m/>
    <m/>
    <m/>
    <m/>
    <d v="2026-08-06T00:00:00"/>
  </r>
  <r>
    <x v="1"/>
    <m/>
    <x v="16"/>
    <x v="1"/>
    <x v="291"/>
    <n v="2026191120121"/>
    <n v="30"/>
    <n v="28"/>
    <s v="16-30 DAYS"/>
    <s v="CI-77783124"/>
    <s v="AH87327"/>
    <x v="0"/>
    <n v="15"/>
    <s v="Pending-Investigation"/>
    <s v="Finance Review"/>
    <s v="144W16539"/>
    <s v="IN"/>
    <s v="P"/>
    <s v="2026084CB6146"/>
    <s v="L03887"/>
    <m/>
    <s v="IS-Dispute"/>
    <s v="BEN-NonSpider"/>
    <s v="RES-Unrestricted"/>
    <s v="GS-Local"/>
    <s v="REG-CONV"/>
    <s v="IT-Written"/>
    <s v="L03887M005"/>
    <s v="CO"/>
    <n v="841375828"/>
    <n v="1447201009"/>
    <n v="1548219934"/>
    <m/>
    <s v="Melody D La Pena"/>
    <x v="47"/>
    <s v="Recovery_Disputes"/>
    <s v="20260710T121028.000 GMT"/>
    <n v="520"/>
    <m/>
    <m/>
    <n v="144"/>
    <s v="Yes"/>
    <s v="20260722T084715.000 GMT"/>
    <d v="2026-07-22T00:00:00"/>
    <s v="AL29918"/>
    <s v="transfer assignment"/>
    <m/>
    <s v="KOUYOUMDJIAN, GREGORY A"/>
    <m/>
    <m/>
    <m/>
    <m/>
    <m/>
    <m/>
    <m/>
    <s v="Cedie C Abina"/>
    <n v="27"/>
    <m/>
    <m/>
    <s v="Local"/>
    <n v="574786559"/>
    <m/>
    <m/>
    <m/>
    <m/>
    <m/>
    <m/>
    <m/>
    <m/>
    <m/>
    <m/>
    <m/>
    <m/>
    <m/>
    <m/>
    <m/>
    <m/>
    <m/>
    <d v="2026-08-06T00:00:00"/>
  </r>
  <r>
    <x v="1"/>
    <m/>
    <x v="16"/>
    <x v="1"/>
    <x v="292"/>
    <n v="2026190030111"/>
    <n v="30"/>
    <n v="28"/>
    <s v="16-30 DAYS"/>
    <s v="CI-77722719"/>
    <s v="AH87327"/>
    <x v="0"/>
    <n v="28"/>
    <s v="Pending-Investigation"/>
    <s v="Finance Review"/>
    <s v="112W04080"/>
    <s v="IN"/>
    <s v="P"/>
    <s v="2024316CO4641"/>
    <s v="SO6321"/>
    <m/>
    <s v="IS-Dispute"/>
    <s v="BEN-Spider"/>
    <s v="RES-Unrestricted"/>
    <s v="GS-LocalFI"/>
    <s v="REG-OH"/>
    <s v="IT-Written"/>
    <s v="SO6321M002"/>
    <s v="OH"/>
    <n v="451800147"/>
    <n v="1346533734"/>
    <n v="1952576969"/>
    <m/>
    <s v="Melody D La Pena"/>
    <x v="47"/>
    <s v="Recovery_Disputes"/>
    <s v="20260709T111835.000 GMT"/>
    <n v="4550"/>
    <m/>
    <m/>
    <n v="112"/>
    <s v="Yes"/>
    <s v="20260709T111919.000 GMT"/>
    <d v="2026-07-09T00:00:00"/>
    <s v="System"/>
    <s v="transfer assignment"/>
    <m/>
    <s v="WEST, JULIE M"/>
    <m/>
    <m/>
    <m/>
    <m/>
    <m/>
    <m/>
    <m/>
    <s v="Cedie C Abina"/>
    <n v="28"/>
    <m/>
    <m/>
    <s v="Local"/>
    <n v="284668911"/>
    <m/>
    <m/>
    <m/>
    <m/>
    <m/>
    <m/>
    <m/>
    <m/>
    <m/>
    <m/>
    <m/>
    <m/>
    <m/>
    <m/>
    <m/>
    <m/>
    <m/>
    <d v="2026-08-06T00:00:00"/>
  </r>
  <r>
    <x v="1"/>
    <m/>
    <x v="16"/>
    <x v="1"/>
    <x v="293"/>
    <n v="2026190940055"/>
    <n v="30"/>
    <n v="28"/>
    <s v="16-30 DAYS"/>
    <s v="CI-77834104"/>
    <s v="AH87327"/>
    <x v="0"/>
    <n v="14"/>
    <s v="Pending-Investigation"/>
    <s v="Finance Review"/>
    <s v="382M55855"/>
    <m/>
    <s v="P"/>
    <s v="2024121BB5170"/>
    <s v="VA3120"/>
    <m/>
    <s v="IS-Dispute"/>
    <s v="BEN-Spider"/>
    <s v="RES-Unrestricted"/>
    <s v="GS-Local"/>
    <s v="REG-VA"/>
    <s v="IT-Internal"/>
    <s v="VA3120M008"/>
    <s v="OH"/>
    <n v="262292026"/>
    <n v="1447422118"/>
    <n v="1992191019"/>
    <m/>
    <s v="Melody D La Pena"/>
    <x v="47"/>
    <s v="Recovery_Disputes"/>
    <s v="20260711T094019.000 GMT"/>
    <n v="5504"/>
    <m/>
    <m/>
    <n v="382"/>
    <s v="No"/>
    <s v="20260723T103504.000 GMT"/>
    <d v="2026-07-23T00:00:00"/>
    <s v="AI04744"/>
    <s v="transfer assignment"/>
    <m/>
    <s v="BAUER, NATALIE J"/>
    <m/>
    <m/>
    <m/>
    <m/>
    <m/>
    <m/>
    <m/>
    <s v="Cedie C Abina"/>
    <n v="26"/>
    <m/>
    <m/>
    <s v="Local"/>
    <n v="309669278"/>
    <m/>
    <m/>
    <m/>
    <m/>
    <m/>
    <m/>
    <m/>
    <m/>
    <m/>
    <m/>
    <m/>
    <m/>
    <m/>
    <m/>
    <m/>
    <m/>
    <m/>
    <d v="2026-08-06T00:00:00"/>
  </r>
  <r>
    <x v="1"/>
    <m/>
    <x v="16"/>
    <x v="1"/>
    <x v="294"/>
    <n v="2026191570017"/>
    <n v="30"/>
    <n v="27"/>
    <s v="16-30 DAYS"/>
    <s v="CI-77772081"/>
    <s v="AI02198"/>
    <x v="1"/>
    <n v="26"/>
    <s v="Pending-Investigation"/>
    <s v="Finance Review"/>
    <s v="AN4784465"/>
    <s v="IN"/>
    <s v="P"/>
    <s v="2025296CY2325"/>
    <s v="W33010"/>
    <m/>
    <s v="IS-Dispute"/>
    <s v="BEN-NonSpider"/>
    <s v="RES-Unrestricted"/>
    <s v="GS-UniversityOfKY"/>
    <s v="REG-KY"/>
    <s v="IT-Written"/>
    <s v="W33010M003"/>
    <s v="KY"/>
    <n v="610945743"/>
    <n v="1326091448"/>
    <n v="1427215094"/>
    <m/>
    <m/>
    <x v="2"/>
    <s v="Recovery_Disputes"/>
    <s v="20260710T083236.000 GMT"/>
    <n v="1991.25"/>
    <m/>
    <m/>
    <s v="AN4"/>
    <s v="Yes"/>
    <s v="20260711T111824.000 GMT"/>
    <d v="2026-07-11T00:00:00"/>
    <s v="AI02198"/>
    <s v="CPRAS Response : CLAIM : 2025296CY2325 - Inquiry category: Correspondence.  Eligible for adjustment"/>
    <m/>
    <s v="FRASER, JUSTIN F"/>
    <m/>
    <m/>
    <m/>
    <m/>
    <m/>
    <m/>
    <m/>
    <s v="Katrina Y Williams"/>
    <n v="27"/>
    <m/>
    <m/>
    <s v="Local"/>
    <n v="402820393"/>
    <m/>
    <m/>
    <m/>
    <m/>
    <m/>
    <m/>
    <m/>
    <m/>
    <m/>
    <m/>
    <m/>
    <m/>
    <m/>
    <m/>
    <m/>
    <m/>
    <m/>
    <d v="2026-08-06T00:00:00"/>
  </r>
  <r>
    <x v="1"/>
    <m/>
    <x v="16"/>
    <x v="1"/>
    <x v="295"/>
    <m/>
    <n v="30"/>
    <n v="29"/>
    <s v="16-30 DAYS"/>
    <s v="CI-77657905"/>
    <n v="0"/>
    <x v="4"/>
    <n v="29"/>
    <s v="Pending-Investigation"/>
    <s v="Finance Review"/>
    <s v="056A23996"/>
    <s v="IN"/>
    <s v="Provider"/>
    <s v="2026005CM4234"/>
    <n v="212024"/>
    <m/>
    <s v="IS-Dispute"/>
    <s v="BEN-NonSpider"/>
    <s v="RES-Unrestricted"/>
    <s v="GS-National"/>
    <s v="REG-OH"/>
    <s v="IT-Written"/>
    <s v="212024PCA1"/>
    <s v="WI"/>
    <n v="390813418"/>
    <n v="1235588831"/>
    <n v="1043531874"/>
    <m/>
    <s v="Melody D La Pena"/>
    <x v="53"/>
    <s v="Recovery_Disputes"/>
    <s v="20260708T091858.000 GMT"/>
    <n v="20196"/>
    <m/>
    <m/>
    <n v="56"/>
    <s v="Yes"/>
    <s v="20260708T091934.000 GMT"/>
    <d v="2026-07-08T00:00:00"/>
    <s v="AH97014"/>
    <s v="transfer assignment"/>
    <m/>
    <s v="WEBB, JONATHAN E"/>
    <m/>
    <m/>
    <m/>
    <m/>
    <m/>
    <m/>
    <m/>
    <s v="Camille Pasco"/>
    <n v="29"/>
    <m/>
    <s v="CS"/>
    <s v="Local"/>
    <n v="388238998"/>
    <m/>
    <m/>
    <m/>
    <m/>
    <m/>
    <m/>
    <m/>
    <m/>
    <m/>
    <m/>
    <m/>
    <m/>
    <m/>
    <m/>
    <m/>
    <m/>
    <m/>
    <d v="2026-08-0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ACB5D-224D-43D2-A6F4-202663732835}" name="PivotTable11"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N31"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12">
    <i>
      <x v="13"/>
    </i>
    <i r="1">
      <x v="3"/>
    </i>
    <i r="2">
      <x v="940"/>
    </i>
    <i r="1">
      <x v="10"/>
    </i>
    <i r="2">
      <x v="4445"/>
    </i>
    <i r="1">
      <x v="50"/>
    </i>
    <i r="2">
      <x v="4455"/>
    </i>
    <i r="1">
      <x v="52"/>
    </i>
    <i r="2">
      <x v="4538"/>
    </i>
    <i r="1">
      <x v="57"/>
    </i>
    <i r="2">
      <x v="4512"/>
    </i>
    <i t="grand">
      <x/>
    </i>
  </rowItems>
  <colItems count="1">
    <i/>
  </colItems>
  <pageFields count="2">
    <pageField fld="3" item="1" hier="-1"/>
    <pageField fld="0" item="2"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6F49CF-148A-434D-BA80-299AAF2DBC34}" name="PivotTable7"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141"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122">
    <i>
      <x/>
    </i>
    <i r="1">
      <x v="60"/>
    </i>
    <i r="2">
      <x v="100"/>
    </i>
    <i>
      <x v="1"/>
    </i>
    <i r="1">
      <x v="6"/>
    </i>
    <i r="2">
      <x v="1209"/>
    </i>
    <i>
      <x v="2"/>
    </i>
    <i r="1">
      <x v="3"/>
    </i>
    <i r="2">
      <x v="2554"/>
    </i>
    <i r="1">
      <x v="50"/>
    </i>
    <i r="2">
      <x v="2571"/>
    </i>
    <i>
      <x v="3"/>
    </i>
    <i r="1">
      <x v="19"/>
    </i>
    <i r="2">
      <x v="2703"/>
    </i>
    <i>
      <x v="4"/>
    </i>
    <i r="1">
      <x v="52"/>
    </i>
    <i r="2">
      <x v="2896"/>
    </i>
    <i>
      <x v="5"/>
    </i>
    <i r="1">
      <x v="4"/>
    </i>
    <i r="2">
      <x v="2951"/>
    </i>
    <i>
      <x v="6"/>
    </i>
    <i r="1">
      <x v="52"/>
    </i>
    <i r="2">
      <x v="3054"/>
    </i>
    <i>
      <x v="7"/>
    </i>
    <i r="1">
      <x v="4"/>
    </i>
    <i r="2">
      <x v="3251"/>
    </i>
    <i r="1">
      <x v="10"/>
    </i>
    <i r="2">
      <x v="3330"/>
    </i>
    <i r="1">
      <x v="22"/>
    </i>
    <i r="2">
      <x v="3181"/>
    </i>
    <i r="1">
      <x v="25"/>
    </i>
    <i r="2">
      <x v="3195"/>
    </i>
    <i r="2">
      <x v="3255"/>
    </i>
    <i r="2">
      <x v="3271"/>
    </i>
    <i r="1">
      <x v="27"/>
    </i>
    <i r="2">
      <x v="68"/>
    </i>
    <i r="1">
      <x v="28"/>
    </i>
    <i r="2">
      <x v="3191"/>
    </i>
    <i r="1">
      <x v="50"/>
    </i>
    <i r="2">
      <x v="3222"/>
    </i>
    <i r="1">
      <x v="54"/>
    </i>
    <i r="2">
      <x v="3151"/>
    </i>
    <i r="2">
      <x v="3192"/>
    </i>
    <i r="2">
      <x v="3233"/>
    </i>
    <i r="2">
      <x v="3242"/>
    </i>
    <i r="2">
      <x v="3264"/>
    </i>
    <i r="2">
      <x v="3311"/>
    </i>
    <i r="1">
      <x v="62"/>
    </i>
    <i r="2">
      <x v="3184"/>
    </i>
    <i r="1">
      <x v="63"/>
    </i>
    <i r="2">
      <x v="3160"/>
    </i>
    <i r="1">
      <x v="66"/>
    </i>
    <i r="2">
      <x v="3279"/>
    </i>
    <i r="1">
      <x v="71"/>
    </i>
    <i r="2">
      <x v="3172"/>
    </i>
    <i>
      <x v="8"/>
    </i>
    <i r="1">
      <x v="33"/>
    </i>
    <i r="2">
      <x v="3507"/>
    </i>
    <i r="1">
      <x v="65"/>
    </i>
    <i r="2">
      <x v="3509"/>
    </i>
    <i>
      <x v="9"/>
    </i>
    <i r="1">
      <x v="57"/>
    </i>
    <i r="2">
      <x v="3647"/>
    </i>
    <i>
      <x v="10"/>
    </i>
    <i r="1">
      <x v="4"/>
    </i>
    <i r="2">
      <x v="3802"/>
    </i>
    <i r="1">
      <x v="14"/>
    </i>
    <i r="2">
      <x v="3693"/>
    </i>
    <i r="2">
      <x v="3849"/>
    </i>
    <i r="1">
      <x v="16"/>
    </i>
    <i r="2">
      <x v="3718"/>
    </i>
    <i r="1">
      <x v="28"/>
    </i>
    <i r="2">
      <x v="3795"/>
    </i>
    <i r="1">
      <x v="31"/>
    </i>
    <i r="2">
      <x v="3763"/>
    </i>
    <i r="1">
      <x v="52"/>
    </i>
    <i r="2">
      <x v="3319"/>
    </i>
    <i r="2">
      <x v="3700"/>
    </i>
    <i r="1">
      <x v="58"/>
    </i>
    <i r="2">
      <x v="3820"/>
    </i>
    <i r="1">
      <x v="63"/>
    </i>
    <i r="2">
      <x v="3884"/>
    </i>
    <i r="1">
      <x v="64"/>
    </i>
    <i r="2">
      <x v="3868"/>
    </i>
    <i>
      <x v="11"/>
    </i>
    <i r="1">
      <x v="7"/>
    </i>
    <i r="2">
      <x v="4113"/>
    </i>
    <i r="1">
      <x v="14"/>
    </i>
    <i r="2">
      <x v="4175"/>
    </i>
    <i r="1">
      <x v="48"/>
    </i>
    <i r="2">
      <x v="4108"/>
    </i>
    <i>
      <x v="12"/>
    </i>
    <i r="1">
      <x v="7"/>
    </i>
    <i r="2">
      <x v="4298"/>
    </i>
    <i r="1">
      <x v="9"/>
    </i>
    <i r="2">
      <x v="4327"/>
    </i>
    <i r="1">
      <x v="22"/>
    </i>
    <i r="2">
      <x v="4419"/>
    </i>
    <i r="1">
      <x v="26"/>
    </i>
    <i r="2">
      <x v="4395"/>
    </i>
    <i r="1">
      <x v="35"/>
    </i>
    <i r="2">
      <x v="4373"/>
    </i>
    <i r="1">
      <x v="46"/>
    </i>
    <i r="2">
      <x v="4375"/>
    </i>
    <i r="1">
      <x v="48"/>
    </i>
    <i r="2">
      <x v="4334"/>
    </i>
    <i r="1">
      <x v="50"/>
    </i>
    <i r="2">
      <x v="4246"/>
    </i>
    <i r="1">
      <x v="52"/>
    </i>
    <i r="2">
      <x v="4377"/>
    </i>
    <i r="1">
      <x v="57"/>
    </i>
    <i r="2">
      <x v="4271"/>
    </i>
    <i r="1">
      <x v="62"/>
    </i>
    <i r="2">
      <x v="4239"/>
    </i>
    <i r="1">
      <x v="65"/>
    </i>
    <i r="2">
      <x v="4263"/>
    </i>
    <i>
      <x v="15"/>
    </i>
    <i r="1">
      <x v="1"/>
    </i>
    <i r="2">
      <x v="3443"/>
    </i>
    <i r="2">
      <x v="3782"/>
    </i>
    <i r="2">
      <x v="4407"/>
    </i>
    <i t="grand">
      <x/>
    </i>
  </rowItems>
  <colItems count="1">
    <i/>
  </colItems>
  <pageFields count="2">
    <pageField fld="3" item="0" hier="-1"/>
    <pageField fld="0" item="2"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6181DA-BE96-46EF-A8C3-7D7A4EC524E7}" name="PivotTable5" cacheId="77"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D11:D12" firstHeaderRow="1" firstDataRow="1" firstDataCol="0"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numFmtId="14" showAll="0"/>
    <pivotField axis="axisPage" showAll="0">
      <items count="7">
        <item x="0"/>
        <item x="1"/>
        <item m="1" x="2"/>
        <item m="1" x="4"/>
        <item m="1" x="5"/>
        <item m="1" x="3"/>
        <item t="default"/>
      </items>
    </pivotField>
    <pivotField dataField="1" showAll="0"/>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3">
        <item x="36"/>
        <item x="27"/>
        <item x="29"/>
        <item x="4"/>
        <item x="6"/>
        <item m="1" x="61"/>
        <item x="3"/>
        <item x="53"/>
        <item x="34"/>
        <item x="47"/>
        <item x="35"/>
        <item x="15"/>
        <item m="1" x="79"/>
        <item m="1" x="80"/>
        <item m="1" x="67"/>
        <item m="1" x="66"/>
        <item m="1" x="72"/>
        <item x="24"/>
        <item x="45"/>
        <item x="25"/>
        <item m="1" x="58"/>
        <item x="44"/>
        <item x="5"/>
        <item m="1" x="75"/>
        <item m="1" x="62"/>
        <item x="42"/>
        <item x="14"/>
        <item m="1" x="69"/>
        <item m="1" x="64"/>
        <item x="55"/>
        <item x="12"/>
        <item x="39"/>
        <item x="11"/>
        <item x="1"/>
        <item m="1" x="60"/>
        <item x="46"/>
        <item m="1" x="70"/>
        <item x="26"/>
        <item m="1" x="68"/>
        <item x="16"/>
        <item m="1" x="77"/>
        <item x="37"/>
        <item x="54"/>
        <item x="40"/>
        <item x="21"/>
        <item x="22"/>
        <item x="51"/>
        <item m="1" x="73"/>
        <item m="1" x="65"/>
        <item m="1" x="59"/>
        <item m="1" x="76"/>
        <item m="1" x="56"/>
        <item m="1" x="71"/>
        <item x="38"/>
        <item x="23"/>
        <item x="33"/>
        <item x="50"/>
        <item x="7"/>
        <item x="49"/>
        <item x="0"/>
        <item m="1" x="57"/>
        <item x="8"/>
        <item m="1" x="78"/>
        <item m="1" x="63"/>
        <item x="17"/>
        <item x="28"/>
        <item x="48"/>
        <item x="2"/>
        <item x="31"/>
        <item x="9"/>
        <item m="1" x="81"/>
        <item x="20"/>
        <item x="30"/>
        <item x="13"/>
        <item x="18"/>
        <item x="10"/>
        <item m="1" x="74"/>
        <item x="52"/>
        <item x="32"/>
        <item x="41"/>
        <item x="19"/>
        <item x="43"/>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3" item="1" hier="-1"/>
    <pageField fld="0" item="2"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2B9196-9F6B-478B-A898-AD02557EB5CE}" name="PivotTable10"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K26"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dataField="1" showAll="0"/>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34"/>
  </rowFields>
  <rowItems count="7">
    <i>
      <x v="13"/>
    </i>
    <i r="1">
      <x v="3"/>
    </i>
    <i r="1">
      <x v="10"/>
    </i>
    <i r="1">
      <x v="50"/>
    </i>
    <i r="1">
      <x v="52"/>
    </i>
    <i r="1">
      <x v="57"/>
    </i>
    <i t="grand">
      <x/>
    </i>
  </rowItems>
  <colItems count="1">
    <i/>
  </colItems>
  <pageFields count="2">
    <pageField fld="3" item="1" hier="-1"/>
    <pageField fld="0" item="2"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984A63-4199-424A-B686-484639A17638}" name="PivotTable1" cacheId="77"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4:A5" firstHeaderRow="1" firstDataRow="1" firstDataCol="0" rowPageCount="2" colPageCount="1"/>
  <pivotFields count="79">
    <pivotField axis="axisPage" multipleItemSelectionAllowed="1" showAll="0">
      <items count="57">
        <item h="1" x="1"/>
        <item x="2"/>
        <item h="1" x="0"/>
        <item m="1" x="33"/>
        <item m="1" x="54"/>
        <item m="1" x="14"/>
        <item h="1" m="1" x="3"/>
        <item m="1" x="55"/>
        <item m="1" x="13"/>
        <item m="1" x="6"/>
        <item m="1" x="25"/>
        <item m="1" x="8"/>
        <item m="1" x="9"/>
        <item m="1" x="53"/>
        <item m="1" x="51"/>
        <item m="1" x="52"/>
        <item m="1" x="17"/>
        <item m="1" x="48"/>
        <item m="1" x="50"/>
        <item m="1" x="49"/>
        <item m="1" x="47"/>
        <item h="1" m="1" x="45"/>
        <item h="1" m="1" x="46"/>
        <item h="1" m="1" x="29"/>
        <item h="1" m="1" x="36"/>
        <item h="1" m="1" x="44"/>
        <item h="1" m="1" x="42"/>
        <item h="1" m="1" x="43"/>
        <item h="1" m="1" x="10"/>
        <item h="1" m="1" x="41"/>
        <item h="1" m="1" x="34"/>
        <item h="1" m="1" x="39"/>
        <item h="1" m="1" x="40"/>
        <item h="1" m="1" x="15"/>
        <item h="1" m="1" x="37"/>
        <item h="1" m="1" x="35"/>
        <item h="1" m="1" x="12"/>
        <item h="1" m="1" x="38"/>
        <item h="1" m="1" x="32"/>
        <item h="1" m="1" x="31"/>
        <item h="1" m="1" x="27"/>
        <item h="1" m="1" x="28"/>
        <item h="1" m="1" x="30"/>
        <item h="1" m="1" x="21"/>
        <item h="1" m="1" x="24"/>
        <item h="1" m="1" x="26"/>
        <item h="1" m="1" x="20"/>
        <item h="1" m="1" x="22"/>
        <item h="1" m="1" x="23"/>
        <item h="1" m="1" x="18"/>
        <item h="1" m="1" x="19"/>
        <item h="1" m="1" x="11"/>
        <item h="1" m="1" x="16"/>
        <item h="1" m="1" x="4"/>
        <item h="1" m="1" x="5"/>
        <item h="1" m="1" x="7"/>
        <item t="default"/>
      </items>
    </pivotField>
    <pivotField showAll="0"/>
    <pivotField numFmtId="14" showAll="0"/>
    <pivotField axis="axisPage" showAll="0">
      <items count="7">
        <item x="0"/>
        <item x="1"/>
        <item m="1" x="2"/>
        <item m="1" x="4"/>
        <item m="1" x="5"/>
        <item m="1" x="3"/>
        <item t="default"/>
      </items>
    </pivotField>
    <pivotField dataField="1" showAll="0"/>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3">
        <item x="36"/>
        <item x="27"/>
        <item x="29"/>
        <item x="4"/>
        <item x="6"/>
        <item m="1" x="61"/>
        <item x="3"/>
        <item x="53"/>
        <item x="34"/>
        <item x="47"/>
        <item x="35"/>
        <item x="15"/>
        <item m="1" x="79"/>
        <item m="1" x="80"/>
        <item m="1" x="67"/>
        <item m="1" x="66"/>
        <item m="1" x="72"/>
        <item x="24"/>
        <item x="45"/>
        <item x="25"/>
        <item m="1" x="58"/>
        <item x="44"/>
        <item x="5"/>
        <item m="1" x="75"/>
        <item m="1" x="62"/>
        <item x="42"/>
        <item x="14"/>
        <item m="1" x="69"/>
        <item m="1" x="64"/>
        <item x="55"/>
        <item x="12"/>
        <item x="39"/>
        <item x="11"/>
        <item x="1"/>
        <item m="1" x="60"/>
        <item x="46"/>
        <item m="1" x="70"/>
        <item x="26"/>
        <item m="1" x="68"/>
        <item x="16"/>
        <item m="1" x="77"/>
        <item x="37"/>
        <item x="54"/>
        <item x="40"/>
        <item x="21"/>
        <item x="22"/>
        <item x="51"/>
        <item m="1" x="73"/>
        <item m="1" x="65"/>
        <item m="1" x="59"/>
        <item m="1" x="76"/>
        <item m="1" x="56"/>
        <item m="1" x="71"/>
        <item x="38"/>
        <item x="23"/>
        <item x="33"/>
        <item x="50"/>
        <item x="7"/>
        <item x="49"/>
        <item x="0"/>
        <item m="1" x="57"/>
        <item x="8"/>
        <item m="1" x="78"/>
        <item m="1" x="63"/>
        <item x="17"/>
        <item x="28"/>
        <item x="48"/>
        <item x="2"/>
        <item x="31"/>
        <item x="9"/>
        <item m="1" x="81"/>
        <item x="20"/>
        <item x="30"/>
        <item x="13"/>
        <item x="18"/>
        <item x="10"/>
        <item m="1" x="74"/>
        <item x="52"/>
        <item x="32"/>
        <item x="41"/>
        <item x="19"/>
        <item x="43"/>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3" item="0" hier="-1"/>
    <pageField fld="0"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9E3400-DB77-41FB-B11F-D26B22CE915C}" name="PivotTable12"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9:Q108"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89">
    <i>
      <x v="13"/>
    </i>
    <i r="1">
      <x v="7"/>
    </i>
    <i r="2">
      <x v="2670"/>
    </i>
    <i r="2">
      <x v="4535"/>
    </i>
    <i r="1">
      <x v="9"/>
    </i>
    <i r="2">
      <x v="4543"/>
    </i>
    <i r="2">
      <x v="4544"/>
    </i>
    <i r="2">
      <x v="4545"/>
    </i>
    <i r="2">
      <x v="4546"/>
    </i>
    <i r="1">
      <x v="31"/>
    </i>
    <i r="2">
      <x v="4007"/>
    </i>
    <i r="1">
      <x v="37"/>
    </i>
    <i r="2">
      <x v="4516"/>
    </i>
    <i r="1">
      <x v="39"/>
    </i>
    <i r="2">
      <x v="4020"/>
    </i>
    <i r="1">
      <x v="60"/>
    </i>
    <i r="2">
      <x v="4478"/>
    </i>
    <i r="1">
      <x v="61"/>
    </i>
    <i r="2">
      <x v="4515"/>
    </i>
    <i r="1">
      <x v="65"/>
    </i>
    <i r="2">
      <x v="4518"/>
    </i>
    <i r="1">
      <x v="69"/>
    </i>
    <i r="2">
      <x v="4437"/>
    </i>
    <i r="1">
      <x v="70"/>
    </i>
    <i r="2">
      <x v="3102"/>
    </i>
    <i r="1">
      <x v="74"/>
    </i>
    <i r="2">
      <x v="1913"/>
    </i>
    <i>
      <x v="16"/>
    </i>
    <i r="1">
      <x/>
    </i>
    <i r="2">
      <x v="4700"/>
    </i>
    <i r="1">
      <x v="8"/>
    </i>
    <i r="2">
      <x v="4694"/>
    </i>
    <i r="2">
      <x v="4695"/>
    </i>
    <i r="2">
      <x v="4697"/>
    </i>
    <i r="2">
      <x v="4701"/>
    </i>
    <i r="2">
      <x v="4710"/>
    </i>
    <i r="2">
      <x v="4711"/>
    </i>
    <i r="2">
      <x v="4720"/>
    </i>
    <i r="2">
      <x v="4721"/>
    </i>
    <i r="2">
      <x v="4722"/>
    </i>
    <i r="1">
      <x v="9"/>
    </i>
    <i r="2">
      <x v="4689"/>
    </i>
    <i r="2">
      <x v="4692"/>
    </i>
    <i r="2">
      <x v="4708"/>
    </i>
    <i r="1">
      <x v="24"/>
    </i>
    <i r="2">
      <x v="4682"/>
    </i>
    <i r="1">
      <x v="37"/>
    </i>
    <i r="2">
      <x v="4683"/>
    </i>
    <i r="2">
      <x v="4687"/>
    </i>
    <i r="2">
      <x v="4706"/>
    </i>
    <i r="1">
      <x v="40"/>
    </i>
    <i r="2">
      <x v="4691"/>
    </i>
    <i r="2">
      <x v="4717"/>
    </i>
    <i r="1">
      <x v="46"/>
    </i>
    <i r="2">
      <x v="4712"/>
    </i>
    <i r="1">
      <x v="50"/>
    </i>
    <i r="2">
      <x v="4690"/>
    </i>
    <i r="1">
      <x v="51"/>
    </i>
    <i r="2">
      <x v="4703"/>
    </i>
    <i r="1">
      <x v="52"/>
    </i>
    <i r="2">
      <x v="4698"/>
    </i>
    <i r="2">
      <x v="4713"/>
    </i>
    <i r="1">
      <x v="60"/>
    </i>
    <i r="2">
      <x v="4723"/>
    </i>
    <i r="1">
      <x v="61"/>
    </i>
    <i r="2">
      <x v="4684"/>
    </i>
    <i r="1">
      <x v="63"/>
    </i>
    <i r="2">
      <x v="4685"/>
    </i>
    <i r="1">
      <x v="64"/>
    </i>
    <i r="2">
      <x v="4693"/>
    </i>
    <i r="1">
      <x v="69"/>
    </i>
    <i r="2">
      <x v="4686"/>
    </i>
    <i r="2">
      <x v="4707"/>
    </i>
    <i r="2">
      <x v="4718"/>
    </i>
    <i r="1">
      <x v="74"/>
    </i>
    <i r="2">
      <x v="4688"/>
    </i>
    <i r="2">
      <x v="4696"/>
    </i>
    <i r="2">
      <x v="4705"/>
    </i>
    <i r="2">
      <x v="4716"/>
    </i>
    <i r="1">
      <x v="76"/>
    </i>
    <i r="2">
      <x v="4699"/>
    </i>
    <i r="2">
      <x v="4702"/>
    </i>
    <i r="2">
      <x v="4704"/>
    </i>
    <i r="2">
      <x v="4709"/>
    </i>
    <i r="2">
      <x v="4714"/>
    </i>
    <i r="2">
      <x v="4715"/>
    </i>
    <i r="2">
      <x v="4719"/>
    </i>
    <i r="2">
      <x v="4724"/>
    </i>
    <i t="grand">
      <x/>
    </i>
  </rowItems>
  <colItems count="1">
    <i/>
  </colItems>
  <pageFields count="2">
    <pageField fld="3" item="1" hier="-1"/>
    <pageField fld="0" item="0"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2F7190-7EE1-4D02-ADE0-C303A1C654D5}" name="PivotTable15"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rowPageCount="2" colPageCount="1"/>
  <pivotFields count="79">
    <pivotField axis="axisPage" multipleItemSelectionAllowed="1"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numFmtId="14" showAll="0"/>
    <pivotField axis="axisPage" multipleItemSelectionAllowed="1" showAll="0">
      <items count="7">
        <item x="0"/>
        <item x="1"/>
        <item m="1" x="2"/>
        <item m="1" x="4"/>
        <item m="1" x="5"/>
        <item m="1" x="3"/>
        <item t="default"/>
      </items>
    </pivotField>
    <pivotField dataField="1" showAll="0"/>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3">
        <item x="36"/>
        <item x="27"/>
        <item x="29"/>
        <item x="4"/>
        <item x="6"/>
        <item m="1" x="61"/>
        <item x="3"/>
        <item x="53"/>
        <item x="34"/>
        <item x="47"/>
        <item x="35"/>
        <item x="15"/>
        <item m="1" x="79"/>
        <item m="1" x="80"/>
        <item m="1" x="67"/>
        <item m="1" x="66"/>
        <item m="1" x="72"/>
        <item x="24"/>
        <item x="45"/>
        <item x="25"/>
        <item m="1" x="58"/>
        <item x="44"/>
        <item x="5"/>
        <item m="1" x="75"/>
        <item m="1" x="62"/>
        <item x="42"/>
        <item x="14"/>
        <item m="1" x="69"/>
        <item m="1" x="64"/>
        <item x="55"/>
        <item x="12"/>
        <item x="39"/>
        <item x="11"/>
        <item x="1"/>
        <item m="1" x="60"/>
        <item x="46"/>
        <item m="1" x="70"/>
        <item x="26"/>
        <item m="1" x="68"/>
        <item x="16"/>
        <item m="1" x="77"/>
        <item x="37"/>
        <item x="54"/>
        <item x="40"/>
        <item x="21"/>
        <item x="22"/>
        <item x="51"/>
        <item m="1" x="73"/>
        <item m="1" x="65"/>
        <item m="1" x="59"/>
        <item m="1" x="76"/>
        <item m="1" x="56"/>
        <item m="1" x="71"/>
        <item x="38"/>
        <item x="23"/>
        <item x="33"/>
        <item x="50"/>
        <item x="7"/>
        <item x="49"/>
        <item x="0"/>
        <item m="1" x="57"/>
        <item x="8"/>
        <item m="1" x="78"/>
        <item m="1" x="63"/>
        <item x="17"/>
        <item x="28"/>
        <item x="48"/>
        <item x="2"/>
        <item x="31"/>
        <item x="9"/>
        <item m="1" x="81"/>
        <item x="20"/>
        <item x="30"/>
        <item x="13"/>
        <item x="18"/>
        <item x="10"/>
        <item m="1" x="74"/>
        <item x="52"/>
        <item x="32"/>
        <item x="41"/>
        <item x="19"/>
        <item x="43"/>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3" hier="-1"/>
    <pageField fld="0"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35116D-B5EE-49DC-B8CB-6D1BFE441210}" name="PivotTable9"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H259"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240">
    <i>
      <x v="3"/>
    </i>
    <i r="1">
      <x v="70"/>
    </i>
    <i r="2">
      <x v="2707"/>
    </i>
    <i>
      <x v="7"/>
    </i>
    <i r="1">
      <x v="19"/>
    </i>
    <i r="2">
      <x v="3201"/>
    </i>
    <i r="2">
      <x v="3282"/>
    </i>
    <i r="2">
      <x v="3296"/>
    </i>
    <i r="2">
      <x v="3333"/>
    </i>
    <i r="1">
      <x v="38"/>
    </i>
    <i r="2">
      <x v="3244"/>
    </i>
    <i r="1">
      <x v="39"/>
    </i>
    <i r="2">
      <x v="3277"/>
    </i>
    <i>
      <x v="8"/>
    </i>
    <i r="1">
      <x v="47"/>
    </i>
    <i r="2">
      <x v="3521"/>
    </i>
    <i r="1">
      <x v="54"/>
    </i>
    <i r="2">
      <x v="3514"/>
    </i>
    <i>
      <x v="10"/>
    </i>
    <i r="1">
      <x v="2"/>
    </i>
    <i r="2">
      <x v="3832"/>
    </i>
    <i r="2">
      <x v="3850"/>
    </i>
    <i r="1">
      <x v="60"/>
    </i>
    <i r="2">
      <x v="3808"/>
    </i>
    <i r="1">
      <x v="70"/>
    </i>
    <i r="2">
      <x v="3712"/>
    </i>
    <i r="2">
      <x v="3738"/>
    </i>
    <i r="2">
      <x v="3810"/>
    </i>
    <i>
      <x v="11"/>
    </i>
    <i r="1">
      <x v="2"/>
    </i>
    <i r="2">
      <x v="4161"/>
    </i>
    <i r="1">
      <x v="38"/>
    </i>
    <i r="2">
      <x v="4079"/>
    </i>
    <i r="2">
      <x v="4167"/>
    </i>
    <i r="1">
      <x v="60"/>
    </i>
    <i r="2">
      <x v="4085"/>
    </i>
    <i r="2">
      <x v="4095"/>
    </i>
    <i r="1">
      <x v="61"/>
    </i>
    <i r="2">
      <x v="4052"/>
    </i>
    <i r="2">
      <x v="4212"/>
    </i>
    <i r="2">
      <x v="4225"/>
    </i>
    <i r="1">
      <x v="68"/>
    </i>
    <i r="2">
      <x v="4071"/>
    </i>
    <i r="1">
      <x v="70"/>
    </i>
    <i r="2">
      <x v="4121"/>
    </i>
    <i r="2">
      <x v="4126"/>
    </i>
    <i r="2">
      <x v="4140"/>
    </i>
    <i>
      <x v="12"/>
    </i>
    <i r="1">
      <x/>
    </i>
    <i r="2">
      <x v="4331"/>
    </i>
    <i r="1">
      <x v="2"/>
    </i>
    <i r="2">
      <x v="4358"/>
    </i>
    <i r="2">
      <x v="4368"/>
    </i>
    <i r="1">
      <x v="39"/>
    </i>
    <i r="2">
      <x v="4319"/>
    </i>
    <i r="1">
      <x v="60"/>
    </i>
    <i r="2">
      <x v="4260"/>
    </i>
    <i r="2">
      <x v="4380"/>
    </i>
    <i r="1">
      <x v="71"/>
    </i>
    <i r="2">
      <x v="4261"/>
    </i>
    <i>
      <x v="16"/>
    </i>
    <i r="1">
      <x v="1"/>
    </i>
    <i r="2">
      <x v="4511"/>
    </i>
    <i r="1">
      <x v="2"/>
    </i>
    <i r="2">
      <x v="4569"/>
    </i>
    <i r="2">
      <x v="4570"/>
    </i>
    <i r="2">
      <x v="4586"/>
    </i>
    <i r="2">
      <x v="4642"/>
    </i>
    <i r="2">
      <x v="4674"/>
    </i>
    <i r="1">
      <x v="3"/>
    </i>
    <i r="2">
      <x v="4577"/>
    </i>
    <i r="2">
      <x v="4612"/>
    </i>
    <i r="2">
      <x v="4651"/>
    </i>
    <i r="2">
      <x v="4680"/>
    </i>
    <i r="1">
      <x v="4"/>
    </i>
    <i r="2">
      <x v="4592"/>
    </i>
    <i r="2">
      <x v="4595"/>
    </i>
    <i r="2">
      <x v="4607"/>
    </i>
    <i r="2">
      <x v="4616"/>
    </i>
    <i r="2">
      <x v="4629"/>
    </i>
    <i r="2">
      <x v="4650"/>
    </i>
    <i r="2">
      <x v="4665"/>
    </i>
    <i r="1">
      <x v="7"/>
    </i>
    <i r="2">
      <x v="4556"/>
    </i>
    <i r="1">
      <x v="8"/>
    </i>
    <i r="2">
      <x v="4563"/>
    </i>
    <i r="2">
      <x v="4611"/>
    </i>
    <i r="2">
      <x v="4652"/>
    </i>
    <i r="1">
      <x v="9"/>
    </i>
    <i r="2">
      <x v="4571"/>
    </i>
    <i r="2">
      <x v="4589"/>
    </i>
    <i r="2">
      <x v="4600"/>
    </i>
    <i r="2">
      <x v="4603"/>
    </i>
    <i r="2">
      <x v="4635"/>
    </i>
    <i r="2">
      <x v="4640"/>
    </i>
    <i r="2">
      <x v="4653"/>
    </i>
    <i r="1">
      <x v="10"/>
    </i>
    <i r="2">
      <x v="4587"/>
    </i>
    <i r="2">
      <x v="4614"/>
    </i>
    <i r="1">
      <x v="14"/>
    </i>
    <i r="2">
      <x v="4597"/>
    </i>
    <i r="2">
      <x v="4661"/>
    </i>
    <i r="2">
      <x v="4664"/>
    </i>
    <i r="1">
      <x v="15"/>
    </i>
    <i r="2">
      <x v="4555"/>
    </i>
    <i r="2">
      <x v="4575"/>
    </i>
    <i r="2">
      <x v="4591"/>
    </i>
    <i r="2">
      <x v="4604"/>
    </i>
    <i r="2">
      <x v="4619"/>
    </i>
    <i r="2">
      <x v="4625"/>
    </i>
    <i r="2">
      <x v="4631"/>
    </i>
    <i r="2">
      <x v="4644"/>
    </i>
    <i r="2">
      <x v="4658"/>
    </i>
    <i r="2">
      <x v="4666"/>
    </i>
    <i r="2">
      <x v="4670"/>
    </i>
    <i r="2">
      <x v="4671"/>
    </i>
    <i r="2">
      <x v="4672"/>
    </i>
    <i r="1">
      <x v="18"/>
    </i>
    <i r="2">
      <x v="4554"/>
    </i>
    <i r="2">
      <x v="4559"/>
    </i>
    <i r="2">
      <x v="4579"/>
    </i>
    <i r="2">
      <x v="4580"/>
    </i>
    <i r="2">
      <x v="4624"/>
    </i>
    <i r="2">
      <x v="4639"/>
    </i>
    <i r="2">
      <x v="4649"/>
    </i>
    <i r="2">
      <x v="4654"/>
    </i>
    <i r="2">
      <x v="4677"/>
    </i>
    <i r="1">
      <x v="19"/>
    </i>
    <i r="2">
      <x v="2687"/>
    </i>
    <i r="2">
      <x v="4560"/>
    </i>
    <i r="2">
      <x v="4572"/>
    </i>
    <i r="1">
      <x v="22"/>
    </i>
    <i r="2">
      <x v="4584"/>
    </i>
    <i r="2">
      <x v="4602"/>
    </i>
    <i r="2">
      <x v="4622"/>
    </i>
    <i r="1">
      <x v="25"/>
    </i>
    <i r="2">
      <x v="4679"/>
    </i>
    <i r="1">
      <x v="26"/>
    </i>
    <i r="2">
      <x v="4606"/>
    </i>
    <i r="2">
      <x v="4626"/>
    </i>
    <i r="1">
      <x v="28"/>
    </i>
    <i r="2">
      <x v="4585"/>
    </i>
    <i r="1">
      <x v="30"/>
    </i>
    <i r="2">
      <x v="1870"/>
    </i>
    <i r="2">
      <x v="4558"/>
    </i>
    <i r="2">
      <x v="4633"/>
    </i>
    <i r="1">
      <x v="31"/>
    </i>
    <i r="2">
      <x v="4594"/>
    </i>
    <i r="1">
      <x v="33"/>
    </i>
    <i r="2">
      <x v="4609"/>
    </i>
    <i r="2">
      <x v="4618"/>
    </i>
    <i r="1">
      <x v="35"/>
    </i>
    <i r="2">
      <x v="4659"/>
    </i>
    <i r="1">
      <x v="36"/>
    </i>
    <i r="2">
      <x v="1123"/>
    </i>
    <i r="1">
      <x v="39"/>
    </i>
    <i r="2">
      <x v="4557"/>
    </i>
    <i r="2">
      <x v="4562"/>
    </i>
    <i r="2">
      <x v="4567"/>
    </i>
    <i r="2">
      <x v="4576"/>
    </i>
    <i r="2">
      <x v="4578"/>
    </i>
    <i r="2">
      <x v="4588"/>
    </i>
    <i r="2">
      <x v="4610"/>
    </i>
    <i r="2">
      <x v="4641"/>
    </i>
    <i r="2">
      <x v="4648"/>
    </i>
    <i r="2">
      <x v="4668"/>
    </i>
    <i r="2">
      <x v="4675"/>
    </i>
    <i r="1">
      <x v="40"/>
    </i>
    <i r="2">
      <x v="4620"/>
    </i>
    <i r="1">
      <x v="46"/>
    </i>
    <i r="2">
      <x v="4565"/>
    </i>
    <i r="2">
      <x v="4566"/>
    </i>
    <i r="2">
      <x v="4628"/>
    </i>
    <i r="1">
      <x v="47"/>
    </i>
    <i r="2">
      <x v="4678"/>
    </i>
    <i r="1">
      <x v="48"/>
    </i>
    <i r="2">
      <x v="4574"/>
    </i>
    <i r="2">
      <x v="4645"/>
    </i>
    <i r="1">
      <x v="49"/>
    </i>
    <i r="2">
      <x v="4601"/>
    </i>
    <i r="2">
      <x v="4663"/>
    </i>
    <i r="1">
      <x v="50"/>
    </i>
    <i r="2">
      <x v="4593"/>
    </i>
    <i r="2">
      <x v="4596"/>
    </i>
    <i r="2">
      <x v="4634"/>
    </i>
    <i r="2">
      <x v="4646"/>
    </i>
    <i r="2">
      <x v="4669"/>
    </i>
    <i r="1">
      <x v="51"/>
    </i>
    <i r="2">
      <x v="4590"/>
    </i>
    <i r="2">
      <x v="4605"/>
    </i>
    <i r="2">
      <x v="4608"/>
    </i>
    <i r="1">
      <x v="52"/>
    </i>
    <i r="2">
      <x v="4389"/>
    </i>
    <i r="2">
      <x v="4581"/>
    </i>
    <i r="2">
      <x v="4615"/>
    </i>
    <i r="2">
      <x v="4636"/>
    </i>
    <i r="2">
      <x v="4660"/>
    </i>
    <i r="2">
      <x v="4676"/>
    </i>
    <i r="1">
      <x v="57"/>
    </i>
    <i r="2">
      <x v="4632"/>
    </i>
    <i r="2">
      <x v="4638"/>
    </i>
    <i r="2">
      <x v="4662"/>
    </i>
    <i r="2">
      <x v="4667"/>
    </i>
    <i r="1">
      <x v="58"/>
    </i>
    <i r="2">
      <x v="4582"/>
    </i>
    <i r="2">
      <x v="4673"/>
    </i>
    <i r="1">
      <x v="59"/>
    </i>
    <i r="2">
      <x v="4568"/>
    </i>
    <i r="2">
      <x v="4613"/>
    </i>
    <i r="2">
      <x v="4656"/>
    </i>
    <i r="1">
      <x v="60"/>
    </i>
    <i r="2">
      <x v="4630"/>
    </i>
    <i r="2">
      <x v="4681"/>
    </i>
    <i r="1">
      <x v="62"/>
    </i>
    <i r="2">
      <x v="4553"/>
    </i>
    <i r="2">
      <x v="4598"/>
    </i>
    <i r="1">
      <x v="66"/>
    </i>
    <i r="2">
      <x v="4391"/>
    </i>
    <i r="2">
      <x v="4573"/>
    </i>
    <i r="2">
      <x v="4623"/>
    </i>
    <i r="2">
      <x v="4655"/>
    </i>
    <i r="1">
      <x v="70"/>
    </i>
    <i r="2">
      <x v="1827"/>
    </i>
    <i r="2">
      <x v="1873"/>
    </i>
    <i r="2">
      <x v="3575"/>
    </i>
    <i r="2">
      <x v="4564"/>
    </i>
    <i r="2">
      <x v="4583"/>
    </i>
    <i r="2">
      <x v="4599"/>
    </i>
    <i r="2">
      <x v="4617"/>
    </i>
    <i r="2">
      <x v="4637"/>
    </i>
    <i r="2">
      <x v="4657"/>
    </i>
    <i r="1">
      <x v="74"/>
    </i>
    <i r="2">
      <x v="4561"/>
    </i>
    <i r="1">
      <x v="76"/>
    </i>
    <i r="2">
      <x v="4627"/>
    </i>
    <i r="2">
      <x v="4643"/>
    </i>
    <i r="2">
      <x v="4647"/>
    </i>
    <i r="1">
      <x v="81"/>
    </i>
    <i r="2">
      <x v="4621"/>
    </i>
    <i t="grand">
      <x/>
    </i>
  </rowItems>
  <colItems count="1">
    <i/>
  </colItems>
  <pageFields count="2">
    <pageField fld="3" item="0" hier="-1"/>
    <pageField fld="0" item="0"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167EEF-D0F8-4088-91E0-0E249A430BB0}" name="PivotTable8"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141"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122">
    <i>
      <x/>
    </i>
    <i r="1">
      <x v="60"/>
    </i>
    <i r="2">
      <x v="100"/>
    </i>
    <i>
      <x v="1"/>
    </i>
    <i r="1">
      <x v="6"/>
    </i>
    <i r="2">
      <x v="1209"/>
    </i>
    <i>
      <x v="2"/>
    </i>
    <i r="1">
      <x v="3"/>
    </i>
    <i r="2">
      <x v="2554"/>
    </i>
    <i r="1">
      <x v="50"/>
    </i>
    <i r="2">
      <x v="2571"/>
    </i>
    <i>
      <x v="3"/>
    </i>
    <i r="1">
      <x v="19"/>
    </i>
    <i r="2">
      <x v="2703"/>
    </i>
    <i>
      <x v="4"/>
    </i>
    <i r="1">
      <x v="52"/>
    </i>
    <i r="2">
      <x v="2896"/>
    </i>
    <i>
      <x v="5"/>
    </i>
    <i r="1">
      <x v="4"/>
    </i>
    <i r="2">
      <x v="2951"/>
    </i>
    <i>
      <x v="6"/>
    </i>
    <i r="1">
      <x v="52"/>
    </i>
    <i r="2">
      <x v="3054"/>
    </i>
    <i>
      <x v="7"/>
    </i>
    <i r="1">
      <x v="4"/>
    </i>
    <i r="2">
      <x v="3251"/>
    </i>
    <i r="1">
      <x v="10"/>
    </i>
    <i r="2">
      <x v="3330"/>
    </i>
    <i r="1">
      <x v="22"/>
    </i>
    <i r="2">
      <x v="3181"/>
    </i>
    <i r="1">
      <x v="25"/>
    </i>
    <i r="2">
      <x v="3195"/>
    </i>
    <i r="2">
      <x v="3255"/>
    </i>
    <i r="2">
      <x v="3271"/>
    </i>
    <i r="1">
      <x v="27"/>
    </i>
    <i r="2">
      <x v="68"/>
    </i>
    <i r="1">
      <x v="28"/>
    </i>
    <i r="2">
      <x v="3191"/>
    </i>
    <i r="1">
      <x v="50"/>
    </i>
    <i r="2">
      <x v="3222"/>
    </i>
    <i r="1">
      <x v="54"/>
    </i>
    <i r="2">
      <x v="3151"/>
    </i>
    <i r="2">
      <x v="3192"/>
    </i>
    <i r="2">
      <x v="3233"/>
    </i>
    <i r="2">
      <x v="3242"/>
    </i>
    <i r="2">
      <x v="3264"/>
    </i>
    <i r="2">
      <x v="3311"/>
    </i>
    <i r="1">
      <x v="62"/>
    </i>
    <i r="2">
      <x v="3184"/>
    </i>
    <i r="1">
      <x v="63"/>
    </i>
    <i r="2">
      <x v="3160"/>
    </i>
    <i r="1">
      <x v="66"/>
    </i>
    <i r="2">
      <x v="3279"/>
    </i>
    <i r="1">
      <x v="71"/>
    </i>
    <i r="2">
      <x v="3172"/>
    </i>
    <i>
      <x v="8"/>
    </i>
    <i r="1">
      <x v="33"/>
    </i>
    <i r="2">
      <x v="3507"/>
    </i>
    <i r="1">
      <x v="65"/>
    </i>
    <i r="2">
      <x v="3509"/>
    </i>
    <i>
      <x v="9"/>
    </i>
    <i r="1">
      <x v="57"/>
    </i>
    <i r="2">
      <x v="3647"/>
    </i>
    <i>
      <x v="10"/>
    </i>
    <i r="1">
      <x v="4"/>
    </i>
    <i r="2">
      <x v="3802"/>
    </i>
    <i r="1">
      <x v="14"/>
    </i>
    <i r="2">
      <x v="3693"/>
    </i>
    <i r="2">
      <x v="3849"/>
    </i>
    <i r="1">
      <x v="16"/>
    </i>
    <i r="2">
      <x v="3718"/>
    </i>
    <i r="1">
      <x v="28"/>
    </i>
    <i r="2">
      <x v="3795"/>
    </i>
    <i r="1">
      <x v="31"/>
    </i>
    <i r="2">
      <x v="3763"/>
    </i>
    <i r="1">
      <x v="52"/>
    </i>
    <i r="2">
      <x v="3319"/>
    </i>
    <i r="2">
      <x v="3700"/>
    </i>
    <i r="1">
      <x v="58"/>
    </i>
    <i r="2">
      <x v="3820"/>
    </i>
    <i r="1">
      <x v="63"/>
    </i>
    <i r="2">
      <x v="3884"/>
    </i>
    <i r="1">
      <x v="64"/>
    </i>
    <i r="2">
      <x v="3868"/>
    </i>
    <i>
      <x v="11"/>
    </i>
    <i r="1">
      <x v="7"/>
    </i>
    <i r="2">
      <x v="4113"/>
    </i>
    <i r="1">
      <x v="14"/>
    </i>
    <i r="2">
      <x v="4175"/>
    </i>
    <i r="1">
      <x v="48"/>
    </i>
    <i r="2">
      <x v="4108"/>
    </i>
    <i>
      <x v="12"/>
    </i>
    <i r="1">
      <x v="7"/>
    </i>
    <i r="2">
      <x v="4298"/>
    </i>
    <i r="1">
      <x v="9"/>
    </i>
    <i r="2">
      <x v="4327"/>
    </i>
    <i r="1">
      <x v="22"/>
    </i>
    <i r="2">
      <x v="4419"/>
    </i>
    <i r="1">
      <x v="26"/>
    </i>
    <i r="2">
      <x v="4395"/>
    </i>
    <i r="1">
      <x v="35"/>
    </i>
    <i r="2">
      <x v="4373"/>
    </i>
    <i r="1">
      <x v="46"/>
    </i>
    <i r="2">
      <x v="4375"/>
    </i>
    <i r="1">
      <x v="48"/>
    </i>
    <i r="2">
      <x v="4334"/>
    </i>
    <i r="1">
      <x v="50"/>
    </i>
    <i r="2">
      <x v="4246"/>
    </i>
    <i r="1">
      <x v="52"/>
    </i>
    <i r="2">
      <x v="4377"/>
    </i>
    <i r="1">
      <x v="57"/>
    </i>
    <i r="2">
      <x v="4271"/>
    </i>
    <i r="1">
      <x v="62"/>
    </i>
    <i r="2">
      <x v="4239"/>
    </i>
    <i r="1">
      <x v="65"/>
    </i>
    <i r="2">
      <x v="4263"/>
    </i>
    <i>
      <x v="15"/>
    </i>
    <i r="1">
      <x v="1"/>
    </i>
    <i r="2">
      <x v="3443"/>
    </i>
    <i r="2">
      <x v="3782"/>
    </i>
    <i r="2">
      <x v="4407"/>
    </i>
    <i t="grand">
      <x/>
    </i>
  </rowItems>
  <colItems count="1">
    <i/>
  </colItems>
  <pageFields count="2">
    <pageField fld="3" item="0" hier="-1"/>
    <pageField fld="0" item="2"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9460F2-5E6E-4B17-8E9C-9C13E756EFA1}" name="PivotTable2" cacheId="77"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D4:D5" firstHeaderRow="1" firstDataRow="1" firstDataCol="0"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numFmtId="14" showAll="0"/>
    <pivotField axis="axisPage" showAll="0">
      <items count="7">
        <item x="0"/>
        <item x="1"/>
        <item m="1" x="2"/>
        <item m="1" x="4"/>
        <item m="1" x="5"/>
        <item m="1" x="3"/>
        <item t="default"/>
      </items>
    </pivotField>
    <pivotField dataField="1" showAll="0"/>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3">
        <item x="36"/>
        <item x="27"/>
        <item x="29"/>
        <item x="4"/>
        <item x="6"/>
        <item m="1" x="61"/>
        <item x="3"/>
        <item x="53"/>
        <item x="34"/>
        <item x="47"/>
        <item x="35"/>
        <item x="15"/>
        <item m="1" x="79"/>
        <item m="1" x="80"/>
        <item m="1" x="67"/>
        <item m="1" x="66"/>
        <item m="1" x="72"/>
        <item x="24"/>
        <item x="45"/>
        <item x="25"/>
        <item m="1" x="58"/>
        <item x="44"/>
        <item x="5"/>
        <item m="1" x="75"/>
        <item m="1" x="62"/>
        <item x="42"/>
        <item x="14"/>
        <item m="1" x="69"/>
        <item m="1" x="64"/>
        <item x="55"/>
        <item x="12"/>
        <item x="39"/>
        <item x="11"/>
        <item x="1"/>
        <item m="1" x="60"/>
        <item x="46"/>
        <item m="1" x="70"/>
        <item x="26"/>
        <item m="1" x="68"/>
        <item x="16"/>
        <item m="1" x="77"/>
        <item x="37"/>
        <item x="54"/>
        <item x="40"/>
        <item x="21"/>
        <item x="22"/>
        <item x="51"/>
        <item m="1" x="73"/>
        <item m="1" x="65"/>
        <item m="1" x="59"/>
        <item m="1" x="76"/>
        <item m="1" x="56"/>
        <item m="1" x="71"/>
        <item x="38"/>
        <item x="23"/>
        <item x="33"/>
        <item x="50"/>
        <item x="7"/>
        <item x="49"/>
        <item x="0"/>
        <item m="1" x="57"/>
        <item x="8"/>
        <item m="1" x="78"/>
        <item m="1" x="63"/>
        <item x="17"/>
        <item x="28"/>
        <item x="48"/>
        <item x="2"/>
        <item x="31"/>
        <item x="9"/>
        <item m="1" x="81"/>
        <item x="20"/>
        <item x="30"/>
        <item x="13"/>
        <item x="18"/>
        <item x="10"/>
        <item m="1" x="74"/>
        <item x="52"/>
        <item x="32"/>
        <item x="41"/>
        <item x="19"/>
        <item x="43"/>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3" item="0" hier="-1"/>
    <pageField fld="0" item="2"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6DC9A7-08BF-4663-BF7D-FACE18BF8D8D}" name="PivotTable6" cacheId="77"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G11:G12" firstHeaderRow="1" firstDataRow="1" firstDataCol="0"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numFmtId="14" showAll="0"/>
    <pivotField axis="axisPage" showAll="0">
      <items count="7">
        <item x="0"/>
        <item x="1"/>
        <item m="1" x="2"/>
        <item m="1" x="4"/>
        <item m="1" x="5"/>
        <item m="1" x="3"/>
        <item t="default"/>
      </items>
    </pivotField>
    <pivotField dataField="1" showAll="0"/>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3">
        <item x="36"/>
        <item x="27"/>
        <item x="29"/>
        <item x="4"/>
        <item x="6"/>
        <item m="1" x="61"/>
        <item x="3"/>
        <item x="53"/>
        <item x="34"/>
        <item x="47"/>
        <item x="35"/>
        <item x="15"/>
        <item m="1" x="79"/>
        <item m="1" x="80"/>
        <item m="1" x="67"/>
        <item m="1" x="66"/>
        <item m="1" x="72"/>
        <item x="24"/>
        <item x="45"/>
        <item x="25"/>
        <item m="1" x="58"/>
        <item x="44"/>
        <item x="5"/>
        <item m="1" x="75"/>
        <item m="1" x="62"/>
        <item x="42"/>
        <item x="14"/>
        <item m="1" x="69"/>
        <item m="1" x="64"/>
        <item x="55"/>
        <item x="12"/>
        <item x="39"/>
        <item x="11"/>
        <item x="1"/>
        <item m="1" x="60"/>
        <item x="46"/>
        <item m="1" x="70"/>
        <item x="26"/>
        <item m="1" x="68"/>
        <item x="16"/>
        <item m="1" x="77"/>
        <item x="37"/>
        <item x="54"/>
        <item x="40"/>
        <item x="21"/>
        <item x="22"/>
        <item x="51"/>
        <item m="1" x="73"/>
        <item m="1" x="65"/>
        <item m="1" x="59"/>
        <item m="1" x="76"/>
        <item m="1" x="56"/>
        <item m="1" x="71"/>
        <item x="38"/>
        <item x="23"/>
        <item x="33"/>
        <item x="50"/>
        <item x="7"/>
        <item x="49"/>
        <item x="0"/>
        <item m="1" x="57"/>
        <item x="8"/>
        <item m="1" x="78"/>
        <item m="1" x="63"/>
        <item x="17"/>
        <item x="28"/>
        <item x="48"/>
        <item x="2"/>
        <item x="31"/>
        <item x="9"/>
        <item m="1" x="81"/>
        <item x="20"/>
        <item x="30"/>
        <item x="13"/>
        <item x="18"/>
        <item x="10"/>
        <item m="1" x="74"/>
        <item x="52"/>
        <item x="32"/>
        <item x="41"/>
        <item x="19"/>
        <item x="43"/>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3" item="1" hier="-1"/>
    <pageField fld="0" item="0"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51151A-942F-46A2-8EB0-D1E2DC99FC17}" name="PivotTable3" cacheId="77"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G4:G5" firstHeaderRow="1" firstDataRow="1" firstDataCol="0"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numFmtId="14" showAll="0"/>
    <pivotField axis="axisPage" showAll="0">
      <items count="7">
        <item x="0"/>
        <item x="1"/>
        <item m="1" x="2"/>
        <item m="1" x="4"/>
        <item m="1" x="5"/>
        <item m="1" x="3"/>
        <item t="default"/>
      </items>
    </pivotField>
    <pivotField dataField="1" showAll="0"/>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3">
        <item x="36"/>
        <item x="27"/>
        <item x="29"/>
        <item x="4"/>
        <item x="6"/>
        <item m="1" x="61"/>
        <item x="3"/>
        <item x="53"/>
        <item x="34"/>
        <item x="47"/>
        <item x="35"/>
        <item x="15"/>
        <item m="1" x="79"/>
        <item m="1" x="80"/>
        <item m="1" x="67"/>
        <item m="1" x="66"/>
        <item m="1" x="72"/>
        <item x="24"/>
        <item x="45"/>
        <item x="25"/>
        <item m="1" x="58"/>
        <item x="44"/>
        <item x="5"/>
        <item m="1" x="75"/>
        <item m="1" x="62"/>
        <item x="42"/>
        <item x="14"/>
        <item m="1" x="69"/>
        <item m="1" x="64"/>
        <item x="55"/>
        <item x="12"/>
        <item x="39"/>
        <item x="11"/>
        <item x="1"/>
        <item m="1" x="60"/>
        <item x="46"/>
        <item m="1" x="70"/>
        <item x="26"/>
        <item m="1" x="68"/>
        <item x="16"/>
        <item m="1" x="77"/>
        <item x="37"/>
        <item x="54"/>
        <item x="40"/>
        <item x="21"/>
        <item x="22"/>
        <item x="51"/>
        <item m="1" x="73"/>
        <item m="1" x="65"/>
        <item m="1" x="59"/>
        <item m="1" x="76"/>
        <item m="1" x="56"/>
        <item m="1" x="71"/>
        <item x="38"/>
        <item x="23"/>
        <item x="33"/>
        <item x="50"/>
        <item x="7"/>
        <item x="49"/>
        <item x="0"/>
        <item m="1" x="57"/>
        <item x="8"/>
        <item m="1" x="78"/>
        <item m="1" x="63"/>
        <item x="17"/>
        <item x="28"/>
        <item x="48"/>
        <item x="2"/>
        <item x="31"/>
        <item x="9"/>
        <item m="1" x="81"/>
        <item x="20"/>
        <item x="30"/>
        <item x="13"/>
        <item x="18"/>
        <item x="10"/>
        <item m="1" x="74"/>
        <item x="52"/>
        <item x="32"/>
        <item x="41"/>
        <item x="19"/>
        <item x="43"/>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3" item="0" hier="-1"/>
    <pageField fld="0" item="0"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DC56DA-C855-4E19-80DE-C32E11FBBC2A}" name="PivotTable13"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Y23" firstHeaderRow="1" firstDataRow="2" firstDataCol="1"/>
  <pivotFields count="79">
    <pivotField axis="axisCol" multipleItemSelectionAllowed="1" showAll="0">
      <items count="57">
        <item x="2"/>
        <item n="With Status" x="0"/>
        <item m="1" x="33"/>
        <item m="1" x="54"/>
        <item m="1" x="14"/>
        <item m="1" x="3"/>
        <item m="1" x="55"/>
        <item n="W/O Status" x="1"/>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numFmtId="14" showAll="0"/>
    <pivotField axis="axisRow" multipleItemSelectionAllowed="1" showAll="0">
      <items count="7">
        <item x="0"/>
        <item x="1"/>
        <item m="1" x="2"/>
        <item m="1" x="4"/>
        <item m="1" x="5"/>
        <item m="1" x="3"/>
        <item t="default"/>
      </items>
    </pivotField>
    <pivotField dataField="1" showAll="0"/>
    <pivotField showAll="0"/>
    <pivotField showAll="0"/>
    <pivotField showAll="0"/>
    <pivotField showAll="0"/>
    <pivotField showAll="0"/>
    <pivotField showAll="0"/>
    <pivotField axis="axisRow" showAll="0">
      <items count="9">
        <item x="2"/>
        <item x="3"/>
        <item x="4"/>
        <item x="0"/>
        <item x="1"/>
        <item m="1" x="6"/>
        <item m="1" x="7"/>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3">
        <item x="36"/>
        <item x="27"/>
        <item x="29"/>
        <item x="4"/>
        <item x="6"/>
        <item m="1" x="61"/>
        <item x="3"/>
        <item x="53"/>
        <item x="34"/>
        <item x="47"/>
        <item x="35"/>
        <item x="15"/>
        <item m="1" x="79"/>
        <item m="1" x="80"/>
        <item m="1" x="67"/>
        <item m="1" x="66"/>
        <item m="1" x="72"/>
        <item x="24"/>
        <item x="45"/>
        <item x="25"/>
        <item m="1" x="58"/>
        <item x="44"/>
        <item x="5"/>
        <item m="1" x="75"/>
        <item m="1" x="62"/>
        <item x="42"/>
        <item x="14"/>
        <item m="1" x="69"/>
        <item m="1" x="64"/>
        <item x="55"/>
        <item x="12"/>
        <item x="39"/>
        <item x="11"/>
        <item x="1"/>
        <item m="1" x="60"/>
        <item x="46"/>
        <item m="1" x="70"/>
        <item x="26"/>
        <item m="1" x="68"/>
        <item x="16"/>
        <item m="1" x="77"/>
        <item x="37"/>
        <item x="54"/>
        <item x="40"/>
        <item x="21"/>
        <item x="22"/>
        <item x="51"/>
        <item m="1" x="73"/>
        <item m="1" x="65"/>
        <item m="1" x="59"/>
        <item m="1" x="76"/>
        <item m="1" x="56"/>
        <item m="1" x="71"/>
        <item x="38"/>
        <item x="23"/>
        <item x="33"/>
        <item x="50"/>
        <item x="7"/>
        <item x="49"/>
        <item x="0"/>
        <item m="1" x="57"/>
        <item x="8"/>
        <item m="1" x="78"/>
        <item m="1" x="63"/>
        <item x="17"/>
        <item x="28"/>
        <item x="48"/>
        <item x="2"/>
        <item x="31"/>
        <item x="9"/>
        <item m="1" x="81"/>
        <item x="20"/>
        <item x="30"/>
        <item x="13"/>
        <item x="18"/>
        <item x="10"/>
        <item m="1" x="74"/>
        <item x="52"/>
        <item x="32"/>
        <item x="41"/>
        <item x="19"/>
        <item x="43"/>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1"/>
    <field x="3"/>
  </rowFields>
  <rowItems count="18">
    <i>
      <x/>
    </i>
    <i r="1">
      <x/>
    </i>
    <i r="1">
      <x v="1"/>
    </i>
    <i>
      <x v="1"/>
    </i>
    <i r="1">
      <x/>
    </i>
    <i>
      <x v="2"/>
    </i>
    <i r="1">
      <x/>
    </i>
    <i r="1">
      <x v="1"/>
    </i>
    <i>
      <x v="3"/>
    </i>
    <i r="1">
      <x/>
    </i>
    <i r="1">
      <x v="1"/>
    </i>
    <i>
      <x v="4"/>
    </i>
    <i r="1">
      <x/>
    </i>
    <i r="1">
      <x v="1"/>
    </i>
    <i>
      <x v="7"/>
    </i>
    <i r="1">
      <x/>
    </i>
    <i r="1">
      <x v="1"/>
    </i>
    <i t="grand">
      <x/>
    </i>
  </rowItems>
  <colFields count="1">
    <field x="0"/>
  </colFields>
  <colItems count="4">
    <i>
      <x/>
    </i>
    <i>
      <x v="1"/>
    </i>
    <i>
      <x v="7"/>
    </i>
    <i t="grand">
      <x/>
    </i>
  </colItems>
  <dataFields count="1">
    <dataField name="Count of Inquiry number2" fld="4" subtotal="count" baseField="0" baseItem="0"/>
  </dataFields>
  <formats count="9">
    <format dxfId="143">
      <pivotArea field="0" type="button" dataOnly="0" labelOnly="1" outline="0" axis="axisCol" fieldPosition="0"/>
    </format>
    <format dxfId="144">
      <pivotArea type="topRight" dataOnly="0" labelOnly="1" outline="0" fieldPosition="0"/>
    </format>
    <format dxfId="145">
      <pivotArea outline="0" collapsedLevelsAreSubtotals="1" fieldPosition="0"/>
    </format>
    <format dxfId="146">
      <pivotArea dataOnly="0" labelOnly="1" grandRow="1" outline="0" fieldPosition="0"/>
    </format>
    <format dxfId="147">
      <pivotArea dataOnly="0" labelOnly="1" fieldPosition="0">
        <references count="1">
          <reference field="0" count="0"/>
        </references>
      </pivotArea>
    </format>
    <format dxfId="148">
      <pivotArea dataOnly="0" labelOnly="1" grandCol="1" outline="0" fieldPosition="0"/>
    </format>
    <format dxfId="149">
      <pivotArea outline="0" collapsedLevelsAreSubtotals="1" fieldPosition="0"/>
    </format>
    <format dxfId="150">
      <pivotArea dataOnly="0" labelOnly="1" fieldPosition="0">
        <references count="1">
          <reference field="0" count="1">
            <x v="0"/>
          </reference>
        </references>
      </pivotArea>
    </format>
    <format dxfId="151">
      <pivotArea dataOnly="0" labelOnly="1" fieldPosition="0">
        <references count="1">
          <reference field="0"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10EAA4-DDDB-43F1-8AB7-B6B05696E4EE}" name="PivotTable4" cacheId="77"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11:A12" firstHeaderRow="1" firstDataRow="1" firstDataCol="0" rowPageCount="2" colPageCount="1"/>
  <pivotFields count="79">
    <pivotField axis="axisPage" multipleItemSelectionAllowed="1" showAll="0">
      <items count="57">
        <item h="1" x="1"/>
        <item x="2"/>
        <item h="1" x="0"/>
        <item m="1" x="33"/>
        <item m="1" x="54"/>
        <item m="1" x="14"/>
        <item h="1" m="1" x="3"/>
        <item m="1" x="55"/>
        <item m="1" x="13"/>
        <item m="1" x="6"/>
        <item m="1" x="25"/>
        <item m="1" x="8"/>
        <item m="1" x="9"/>
        <item m="1" x="53"/>
        <item m="1" x="51"/>
        <item m="1" x="52"/>
        <item m="1" x="17"/>
        <item m="1" x="48"/>
        <item m="1" x="50"/>
        <item m="1" x="49"/>
        <item m="1" x="47"/>
        <item h="1" m="1" x="45"/>
        <item h="1" m="1" x="46"/>
        <item h="1" m="1" x="29"/>
        <item h="1" m="1" x="36"/>
        <item h="1" m="1" x="44"/>
        <item h="1" m="1" x="42"/>
        <item h="1" m="1" x="43"/>
        <item h="1" m="1" x="10"/>
        <item h="1" m="1" x="41"/>
        <item h="1" m="1" x="34"/>
        <item h="1" m="1" x="39"/>
        <item h="1" m="1" x="40"/>
        <item h="1" m="1" x="15"/>
        <item h="1" m="1" x="37"/>
        <item h="1" m="1" x="35"/>
        <item h="1" m="1" x="12"/>
        <item h="1" m="1" x="38"/>
        <item h="1" m="1" x="32"/>
        <item h="1" m="1" x="31"/>
        <item h="1" m="1" x="27"/>
        <item h="1" m="1" x="28"/>
        <item h="1" m="1" x="30"/>
        <item h="1" m="1" x="21"/>
        <item h="1" m="1" x="24"/>
        <item h="1" m="1" x="26"/>
        <item h="1" m="1" x="20"/>
        <item h="1" m="1" x="22"/>
        <item h="1" m="1" x="23"/>
        <item h="1" m="1" x="18"/>
        <item h="1" m="1" x="19"/>
        <item h="1" m="1" x="11"/>
        <item h="1" m="1" x="16"/>
        <item h="1" m="1" x="4"/>
        <item h="1" m="1" x="5"/>
        <item h="1" m="1" x="7"/>
        <item t="default"/>
      </items>
    </pivotField>
    <pivotField showAll="0"/>
    <pivotField numFmtId="14" showAll="0"/>
    <pivotField axis="axisPage" showAll="0">
      <items count="7">
        <item x="0"/>
        <item x="1"/>
        <item m="1" x="2"/>
        <item m="1" x="4"/>
        <item m="1" x="5"/>
        <item m="1" x="3"/>
        <item t="default"/>
      </items>
    </pivotField>
    <pivotField dataField="1" showAll="0"/>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3">
        <item x="36"/>
        <item x="27"/>
        <item x="29"/>
        <item x="4"/>
        <item x="6"/>
        <item m="1" x="61"/>
        <item x="3"/>
        <item x="53"/>
        <item x="34"/>
        <item x="47"/>
        <item x="35"/>
        <item x="15"/>
        <item m="1" x="79"/>
        <item m="1" x="80"/>
        <item m="1" x="67"/>
        <item m="1" x="66"/>
        <item m="1" x="72"/>
        <item x="24"/>
        <item x="45"/>
        <item x="25"/>
        <item m="1" x="58"/>
        <item x="44"/>
        <item x="5"/>
        <item m="1" x="75"/>
        <item m="1" x="62"/>
        <item x="42"/>
        <item x="14"/>
        <item m="1" x="69"/>
        <item m="1" x="64"/>
        <item x="55"/>
        <item x="12"/>
        <item x="39"/>
        <item x="11"/>
        <item x="1"/>
        <item m="1" x="60"/>
        <item x="46"/>
        <item m="1" x="70"/>
        <item x="26"/>
        <item m="1" x="68"/>
        <item x="16"/>
        <item m="1" x="77"/>
        <item x="37"/>
        <item x="54"/>
        <item x="40"/>
        <item x="21"/>
        <item x="22"/>
        <item x="51"/>
        <item m="1" x="73"/>
        <item m="1" x="65"/>
        <item m="1" x="59"/>
        <item m="1" x="76"/>
        <item m="1" x="56"/>
        <item m="1" x="71"/>
        <item x="38"/>
        <item x="23"/>
        <item x="33"/>
        <item x="50"/>
        <item x="7"/>
        <item x="49"/>
        <item x="0"/>
        <item m="1" x="57"/>
        <item x="8"/>
        <item m="1" x="78"/>
        <item m="1" x="63"/>
        <item x="17"/>
        <item x="28"/>
        <item x="48"/>
        <item x="2"/>
        <item x="31"/>
        <item x="9"/>
        <item m="1" x="81"/>
        <item x="20"/>
        <item x="30"/>
        <item x="13"/>
        <item x="18"/>
        <item x="10"/>
        <item m="1" x="74"/>
        <item x="52"/>
        <item x="32"/>
        <item x="41"/>
        <item x="19"/>
        <item x="43"/>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3" item="1" hier="-1"/>
    <pageField fld="0" hier="-1"/>
  </pageFields>
  <dataFields count="1">
    <dataField name="Count of Inquiry number2"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29836B2-F4BC-410D-8BED-E031F6C5F60C}" name="PivotTable13"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ompleted">
  <location ref="A26:B30" firstHeaderRow="1" firstDataRow="1" firstDataCol="1" rowPageCount="2" colPageCount="1"/>
  <pivotFields count="79">
    <pivotField axis="axisPage" multipleItemSelectionAllowed="1" showAll="0">
      <items count="57">
        <item h="1" x="1"/>
        <item x="2"/>
        <item h="1" x="0"/>
        <item m="1" x="33"/>
        <item m="1" x="54"/>
        <item m="1" x="14"/>
        <item h="1" m="1" x="3"/>
        <item m="1" x="55"/>
        <item m="1" x="13"/>
        <item m="1" x="6"/>
        <item m="1" x="25"/>
        <item m="1" x="8"/>
        <item m="1" x="9"/>
        <item m="1" x="53"/>
        <item m="1" x="51"/>
        <item m="1" x="52"/>
        <item m="1" x="17"/>
        <item m="1" x="48"/>
        <item m="1" x="50"/>
        <item m="1" x="49"/>
        <item m="1" x="47"/>
        <item h="1" m="1" x="45"/>
        <item h="1" m="1" x="46"/>
        <item h="1" m="1" x="29"/>
        <item h="1" m="1" x="36"/>
        <item h="1" m="1" x="44"/>
        <item h="1" m="1" x="42"/>
        <item h="1" m="1" x="43"/>
        <item h="1" m="1" x="10"/>
        <item h="1" m="1" x="41"/>
        <item h="1" m="1" x="34"/>
        <item h="1" m="1" x="39"/>
        <item h="1" m="1" x="40"/>
        <item h="1" m="1" x="15"/>
        <item h="1" m="1" x="37"/>
        <item h="1" m="1" x="35"/>
        <item h="1" m="1" x="12"/>
        <item h="1" m="1" x="38"/>
        <item h="1" m="1" x="32"/>
        <item h="1" m="1" x="31"/>
        <item h="1" m="1" x="27"/>
        <item h="1" m="1" x="28"/>
        <item h="1" m="1" x="30"/>
        <item h="1" m="1" x="21"/>
        <item h="1" m="1" x="24"/>
        <item h="1" m="1" x="26"/>
        <item h="1" m="1" x="20"/>
        <item h="1" m="1" x="22"/>
        <item h="1" m="1" x="23"/>
        <item h="1" m="1" x="18"/>
        <item h="1" m="1" x="19"/>
        <item h="1" m="1" x="11"/>
        <item h="1" m="1" x="16"/>
        <item h="1" m="1" x="4"/>
        <item h="1" m="1" x="5"/>
        <item h="1"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4">
    <i>
      <x v="14"/>
    </i>
    <i r="1">
      <x v="72"/>
    </i>
    <i r="2">
      <x v="1568"/>
    </i>
    <i t="grand">
      <x/>
    </i>
  </rowItems>
  <colItems count="1">
    <i/>
  </colItems>
  <pageFields count="2">
    <pageField fld="3" item="0" hier="-1"/>
    <pageField fld="0" hier="-1"/>
  </pageFields>
  <dataFields count="1">
    <dataField name="Count" fld="4" subtotal="count" baseField="0" baseItem="0"/>
  </dataFields>
  <formats count="4">
    <format dxfId="139">
      <pivotArea field="2" type="button" dataOnly="0" labelOnly="1" outline="0" axis="axisRow" fieldPosition="0"/>
    </format>
    <format dxfId="140">
      <pivotArea dataOnly="0" labelOnly="1" outline="0" axis="axisValues" fieldPosition="0"/>
    </format>
    <format dxfId="141">
      <pivotArea field="2" type="button" dataOnly="0" labelOnly="1" outline="0" axis="axisRow" fieldPosition="0"/>
    </format>
    <format dxfId="1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73136A-FAED-4FD3-8C9E-2DA8D55DD623}" name="PivotTable17"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ended">
  <location ref="I26:J38"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sd="0"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12">
    <i>
      <x v="13"/>
    </i>
    <i r="1">
      <x v="3"/>
    </i>
    <i r="2">
      <x v="940"/>
    </i>
    <i r="1">
      <x v="10"/>
    </i>
    <i r="2">
      <x v="4445"/>
    </i>
    <i r="1">
      <x v="50"/>
    </i>
    <i r="2">
      <x v="4455"/>
    </i>
    <i r="1">
      <x v="52"/>
    </i>
    <i r="2">
      <x v="4538"/>
    </i>
    <i r="1">
      <x v="57"/>
    </i>
    <i r="2">
      <x v="4512"/>
    </i>
    <i t="grand">
      <x/>
    </i>
  </rowItems>
  <colItems count="1">
    <i/>
  </colItems>
  <pageFields count="2">
    <pageField fld="3" item="1" hier="-1"/>
    <pageField fld="0" item="2" hier="-1"/>
  </pageFields>
  <dataFields count="1">
    <dataField name="Count" fld="4" subtotal="count" baseField="0" baseItem="0"/>
  </dataFields>
  <formats count="4">
    <format dxfId="135">
      <pivotArea field="2" type="button" dataOnly="0" labelOnly="1" outline="0" axis="axisRow" fieldPosition="0"/>
    </format>
    <format dxfId="136">
      <pivotArea dataOnly="0" labelOnly="1" outline="0" axis="axisValues" fieldPosition="0"/>
    </format>
    <format dxfId="137">
      <pivotArea field="2" type="button" dataOnly="0" labelOnly="1" outline="0" axis="axisRow" fieldPosition="0"/>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3110A1D-BA8D-44CB-9E74-255622829382}" name="PivotTable18"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No Status">
  <location ref="K26:L115"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89">
    <i>
      <x v="13"/>
    </i>
    <i r="1">
      <x v="7"/>
    </i>
    <i r="2">
      <x v="2670"/>
    </i>
    <i r="2">
      <x v="4535"/>
    </i>
    <i r="1">
      <x v="9"/>
    </i>
    <i r="2">
      <x v="4543"/>
    </i>
    <i r="2">
      <x v="4544"/>
    </i>
    <i r="2">
      <x v="4545"/>
    </i>
    <i r="2">
      <x v="4546"/>
    </i>
    <i r="1">
      <x v="31"/>
    </i>
    <i r="2">
      <x v="4007"/>
    </i>
    <i r="1">
      <x v="37"/>
    </i>
    <i r="2">
      <x v="4516"/>
    </i>
    <i r="1">
      <x v="39"/>
    </i>
    <i r="2">
      <x v="4020"/>
    </i>
    <i r="1">
      <x v="60"/>
    </i>
    <i r="2">
      <x v="4478"/>
    </i>
    <i r="1">
      <x v="61"/>
    </i>
    <i r="2">
      <x v="4515"/>
    </i>
    <i r="1">
      <x v="65"/>
    </i>
    <i r="2">
      <x v="4518"/>
    </i>
    <i r="1">
      <x v="69"/>
    </i>
    <i r="2">
      <x v="4437"/>
    </i>
    <i r="1">
      <x v="70"/>
    </i>
    <i r="2">
      <x v="3102"/>
    </i>
    <i r="1">
      <x v="74"/>
    </i>
    <i r="2">
      <x v="1913"/>
    </i>
    <i>
      <x v="16"/>
    </i>
    <i r="1">
      <x/>
    </i>
    <i r="2">
      <x v="4700"/>
    </i>
    <i r="1">
      <x v="8"/>
    </i>
    <i r="2">
      <x v="4694"/>
    </i>
    <i r="2">
      <x v="4695"/>
    </i>
    <i r="2">
      <x v="4697"/>
    </i>
    <i r="2">
      <x v="4701"/>
    </i>
    <i r="2">
      <x v="4710"/>
    </i>
    <i r="2">
      <x v="4711"/>
    </i>
    <i r="2">
      <x v="4720"/>
    </i>
    <i r="2">
      <x v="4721"/>
    </i>
    <i r="2">
      <x v="4722"/>
    </i>
    <i r="1">
      <x v="9"/>
    </i>
    <i r="2">
      <x v="4689"/>
    </i>
    <i r="2">
      <x v="4692"/>
    </i>
    <i r="2">
      <x v="4708"/>
    </i>
    <i r="1">
      <x v="24"/>
    </i>
    <i r="2">
      <x v="4682"/>
    </i>
    <i r="1">
      <x v="37"/>
    </i>
    <i r="2">
      <x v="4683"/>
    </i>
    <i r="2">
      <x v="4687"/>
    </i>
    <i r="2">
      <x v="4706"/>
    </i>
    <i r="1">
      <x v="40"/>
    </i>
    <i r="2">
      <x v="4691"/>
    </i>
    <i r="2">
      <x v="4717"/>
    </i>
    <i r="1">
      <x v="46"/>
    </i>
    <i r="2">
      <x v="4712"/>
    </i>
    <i r="1">
      <x v="50"/>
    </i>
    <i r="2">
      <x v="4690"/>
    </i>
    <i r="1">
      <x v="51"/>
    </i>
    <i r="2">
      <x v="4703"/>
    </i>
    <i r="1">
      <x v="52"/>
    </i>
    <i r="2">
      <x v="4698"/>
    </i>
    <i r="2">
      <x v="4713"/>
    </i>
    <i r="1">
      <x v="60"/>
    </i>
    <i r="2">
      <x v="4723"/>
    </i>
    <i r="1">
      <x v="61"/>
    </i>
    <i r="2">
      <x v="4684"/>
    </i>
    <i r="1">
      <x v="63"/>
    </i>
    <i r="2">
      <x v="4685"/>
    </i>
    <i r="1">
      <x v="64"/>
    </i>
    <i r="2">
      <x v="4693"/>
    </i>
    <i r="1">
      <x v="69"/>
    </i>
    <i r="2">
      <x v="4686"/>
    </i>
    <i r="2">
      <x v="4707"/>
    </i>
    <i r="2">
      <x v="4718"/>
    </i>
    <i r="1">
      <x v="74"/>
    </i>
    <i r="2">
      <x v="4688"/>
    </i>
    <i r="2">
      <x v="4696"/>
    </i>
    <i r="2">
      <x v="4705"/>
    </i>
    <i r="2">
      <x v="4716"/>
    </i>
    <i r="1">
      <x v="76"/>
    </i>
    <i r="2">
      <x v="4699"/>
    </i>
    <i r="2">
      <x v="4702"/>
    </i>
    <i r="2">
      <x v="4704"/>
    </i>
    <i r="2">
      <x v="4709"/>
    </i>
    <i r="2">
      <x v="4714"/>
    </i>
    <i r="2">
      <x v="4715"/>
    </i>
    <i r="2">
      <x v="4719"/>
    </i>
    <i r="2">
      <x v="4724"/>
    </i>
    <i t="grand">
      <x/>
    </i>
  </rowItems>
  <colItems count="1">
    <i/>
  </colItems>
  <pageFields count="2">
    <pageField fld="3" item="1" hier="-1"/>
    <pageField fld="0" item="0" hier="-1"/>
  </pageFields>
  <dataFields count="1">
    <dataField name="Count" fld="4" subtotal="count" baseField="0" baseItem="0"/>
  </dataFields>
  <formats count="4">
    <format dxfId="131">
      <pivotArea field="2" type="button" dataOnly="0" labelOnly="1" outline="0" axis="axisRow" fieldPosition="0"/>
    </format>
    <format dxfId="132">
      <pivotArea dataOnly="0" labelOnly="1" outline="0" axis="axisValues" fieldPosition="0"/>
    </format>
    <format dxfId="133">
      <pivotArea field="2" type="button" dataOnly="0" labelOnly="1" outline="0" axis="axisRow" fieldPosition="0"/>
    </format>
    <format dxfId="1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AD29668-090A-4842-AD03-F1F386D8A664}" name="PivotTable16"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ompleted">
  <location ref="G26:H30" firstHeaderRow="1" firstDataRow="1" firstDataCol="1" rowPageCount="2" colPageCount="1"/>
  <pivotFields count="79">
    <pivotField axis="axisPage" multipleItemSelectionAllowed="1" showAll="0">
      <items count="57">
        <item h="1" x="1"/>
        <item x="2"/>
        <item h="1" x="0"/>
        <item m="1" x="33"/>
        <item m="1" x="54"/>
        <item m="1" x="14"/>
        <item h="1" m="1" x="3"/>
        <item m="1" x="55"/>
        <item m="1" x="13"/>
        <item m="1" x="6"/>
        <item m="1" x="25"/>
        <item m="1" x="8"/>
        <item m="1" x="9"/>
        <item m="1" x="53"/>
        <item m="1" x="51"/>
        <item m="1" x="52"/>
        <item m="1" x="17"/>
        <item m="1" x="48"/>
        <item m="1" x="50"/>
        <item m="1" x="49"/>
        <item m="1" x="47"/>
        <item h="1" m="1" x="45"/>
        <item h="1" m="1" x="46"/>
        <item h="1" m="1" x="29"/>
        <item h="1" m="1" x="36"/>
        <item h="1" m="1" x="44"/>
        <item h="1" m="1" x="42"/>
        <item h="1" m="1" x="43"/>
        <item h="1" m="1" x="10"/>
        <item h="1" m="1" x="41"/>
        <item h="1" m="1" x="34"/>
        <item h="1" m="1" x="39"/>
        <item h="1" m="1" x="40"/>
        <item h="1" m="1" x="15"/>
        <item h="1" m="1" x="37"/>
        <item h="1" m="1" x="35"/>
        <item h="1" m="1" x="12"/>
        <item h="1" m="1" x="38"/>
        <item h="1" m="1" x="32"/>
        <item h="1" m="1" x="31"/>
        <item h="1" m="1" x="27"/>
        <item h="1" m="1" x="28"/>
        <item h="1" m="1" x="30"/>
        <item h="1" m="1" x="21"/>
        <item h="1" m="1" x="24"/>
        <item h="1" m="1" x="26"/>
        <item h="1" m="1" x="20"/>
        <item h="1" m="1" x="22"/>
        <item h="1" m="1" x="23"/>
        <item h="1" m="1" x="18"/>
        <item h="1" m="1" x="19"/>
        <item h="1" m="1" x="11"/>
        <item h="1" m="1" x="16"/>
        <item h="1" m="1" x="4"/>
        <item h="1" m="1" x="5"/>
        <item h="1"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4681"/>
        <item m="1" x="2757"/>
        <item m="1" x="4247"/>
        <item m="1" x="4573"/>
        <item m="1" x="3521"/>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3877"/>
        <item m="1" x="2865"/>
        <item m="1" x="3949"/>
        <item m="1" x="3936"/>
        <item m="1" x="4060"/>
        <item m="1" x="3529"/>
        <item m="1" x="4137"/>
        <item m="1" x="4061"/>
        <item m="1" x="3787"/>
        <item m="1" x="3790"/>
        <item m="1" x="3938"/>
        <item m="1" x="3800"/>
        <item m="1" x="3935"/>
        <item m="1" x="3900"/>
        <item m="1" x="3523"/>
        <item m="1" x="4063"/>
        <item m="1" x="2912"/>
        <item m="1" x="2909"/>
        <item m="1" x="2904"/>
        <item m="1" x="3799"/>
        <item m="1" x="4065"/>
        <item m="1" x="3937"/>
        <item m="1" x="3798"/>
        <item m="1" x="4138"/>
        <item m="1" x="3608"/>
        <item m="1" x="3901"/>
        <item m="1" x="3625"/>
        <item m="1" x="4140"/>
        <item m="1" x="3421"/>
        <item m="1" x="3425"/>
        <item m="1" x="3424"/>
        <item m="1" x="3524"/>
        <item m="1" x="4064"/>
        <item m="1" x="3423"/>
        <item m="1" x="4059"/>
        <item m="1" x="3801"/>
        <item m="1" x="3422"/>
        <item m="1" x="4062"/>
        <item m="1" x="4058"/>
        <item m="1" x="3528"/>
        <item m="1" x="4139"/>
        <item m="1" x="4241"/>
        <item m="1" x="4571"/>
        <item m="1" x="4141"/>
        <item m="1" x="4563"/>
        <item m="1" x="4564"/>
        <item m="1" x="3999"/>
        <item m="1" x="2308"/>
        <item m="1" x="4574"/>
        <item m="1" x="4029"/>
        <item m="1" x="3500"/>
        <item m="1" x="3743"/>
        <item m="1" x="2756"/>
        <item m="1" x="4721"/>
        <item m="1" x="2655"/>
        <item m="1" x="2111"/>
        <item m="1" x="4558"/>
        <item m="1" x="3321"/>
        <item m="1" x="4233"/>
        <item m="1" x="4560"/>
        <item m="1" x="3998"/>
        <item m="1" x="3840"/>
        <item m="1" x="3477"/>
        <item m="1" x="4136"/>
        <item m="1" x="4237"/>
        <item m="1" x="2307"/>
        <item m="1" x="4235"/>
        <item m="1" x="4234"/>
        <item m="1" x="4722"/>
        <item m="1" x="2480"/>
        <item m="1" x="1486"/>
        <item m="1" x="3943"/>
        <item m="1" x="4720"/>
        <item m="1" x="4719"/>
        <item m="1" x="3930"/>
        <item x="18"/>
        <item m="1" x="2022"/>
        <item m="1" x="3944"/>
        <item m="1" x="4559"/>
        <item m="1" x="4236"/>
        <item m="1" x="3948"/>
        <item m="1" x="3764"/>
        <item m="1" x="4556"/>
        <item m="1" x="2412"/>
        <item m="1" x="2413"/>
        <item m="1" x="4554"/>
        <item m="1" x="4239"/>
        <item m="1" x="3831"/>
        <item m="1" x="2808"/>
        <item m="1" x="3160"/>
        <item m="1" x="2807"/>
        <item m="1" x="3370"/>
        <item m="1" x="4238"/>
        <item m="1" x="4135"/>
        <item m="1" x="4723"/>
        <item m="1" x="4561"/>
        <item m="1" x="1900"/>
        <item m="1" x="2424"/>
        <item m="1" x="1920"/>
        <item m="1" x="4134"/>
        <item m="1" x="4557"/>
        <item m="1" x="4555"/>
        <item m="1" x="1880"/>
        <item m="1" x="3997"/>
        <item m="1" x="3991"/>
        <item m="1" x="4562"/>
        <item m="1" x="3990"/>
        <item m="1" x="4047"/>
        <item m="1" x="3897"/>
        <item m="1" x="296"/>
        <item m="1" x="3667"/>
        <item m="1" x="2754"/>
        <item m="1" x="4221"/>
        <item m="1" x="2863"/>
        <item m="1" x="4512"/>
        <item x="3"/>
        <item m="1" x="4027"/>
        <item m="1" x="4545"/>
        <item m="1" x="3995"/>
        <item m="1" x="1854"/>
        <item m="1" x="4226"/>
        <item m="1" x="3961"/>
        <item m="1" x="3712"/>
        <item m="1" x="3159"/>
        <item m="1" x="4694"/>
        <item m="1" x="1919"/>
        <item m="1" x="2765"/>
        <item m="1" x="3929"/>
        <item m="1" x="3876"/>
        <item m="1" x="4498"/>
        <item m="1" x="4511"/>
        <item m="1" x="4057"/>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3634"/>
        <item m="1" x="4677"/>
        <item m="1" x="4488"/>
        <item m="1" x="4671"/>
        <item m="1" x="4028"/>
        <item m="1" x="4680"/>
        <item m="1" x="4674"/>
        <item m="1" x="2636"/>
        <item m="1" x="2640"/>
        <item m="1" x="3410"/>
        <item m="1" x="4678"/>
        <item m="1" x="4672"/>
        <item m="1" x="4670"/>
        <item m="1" x="2258"/>
        <item m="1" x="2260"/>
        <item m="1" x="4523"/>
        <item m="1" x="4668"/>
        <item m="1" x="4126"/>
        <item m="1" x="3635"/>
        <item m="1" x="4669"/>
        <item m="1" x="4676"/>
        <item m="1" x="4673"/>
        <item m="1" x="4679"/>
        <item m="1" x="4675"/>
        <item m="1" x="4667"/>
        <item m="1" x="4662"/>
        <item m="1" x="2801"/>
        <item m="1" x="3320"/>
        <item m="1" x="3963"/>
        <item m="1" x="3962"/>
        <item m="1" x="4515"/>
        <item m="1" x="4685"/>
        <item m="1" x="4229"/>
        <item m="1" x="4682"/>
        <item m="1" x="4688"/>
        <item m="1" x="2274"/>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3633"/>
        <item m="1" x="4502"/>
        <item m="1" x="2403"/>
        <item m="1" x="4130"/>
        <item m="1" x="4535"/>
        <item m="1" x="4230"/>
        <item m="1" x="3778"/>
        <item m="1" x="2615"/>
        <item m="1" x="4218"/>
        <item m="1" x="4224"/>
        <item m="1" x="4520"/>
        <item m="1" x="4715"/>
        <item m="1" x="4701"/>
        <item m="1" x="2617"/>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24"/>
        <item m="1" x="4704"/>
        <item m="1" x="4707"/>
        <item m="1" x="4214"/>
        <item m="1" x="4697"/>
        <item m="1" x="4716"/>
        <item m="1" x="4711"/>
        <item m="1" x="4706"/>
        <item m="1" x="4506"/>
        <item m="1" x="4508"/>
        <item m="1" x="3875"/>
        <item m="1" x="4661"/>
        <item m="1" x="4663"/>
        <item m="1" x="1403"/>
        <item m="1" x="3746"/>
        <item m="1" x="4529"/>
        <item m="1" x="4551"/>
        <item m="1" x="4501"/>
        <item m="1" x="3980"/>
        <item m="1" x="4514"/>
        <item m="1" x="3895"/>
        <item m="1" x="3818"/>
        <item m="1" x="4132"/>
        <item m="1" x="4516"/>
        <item m="1" x="4222"/>
        <item m="1" x="4223"/>
        <item m="1" x="4486"/>
        <item m="1" x="4492"/>
        <item m="1" x="2650"/>
        <item m="1" x="3809"/>
        <item m="1" x="4519"/>
        <item m="1" x="3922"/>
        <item m="1" x="4699"/>
        <item m="1" x="4220"/>
        <item m="1" x="2423"/>
        <item m="1" x="4705"/>
        <item m="1" x="3981"/>
        <item m="1" x="4213"/>
        <item m="1" x="2768"/>
        <item m="1" x="4717"/>
        <item m="1" x="4714"/>
        <item m="1" x="4509"/>
        <item m="1" x="4489"/>
        <item m="1" x="3925"/>
        <item m="1" x="4128"/>
        <item m="1" x="4541"/>
        <item m="1" x="3666"/>
        <item m="1" x="3816"/>
        <item m="1" x="4712"/>
        <item m="1" x="4692"/>
        <item m="1" x="4708"/>
        <item m="1" x="4698"/>
        <item m="1" x="3814"/>
        <item m="1" x="4547"/>
        <item m="1" x="4494"/>
        <item m="1" x="3763"/>
        <item m="1" x="3982"/>
        <item m="1" x="4536"/>
        <item m="1" x="2113"/>
        <item m="1" x="4493"/>
        <item m="1" x="4461"/>
        <item m="1" x="4025"/>
        <item m="1" x="4378"/>
        <item m="1" x="3975"/>
        <item m="1" x="4348"/>
        <item m="1" x="4450"/>
        <item m="1" x="4401"/>
        <item m="1" x="3330"/>
        <item m="1" x="4467"/>
        <item m="1" x="4216"/>
        <item m="1" x="3873"/>
        <item m="1" x="4225"/>
        <item m="1" x="3829"/>
        <item m="1" x="2769"/>
        <item m="1" x="4120"/>
        <item m="1" x="4078"/>
        <item m="1" x="3742"/>
        <item m="1" x="4182"/>
        <item m="1" x="3838"/>
        <item m="1" x="3834"/>
        <item m="1" x="4110"/>
        <item m="1" x="3480"/>
        <item m="1" x="4540"/>
        <item m="1" x="4532"/>
        <item m="1" x="3433"/>
        <item m="1" x="4384"/>
        <item m="1" x="3409"/>
        <item m="1" x="1619"/>
        <item m="1" x="4198"/>
        <item m="1" x="4024"/>
        <item m="1" x="4429"/>
        <item m="1" x="4228"/>
        <item m="1" x="4164"/>
        <item m="1" x="4317"/>
        <item m="1" x="4184"/>
        <item m="1" x="3714"/>
        <item m="1" x="3627"/>
        <item m="1" x="2859"/>
        <item m="1" x="2758"/>
        <item m="1" x="3491"/>
        <item m="1" x="4067"/>
        <item m="1" x="4354"/>
        <item m="1" x="4231"/>
        <item m="1" x="3965"/>
        <item m="1" x="4303"/>
        <item m="1" x="3939"/>
        <item m="1" x="3899"/>
        <item m="1" x="2062"/>
        <item m="1" x="2910"/>
        <item m="1" x="4665"/>
        <item m="1" x="4436"/>
        <item m="1" x="4111"/>
        <item m="1" x="4334"/>
        <item m="1" x="4448"/>
        <item m="1" x="1356"/>
        <item m="1" x="4446"/>
        <item m="1" x="3777"/>
        <item m="1" x="1846"/>
        <item m="1" x="2898"/>
        <item m="1" x="4471"/>
        <item m="1" x="4422"/>
        <item m="1" x="4369"/>
        <item m="1" x="4319"/>
        <item m="1" x="4327"/>
        <item m="1" x="4383"/>
        <item m="1" x="3835"/>
        <item m="1" x="4396"/>
        <item m="1" x="2896"/>
        <item m="1" x="4440"/>
        <item m="1" x="3992"/>
        <item m="1" x="4431"/>
        <item m="1" x="4195"/>
        <item m="1" x="4193"/>
        <item m="1" x="3697"/>
        <item m="1" x="3476"/>
        <item m="1" x="4427"/>
        <item m="1" x="4360"/>
        <item m="1" x="1037"/>
        <item m="1" x="2797"/>
        <item m="1" x="1917"/>
        <item m="1" x="3384"/>
        <item m="1" x="4096"/>
        <item m="1" x="4191"/>
        <item m="1" x="3762"/>
        <item m="1" x="4089"/>
        <item m="1" x="2897"/>
        <item m="1" x="2621"/>
        <item m="1" x="4175"/>
        <item m="1" x="4190"/>
        <item m="1" x="3974"/>
        <item m="1" x="4087"/>
        <item m="1" x="4410"/>
        <item m="1" x="4316"/>
        <item m="1" x="2197"/>
        <item m="1" x="3344"/>
        <item m="1" x="4371"/>
        <item m="1" x="4416"/>
        <item m="1" x="2860"/>
        <item m="1" x="3744"/>
        <item m="1" x="3988"/>
        <item m="1" x="3837"/>
        <item m="1" x="2792"/>
        <item m="1" x="2759"/>
        <item m="1" x="4390"/>
        <item m="1" x="521"/>
        <item x="4"/>
        <item m="1" x="4180"/>
        <item m="1" x="4419"/>
        <item m="1" x="4307"/>
        <item m="1" x="3328"/>
        <item m="1" x="3654"/>
        <item m="1" x="2782"/>
        <item m="1" x="3813"/>
        <item m="1" x="4399"/>
        <item m="1" x="519"/>
        <item m="1" x="4179"/>
        <item m="1" x="4457"/>
        <item m="1" x="4387"/>
        <item m="1" x="3757"/>
        <item m="1" x="4114"/>
        <item m="1" x="4380"/>
        <item m="1" x="2478"/>
        <item m="1" x="3970"/>
        <item m="1" x="4330"/>
        <item m="1" x="4496"/>
        <item m="1" x="3760"/>
        <item m="1" x="4310"/>
        <item m="1" x="3821"/>
        <item m="1" x="2476"/>
        <item m="1" x="4124"/>
        <item m="1" x="4491"/>
        <item m="1" x="4337"/>
        <item m="1" x="4454"/>
        <item m="1" x="3811"/>
        <item m="1" x="2908"/>
        <item m="1" x="4342"/>
        <item m="1" x="4161"/>
        <item m="1" x="4329"/>
        <item m="1" x="3434"/>
        <item m="1" x="4355"/>
        <item m="1" x="4090"/>
        <item m="1" x="4312"/>
        <item m="1" x="3156"/>
        <item m="1" x="3923"/>
        <item m="1" x="4315"/>
        <item m="1" x="3739"/>
        <item m="1" x="2108"/>
        <item m="1" x="2788"/>
        <item m="1" x="3933"/>
        <item m="1" x="3896"/>
        <item m="1" x="4167"/>
        <item m="1" x="4404"/>
        <item m="1" x="3779"/>
        <item m="1" x="4434"/>
        <item m="1" x="3337"/>
        <item m="1" x="4174"/>
        <item m="1" x="4381"/>
        <item m="1" x="3942"/>
        <item m="1" x="3617"/>
        <item m="1" x="4048"/>
        <item m="1" x="4052"/>
        <item m="1" x="3976"/>
        <item m="1" x="4176"/>
        <item m="1" x="4666"/>
        <item m="1" x="4482"/>
        <item m="1" x="4202"/>
        <item m="1" x="3898"/>
        <item m="1" x="4051"/>
        <item m="1" x="3343"/>
        <item m="1" x="3341"/>
        <item m="1" x="4373"/>
        <item m="1" x="3810"/>
        <item m="1" x="4186"/>
        <item m="1" x="4206"/>
        <item m="1" x="4395"/>
        <item m="1" x="3342"/>
        <item m="1" x="4181"/>
        <item m="1" x="4156"/>
        <item m="1" x="4049"/>
        <item m="1" x="4026"/>
        <item m="1" x="4050"/>
        <item m="1" x="4438"/>
        <item m="1" x="4098"/>
        <item m="1" x="4305"/>
        <item m="1" x="3928"/>
        <item m="1" x="3940"/>
        <item m="1" x="3157"/>
        <item m="1" x="4325"/>
        <item m="1" x="4324"/>
        <item m="1" x="2799"/>
        <item m="1" x="4053"/>
        <item m="1" x="4424"/>
        <item m="1" x="4298"/>
        <item m="1" x="4189"/>
        <item m="1" x="4192"/>
        <item m="1" x="4306"/>
        <item m="1" x="4664"/>
        <item m="1" x="3977"/>
        <item m="1" x="2069"/>
        <item m="1" x="3874"/>
        <item m="1" x="3972"/>
        <item m="1" x="3628"/>
        <item m="1" x="3610"/>
        <item m="1" x="4054"/>
        <item m="1" x="3989"/>
        <item m="1" x="4091"/>
        <item m="1" x="4171"/>
        <item m="1" x="3924"/>
        <item m="1" x="4318"/>
        <item m="1" x="4411"/>
        <item m="1" x="4187"/>
        <item m="1" x="4385"/>
        <item m="1" x="2257"/>
        <item m="1" x="4177"/>
        <item m="1" x="3941"/>
        <item m="1" x="4046"/>
        <item m="1" x="4335"/>
        <item m="1" x="405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3926"/>
        <item m="1" x="4185"/>
        <item m="1" x="3967"/>
        <item m="1" x="4068"/>
        <item m="1" x="3176"/>
        <item m="1" x="4421"/>
        <item m="1" x="4406"/>
        <item m="1" x="2477"/>
        <item m="1" x="522"/>
        <item m="1" x="2911"/>
        <item m="1" x="2256"/>
        <item m="1" x="4426"/>
        <item m="1" x="2035"/>
        <item m="1" x="3966"/>
        <item m="1" x="4459"/>
        <item m="1" x="4328"/>
        <item m="1" x="4338"/>
        <item m="1" x="4432"/>
        <item m="1" x="3812"/>
        <item m="1" x="4326"/>
        <item m="1" x="4400"/>
        <item m="1" x="4158"/>
        <item m="1" x="4168"/>
        <item m="1" x="4414"/>
        <item m="1" x="4311"/>
        <item m="1" x="4095"/>
        <item m="1" x="4045"/>
        <item m="1" x="2487"/>
        <item m="1" x="3795"/>
        <item m="1" x="4341"/>
        <item m="1" x="4397"/>
        <item m="1" x="4468"/>
        <item m="1" x="4402"/>
        <item m="1" x="4469"/>
        <item m="1" x="3620"/>
        <item m="1" x="4452"/>
        <item m="1" x="4393"/>
        <item m="1" x="4435"/>
        <item m="1" x="3475"/>
        <item m="1" x="4445"/>
        <item m="1" x="3493"/>
        <item m="1" x="4428"/>
        <item m="1" x="4304"/>
        <item m="1" x="4159"/>
        <item m="1" x="4163"/>
        <item m="1" x="4155"/>
        <item m="1" x="4391"/>
        <item m="1" x="3316"/>
        <item m="1" x="4106"/>
        <item m="1" x="2021"/>
        <item m="1" x="4433"/>
        <item m="1" x="4357"/>
        <item m="1" x="4211"/>
        <item m="1" x="4205"/>
        <item m="1" x="4207"/>
        <item m="1" x="3931"/>
        <item m="1" x="4458"/>
        <item m="1" x="4300"/>
        <item m="1" x="4340"/>
        <item m="1" x="2787"/>
        <item m="1" x="1844"/>
        <item m="1" x="4368"/>
        <item m="1" x="4066"/>
        <item m="1" x="4479"/>
        <item m="1" x="2751"/>
        <item m="1" x="3973"/>
        <item m="1" x="3836"/>
        <item m="1" x="3722"/>
        <item m="1" x="4418"/>
        <item m="1" x="3934"/>
        <item m="1" x="4200"/>
        <item m="1" x="4112"/>
        <item m="1" x="3754"/>
        <item m="1" x="4423"/>
        <item m="1" x="3958"/>
        <item m="1" x="4473"/>
        <item m="1" x="4370"/>
        <item m="1" x="3624"/>
        <item m="1" x="4301"/>
        <item m="1" x="3499"/>
        <item m="1" x="3317"/>
        <item m="1" x="4115"/>
        <item m="1" x="2201"/>
        <item m="1" x="4113"/>
        <item m="1" x="4358"/>
        <item m="1" x="4345"/>
        <item m="1" x="4376"/>
        <item m="1" x="4203"/>
        <item m="1" x="4439"/>
        <item m="1" x="4196"/>
        <item m="1" x="3806"/>
        <item m="1" x="2815"/>
        <item m="1" x="4346"/>
        <item m="1" x="4194"/>
        <item m="1" x="3932"/>
        <item m="1" x="4117"/>
        <item m="1" x="4451"/>
        <item m="1" x="4339"/>
        <item m="1" x="3969"/>
        <item m="1" x="4353"/>
        <item m="1" x="4166"/>
        <item m="1" x="4297"/>
        <item m="1" x="4081"/>
        <item m="1" x="4197"/>
        <item m="1" x="4322"/>
        <item m="1" x="4412"/>
        <item m="1" x="3642"/>
        <item m="1" x="4409"/>
        <item m="1" x="3660"/>
        <item m="1" x="4444"/>
        <item m="1" x="3658"/>
        <item m="1" x="3510"/>
        <item m="1" x="4293"/>
        <item m="1" x="4375"/>
        <item m="1" x="4108"/>
        <item m="1" x="4413"/>
        <item m="1" x="4382"/>
        <item m="1" x="4403"/>
        <item m="1" x="4398"/>
        <item m="1" x="3621"/>
        <item m="1" x="4377"/>
        <item m="1" x="3623"/>
        <item m="1" x="4331"/>
        <item m="1" x="2752"/>
        <item m="1" x="3894"/>
        <item m="1" x="4084"/>
        <item m="1" x="2753"/>
        <item m="1" x="4210"/>
        <item m="1" x="4585"/>
        <item m="1" x="4474"/>
        <item m="1" x="4447"/>
        <item m="1" x="3490"/>
        <item m="1" x="2895"/>
        <item m="1" x="4624"/>
        <item m="1" x="4628"/>
        <item m="1" x="2786"/>
        <item m="1" x="4386"/>
        <item m="1" x="4119"/>
        <item m="1" x="4364"/>
        <item m="1" x="4647"/>
        <item m="1" x="4320"/>
        <item m="1" x="3738"/>
        <item m="1" x="4321"/>
        <item m="1" x="4105"/>
        <item m="1" x="4442"/>
        <item m="1" x="4080"/>
        <item m="1" x="3676"/>
        <item m="1" x="4441"/>
        <item m="1" x="4296"/>
        <item m="1" x="1028"/>
        <item m="1" x="4294"/>
        <item m="1" x="4460"/>
        <item m="1" x="4472"/>
        <item m="1" x="2825"/>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201"/>
        <item m="1" x="3794"/>
        <item m="1" x="3618"/>
        <item m="1" x="4088"/>
        <item m="1" x="2777"/>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3696"/>
        <item m="1" x="4480"/>
        <item m="1" x="3979"/>
        <item m="1" x="3653"/>
        <item m="1" x="3661"/>
        <item m="1" x="3413"/>
        <item m="1" x="2282"/>
        <item m="1" x="3382"/>
        <item m="1" x="3978"/>
        <item m="1" x="4199"/>
        <item m="1" x="2812"/>
        <item m="1" x="4483"/>
        <item m="1" x="4481"/>
        <item m="1" x="2526"/>
        <item m="1" x="4366"/>
        <item m="1" x="4101"/>
        <item m="1" x="3791"/>
        <item m="1" x="4351"/>
        <item m="1" x="3984"/>
        <item m="1" x="3607"/>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4653"/>
        <item m="1" x="3819"/>
        <item m="1" x="3414"/>
        <item m="1" x="3723"/>
        <item m="1" x="3872"/>
        <item m="1" x="3637"/>
        <item m="1" x="2881"/>
        <item m="1" x="4083"/>
        <item m="1" x="4652"/>
        <item m="1" x="3768"/>
        <item m="1" x="2774"/>
        <item m="1" x="2775"/>
        <item m="1" x="2109"/>
        <item m="1" x="2482"/>
        <item m="1" x="2310"/>
        <item m="1" x="3496"/>
        <item m="1" x="4654"/>
        <item m="1" x="3793"/>
        <item m="1" x="3487"/>
        <item m="1" x="3651"/>
        <item m="1" x="4016"/>
        <item m="1" x="4659"/>
        <item m="1" x="3515"/>
        <item m="1" x="3776"/>
        <item m="1" x="2263"/>
        <item m="1" x="3511"/>
        <item m="1" x="3164"/>
        <item m="1" x="2428"/>
        <item m="1" x="2776"/>
        <item m="1" x="4610"/>
        <item m="1" x="4356"/>
        <item m="1" x="4011"/>
        <item m="1" x="3435"/>
        <item m="1" x="2780"/>
        <item m="1" x="2534"/>
        <item m="1" x="4003"/>
        <item m="1" x="3824"/>
        <item m="1" x="2770"/>
        <item m="1" x="1921"/>
        <item m="1" x="3411"/>
        <item m="1" x="4623"/>
        <item m="1" x="4621"/>
        <item m="1" x="2876"/>
        <item m="1" x="4008"/>
        <item m="1" x="3163"/>
        <item m="1" x="4614"/>
        <item m="1" x="4598"/>
        <item m="1" x="3771"/>
        <item m="1" x="3866"/>
        <item m="1" x="2870"/>
        <item m="1" x="2533"/>
        <item m="1" x="3805"/>
        <item m="1" x="3497"/>
        <item m="1" x="3721"/>
        <item m="1" x="3200"/>
        <item m="1" x="4599"/>
        <item m="1" x="4596"/>
        <item m="1" x="3985"/>
        <item m="1" x="4641"/>
        <item m="1" x="4611"/>
        <item m="1" x="3323"/>
        <item m="1" x="2890"/>
        <item m="1" x="4367"/>
        <item m="1" x="3954"/>
        <item m="1" x="3161"/>
        <item m="1" x="2277"/>
        <item m="1" x="4609"/>
        <item m="1" x="4593"/>
        <item m="1" x="3720"/>
        <item m="1" x="2034"/>
        <item m="1" x="3162"/>
        <item m="1" x="2648"/>
        <item m="1" x="1845"/>
        <item m="1" x="2394"/>
        <item m="1" x="1870"/>
        <item m="1" x="3456"/>
        <item m="1" x="4605"/>
        <item m="1" x="4013"/>
        <item m="1" x="1620"/>
        <item m="1" x="4586"/>
        <item m="1" x="2033"/>
        <item m="1" x="3865"/>
        <item m="1" x="4020"/>
        <item m="1" x="3766"/>
        <item m="1" x="4648"/>
        <item m="1" x="2873"/>
        <item m="1" x="4018"/>
        <item m="1" x="2112"/>
        <item m="1" x="2878"/>
        <item m="1" x="3882"/>
        <item m="1" x="2199"/>
        <item m="1" x="1027"/>
        <item m="1" x="3169"/>
        <item m="1" x="3953"/>
        <item m="1" x="4655"/>
        <item x="250"/>
        <item m="1" x="3172"/>
        <item m="1" x="4023"/>
        <item m="1" x="3710"/>
        <item m="1" x="4595"/>
        <item m="1" x="4022"/>
        <item m="1" x="3170"/>
        <item m="1" x="3867"/>
        <item m="1" x="2598"/>
        <item m="1" x="3825"/>
        <item m="1" x="2271"/>
        <item m="1" x="3652"/>
        <item m="1" x="3322"/>
        <item m="1" x="3495"/>
        <item m="1" x="3803"/>
        <item m="1" x="3804"/>
        <item m="1" x="4584"/>
        <item m="1" x="4633"/>
        <item m="1" x="3436"/>
        <item m="1" x="1635"/>
        <item m="1" x="4009"/>
        <item m="1" x="3845"/>
        <item m="1" x="4007"/>
        <item m="1" x="3512"/>
        <item m="1" x="3955"/>
        <item m="1" x="2892"/>
        <item m="1" x="2879"/>
        <item m="1" x="3827"/>
        <item m="1" x="3775"/>
        <item m="1" x="4437"/>
        <item m="1" x="3387"/>
        <item m="1" x="3609"/>
        <item m="1" x="4608"/>
        <item m="1" x="4470"/>
        <item m="1" x="3677"/>
        <item m="1" x="4592"/>
        <item m="1" x="4333"/>
        <item m="1" x="3820"/>
        <item m="1" x="4620"/>
        <item m="1" x="2411"/>
        <item m="1" x="4604"/>
        <item m="1" x="4165"/>
        <item m="1" x="4622"/>
        <item m="1" x="4643"/>
        <item m="1" x="3478"/>
        <item m="1" x="4588"/>
        <item m="1" x="4635"/>
        <item m="1" x="3772"/>
        <item m="1" x="3765"/>
        <item m="1" x="3479"/>
        <item m="1" x="3750"/>
        <item m="1" x="4589"/>
        <item m="1" x="2771"/>
        <item m="1" x="3863"/>
        <item m="1" x="3887"/>
        <item m="1" x="4021"/>
        <item m="1" x="1636"/>
        <item m="1" x="3271"/>
        <item m="1" x="3711"/>
        <item m="1" x="3680"/>
        <item m="1" x="4594"/>
        <item m="1" x="3518"/>
        <item m="1" x="4362"/>
        <item m="1" x="3273"/>
        <item m="1" x="3672"/>
        <item m="1" x="3956"/>
        <item m="1" x="3960"/>
        <item m="1" x="2880"/>
        <item m="1" x="3486"/>
        <item m="1" x="2279"/>
        <item m="1" x="2791"/>
        <item m="1" x="4631"/>
        <item m="1" x="3268"/>
        <item m="1" x="2427"/>
        <item m="1" x="4587"/>
        <item m="1" x="3859"/>
        <item m="1" x="4629"/>
        <item m="1" x="4613"/>
        <item m="1" x="3946"/>
        <item m="1" x="2779"/>
        <item m="1" x="4644"/>
        <item m="1" x="3847"/>
        <item m="1" x="4632"/>
        <item m="1" x="3857"/>
        <item m="1" x="4616"/>
        <item m="1" x="4637"/>
        <item m="1" x="4650"/>
        <item m="1" x="2839"/>
        <item m="1" x="3613"/>
        <item m="1" x="3168"/>
        <item m="1" x="3324"/>
        <item m="1" x="2820"/>
        <item m="1" x="2535"/>
        <item m="1" x="3276"/>
        <item m="1" x="3641"/>
        <item m="1" x="3853"/>
        <item m="1" x="4657"/>
        <item m="1" x="3846"/>
        <item m="1" x="2536"/>
        <item m="1" x="751"/>
        <item m="1" x="2485"/>
        <item m="1" x="3828"/>
        <item m="1" x="3802"/>
        <item m="1" x="4392"/>
        <item m="1" x="3386"/>
        <item m="1" x="2877"/>
        <item m="1" x="3986"/>
        <item m="1" x="2844"/>
        <item m="1" x="2773"/>
        <item m="1" x="4630"/>
        <item m="1" x="3649"/>
        <item m="1" x="3855"/>
        <item m="1" x="4626"/>
        <item m="1" x="3514"/>
        <item m="1" x="4612"/>
        <item m="1" x="3957"/>
        <item m="1" x="2264"/>
        <item m="1" x="4005"/>
        <item m="1" x="3851"/>
        <item m="1" x="3850"/>
        <item m="1" x="4289"/>
        <item m="1" x="3737"/>
        <item m="1" x="2886"/>
        <item m="1" x="4642"/>
        <item m="1" x="4004"/>
        <item m="1" x="3484"/>
        <item m="1" x="3629"/>
        <item m="1" x="3437"/>
        <item m="1" x="2883"/>
        <item m="1" x="3332"/>
        <item m="1" x="2804"/>
        <item m="1" x="3489"/>
        <item m="1" x="3755"/>
        <item m="1" x="3483"/>
        <item m="1" x="3708"/>
        <item m="1" x="2471"/>
        <item m="1" x="3770"/>
        <item m="1" x="2888"/>
        <item m="1" x="2537"/>
        <item m="1" x="3282"/>
        <item m="1" x="3854"/>
        <item m="1" x="3756"/>
        <item m="1" x="2647"/>
        <item m="1" x="1026"/>
        <item m="1" x="4615"/>
        <item m="1" x="3331"/>
        <item m="1" x="3614"/>
        <item m="1" x="2429"/>
        <item m="1" x="2795"/>
        <item m="1" x="3272"/>
        <item m="1" x="4606"/>
        <item m="1" x="3858"/>
        <item m="1" x="4282"/>
        <item m="1" x="4287"/>
        <item m="1" x="4288"/>
        <item m="1" x="4646"/>
        <item m="1" x="3494"/>
        <item m="1" x="4291"/>
        <item m="1" x="3715"/>
        <item m="1" x="3516"/>
        <item m="1" x="2616"/>
        <item m="1" x="3488"/>
        <item m="1" x="2778"/>
        <item m="1" x="3171"/>
        <item m="1" x="4015"/>
        <item m="1" x="3959"/>
        <item m="1" x="2763"/>
        <item m="1" x="2887"/>
        <item m="1" x="4590"/>
        <item m="1" x="2764"/>
        <item m="1" x="3390"/>
        <item m="1" x="3326"/>
        <item m="1" x="1881"/>
        <item m="1" x="3870"/>
        <item m="1" x="4651"/>
        <item m="1" x="4656"/>
        <item m="1" x="3862"/>
        <item m="1" x="4627"/>
        <item m="1" x="3270"/>
        <item m="1" x="3606"/>
        <item m="1" x="2891"/>
        <item m="1" x="3856"/>
        <item m="1" x="3631"/>
        <item m="1" x="3709"/>
        <item m="1" x="3675"/>
        <item m="1" x="3852"/>
        <item m="1" x="1922"/>
        <item m="1" x="4014"/>
        <item m="1" x="2198"/>
        <item m="1" x="3952"/>
        <item m="1" x="2538"/>
        <item m="1" x="2393"/>
        <item m="1" x="4019"/>
        <item m="1" x="3630"/>
        <item m="1" x="4583"/>
        <item m="1" x="4603"/>
        <item m="1" x="4107"/>
        <item m="1" x="4639"/>
        <item m="1" x="4006"/>
        <item m="1" x="3826"/>
        <item m="1" x="3513"/>
        <item m="1" x="3861"/>
        <item m="1" x="4591"/>
        <item m="1" x="2871"/>
        <item m="1" x="4281"/>
        <item m="1" x="4012"/>
        <item m="1" x="3871"/>
        <item m="1" x="4658"/>
        <item m="1" x="3520"/>
        <item m="1" x="2663"/>
        <item m="1" x="3269"/>
        <item m="1" x="3869"/>
        <item m="1" x="3891"/>
        <item m="1" x="3678"/>
        <item m="1" x="4649"/>
        <item m="1" x="4618"/>
        <item m="1" x="2894"/>
        <item m="1" x="3646"/>
        <item m="1" x="2889"/>
        <item m="1" x="3864"/>
        <item m="1" x="4602"/>
        <item m="1" x="4283"/>
        <item m="1" x="2646"/>
        <item m="1" x="2882"/>
        <item m="1" x="4619"/>
        <item m="1" x="4625"/>
        <item m="1" x="3773"/>
        <item m="1" x="750"/>
        <item m="1" x="4010"/>
        <item m="1" x="4638"/>
        <item m="1" x="3849"/>
        <item m="1" x="4600"/>
        <item m="1" x="3388"/>
        <item m="1" x="3264"/>
        <item m="1" x="3673"/>
        <item m="1" x="2884"/>
        <item m="1" x="3460"/>
        <item m="1" x="2624"/>
        <item m="1" x="4617"/>
        <item m="1" x="3848"/>
        <item m="1" x="2843"/>
        <item m="1" x="4597"/>
        <item m="1" x="2885"/>
        <item m="1" x="2875"/>
        <item m="1" x="3679"/>
        <item m="1" x="4284"/>
        <item m="1" x="4290"/>
        <item m="1" x="2762"/>
        <item m="1" x="2023"/>
        <item m="1" x="3167"/>
        <item m="1" x="3333"/>
        <item m="1" x="3650"/>
        <item m="1" x="2141"/>
        <item m="1" x="518"/>
        <item m="1" x="3519"/>
        <item m="1" x="2620"/>
        <item m="1" x="2785"/>
        <item m="1" x="3640"/>
        <item m="1" x="3485"/>
        <item m="1" x="2872"/>
        <item m="1" x="4645"/>
        <item m="1" x="3674"/>
        <item m="1" x="3769"/>
        <item m="1" x="3893"/>
        <item m="1" x="2874"/>
        <item m="1" x="3334"/>
        <item m="1" x="3632"/>
        <item m="1" x="2649"/>
        <item m="1" x="2805"/>
        <item m="1" x="2893"/>
        <item m="1" x="3389"/>
        <item m="1" x="3868"/>
        <item m="1" x="3325"/>
        <item m="1" x="4636"/>
        <item m="1" x="4601"/>
        <item m="1" x="3639"/>
        <item m="1" x="3749"/>
        <item m="1" x="4634"/>
        <item m="1" x="3517"/>
        <item m="1" x="3860"/>
        <item m="1" x="2772"/>
        <item m="1" x="4292"/>
        <item x="111"/>
        <item m="1" x="2267"/>
        <item m="1" x="3767"/>
        <item m="1" x="4640"/>
        <item m="1" x="3844"/>
        <item m="1" x="4017"/>
        <item m="1" x="2266"/>
        <item m="1" x="3280"/>
        <item m="1" x="4042"/>
        <item m="1" x="3888"/>
        <item m="1" x="3889"/>
        <item m="1" x="3327"/>
        <item m="1" x="3626"/>
        <item m="1" x="3279"/>
        <item m="1" x="2142"/>
        <item m="1" x="4044"/>
        <item m="1" x="3748"/>
        <item m="1" x="2781"/>
        <item m="1" x="3892"/>
        <item m="1" x="2767"/>
        <item m="1" x="3336"/>
        <item m="1" x="2539"/>
        <item m="1" x="2790"/>
        <item m="1" x="3785"/>
        <item m="1" x="2265"/>
        <item m="1" x="4043"/>
        <item m="1" x="3683"/>
        <item m="1" x="3682"/>
        <item m="1" x="3747"/>
        <item m="1" x="2026"/>
        <item m="1" x="3784"/>
        <item m="1" x="2903"/>
        <item m="1" x="3786"/>
        <item m="1" x="4041"/>
        <item m="1" x="3522"/>
        <item m="1" x="3177"/>
        <item m="1" x="2902"/>
        <item m="1" x="3412"/>
        <item m="1" x="2484"/>
        <item m="1" x="3758"/>
        <item m="1" x="3482"/>
        <item m="1" x="3527"/>
        <item m="1" x="4040"/>
        <item m="1" x="4038"/>
        <item m="1" x="2901"/>
        <item m="1" x="3173"/>
        <item m="1" x="3277"/>
        <item m="1" x="3783"/>
        <item m="1" x="2110"/>
        <item m="1" x="3886"/>
        <item m="1" x="3713"/>
        <item m="1" x="3782"/>
        <item m="1" x="3830"/>
        <item m="1" x="4039"/>
        <item m="1" x="4035"/>
        <item m="1" x="3883"/>
        <item m="1" x="2481"/>
        <item m="1" x="4036"/>
        <item m="1" x="4034"/>
        <item m="1" x="4037"/>
        <item m="1" x="3781"/>
        <item m="1" x="3884"/>
        <item m="1" x="3724"/>
        <item m="1" x="1485"/>
        <item m="1" x="2272"/>
        <item m="1" x="2766"/>
        <item m="1" x="3910"/>
        <item m="1" x="3278"/>
        <item m="1" x="2906"/>
        <item m="1" x="4286"/>
        <item m="1" x="2793"/>
        <item m="1" x="3340"/>
        <item m="1" x="3329"/>
        <item m="1" x="3753"/>
        <item m="1" x="3445"/>
        <item m="1" x="3904"/>
        <item m="1" x="3174"/>
        <item m="1" x="3636"/>
        <item m="1" x="3175"/>
        <item m="1" x="3916"/>
        <item m="1" x="2817"/>
        <item m="1" x="3718"/>
        <item m="1" x="3751"/>
        <item m="1" x="2623"/>
        <item m="1" x="4033"/>
        <item m="1" x="3656"/>
        <item m="1" x="3492"/>
        <item m="1" x="3728"/>
        <item m="1" x="3335"/>
        <item m="1" x="3909"/>
        <item m="1" x="3338"/>
        <item m="1" x="3462"/>
        <item m="1" x="3283"/>
        <item m="1" x="3730"/>
        <item m="1" x="3655"/>
        <item m="1" x="2619"/>
        <item m="1" x="3719"/>
        <item m="1" x="4285"/>
        <item m="1" x="3444"/>
        <item m="1" x="2784"/>
        <item m="1" x="2783"/>
        <item m="1" x="3731"/>
        <item m="1" x="3729"/>
        <item m="1" x="2268"/>
        <item m="1" x="4077"/>
        <item m="1" x="3501"/>
        <item m="1" x="2905"/>
        <item m="1" x="1847"/>
        <item m="1" x="2269"/>
        <item m="1" x="2806"/>
        <item m="1" x="3694"/>
        <item m="1" x="3914"/>
        <item m="1" x="3885"/>
        <item m="1" x="2796"/>
        <item m="1" x="3461"/>
        <item m="1" x="3788"/>
        <item m="1" x="3912"/>
        <item m="1" x="3752"/>
        <item m="1" x="3907"/>
        <item m="1" x="3339"/>
        <item m="1" x="3905"/>
        <item m="1" x="3281"/>
        <item m="1" x="3906"/>
        <item m="1" x="4295"/>
        <item m="1" x="2800"/>
        <item m="1" x="3691"/>
        <item m="1" x="2270"/>
        <item m="1" x="3732"/>
        <item m="1" x="3921"/>
        <item m="1" x="3611"/>
        <item m="1" x="3913"/>
        <item m="1" x="2651"/>
        <item m="1" x="3789"/>
        <item m="1" x="3920"/>
        <item m="1" x="3917"/>
        <item m="1" x="1923"/>
        <item m="1" x="3526"/>
        <item m="1" x="3657"/>
        <item m="1" x="2114"/>
        <item m="1" x="3689"/>
        <item m="1" x="3693"/>
        <item m="1" x="3644"/>
        <item m="1" x="2483"/>
        <item m="1" x="3911"/>
        <item m="1" x="3692"/>
        <item m="1" x="3688"/>
        <item m="1" x="3717"/>
        <item m="1" x="3919"/>
        <item m="1" x="2907"/>
        <item m="1" x="3690"/>
        <item m="1" x="3733"/>
        <item m="1" x="2622"/>
        <item m="1" x="3716"/>
        <item m="1" x="3671"/>
        <item m="1" x="3178"/>
        <item m="1" x="4279"/>
        <item m="1" x="4212"/>
        <item m="1" x="4280"/>
        <item m="1" x="3735"/>
        <item m="1" x="3727"/>
        <item m="1" x="3918"/>
        <item m="1" x="4274"/>
        <item m="1" x="4201"/>
        <item m="1" x="3736"/>
        <item m="1" x="3647"/>
        <item m="1" x="3687"/>
        <item m="1" x="1843"/>
        <item m="1" x="3695"/>
        <item m="1" x="3908"/>
        <item m="1" x="4278"/>
        <item m="1" x="3645"/>
        <item m="1" x="3915"/>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3670"/>
        <item m="1" x="4254"/>
        <item m="1" x="3832"/>
        <item m="1" x="2794"/>
        <item m="1" x="4146"/>
        <item m="1" x="4069"/>
        <item m="1" x="3774"/>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426"/>
        <item m="1" x="2531"/>
        <item m="1" x="3950"/>
        <item m="1" x="2645"/>
        <item m="1" x="2644"/>
        <item m="1" x="1038"/>
        <item m="1" x="2643"/>
        <item m="1" x="4002"/>
        <item m="1" x="4578"/>
        <item m="1" x="2642"/>
        <item m="1" x="3383"/>
        <item m="1" x="4607"/>
        <item m="1" x="2532"/>
        <item m="1" x="2530"/>
        <item m="1" x="4577"/>
        <item m="1" x="2529"/>
        <item m="1" x="2528"/>
        <item m="1" x="2309"/>
        <item m="1" x="3165"/>
        <item m="1" x="4582"/>
        <item m="1" x="3166"/>
        <item m="1" x="3842"/>
        <item m="1" x="2306"/>
        <item m="1" x="3481"/>
        <item m="1" x="2641"/>
        <item m="1" x="4001"/>
        <item m="1" x="2425"/>
        <item m="1" x="2261"/>
        <item m="1" x="2867"/>
        <item m="1" x="3890"/>
        <item m="1" x="3951"/>
        <item m="1" x="2262"/>
        <item m="1" x="3668"/>
        <item m="1" x="4580"/>
        <item m="1" x="2869"/>
        <item m="1" x="4576"/>
        <item m="1" x="2868"/>
        <item m="1" x="3638"/>
        <item m="1" x="3878"/>
        <item m="1" x="4660"/>
        <item m="1" x="3669"/>
        <item m="1" x="3648"/>
        <item m="1" x="2761"/>
        <item m="1" x="4579"/>
        <item m="1" x="3275"/>
        <item m="1" x="3375"/>
        <item m="1" x="3822"/>
        <item m="1" x="3745"/>
        <item m="1" x="2760"/>
        <item m="1" x="523"/>
        <item m="1" x="3823"/>
        <item m="1" x="4581"/>
        <item m="1" x="3843"/>
        <item m="1" x="3274"/>
        <item m="1" x="3780"/>
        <item m="1" x="3881"/>
        <item m="1" x="3880"/>
        <item m="1" x="3681"/>
        <item m="1" x="3879"/>
        <item m="1" x="2789"/>
        <item m="1" x="3684"/>
        <item m="1" x="3685"/>
        <item m="1" x="2540"/>
        <item m="1" x="4056"/>
        <item m="1" x="3725"/>
        <item m="1" x="3903"/>
        <item m="1" x="1848"/>
        <item m="1" x="2618"/>
        <item m="1" x="2666"/>
        <item m="1" x="3498"/>
        <item m="1" x="2664"/>
        <item m="1" x="3726"/>
        <item m="1" x="2665"/>
        <item m="1" x="2657"/>
        <item m="1" x="3902"/>
        <item m="1" x="3525"/>
        <item m="1" x="3385"/>
        <item m="1" x="2430"/>
        <item m="1" x="3643"/>
        <item m="1" x="3797"/>
        <item m="1" x="3796"/>
        <item m="1" x="3734"/>
        <item m="1" x="3291"/>
        <item m="1" x="2431"/>
        <item m="1" x="3792"/>
        <item m="1" x="3808"/>
        <item m="1" x="3807"/>
        <item x="113"/>
        <item x="114"/>
        <item m="1" x="520"/>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4">
    <i>
      <x v="14"/>
    </i>
    <i r="1">
      <x v="72"/>
    </i>
    <i r="2">
      <x v="1568"/>
    </i>
    <i t="grand">
      <x/>
    </i>
  </rowItems>
  <colItems count="1">
    <i/>
  </colItems>
  <pageFields count="2">
    <pageField fld="3" item="1" hier="-1"/>
    <pageField fld="0" hier="-1"/>
  </pageFields>
  <dataFields count="1">
    <dataField name="Count" fld="4" subtotal="count" baseField="0" baseItem="0"/>
  </dataFields>
  <formats count="4">
    <format dxfId="127">
      <pivotArea field="2" type="button" dataOnly="0" labelOnly="1" outline="0" axis="axisRow" fieldPosition="0"/>
    </format>
    <format dxfId="128">
      <pivotArea dataOnly="0" labelOnly="1" outline="0" axis="axisValues" fieldPosition="0"/>
    </format>
    <format dxfId="129">
      <pivotArea field="2" type="button" dataOnly="0" labelOnly="1" outline="0" axis="axisRow" fieldPosition="0"/>
    </format>
    <format dxfId="1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671411A-EF94-4AA2-9495-C06CB2C528A0}" name="PivotTable15"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No Status">
  <location ref="E26:F266"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240">
    <i>
      <x v="3"/>
    </i>
    <i r="1">
      <x v="70"/>
    </i>
    <i r="2">
      <x v="2707"/>
    </i>
    <i>
      <x v="7"/>
    </i>
    <i r="1">
      <x v="19"/>
    </i>
    <i r="2">
      <x v="3201"/>
    </i>
    <i r="2">
      <x v="3282"/>
    </i>
    <i r="2">
      <x v="3296"/>
    </i>
    <i r="2">
      <x v="3333"/>
    </i>
    <i r="1">
      <x v="38"/>
    </i>
    <i r="2">
      <x v="3244"/>
    </i>
    <i r="1">
      <x v="39"/>
    </i>
    <i r="2">
      <x v="3277"/>
    </i>
    <i>
      <x v="8"/>
    </i>
    <i r="1">
      <x v="47"/>
    </i>
    <i r="2">
      <x v="3521"/>
    </i>
    <i r="1">
      <x v="54"/>
    </i>
    <i r="2">
      <x v="3514"/>
    </i>
    <i>
      <x v="10"/>
    </i>
    <i r="1">
      <x v="2"/>
    </i>
    <i r="2">
      <x v="3832"/>
    </i>
    <i r="2">
      <x v="3850"/>
    </i>
    <i r="1">
      <x v="60"/>
    </i>
    <i r="2">
      <x v="3808"/>
    </i>
    <i r="1">
      <x v="70"/>
    </i>
    <i r="2">
      <x v="3712"/>
    </i>
    <i r="2">
      <x v="3738"/>
    </i>
    <i r="2">
      <x v="3810"/>
    </i>
    <i>
      <x v="11"/>
    </i>
    <i r="1">
      <x v="2"/>
    </i>
    <i r="2">
      <x v="4161"/>
    </i>
    <i r="1">
      <x v="38"/>
    </i>
    <i r="2">
      <x v="4079"/>
    </i>
    <i r="2">
      <x v="4167"/>
    </i>
    <i r="1">
      <x v="60"/>
    </i>
    <i r="2">
      <x v="4085"/>
    </i>
    <i r="2">
      <x v="4095"/>
    </i>
    <i r="1">
      <x v="61"/>
    </i>
    <i r="2">
      <x v="4052"/>
    </i>
    <i r="2">
      <x v="4212"/>
    </i>
    <i r="2">
      <x v="4225"/>
    </i>
    <i r="1">
      <x v="68"/>
    </i>
    <i r="2">
      <x v="4071"/>
    </i>
    <i r="1">
      <x v="70"/>
    </i>
    <i r="2">
      <x v="4121"/>
    </i>
    <i r="2">
      <x v="4126"/>
    </i>
    <i r="2">
      <x v="4140"/>
    </i>
    <i>
      <x v="12"/>
    </i>
    <i r="1">
      <x/>
    </i>
    <i r="2">
      <x v="4331"/>
    </i>
    <i r="1">
      <x v="2"/>
    </i>
    <i r="2">
      <x v="4358"/>
    </i>
    <i r="2">
      <x v="4368"/>
    </i>
    <i r="1">
      <x v="39"/>
    </i>
    <i r="2">
      <x v="4319"/>
    </i>
    <i r="1">
      <x v="60"/>
    </i>
    <i r="2">
      <x v="4260"/>
    </i>
    <i r="2">
      <x v="4380"/>
    </i>
    <i r="1">
      <x v="71"/>
    </i>
    <i r="2">
      <x v="4261"/>
    </i>
    <i>
      <x v="16"/>
    </i>
    <i r="1">
      <x v="1"/>
    </i>
    <i r="2">
      <x v="4511"/>
    </i>
    <i r="1">
      <x v="2"/>
    </i>
    <i r="2">
      <x v="4569"/>
    </i>
    <i r="2">
      <x v="4570"/>
    </i>
    <i r="2">
      <x v="4586"/>
    </i>
    <i r="2">
      <x v="4642"/>
    </i>
    <i r="2">
      <x v="4674"/>
    </i>
    <i r="1">
      <x v="3"/>
    </i>
    <i r="2">
      <x v="4577"/>
    </i>
    <i r="2">
      <x v="4612"/>
    </i>
    <i r="2">
      <x v="4651"/>
    </i>
    <i r="2">
      <x v="4680"/>
    </i>
    <i r="1">
      <x v="4"/>
    </i>
    <i r="2">
      <x v="4592"/>
    </i>
    <i r="2">
      <x v="4595"/>
    </i>
    <i r="2">
      <x v="4607"/>
    </i>
    <i r="2">
      <x v="4616"/>
    </i>
    <i r="2">
      <x v="4629"/>
    </i>
    <i r="2">
      <x v="4650"/>
    </i>
    <i r="2">
      <x v="4665"/>
    </i>
    <i r="1">
      <x v="7"/>
    </i>
    <i r="2">
      <x v="4556"/>
    </i>
    <i r="1">
      <x v="8"/>
    </i>
    <i r="2">
      <x v="4563"/>
    </i>
    <i r="2">
      <x v="4611"/>
    </i>
    <i r="2">
      <x v="4652"/>
    </i>
    <i r="1">
      <x v="9"/>
    </i>
    <i r="2">
      <x v="4571"/>
    </i>
    <i r="2">
      <x v="4589"/>
    </i>
    <i r="2">
      <x v="4600"/>
    </i>
    <i r="2">
      <x v="4603"/>
    </i>
    <i r="2">
      <x v="4635"/>
    </i>
    <i r="2">
      <x v="4640"/>
    </i>
    <i r="2">
      <x v="4653"/>
    </i>
    <i r="1">
      <x v="10"/>
    </i>
    <i r="2">
      <x v="4587"/>
    </i>
    <i r="2">
      <x v="4614"/>
    </i>
    <i r="1">
      <x v="14"/>
    </i>
    <i r="2">
      <x v="4597"/>
    </i>
    <i r="2">
      <x v="4661"/>
    </i>
    <i r="2">
      <x v="4664"/>
    </i>
    <i r="1">
      <x v="15"/>
    </i>
    <i r="2">
      <x v="4555"/>
    </i>
    <i r="2">
      <x v="4575"/>
    </i>
    <i r="2">
      <x v="4591"/>
    </i>
    <i r="2">
      <x v="4604"/>
    </i>
    <i r="2">
      <x v="4619"/>
    </i>
    <i r="2">
      <x v="4625"/>
    </i>
    <i r="2">
      <x v="4631"/>
    </i>
    <i r="2">
      <x v="4644"/>
    </i>
    <i r="2">
      <x v="4658"/>
    </i>
    <i r="2">
      <x v="4666"/>
    </i>
    <i r="2">
      <x v="4670"/>
    </i>
    <i r="2">
      <x v="4671"/>
    </i>
    <i r="2">
      <x v="4672"/>
    </i>
    <i r="1">
      <x v="18"/>
    </i>
    <i r="2">
      <x v="4554"/>
    </i>
    <i r="2">
      <x v="4559"/>
    </i>
    <i r="2">
      <x v="4579"/>
    </i>
    <i r="2">
      <x v="4580"/>
    </i>
    <i r="2">
      <x v="4624"/>
    </i>
    <i r="2">
      <x v="4639"/>
    </i>
    <i r="2">
      <x v="4649"/>
    </i>
    <i r="2">
      <x v="4654"/>
    </i>
    <i r="2">
      <x v="4677"/>
    </i>
    <i r="1">
      <x v="19"/>
    </i>
    <i r="2">
      <x v="2687"/>
    </i>
    <i r="2">
      <x v="4560"/>
    </i>
    <i r="2">
      <x v="4572"/>
    </i>
    <i r="1">
      <x v="22"/>
    </i>
    <i r="2">
      <x v="4584"/>
    </i>
    <i r="2">
      <x v="4602"/>
    </i>
    <i r="2">
      <x v="4622"/>
    </i>
    <i r="1">
      <x v="25"/>
    </i>
    <i r="2">
      <x v="4679"/>
    </i>
    <i r="1">
      <x v="26"/>
    </i>
    <i r="2">
      <x v="4606"/>
    </i>
    <i r="2">
      <x v="4626"/>
    </i>
    <i r="1">
      <x v="28"/>
    </i>
    <i r="2">
      <x v="4585"/>
    </i>
    <i r="1">
      <x v="30"/>
    </i>
    <i r="2">
      <x v="1870"/>
    </i>
    <i r="2">
      <x v="4558"/>
    </i>
    <i r="2">
      <x v="4633"/>
    </i>
    <i r="1">
      <x v="31"/>
    </i>
    <i r="2">
      <x v="4594"/>
    </i>
    <i r="1">
      <x v="33"/>
    </i>
    <i r="2">
      <x v="4609"/>
    </i>
    <i r="2">
      <x v="4618"/>
    </i>
    <i r="1">
      <x v="35"/>
    </i>
    <i r="2">
      <x v="4659"/>
    </i>
    <i r="1">
      <x v="36"/>
    </i>
    <i r="2">
      <x v="1123"/>
    </i>
    <i r="1">
      <x v="39"/>
    </i>
    <i r="2">
      <x v="4557"/>
    </i>
    <i r="2">
      <x v="4562"/>
    </i>
    <i r="2">
      <x v="4567"/>
    </i>
    <i r="2">
      <x v="4576"/>
    </i>
    <i r="2">
      <x v="4578"/>
    </i>
    <i r="2">
      <x v="4588"/>
    </i>
    <i r="2">
      <x v="4610"/>
    </i>
    <i r="2">
      <x v="4641"/>
    </i>
    <i r="2">
      <x v="4648"/>
    </i>
    <i r="2">
      <x v="4668"/>
    </i>
    <i r="2">
      <x v="4675"/>
    </i>
    <i r="1">
      <x v="40"/>
    </i>
    <i r="2">
      <x v="4620"/>
    </i>
    <i r="1">
      <x v="46"/>
    </i>
    <i r="2">
      <x v="4565"/>
    </i>
    <i r="2">
      <x v="4566"/>
    </i>
    <i r="2">
      <x v="4628"/>
    </i>
    <i r="1">
      <x v="47"/>
    </i>
    <i r="2">
      <x v="4678"/>
    </i>
    <i r="1">
      <x v="48"/>
    </i>
    <i r="2">
      <x v="4574"/>
    </i>
    <i r="2">
      <x v="4645"/>
    </i>
    <i r="1">
      <x v="49"/>
    </i>
    <i r="2">
      <x v="4601"/>
    </i>
    <i r="2">
      <x v="4663"/>
    </i>
    <i r="1">
      <x v="50"/>
    </i>
    <i r="2">
      <x v="4593"/>
    </i>
    <i r="2">
      <x v="4596"/>
    </i>
    <i r="2">
      <x v="4634"/>
    </i>
    <i r="2">
      <x v="4646"/>
    </i>
    <i r="2">
      <x v="4669"/>
    </i>
    <i r="1">
      <x v="51"/>
    </i>
    <i r="2">
      <x v="4590"/>
    </i>
    <i r="2">
      <x v="4605"/>
    </i>
    <i r="2">
      <x v="4608"/>
    </i>
    <i r="1">
      <x v="52"/>
    </i>
    <i r="2">
      <x v="4389"/>
    </i>
    <i r="2">
      <x v="4581"/>
    </i>
    <i r="2">
      <x v="4615"/>
    </i>
    <i r="2">
      <x v="4636"/>
    </i>
    <i r="2">
      <x v="4660"/>
    </i>
    <i r="2">
      <x v="4676"/>
    </i>
    <i r="1">
      <x v="57"/>
    </i>
    <i r="2">
      <x v="4632"/>
    </i>
    <i r="2">
      <x v="4638"/>
    </i>
    <i r="2">
      <x v="4662"/>
    </i>
    <i r="2">
      <x v="4667"/>
    </i>
    <i r="1">
      <x v="58"/>
    </i>
    <i r="2">
      <x v="4582"/>
    </i>
    <i r="2">
      <x v="4673"/>
    </i>
    <i r="1">
      <x v="59"/>
    </i>
    <i r="2">
      <x v="4568"/>
    </i>
    <i r="2">
      <x v="4613"/>
    </i>
    <i r="2">
      <x v="4656"/>
    </i>
    <i r="1">
      <x v="60"/>
    </i>
    <i r="2">
      <x v="4630"/>
    </i>
    <i r="2">
      <x v="4681"/>
    </i>
    <i r="1">
      <x v="62"/>
    </i>
    <i r="2">
      <x v="4553"/>
    </i>
    <i r="2">
      <x v="4598"/>
    </i>
    <i r="1">
      <x v="66"/>
    </i>
    <i r="2">
      <x v="4391"/>
    </i>
    <i r="2">
      <x v="4573"/>
    </i>
    <i r="2">
      <x v="4623"/>
    </i>
    <i r="2">
      <x v="4655"/>
    </i>
    <i r="1">
      <x v="70"/>
    </i>
    <i r="2">
      <x v="1827"/>
    </i>
    <i r="2">
      <x v="1873"/>
    </i>
    <i r="2">
      <x v="3575"/>
    </i>
    <i r="2">
      <x v="4564"/>
    </i>
    <i r="2">
      <x v="4583"/>
    </i>
    <i r="2">
      <x v="4599"/>
    </i>
    <i r="2">
      <x v="4617"/>
    </i>
    <i r="2">
      <x v="4637"/>
    </i>
    <i r="2">
      <x v="4657"/>
    </i>
    <i r="1">
      <x v="74"/>
    </i>
    <i r="2">
      <x v="4561"/>
    </i>
    <i r="1">
      <x v="76"/>
    </i>
    <i r="2">
      <x v="4627"/>
    </i>
    <i r="2">
      <x v="4643"/>
    </i>
    <i r="2">
      <x v="4647"/>
    </i>
    <i r="1">
      <x v="81"/>
    </i>
    <i r="2">
      <x v="4621"/>
    </i>
    <i t="grand">
      <x/>
    </i>
  </rowItems>
  <colItems count="1">
    <i/>
  </colItems>
  <pageFields count="2">
    <pageField fld="3" item="0" hier="-1"/>
    <pageField fld="0" item="0" hier="-1"/>
  </pageFields>
  <dataFields count="1">
    <dataField name="Count" fld="4" subtotal="count" baseField="0" baseItem="0"/>
  </dataFields>
  <formats count="4">
    <format dxfId="123">
      <pivotArea field="2" type="button" dataOnly="0" labelOnly="1" outline="0" axis="axisRow" fieldPosition="0"/>
    </format>
    <format dxfId="124">
      <pivotArea dataOnly="0" labelOnly="1" outline="0" axis="axisValues" fieldPosition="0"/>
    </format>
    <format dxfId="125">
      <pivotArea field="2" type="button" dataOnly="0" labelOnly="1" outline="0" axis="axisRow" fieldPosition="0"/>
    </format>
    <format dxfId="1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E07188E-0E4F-4BFD-A784-B8D2A086B3DF}" name="PivotTable14"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ended">
  <location ref="C26:D117" firstHeaderRow="1" firstDataRow="1" firstDataCol="1" rowPageCount="2" colPageCount="1"/>
  <pivotFields count="79">
    <pivotField axis="axisPage" showAll="0">
      <items count="57">
        <item x="1"/>
        <item x="2"/>
        <item x="0"/>
        <item m="1" x="33"/>
        <item m="1" x="54"/>
        <item m="1" x="14"/>
        <item m="1" x="3"/>
        <item m="1" x="55"/>
        <item m="1" x="13"/>
        <item m="1" x="6"/>
        <item m="1" x="25"/>
        <item m="1" x="8"/>
        <item m="1" x="9"/>
        <item m="1" x="53"/>
        <item m="1" x="51"/>
        <item m="1" x="52"/>
        <item m="1" x="17"/>
        <item m="1" x="48"/>
        <item m="1" x="50"/>
        <item m="1" x="49"/>
        <item m="1" x="47"/>
        <item m="1" x="45"/>
        <item m="1" x="46"/>
        <item m="1" x="29"/>
        <item m="1" x="36"/>
        <item m="1" x="44"/>
        <item m="1" x="42"/>
        <item m="1" x="43"/>
        <item m="1" x="10"/>
        <item m="1" x="41"/>
        <item m="1" x="34"/>
        <item m="1" x="39"/>
        <item m="1" x="40"/>
        <item m="1" x="15"/>
        <item m="1" x="37"/>
        <item m="1" x="35"/>
        <item m="1" x="12"/>
        <item m="1" x="38"/>
        <item m="1" x="32"/>
        <item m="1" x="31"/>
        <item m="1" x="27"/>
        <item m="1" x="28"/>
        <item m="1" x="30"/>
        <item m="1" x="21"/>
        <item m="1" x="24"/>
        <item m="1" x="26"/>
        <item m="1" x="20"/>
        <item m="1" x="22"/>
        <item m="1" x="23"/>
        <item m="1" x="18"/>
        <item m="1" x="19"/>
        <item m="1" x="11"/>
        <item m="1" x="16"/>
        <item m="1" x="4"/>
        <item m="1" x="5"/>
        <item m="1" x="7"/>
        <item t="default"/>
      </items>
    </pivotField>
    <pivotField showAll="0"/>
    <pivotField axis="axisRow" numFmtId="14" showAll="0">
      <items count="18">
        <item x="3"/>
        <item x="4"/>
        <item x="5"/>
        <item x="6"/>
        <item x="0"/>
        <item x="7"/>
        <item x="1"/>
        <item sd="0" x="2"/>
        <item x="8"/>
        <item x="9"/>
        <item x="10"/>
        <item x="12"/>
        <item x="13"/>
        <item x="14"/>
        <item x="15"/>
        <item x="11"/>
        <item x="16"/>
        <item t="default"/>
      </items>
    </pivotField>
    <pivotField axis="axisPage" showAll="0">
      <items count="7">
        <item x="0"/>
        <item x="1"/>
        <item m="1" x="2"/>
        <item m="1" x="4"/>
        <item m="1" x="5"/>
        <item m="1" x="3"/>
        <item t="default"/>
      </items>
    </pivotField>
    <pivotField axis="axisRow" dataField="1" showAll="0">
      <items count="4726">
        <item m="1" x="4142"/>
        <item m="1" x="4575"/>
        <item m="1" x="2757"/>
        <item m="1" x="4247"/>
        <item m="1" x="4573"/>
        <item m="1" x="4569"/>
        <item m="1" x="2802"/>
        <item m="1" x="4570"/>
        <item m="1" x="4572"/>
        <item m="1" x="2486"/>
        <item m="1" x="4000"/>
        <item m="1" x="4566"/>
        <item m="1" x="4565"/>
        <item m="1" x="3841"/>
        <item m="1" x="4242"/>
        <item m="1" x="4567"/>
        <item m="1" x="2803"/>
        <item m="1" x="4568"/>
        <item m="1" x="2814"/>
        <item m="1" x="2813"/>
        <item m="1" x="2210"/>
        <item m="1" x="2273"/>
        <item m="1" x="3945"/>
        <item m="1" x="4240"/>
        <item m="1" x="4246"/>
        <item m="1" x="4243"/>
        <item m="1" x="2866"/>
        <item m="1" x="4245"/>
        <item m="1" x="2864"/>
        <item m="1" x="4244"/>
        <item m="1" x="2865"/>
        <item m="1" x="3949"/>
        <item m="1" x="4137"/>
        <item m="1" x="4138"/>
        <item m="1" x="3625"/>
        <item m="1" x="4140"/>
        <item m="1" x="4139"/>
        <item m="1" x="4241"/>
        <item m="1" x="4571"/>
        <item m="1" x="4141"/>
        <item m="1" x="4563"/>
        <item m="1" x="4564"/>
        <item m="1" x="3999"/>
        <item m="1" x="2308"/>
        <item m="1" x="4574"/>
        <item m="1" x="3500"/>
        <item m="1" x="3743"/>
        <item m="1" x="2756"/>
        <item m="1" x="4721"/>
        <item m="1" x="2655"/>
        <item m="1" x="4558"/>
        <item m="1" x="3321"/>
        <item m="1" x="4233"/>
        <item m="1" x="4560"/>
        <item m="1" x="3998"/>
        <item m="1" x="3840"/>
        <item m="1" x="3477"/>
        <item m="1" x="4136"/>
        <item m="1" x="4237"/>
        <item m="1" x="2307"/>
        <item m="1" x="4235"/>
        <item m="1" x="4234"/>
        <item m="1" x="4722"/>
        <item m="1" x="2480"/>
        <item m="1" x="1486"/>
        <item m="1" x="3943"/>
        <item m="1" x="4720"/>
        <item m="1" x="4719"/>
        <item x="18"/>
        <item m="1" x="2022"/>
        <item m="1" x="3944"/>
        <item m="1" x="4559"/>
        <item m="1" x="4236"/>
        <item m="1" x="3948"/>
        <item m="1" x="3764"/>
        <item m="1" x="4556"/>
        <item m="1" x="2412"/>
        <item m="1" x="2413"/>
        <item m="1" x="4554"/>
        <item m="1" x="4239"/>
        <item m="1" x="3160"/>
        <item m="1" x="3370"/>
        <item m="1" x="4238"/>
        <item m="1" x="4135"/>
        <item m="1" x="4723"/>
        <item m="1" x="4561"/>
        <item m="1" x="2424"/>
        <item m="1" x="1920"/>
        <item m="1" x="4134"/>
        <item m="1" x="4557"/>
        <item m="1" x="4555"/>
        <item m="1" x="1880"/>
        <item m="1" x="3997"/>
        <item m="1" x="4562"/>
        <item m="1" x="296"/>
        <item m="1" x="3667"/>
        <item m="1" x="2754"/>
        <item m="1" x="4221"/>
        <item m="1" x="2863"/>
        <item m="1" x="4512"/>
        <item x="3"/>
        <item m="1" x="4545"/>
        <item m="1" x="3995"/>
        <item m="1" x="1854"/>
        <item m="1" x="4226"/>
        <item m="1" x="3159"/>
        <item m="1" x="4694"/>
        <item m="1" x="1919"/>
        <item m="1" x="3929"/>
        <item m="1" x="4498"/>
        <item m="1" x="4511"/>
        <item m="1" x="3158"/>
        <item m="1" x="2527"/>
        <item m="1" x="4709"/>
        <item m="1" x="4710"/>
        <item m="1" x="4517"/>
        <item m="1" x="4702"/>
        <item m="1" x="2259"/>
        <item m="1" x="3474"/>
        <item m="1" x="4131"/>
        <item m="1" x="3839"/>
        <item m="1" x="297"/>
        <item m="1" x="4695"/>
        <item m="1" x="4505"/>
        <item m="1" x="4125"/>
        <item m="1" x="4544"/>
        <item m="1" x="4129"/>
        <item m="1" x="4691"/>
        <item m="1" x="4539"/>
        <item m="1" x="4530"/>
        <item m="1" x="4718"/>
        <item m="1" x="4503"/>
        <item m="1" x="4497"/>
        <item m="1" x="4550"/>
        <item m="1" x="4499"/>
        <item m="1" x="4488"/>
        <item m="1" x="2258"/>
        <item m="1" x="2260"/>
        <item m="1" x="4523"/>
        <item m="1" x="4126"/>
        <item m="1" x="2801"/>
        <item m="1" x="3320"/>
        <item m="1" x="4515"/>
        <item m="1" x="4685"/>
        <item m="1" x="4229"/>
        <item m="1" x="4682"/>
        <item m="1" x="4688"/>
        <item m="1" x="4693"/>
        <item m="1" x="4538"/>
        <item m="1" x="4683"/>
        <item m="1" x="3994"/>
        <item m="1" x="4549"/>
        <item m="1" x="4531"/>
        <item m="1" x="4552"/>
        <item m="1" x="4525"/>
        <item m="1" x="4217"/>
        <item m="1" x="4510"/>
        <item m="1" x="3815"/>
        <item m="1" x="4546"/>
        <item m="1" x="4487"/>
        <item m="1" x="4215"/>
        <item m="1" x="2899"/>
        <item m="1" x="4500"/>
        <item m="1" x="4133"/>
        <item m="1" x="1918"/>
        <item m="1" x="4513"/>
        <item m="1" x="4227"/>
        <item m="1" x="4528"/>
        <item m="1" x="4548"/>
        <item m="1" x="4507"/>
        <item m="1" x="4502"/>
        <item m="1" x="2403"/>
        <item m="1" x="4130"/>
        <item m="1" x="4535"/>
        <item m="1" x="4230"/>
        <item m="1" x="2615"/>
        <item m="1" x="4218"/>
        <item m="1" x="4224"/>
        <item m="1" x="4520"/>
        <item m="1" x="4715"/>
        <item m="1" x="4701"/>
        <item m="1" x="3983"/>
        <item m="1" x="4219"/>
        <item m="1" x="4534"/>
        <item m="1" x="2999"/>
        <item m="1" x="4542"/>
        <item m="1" x="4553"/>
        <item m="1" x="4490"/>
        <item m="1" x="4537"/>
        <item m="1" x="4526"/>
        <item m="1" x="4518"/>
        <item m="1" x="4543"/>
        <item m="1" x="4696"/>
        <item m="1" x="4127"/>
        <item m="1" x="3996"/>
        <item m="1" x="3740"/>
        <item m="1" x="2862"/>
        <item m="1" x="308"/>
        <item m="1" x="3319"/>
        <item m="1" x="3993"/>
        <item m="1" x="4495"/>
        <item m="1" x="4522"/>
        <item m="1" x="4521"/>
        <item m="1" x="4485"/>
        <item m="1" x="4524"/>
        <item m="1" x="3817"/>
        <item m="1" x="2861"/>
        <item m="1" x="4484"/>
        <item m="1" x="4700"/>
        <item m="1" x="2900"/>
        <item m="1" x="1355"/>
        <item m="1" x="4232"/>
        <item m="1" x="4533"/>
        <item m="1" x="4032"/>
        <item m="1" x="4030"/>
        <item m="1" x="4031"/>
        <item m="1" x="3987"/>
        <item m="1" x="4686"/>
        <item m="1" x="4684"/>
        <item m="1" x="4687"/>
        <item m="1" x="4690"/>
        <item m="1" x="4689"/>
        <item m="1" x="3665"/>
        <item m="1" x="3662"/>
        <item m="1" x="3664"/>
        <item m="1" x="3663"/>
        <item m="1" x="4703"/>
        <item m="1" x="4713"/>
        <item m="1" x="4504"/>
        <item m="1" x="4704"/>
        <item m="1" x="4707"/>
        <item m="1" x="4214"/>
        <item m="1" x="4697"/>
        <item m="1" x="4716"/>
        <item m="1" x="4711"/>
        <item m="1" x="4706"/>
        <item m="1" x="4506"/>
        <item m="1" x="4508"/>
        <item m="1" x="1403"/>
        <item m="1" x="4529"/>
        <item m="1" x="4551"/>
        <item m="1" x="4501"/>
        <item m="1" x="3980"/>
        <item m="1" x="4514"/>
        <item m="1" x="3818"/>
        <item m="1" x="4132"/>
        <item m="1" x="4516"/>
        <item m="1" x="4222"/>
        <item m="1" x="4223"/>
        <item m="1" x="4486"/>
        <item m="1" x="4492"/>
        <item m="1" x="3809"/>
        <item m="1" x="4519"/>
        <item m="1" x="4699"/>
        <item m="1" x="4220"/>
        <item m="1" x="2423"/>
        <item m="1" x="4705"/>
        <item m="1" x="3981"/>
        <item m="1" x="4213"/>
        <item m="1" x="2768"/>
        <item m="1" x="4717"/>
        <item m="1" x="4714"/>
        <item m="1" x="4509"/>
        <item m="1" x="4489"/>
        <item m="1" x="4128"/>
        <item m="1" x="4541"/>
        <item m="1" x="3666"/>
        <item m="1" x="3816"/>
        <item m="1" x="4712"/>
        <item m="1" x="4692"/>
        <item m="1" x="4708"/>
        <item m="1" x="4698"/>
        <item m="1" x="3814"/>
        <item m="1" x="4547"/>
        <item m="1" x="4494"/>
        <item m="1" x="3763"/>
        <item m="1" x="3982"/>
        <item m="1" x="4536"/>
        <item m="1" x="4493"/>
        <item m="1" x="4461"/>
        <item m="1" x="4378"/>
        <item m="1" x="3975"/>
        <item m="1" x="4348"/>
        <item m="1" x="4450"/>
        <item m="1" x="4401"/>
        <item m="1" x="3330"/>
        <item m="1" x="4467"/>
        <item m="1" x="4216"/>
        <item m="1" x="4225"/>
        <item m="1" x="2769"/>
        <item m="1" x="4120"/>
        <item m="1" x="4078"/>
        <item m="1" x="3742"/>
        <item m="1" x="4182"/>
        <item m="1" x="3838"/>
        <item m="1" x="3834"/>
        <item m="1" x="4110"/>
        <item m="1" x="3480"/>
        <item m="1" x="4540"/>
        <item m="1" x="4532"/>
        <item m="1" x="3433"/>
        <item m="1" x="4384"/>
        <item m="1" x="3409"/>
        <item m="1" x="1619"/>
        <item m="1" x="4198"/>
        <item m="1" x="4429"/>
        <item m="1" x="4228"/>
        <item m="1" x="4164"/>
        <item m="1" x="4317"/>
        <item m="1" x="4184"/>
        <item m="1" x="3627"/>
        <item m="1" x="2859"/>
        <item m="1" x="2758"/>
        <item m="1" x="4067"/>
        <item m="1" x="4354"/>
        <item m="1" x="4231"/>
        <item m="1" x="3965"/>
        <item m="1" x="4303"/>
        <item m="1" x="3939"/>
        <item m="1" x="4436"/>
        <item m="1" x="4111"/>
        <item m="1" x="4334"/>
        <item m="1" x="4448"/>
        <item m="1" x="4446"/>
        <item m="1" x="4471"/>
        <item m="1" x="4422"/>
        <item m="1" x="4369"/>
        <item m="1" x="4319"/>
        <item m="1" x="4327"/>
        <item m="1" x="4383"/>
        <item m="1" x="3835"/>
        <item m="1" x="4396"/>
        <item m="1" x="4440"/>
        <item m="1" x="3992"/>
        <item m="1" x="4431"/>
        <item m="1" x="4195"/>
        <item m="1" x="4193"/>
        <item m="1" x="3476"/>
        <item m="1" x="4427"/>
        <item m="1" x="4360"/>
        <item m="1" x="1037"/>
        <item m="1" x="2797"/>
        <item m="1" x="1917"/>
        <item m="1" x="4096"/>
        <item m="1" x="4191"/>
        <item m="1" x="3762"/>
        <item m="1" x="4089"/>
        <item m="1" x="4175"/>
        <item m="1" x="4190"/>
        <item m="1" x="3974"/>
        <item m="1" x="4087"/>
        <item m="1" x="4410"/>
        <item m="1" x="4316"/>
        <item m="1" x="2197"/>
        <item m="1" x="4371"/>
        <item m="1" x="4416"/>
        <item m="1" x="2860"/>
        <item m="1" x="3744"/>
        <item m="1" x="3988"/>
        <item m="1" x="3837"/>
        <item m="1" x="2759"/>
        <item m="1" x="4390"/>
        <item m="1" x="521"/>
        <item m="1" x="4180"/>
        <item m="1" x="4419"/>
        <item m="1" x="4307"/>
        <item m="1" x="3813"/>
        <item m="1" x="4399"/>
        <item m="1" x="519"/>
        <item m="1" x="4179"/>
        <item m="1" x="4457"/>
        <item m="1" x="4387"/>
        <item m="1" x="4114"/>
        <item m="1" x="4380"/>
        <item m="1" x="2478"/>
        <item m="1" x="3970"/>
        <item m="1" x="4330"/>
        <item m="1" x="4496"/>
        <item m="1" x="3760"/>
        <item m="1" x="4310"/>
        <item m="1" x="3821"/>
        <item m="1" x="2476"/>
        <item m="1" x="4124"/>
        <item m="1" x="4491"/>
        <item m="1" x="4337"/>
        <item m="1" x="4454"/>
        <item m="1" x="3811"/>
        <item m="1" x="4342"/>
        <item m="1" x="4161"/>
        <item m="1" x="4329"/>
        <item m="1" x="4355"/>
        <item m="1" x="4090"/>
        <item m="1" x="4312"/>
        <item m="1" x="3156"/>
        <item m="1" x="4315"/>
        <item m="1" x="3739"/>
        <item m="1" x="2108"/>
        <item m="1" x="4167"/>
        <item m="1" x="4404"/>
        <item m="1" x="4434"/>
        <item m="1" x="4174"/>
        <item m="1" x="4381"/>
        <item m="1" x="3942"/>
        <item m="1" x="3617"/>
        <item m="1" x="3976"/>
        <item m="1" x="4176"/>
        <item m="1" x="4482"/>
        <item m="1" x="4202"/>
        <item m="1" x="4373"/>
        <item m="1" x="3810"/>
        <item m="1" x="4186"/>
        <item m="1" x="4206"/>
        <item m="1" x="4395"/>
        <item m="1" x="4181"/>
        <item m="1" x="4156"/>
        <item m="1" x="4438"/>
        <item m="1" x="4098"/>
        <item m="1" x="4305"/>
        <item m="1" x="3940"/>
        <item m="1" x="3157"/>
        <item m="1" x="4325"/>
        <item m="1" x="4324"/>
        <item m="1" x="2799"/>
        <item m="1" x="4424"/>
        <item m="1" x="4298"/>
        <item m="1" x="4189"/>
        <item m="1" x="4192"/>
        <item m="1" x="4306"/>
        <item m="1" x="3977"/>
        <item m="1" x="2069"/>
        <item m="1" x="3972"/>
        <item m="1" x="3628"/>
        <item m="1" x="4091"/>
        <item m="1" x="4171"/>
        <item m="1" x="4318"/>
        <item m="1" x="4411"/>
        <item m="1" x="4187"/>
        <item m="1" x="4385"/>
        <item m="1" x="2257"/>
        <item m="1" x="4177"/>
        <item m="1" x="3941"/>
        <item m="1" x="4335"/>
        <item m="1" x="3622"/>
        <item m="1" x="3155"/>
        <item m="1" x="4415"/>
        <item m="1" x="3927"/>
        <item m="1" x="4309"/>
        <item m="1" x="4455"/>
        <item m="1" x="3761"/>
        <item m="1" x="4143"/>
        <item m="1" x="4314"/>
        <item m="1" x="4299"/>
        <item m="1" x="4086"/>
        <item m="1" x="4359"/>
        <item m="1" x="3968"/>
        <item m="1" x="4394"/>
        <item m="1" x="4361"/>
        <item m="1" x="4302"/>
        <item m="1" x="4170"/>
        <item m="1" x="2614"/>
        <item m="1" x="4308"/>
        <item m="1" x="4085"/>
        <item m="1" x="4183"/>
        <item m="1" x="4079"/>
        <item m="1" x="4350"/>
        <item m="1" x="2750"/>
        <item m="1" x="4185"/>
        <item m="1" x="3967"/>
        <item m="1" x="4068"/>
        <item m="1" x="4421"/>
        <item m="1" x="4406"/>
        <item m="1" x="2477"/>
        <item m="1" x="522"/>
        <item m="1" x="2256"/>
        <item m="1" x="4426"/>
        <item m="1" x="3966"/>
        <item m="1" x="4459"/>
        <item m="1" x="4328"/>
        <item m="1" x="4338"/>
        <item m="1" x="4432"/>
        <item m="1" x="3812"/>
        <item m="1" x="4326"/>
        <item m="1" x="4400"/>
        <item m="1" x="4158"/>
        <item m="1" x="4168"/>
        <item m="1" x="4414"/>
        <item m="1" x="4311"/>
        <item m="1" x="4095"/>
        <item m="1" x="4341"/>
        <item m="1" x="4397"/>
        <item m="1" x="4468"/>
        <item m="1" x="4402"/>
        <item m="1" x="4469"/>
        <item m="1" x="3620"/>
        <item m="1" x="4452"/>
        <item m="1" x="4393"/>
        <item m="1" x="4435"/>
        <item m="1" x="3475"/>
        <item m="1" x="4445"/>
        <item m="1" x="4428"/>
        <item m="1" x="4304"/>
        <item m="1" x="4159"/>
        <item m="1" x="4163"/>
        <item m="1" x="4155"/>
        <item m="1" x="4391"/>
        <item m="1" x="3316"/>
        <item m="1" x="4106"/>
        <item m="1" x="2021"/>
        <item m="1" x="4433"/>
        <item m="1" x="4357"/>
        <item m="1" x="4211"/>
        <item m="1" x="4205"/>
        <item m="1" x="4207"/>
        <item m="1" x="4458"/>
        <item m="1" x="4300"/>
        <item m="1" x="4340"/>
        <item m="1" x="1844"/>
        <item m="1" x="4368"/>
        <item m="1" x="4066"/>
        <item m="1" x="4479"/>
        <item m="1" x="2751"/>
        <item m="1" x="3973"/>
        <item m="1" x="3836"/>
        <item m="1" x="4418"/>
        <item m="1" x="4200"/>
        <item m="1" x="4112"/>
        <item m="1" x="4423"/>
        <item m="1" x="4473"/>
        <item m="1" x="4370"/>
        <item m="1" x="3624"/>
        <item m="1" x="4301"/>
        <item m="1" x="3317"/>
        <item m="1" x="4115"/>
        <item m="1" x="2201"/>
        <item m="1" x="4113"/>
        <item m="1" x="4358"/>
        <item m="1" x="4345"/>
        <item m="1" x="4376"/>
        <item m="1" x="4203"/>
        <item m="1" x="4439"/>
        <item m="1" x="4196"/>
        <item m="1" x="3806"/>
        <item m="1" x="4346"/>
        <item m="1" x="4194"/>
        <item m="1" x="4117"/>
        <item m="1" x="4451"/>
        <item m="1" x="4339"/>
        <item m="1" x="3969"/>
        <item m="1" x="4353"/>
        <item m="1" x="4166"/>
        <item m="1" x="4297"/>
        <item m="1" x="4081"/>
        <item m="1" x="4197"/>
        <item m="1" x="4322"/>
        <item m="1" x="4412"/>
        <item m="1" x="4409"/>
        <item m="1" x="3660"/>
        <item m="1" x="4444"/>
        <item m="1" x="3510"/>
        <item m="1" x="4293"/>
        <item m="1" x="4375"/>
        <item m="1" x="4108"/>
        <item m="1" x="4413"/>
        <item m="1" x="4382"/>
        <item m="1" x="4403"/>
        <item m="1" x="4398"/>
        <item m="1" x="3621"/>
        <item m="1" x="4377"/>
        <item m="1" x="3623"/>
        <item m="1" x="4331"/>
        <item m="1" x="2752"/>
        <item m="1" x="4084"/>
        <item m="1" x="2753"/>
        <item m="1" x="4210"/>
        <item m="1" x="4474"/>
        <item m="1" x="4447"/>
        <item m="1" x="4386"/>
        <item m="1" x="4119"/>
        <item m="1" x="4364"/>
        <item m="1" x="4320"/>
        <item m="1" x="3738"/>
        <item m="1" x="4321"/>
        <item m="1" x="4105"/>
        <item m="1" x="4442"/>
        <item m="1" x="4080"/>
        <item m="1" x="4441"/>
        <item m="1" x="4296"/>
        <item m="1" x="4294"/>
        <item m="1" x="4460"/>
        <item m="1" x="4472"/>
        <item m="1" x="4420"/>
        <item m="1" x="4372"/>
        <item m="1" x="4104"/>
        <item m="1" x="4374"/>
        <item m="1" x="4092"/>
        <item m="1" x="4475"/>
        <item m="1" x="4408"/>
        <item m="1" x="4466"/>
        <item m="1" x="4352"/>
        <item m="1" x="4109"/>
        <item m="1" x="4103"/>
        <item m="1" x="4465"/>
        <item m="1" x="4344"/>
        <item m="1" x="4347"/>
        <item m="1" x="4407"/>
        <item m="1" x="4157"/>
        <item m="1" x="4122"/>
        <item m="1" x="4343"/>
        <item m="1" x="4172"/>
        <item m="1" x="4323"/>
        <item m="1" x="3618"/>
        <item m="1" x="4088"/>
        <item m="1" x="4123"/>
        <item m="1" x="4162"/>
        <item m="1" x="4456"/>
        <item m="1" x="4313"/>
        <item m="1" x="4478"/>
        <item m="1" x="4476"/>
        <item m="1" x="4204"/>
        <item m="1" x="3947"/>
        <item m="1" x="4463"/>
        <item m="1" x="4208"/>
        <item m="1" x="4093"/>
        <item m="1" x="3616"/>
        <item m="1" x="4102"/>
        <item m="1" x="4082"/>
        <item m="1" x="4332"/>
        <item m="1" x="4453"/>
        <item m="1" x="4405"/>
        <item m="1" x="4121"/>
        <item m="1" x="4477"/>
        <item m="1" x="4099"/>
        <item m="1" x="2798"/>
        <item m="1" x="4116"/>
        <item m="1" x="4100"/>
        <item m="1" x="4379"/>
        <item m="1" x="4462"/>
        <item m="1" x="4154"/>
        <item m="1" x="4188"/>
        <item m="1" x="4097"/>
        <item m="1" x="4480"/>
        <item m="1" x="3979"/>
        <item m="1" x="3661"/>
        <item m="1" x="3382"/>
        <item m="1" x="3978"/>
        <item m="1" x="4199"/>
        <item m="1" x="2812"/>
        <item m="1" x="4483"/>
        <item m="1" x="4481"/>
        <item m="1" x="2526"/>
        <item m="1" x="4366"/>
        <item m="1" x="4101"/>
        <item m="1" x="4351"/>
        <item m="1" x="3984"/>
        <item m="1" x="4118"/>
        <item m="1" x="4449"/>
        <item m="1" x="2755"/>
        <item m="1" x="2652"/>
        <item m="1" x="4464"/>
        <item m="1" x="4173"/>
        <item m="1" x="3619"/>
        <item m="1" x="4388"/>
        <item m="1" x="4336"/>
        <item m="1" x="4389"/>
        <item m="1" x="4169"/>
        <item m="1" x="3267"/>
        <item m="1" x="4349"/>
        <item m="1" x="4417"/>
        <item m="1" x="4209"/>
        <item m="1" x="4178"/>
        <item m="1" x="4365"/>
        <item m="1" x="4363"/>
        <item m="1" x="4430"/>
        <item m="1" x="3318"/>
        <item m="1" x="4094"/>
        <item m="1" x="4160"/>
        <item m="1" x="4425"/>
        <item m="1" x="3971"/>
        <item m="1" x="4443"/>
        <item m="1" x="2479"/>
        <item m="1" x="3637"/>
        <item m="1" x="4083"/>
        <item m="1" x="4356"/>
        <item m="1" x="4367"/>
        <item m="1" x="4437"/>
        <item m="1" x="4470"/>
        <item m="1" x="4333"/>
        <item m="1" x="4165"/>
        <item m="1" x="4362"/>
        <item m="1" x="4392"/>
        <item m="1" x="4289"/>
        <item m="1" x="4282"/>
        <item m="1" x="4287"/>
        <item m="1" x="4288"/>
        <item m="1" x="4291"/>
        <item m="1" x="4107"/>
        <item m="1" x="4281"/>
        <item m="1" x="4283"/>
        <item m="1" x="4284"/>
        <item m="1" x="4290"/>
        <item m="1" x="4292"/>
        <item m="1" x="4286"/>
        <item m="1" x="4285"/>
        <item m="1" x="4077"/>
        <item m="1" x="4295"/>
        <item m="1" x="2800"/>
        <item m="1" x="4279"/>
        <item m="1" x="4212"/>
        <item m="1" x="4280"/>
        <item m="1" x="4274"/>
        <item m="1" x="4201"/>
        <item m="1" x="1843"/>
        <item m="1" x="4278"/>
        <item m="1" x="1916"/>
        <item m="1" x="3509"/>
        <item m="1" x="4275"/>
        <item m="1" x="4276"/>
        <item m="1" x="4273"/>
        <item m="1" x="4153"/>
        <item m="1" x="4277"/>
        <item m="1" x="3659"/>
        <item m="1" x="3833"/>
        <item m="1" x="3741"/>
        <item m="1" x="299"/>
        <item m="1" x="4150"/>
        <item m="1" x="4258"/>
        <item m="1" x="4255"/>
        <item m="1" x="4257"/>
        <item m="1" x="4256"/>
        <item m="1" x="3964"/>
        <item m="1" x="1335"/>
        <item m="1" x="3686"/>
        <item m="1" x="4260"/>
        <item m="1" x="4254"/>
        <item m="1" x="3832"/>
        <item m="1" x="4146"/>
        <item m="1" x="4069"/>
        <item m="1" x="4149"/>
        <item m="1" x="4252"/>
        <item m="1" x="4259"/>
        <item m="1" x="4268"/>
        <item m="1" x="4251"/>
        <item m="1" x="3615"/>
        <item m="1" x="4249"/>
        <item m="1" x="4074"/>
        <item m="1" x="4144"/>
        <item m="1" x="4253"/>
        <item m="1" x="4148"/>
        <item m="1" x="4145"/>
        <item m="1" x="4250"/>
        <item m="1" x="4264"/>
        <item m="1" x="4248"/>
        <item m="1" x="4147"/>
        <item m="1" x="4076"/>
        <item m="1" x="4151"/>
        <item m="1" x="2858"/>
        <item m="1" x="4071"/>
        <item m="1" x="4075"/>
        <item m="1" x="3432"/>
        <item m="1" x="4261"/>
        <item m="1" x="4263"/>
        <item m="1" x="4266"/>
        <item m="1" x="4271"/>
        <item m="1" x="4267"/>
        <item m="1" x="4527"/>
        <item m="1" x="4262"/>
        <item m="1" x="4272"/>
        <item m="1" x="4265"/>
        <item m="1" x="2857"/>
        <item m="1" x="3759"/>
        <item m="1" x="4152"/>
        <item m="1" x="3707"/>
        <item m="1" x="4072"/>
        <item m="1" x="4070"/>
        <item m="1" x="4269"/>
        <item m="1" x="4270"/>
        <item m="1" x="4073"/>
        <item m="1" x="2309"/>
        <item m="1" x="2306"/>
        <item m="1" x="2528"/>
        <item m="1" x="4576"/>
        <item m="1" x="2261"/>
        <item m="1" x="4001"/>
        <item m="1" x="2529"/>
        <item m="1" x="2425"/>
        <item m="1" x="4577"/>
        <item m="1" x="3481"/>
        <item m="1" x="3842"/>
        <item m="1" x="3165"/>
        <item m="1" x="2641"/>
        <item m="1" x="3166"/>
        <item m="1" x="2867"/>
        <item m="1" x="2642"/>
        <item m="1" x="2530"/>
        <item m="1" x="2426"/>
        <item m="1" x="2643"/>
        <item m="1" x="1038"/>
        <item m="1" x="2644"/>
        <item m="1" x="2531"/>
        <item m="1" x="4578"/>
        <item m="1" x="2645"/>
        <item m="1" x="2532"/>
        <item m="1" x="3383"/>
        <item m="1" x="4002"/>
        <item m="1" x="3950"/>
        <item m="1" x="3843"/>
        <item m="1" x="3668"/>
        <item m="1" x="3822"/>
        <item m="1" x="2868"/>
        <item m="1" x="3375"/>
        <item m="1" x="3745"/>
        <item m="1" x="3638"/>
        <item m="1" x="2760"/>
        <item m="1" x="4579"/>
        <item m="1" x="4580"/>
        <item m="1" x="523"/>
        <item m="1" x="2761"/>
        <item m="1" x="3951"/>
        <item m="1" x="3274"/>
        <item m="1" x="3669"/>
        <item m="1" x="4581"/>
        <item m="1" x="3823"/>
        <item m="1" x="2869"/>
        <item m="1" x="2262"/>
        <item m="1" x="3275"/>
        <item m="1" x="4582"/>
        <item m="1" x="3670"/>
        <item m="1" x="4003"/>
        <item m="1" x="3629"/>
        <item m="1" x="2393"/>
        <item m="1" x="3952"/>
        <item m="1" x="1620"/>
        <item m="1" x="4583"/>
        <item m="1" x="3755"/>
        <item m="1" x="4004"/>
        <item m="1" x="2411"/>
        <item m="1" x="4584"/>
        <item m="1" x="2870"/>
        <item m="1" x="3331"/>
        <item m="1" x="2871"/>
        <item m="1" x="4585"/>
        <item m="1" x="3511"/>
        <item m="1" x="3824"/>
        <item m="1" x="4586"/>
        <item m="1" x="3268"/>
        <item m="1" x="3264"/>
        <item m="1" x="4005"/>
        <item m="1" x="2427"/>
        <item m="1" x="3460"/>
        <item m="1" x="3720"/>
        <item m="1" x="3200"/>
        <item m="1" x="2872"/>
        <item m="1" x="3844"/>
        <item m="1" x="3332"/>
        <item m="1" x="4587"/>
        <item m="1" x="3765"/>
        <item m="1" x="4588"/>
        <item m="1" x="2112"/>
        <item m="1" x="3411"/>
        <item m="1" x="2873"/>
        <item m="1" x="4589"/>
        <item m="1" x="2874"/>
        <item m="1" x="2875"/>
        <item m="1" x="3161"/>
        <item m="1" x="4590"/>
        <item m="1" x="4591"/>
        <item m="1" x="2876"/>
        <item m="1" x="4592"/>
        <item m="1" x="1921"/>
        <item m="1" x="2877"/>
        <item m="1" x="3766"/>
        <item m="1" x="3512"/>
        <item m="1" x="4593"/>
        <item m="1" x="3671"/>
        <item m="1" x="3672"/>
        <item m="1" x="4594"/>
        <item m="1" x="4595"/>
        <item m="1" x="3845"/>
        <item m="1" x="3846"/>
        <item m="1" x="4006"/>
        <item m="1" x="3847"/>
        <item m="1" x="4007"/>
        <item m="1" x="2878"/>
        <item m="1" x="3767"/>
        <item m="1" x="4596"/>
        <item m="1" x="4597"/>
        <item m="1" x="4598"/>
        <item m="1" x="3323"/>
        <item m="1" x="2794"/>
        <item m="1" x="3456"/>
        <item m="1" x="3953"/>
        <item m="1" x="2770"/>
        <item m="1" x="4599"/>
        <item m="1" x="2109"/>
        <item m="1" x="3484"/>
        <item m="1" x="2839"/>
        <item m="1" x="3848"/>
        <item m="1" x="3737"/>
        <item m="1" x="3849"/>
        <item m="1" x="2879"/>
        <item m="1" x="3494"/>
        <item m="1" x="2394"/>
        <item m="1" x="1870"/>
        <item m="1" x="4008"/>
        <item m="1" x="2023"/>
        <item m="1" x="2880"/>
        <item m="1" x="4600"/>
        <item m="1" x="3825"/>
        <item m="1" x="1635"/>
        <item m="1" x="3673"/>
        <item m="1" x="4601"/>
        <item m="1" x="1845"/>
        <item m="1" x="2624"/>
        <item m="1" x="2881"/>
        <item m="1" x="3850"/>
        <item m="1" x="3649"/>
        <item m="1" x="2882"/>
        <item m="1" x="4602"/>
        <item m="1" x="3282"/>
        <item m="1" x="4603"/>
        <item m="1" x="3851"/>
        <item m="1" x="4604"/>
        <item m="1" x="2263"/>
        <item m="1" x="4009"/>
        <item m="1" x="3650"/>
        <item m="1" x="2771"/>
        <item m="1" x="2772"/>
        <item m="1" x="3483"/>
        <item m="1" x="4605"/>
        <item m="1" x="3852"/>
        <item m="1" x="3768"/>
        <item m="1" x="3674"/>
        <item m="1" x="4606"/>
        <item m="1" x="1026"/>
        <item m="1" x="2883"/>
        <item m="1" x="3270"/>
        <item m="1" x="3613"/>
        <item m="1" x="4010"/>
        <item m="1" x="3853"/>
        <item m="1" x="750"/>
        <item x="111"/>
        <item m="1" x="3675"/>
        <item m="1" x="3826"/>
        <item m="1" x="3162"/>
        <item m="1" x="4607"/>
        <item m="1" x="3163"/>
        <item m="1" x="2646"/>
        <item m="1" x="3769"/>
        <item m="1" x="3715"/>
        <item m="1" x="1028"/>
        <item m="1" x="4608"/>
        <item m="1" x="1027"/>
        <item m="1" x="3854"/>
        <item m="1" x="4609"/>
        <item m="1" x="2843"/>
        <item m="1" x="4610"/>
        <item m="1" x="3386"/>
        <item m="1" x="3749"/>
        <item m="1" x="3954"/>
        <item m="1" x="3387"/>
        <item m="1" x="4611"/>
        <item m="1" x="2884"/>
        <item m="1" x="4011"/>
        <item m="1" x="3770"/>
        <item m="1" x="4612"/>
        <item m="1" x="4012"/>
        <item m="1" x="3946"/>
        <item m="1" x="3513"/>
        <item m="1" x="3771"/>
        <item m="1" x="2773"/>
        <item m="1" x="3819"/>
        <item m="1" x="4613"/>
        <item m="1" x="4614"/>
        <item m="1" x="4013"/>
        <item m="1" x="4615"/>
        <item m="1" x="4014"/>
        <item m="1" x="2885"/>
        <item m="1" x="2844"/>
        <item m="1" x="4616"/>
        <item m="1" x="3855"/>
        <item m="1" x="4617"/>
        <item m="1" x="2886"/>
        <item m="1" x="3167"/>
        <item m="1" x="3709"/>
        <item m="1" x="3168"/>
        <item m="1" x="4618"/>
        <item m="1" x="3676"/>
        <item m="1" x="3169"/>
        <item m="1" x="3955"/>
        <item m="1" x="3856"/>
        <item m="1" x="3857"/>
        <item m="1" x="2264"/>
        <item m="1" x="2887"/>
        <item m="1" x="3514"/>
        <item m="1" x="2795"/>
        <item m="1" x="2428"/>
        <item m="1" x="4619"/>
        <item m="1" x="2774"/>
        <item m="1" x="3435"/>
        <item m="1" x="2647"/>
        <item m="1" x="3388"/>
        <item m="1" x="3485"/>
        <item m="1" x="2620"/>
        <item m="1" x="3985"/>
        <item m="1" x="2820"/>
        <item m="1" x="3750"/>
        <item m="1" x="4015"/>
        <item m="1" x="2888"/>
        <item m="1" x="3486"/>
        <item m="1" x="3804"/>
        <item m="1" x="3515"/>
        <item m="1" x="3986"/>
        <item m="1" x="3487"/>
        <item m="1" x="2762"/>
        <item m="1" x="3756"/>
        <item m="1" x="2429"/>
        <item m="1" x="4620"/>
        <item m="1" x="2775"/>
        <item m="1" x="4016"/>
        <item m="1" x="2471"/>
        <item m="1" x="4621"/>
        <item m="1" x="3436"/>
        <item m="1" x="3639"/>
        <item m="1" x="3630"/>
        <item m="1" x="3805"/>
        <item m="1" x="3858"/>
        <item m="1" x="2776"/>
        <item m="1" x="3324"/>
        <item m="1" x="2277"/>
        <item m="1" x="4622"/>
        <item m="1" x="3495"/>
        <item m="1" x="3820"/>
        <item m="1" x="4017"/>
        <item m="1" x="3271"/>
        <item m="1" x="3772"/>
        <item m="1" x="1922"/>
        <item m="1" x="2533"/>
        <item m="1" x="3773"/>
        <item m="1" x="4018"/>
        <item m="1" x="2271"/>
        <item m="1" x="3170"/>
        <item m="1" x="3171"/>
        <item m="1" x="3774"/>
        <item m="1" x="3859"/>
        <item m="1" x="4623"/>
        <item m="1" x="2777"/>
        <item m="1" x="3516"/>
        <item m="1" x="2778"/>
        <item m="1" x="2785"/>
        <item m="1" x="3775"/>
        <item m="1" x="4624"/>
        <item m="1" x="3496"/>
        <item m="1" x="2889"/>
        <item m="1" x="3488"/>
        <item m="1" x="3497"/>
        <item m="1" x="3517"/>
        <item m="1" x="3721"/>
        <item m="1" x="4625"/>
        <item m="1" x="4626"/>
        <item m="1" x="3631"/>
        <item m="1" x="4627"/>
        <item m="1" x="2763"/>
        <item m="1" x="2534"/>
        <item m="1" x="4628"/>
        <item m="1" x="4629"/>
        <item m="1" x="4630"/>
        <item m="1" x="3640"/>
        <item m="1" x="3827"/>
        <item m="1" x="3860"/>
        <item m="1" x="2535"/>
        <item m="1" x="3272"/>
        <item m="1" x="3478"/>
        <item m="1" x="4631"/>
        <item m="1" x="3861"/>
        <item m="1" x="3710"/>
        <item m="1" x="3956"/>
        <item m="1" x="3677"/>
        <item m="1" x="3722"/>
        <item m="1" x="4632"/>
        <item m="1" x="3325"/>
        <item m="1" x="4633"/>
        <item m="1" x="4634"/>
        <item m="1" x="2779"/>
        <item m="1" x="3957"/>
        <item m="1" x="2648"/>
        <item m="1" x="3958"/>
        <item m="1" x="3862"/>
        <item m="1" x="3269"/>
        <item m="1" x="3863"/>
        <item m="1" x="4635"/>
        <item m="1" x="3389"/>
        <item m="1" x="3864"/>
        <item m="1" x="2199"/>
        <item m="1" x="3959"/>
        <item m="1" x="3865"/>
        <item m="1" x="4636"/>
        <item m="1" x="2890"/>
        <item m="1" x="4637"/>
        <item m="1" x="3606"/>
        <item m="1" x="3708"/>
        <item m="1" x="4638"/>
        <item m="1" x="4639"/>
        <item m="1" x="4640"/>
        <item m="1" x="3518"/>
        <item m="1" x="2891"/>
        <item m="1" x="2536"/>
        <item m="1" x="3776"/>
        <item m="1" x="2537"/>
        <item m="1" x="3828"/>
        <item m="1" x="2892"/>
        <item m="1" x="518"/>
        <item m="1" x="4641"/>
        <item m="1" x="2033"/>
        <item m="1" x="3609"/>
        <item m="1" x="3390"/>
        <item m="1" x="4642"/>
        <item m="1" x="3519"/>
        <item m="1" x="4643"/>
        <item m="1" x="2804"/>
        <item m="1" x="3164"/>
        <item m="1" x="3489"/>
        <item m="1" x="4019"/>
        <item m="1" x="2616"/>
        <item x="250"/>
        <item m="1" x="4020"/>
        <item m="1" x="2034"/>
        <item m="1" x="2786"/>
        <item m="1" x="3678"/>
        <item m="1" x="3711"/>
        <item m="1" x="2663"/>
        <item m="1" x="3437"/>
        <item m="1" x="2538"/>
        <item m="1" x="3614"/>
        <item m="1" x="3479"/>
        <item m="1" x="1881"/>
        <item m="1" x="4644"/>
        <item m="1" x="4645"/>
        <item m="1" x="3866"/>
        <item m="1" x="3626"/>
        <item m="1" x="3679"/>
        <item m="1" x="4646"/>
        <item m="1" x="4647"/>
        <item m="1" x="4648"/>
        <item m="1" x="2310"/>
        <item m="1" x="3867"/>
        <item m="1" x="3868"/>
        <item m="1" x="3680"/>
        <item m="1" x="4649"/>
        <item m="1" x="2482"/>
        <item m="1" x="3276"/>
        <item m="1" x="2279"/>
        <item m="1" x="4021"/>
        <item m="1" x="2815"/>
        <item m="1" x="3651"/>
        <item m="1" x="2649"/>
        <item m="1" x="3802"/>
        <item m="1" x="3632"/>
        <item m="1" x="3172"/>
        <item m="1" x="2141"/>
        <item m="1" x="2485"/>
        <item m="1" x="1636"/>
        <item m="1" x="3723"/>
        <item m="1" x="2893"/>
        <item m="1" x="4650"/>
        <item m="1" x="2780"/>
        <item m="1" x="3869"/>
        <item m="1" x="2894"/>
        <item m="1" x="2764"/>
        <item m="1" x="3870"/>
        <item m="1" x="2198"/>
        <item m="1" x="4651"/>
        <item m="1" x="3960"/>
        <item m="1" x="4022"/>
        <item m="1" x="3520"/>
        <item m="1" x="3414"/>
        <item m="1" x="3871"/>
        <item m="1" x="2895"/>
        <item m="1" x="3333"/>
        <item m="1" x="3322"/>
        <item m="1" x="3803"/>
        <item m="1" x="4652"/>
        <item m="1" x="4653"/>
        <item m="1" x="3652"/>
        <item m="1" x="3334"/>
        <item m="1" x="4654"/>
        <item m="1" x="4655"/>
        <item m="1" x="3273"/>
        <item m="1" x="4023"/>
        <item m="1" x="4656"/>
        <item m="1" x="2598"/>
        <item m="1" x="4657"/>
        <item m="1" x="3326"/>
        <item m="1" x="4658"/>
        <item m="1" x="3872"/>
        <item m="1" x="3490"/>
        <item m="1" x="4659"/>
        <item m="1" x="3873"/>
        <item m="1" x="4660"/>
        <item m="1" x="4024"/>
        <item m="1" x="2113"/>
        <item m="1" x="2896"/>
        <item m="1" x="3384"/>
        <item m="1" x="3633"/>
        <item m="1" x="1356"/>
        <item m="1" x="2897"/>
        <item m="1" x="3989"/>
        <item m="1" x="3746"/>
        <item m="1" x="2621"/>
        <item m="1" x="1846"/>
        <item x="4"/>
        <item m="1" x="2787"/>
        <item m="1" x="2617"/>
        <item m="1" x="3658"/>
        <item m="1" x="2910"/>
        <item m="1" x="3777"/>
        <item m="1" x="3491"/>
        <item m="1" x="4661"/>
        <item m="1" x="2898"/>
        <item m="1" x="4025"/>
        <item m="1" x="2062"/>
        <item m="1" x="3434"/>
        <item m="1" x="3607"/>
        <item m="1" x="4662"/>
        <item m="1" x="3829"/>
        <item m="1" x="4026"/>
        <item m="1" x="3778"/>
        <item m="1" x="4663"/>
        <item m="1" x="4664"/>
        <item m="1" x="3779"/>
        <item m="1" x="3874"/>
        <item m="1" x="3875"/>
        <item m="1" x="3757"/>
        <item m="1" x="2650"/>
        <item m="1" x="4665"/>
        <item m="1" x="4666"/>
        <item m="1" x="4667"/>
        <item m="1" x="4668"/>
        <item m="1" x="3410"/>
        <item m="1" x="2765"/>
        <item m="1" x="4027"/>
        <item m="1" x="4669"/>
        <item m="1" x="4670"/>
        <item m="1" x="3961"/>
        <item m="1" x="3634"/>
        <item m="1" x="4028"/>
        <item m="1" x="4671"/>
        <item m="1" x="3712"/>
        <item m="1" x="3635"/>
        <item m="1" x="4672"/>
        <item m="1" x="2636"/>
        <item m="1" x="4673"/>
        <item m="1" x="3876"/>
        <item m="1" x="3990"/>
        <item m="1" x="4674"/>
        <item m="1" x="4675"/>
        <item m="1" x="4676"/>
        <item m="1" x="4677"/>
        <item m="1" x="3991"/>
        <item m="1" x="4678"/>
        <item m="1" x="1900"/>
        <item m="1" x="4679"/>
        <item m="1" x="2640"/>
        <item m="1" x="4680"/>
        <item m="1" x="4029"/>
        <item m="1" x="3877"/>
        <item m="1" x="4681"/>
        <item m="1" x="3521"/>
        <item m="1" x="2788"/>
        <item m="1" x="2282"/>
        <item m="1" x="4724"/>
        <item m="1" x="3878"/>
        <item m="1" x="3879"/>
        <item m="1" x="3880"/>
        <item m="1" x="3881"/>
        <item m="1" x="2789"/>
        <item m="1" x="3780"/>
        <item m="1" x="3681"/>
        <item m="1" x="3882"/>
        <item m="1" x="3492"/>
        <item m="1" x="4033"/>
        <item m="1" x="3335"/>
        <item m="1" x="4034"/>
        <item m="1" x="3883"/>
        <item m="1" x="3636"/>
        <item m="1" x="4035"/>
        <item m="1" x="4036"/>
        <item m="1" x="3781"/>
        <item m="1" x="3724"/>
        <item m="1" x="3277"/>
        <item m="1" x="3173"/>
        <item m="1" x="3782"/>
        <item m="1" x="4037"/>
        <item m="1" x="3884"/>
        <item m="1" x="4038"/>
        <item m="1" x="3713"/>
        <item m="1" x="3885"/>
        <item m="1" x="3783"/>
        <item m="1" x="2766"/>
        <item m="1" x="3830"/>
        <item m="1" x="3461"/>
        <item m="1" x="2481"/>
        <item m="1" x="4039"/>
        <item m="1" x="3278"/>
        <item m="1" x="3886"/>
        <item m="1" x="4040"/>
        <item m="1" x="2901"/>
        <item m="1" x="2110"/>
        <item m="1" x="3482"/>
        <item m="1" x="2902"/>
        <item m="1" x="3177"/>
        <item m="1" x="3412"/>
        <item m="1" x="3522"/>
        <item m="1" x="3887"/>
        <item m="1" x="4041"/>
        <item m="1" x="2903"/>
        <item m="1" x="751"/>
        <item m="1" x="3758"/>
        <item m="1" x="2026"/>
        <item m="1" x="3747"/>
        <item m="1" x="3682"/>
        <item m="1" x="3641"/>
        <item m="1" x="3784"/>
        <item m="1" x="3683"/>
        <item m="1" x="2265"/>
        <item m="1" x="3888"/>
        <item m="1" x="4042"/>
        <item m="1" x="4043"/>
        <item m="1" x="3785"/>
        <item m="1" x="3413"/>
        <item m="1" x="2266"/>
        <item m="1" x="2539"/>
        <item m="1" x="2790"/>
        <item m="1" x="2791"/>
        <item m="1" x="2484"/>
        <item m="1" x="2142"/>
        <item m="1" x="3279"/>
        <item m="1" x="3336"/>
        <item m="1" x="3889"/>
        <item m="1" x="3327"/>
        <item m="1" x="3786"/>
        <item m="1" x="3890"/>
        <item m="1" x="3891"/>
        <item m="1" x="2805"/>
        <item m="1" x="3653"/>
        <item m="1" x="2267"/>
        <item m="1" x="4044"/>
        <item m="1" x="3748"/>
        <item m="1" x="3892"/>
        <item m="1" x="2781"/>
        <item m="1" x="3280"/>
        <item m="1" x="2767"/>
        <item m="1" x="3893"/>
        <item m="1" x="3894"/>
        <item m="1" x="3337"/>
        <item m="1" x="2782"/>
        <item m="1" x="2487"/>
        <item m="1" x="3895"/>
        <item m="1" x="4045"/>
        <item m="1" x="3714"/>
        <item m="1" x="3610"/>
        <item m="1" x="4046"/>
        <item m="1" x="2792"/>
        <item m="1" x="3654"/>
        <item m="1" x="3328"/>
        <item m="1" x="3642"/>
        <item m="1" x="3896"/>
        <item m="1" x="4047"/>
        <item m="1" x="3962"/>
        <item m="1" x="3831"/>
        <item m="1" x="3897"/>
        <item m="1" x="3608"/>
        <item m="1" x="4048"/>
        <item m="1" x="3342"/>
        <item m="1" x="4049"/>
        <item m="1" x="4050"/>
        <item m="1" x="3343"/>
        <item m="1" x="4051"/>
        <item m="1" x="4052"/>
        <item m="1" x="3898"/>
        <item m="1" x="4053"/>
        <item m="1" x="3899"/>
        <item m="1" x="3344"/>
        <item m="1" x="4054"/>
        <item m="1" x="4055"/>
        <item m="1" x="4056"/>
        <item m="1" x="4057"/>
        <item m="1" x="3963"/>
        <item m="1" x="4058"/>
        <item m="1" x="3787"/>
        <item m="1" x="4059"/>
        <item m="1" x="4060"/>
        <item m="1" x="4061"/>
        <item m="1" x="3900"/>
        <item m="1" x="4062"/>
        <item m="1" x="4063"/>
        <item m="1" x="3523"/>
        <item m="1" x="4064"/>
        <item m="1" x="3901"/>
        <item m="1" x="3524"/>
        <item m="1" x="2904"/>
        <item m="1" x="4065"/>
        <item m="1" x="3684"/>
        <item m="1" x="2664"/>
        <item m="1" x="2540"/>
        <item m="1" x="3498"/>
        <item m="1" x="2665"/>
        <item m="1" x="3902"/>
        <item m="1" x="3685"/>
        <item m="1" x="3903"/>
        <item m="1" x="2666"/>
        <item m="1" x="3385"/>
        <item m="1" x="3525"/>
        <item m="1" x="2657"/>
        <item m="1" x="2430"/>
        <item m="1" x="3725"/>
        <item m="1" x="2618"/>
        <item m="1" x="3643"/>
        <item m="1" x="3726"/>
        <item m="1" x="3174"/>
        <item m="1" x="3716"/>
        <item m="1" x="2793"/>
        <item m="1" x="3338"/>
        <item m="1" x="1923"/>
        <item m="1" x="3644"/>
        <item m="1" x="3655"/>
        <item m="1" x="3904"/>
        <item m="1" x="2783"/>
        <item m="1" x="3178"/>
        <item m="1" x="3727"/>
        <item m="1" x="2622"/>
        <item m="1" x="3717"/>
        <item m="1" x="3728"/>
        <item m="1" x="2268"/>
        <item m="1" x="2272"/>
        <item m="1" x="3729"/>
        <item m="1" x="2905"/>
        <item m="1" x="2114"/>
        <item m="1" x="3175"/>
        <item m="1" x="3687"/>
        <item m="1" x="3283"/>
        <item m="1" x="3656"/>
        <item m="1" x="2623"/>
        <item m="1" x="3526"/>
        <item m="1" x="3339"/>
        <item m="1" x="3688"/>
        <item m="1" x="3645"/>
        <item m="1" x="3689"/>
        <item m="1" x="3905"/>
        <item m="1" x="1847"/>
        <item m="1" x="3788"/>
        <item m="1" x="3906"/>
        <item m="1" x="3718"/>
        <item m="1" x="3462"/>
        <item m="1" x="2269"/>
        <item m="1" x="3907"/>
        <item m="1" x="3444"/>
        <item m="1" x="3690"/>
        <item m="1" x="3908"/>
        <item m="1" x="3691"/>
        <item m="1" x="3445"/>
        <item m="1" x="3692"/>
        <item m="1" x="2483"/>
        <item m="1" x="3909"/>
        <item m="1" x="3910"/>
        <item m="1" x="3911"/>
        <item m="1" x="3340"/>
        <item m="1" x="3730"/>
        <item m="1" x="3611"/>
        <item m="1" x="2784"/>
        <item m="1" x="3912"/>
        <item m="1" x="2906"/>
        <item m="1" x="2619"/>
        <item m="1" x="3913"/>
        <item m="1" x="2907"/>
        <item m="1" x="3693"/>
        <item m="1" x="3694"/>
        <item m="1" x="3789"/>
        <item m="1" x="2817"/>
        <item m="1" x="3914"/>
        <item m="1" x="3915"/>
        <item m="1" x="2270"/>
        <item m="1" x="3281"/>
        <item m="1" x="3501"/>
        <item m="1" x="3751"/>
        <item m="1" x="3916"/>
        <item m="1" x="3731"/>
        <item m="1" x="3329"/>
        <item m="1" x="3646"/>
        <item m="1" x="2796"/>
        <item m="1" x="3752"/>
        <item m="1" x="3917"/>
        <item m="1" x="3918"/>
        <item m="1" x="3695"/>
        <item m="1" x="3732"/>
        <item m="1" x="2806"/>
        <item m="1" x="1485"/>
        <item m="1" x="2651"/>
        <item m="1" x="3919"/>
        <item m="1" x="3719"/>
        <item m="1" x="3920"/>
        <item m="1" x="3753"/>
        <item m="1" x="3657"/>
        <item m="1" x="3647"/>
        <item m="1" x="3733"/>
        <item m="1" x="3527"/>
        <item m="1" x="3921"/>
        <item m="1" x="3696"/>
        <item m="1" x="3754"/>
        <item m="1" x="3697"/>
        <item m="1" x="2908"/>
        <item m="1" x="3176"/>
        <item m="1" x="3201"/>
        <item m="1" x="3922"/>
        <item m="1" x="3923"/>
        <item m="1" x="3924"/>
        <item m="1" x="3925"/>
        <item m="1" x="3926"/>
        <item m="1" x="3493"/>
        <item m="1" x="3928"/>
        <item m="1" x="2035"/>
        <item m="1" x="3648"/>
        <item m="1" x="3421"/>
        <item m="1" x="2111"/>
        <item m="1" x="3930"/>
        <item m="1" x="3790"/>
        <item m="1" x="3931"/>
        <item m="1" x="3932"/>
        <item m="1" x="3933"/>
        <item m="1" x="3934"/>
        <item m="1" x="3341"/>
        <item m="1" x="3935"/>
        <item m="1" x="2909"/>
        <item m="1" x="3936"/>
        <item m="1" x="3937"/>
        <item m="1" x="3938"/>
        <item m="1" x="520"/>
        <item m="1" x="3734"/>
        <item m="1" x="3791"/>
        <item m="1" x="2911"/>
        <item m="1" x="2825"/>
        <item m="1" x="3792"/>
        <item m="1" x="3499"/>
        <item m="1" x="3793"/>
        <item m="1" x="3794"/>
        <item m="1" x="3795"/>
        <item m="1" x="3796"/>
        <item m="1" x="3291"/>
        <item m="1" x="3797"/>
        <item m="1" x="2431"/>
        <item m="1" x="2274"/>
        <item m="1" x="3422"/>
        <item m="1" x="2807"/>
        <item m="1" x="3423"/>
        <item m="1" x="3798"/>
        <item m="1" x="3799"/>
        <item m="1" x="3424"/>
        <item m="1" x="2808"/>
        <item m="1" x="3425"/>
        <item m="1" x="2912"/>
        <item m="1" x="3528"/>
        <item m="1" x="3529"/>
        <item m="1" x="3800"/>
        <item m="1" x="3801"/>
        <item m="1" x="1848"/>
        <item m="1" x="3735"/>
        <item m="1" x="3736"/>
        <item m="1" x="3807"/>
        <item m="1" x="3808"/>
        <item x="113"/>
        <item x="114"/>
        <item m="1" x="3502"/>
        <item m="1" x="3503"/>
        <item m="1" x="2809"/>
        <item m="1" x="3504"/>
        <item m="1" x="3505"/>
        <item m="1" x="3698"/>
        <item m="1" x="3699"/>
        <item m="1" x="2845"/>
        <item m="1" x="3700"/>
        <item m="1" x="3003"/>
        <item m="1" x="3701"/>
        <item m="1" x="3702"/>
        <item m="1" x="3506"/>
        <item m="1" x="1879"/>
        <item m="1" x="3703"/>
        <item m="1" x="3612"/>
        <item m="1" x="3284"/>
        <item m="1" x="3426"/>
        <item m="1" x="3427"/>
        <item m="1" x="3704"/>
        <item m="1" x="3438"/>
        <item m="1" x="3285"/>
        <item m="1" x="3463"/>
        <item m="1" x="3530"/>
        <item m="1" x="3705"/>
        <item m="1" x="3464"/>
        <item m="1" x="3706"/>
        <item m="1" x="3292"/>
        <item m="1" x="3191"/>
        <item m="1" x="2913"/>
        <item m="1" x="2492"/>
        <item m="1" x="2914"/>
        <item m="1" x="2915"/>
        <item m="1" x="2488"/>
        <item m="1" x="759"/>
        <item m="1" x="2916"/>
        <item m="1" x="3293"/>
        <item m="1" x="3345"/>
        <item m="1" x="2826"/>
        <item m="1" x="3531"/>
        <item m="1" x="2493"/>
        <item m="1" x="3532"/>
        <item m="1" x="3533"/>
        <item m="1" x="2631"/>
        <item m="1" x="2917"/>
        <item m="1" x="3446"/>
        <item m="1" x="3534"/>
        <item m="1" x="2918"/>
        <item m="1" x="3535"/>
        <item m="1" x="2827"/>
        <item m="1" x="3447"/>
        <item m="1" x="3294"/>
        <item m="1" x="2919"/>
        <item m="1" x="3536"/>
        <item m="1" x="2920"/>
        <item m="1" x="3537"/>
        <item m="1" x="3538"/>
        <item m="1" x="3539"/>
        <item m="1" x="3448"/>
        <item m="1" x="3540"/>
        <item m="1" x="2921"/>
        <item m="1" x="3449"/>
        <item m="1" x="3295"/>
        <item m="1" x="2922"/>
        <item m="1" x="3541"/>
        <item m="1" x="3450"/>
        <item m="1" x="2828"/>
        <item m="1" x="3542"/>
        <item m="1" x="3543"/>
        <item m="1" x="3544"/>
        <item m="1" x="3545"/>
        <item m="1" x="3546"/>
        <item m="1" x="3296"/>
        <item m="1" x="2923"/>
        <item m="1" x="3547"/>
        <item m="1" x="3548"/>
        <item m="1" x="3549"/>
        <item m="1" x="3451"/>
        <item m="1" x="2924"/>
        <item m="1" x="2925"/>
        <item m="1" x="3297"/>
        <item m="1" x="3550"/>
        <item m="1" x="2926"/>
        <item m="1" x="3298"/>
        <item m="1" x="2927"/>
        <item m="1" x="3299"/>
        <item m="1" x="2928"/>
        <item m="1" x="2929"/>
        <item m="1" x="3300"/>
        <item m="1" x="2930"/>
        <item m="1" x="3551"/>
        <item m="1" x="3391"/>
        <item m="1" x="3552"/>
        <item m="1" x="2931"/>
        <item m="1" x="2541"/>
        <item m="1" x="2542"/>
        <item m="1" x="3392"/>
        <item m="1" x="3393"/>
        <item m="1" x="2932"/>
        <item m="1" x="2829"/>
        <item m="1" x="2025"/>
        <item m="1" x="1849"/>
        <item m="1" x="3301"/>
        <item m="1" x="3553"/>
        <item m="1" x="2933"/>
        <item m="1" x="2934"/>
        <item m="1" x="3554"/>
        <item m="1" x="3302"/>
        <item m="1" x="2432"/>
        <item m="1" x="2830"/>
        <item m="1" x="2543"/>
        <item m="1" x="752"/>
        <item m="1" x="3555"/>
        <item m="1" x="2629"/>
        <item m="1" x="2036"/>
        <item m="1" x="2490"/>
        <item m="1" x="2821"/>
        <item m="1" x="2414"/>
        <item m="1" x="2831"/>
        <item m="1" x="2832"/>
        <item m="1" x="2935"/>
        <item m="1" x="2936"/>
        <item m="1" x="1713"/>
        <item m="1" x="2667"/>
        <item m="1" x="3303"/>
        <item m="1" x="3440"/>
        <item m="1" x="2937"/>
        <item m="1" x="2938"/>
        <item m="1" x="3184"/>
        <item m="1" x="1855"/>
        <item m="1" x="3556"/>
        <item m="1" x="2939"/>
        <item m="1" x="3557"/>
        <item m="1" x="3558"/>
        <item m="1" x="2940"/>
        <item m="1" x="2670"/>
        <item m="1" x="779"/>
        <item m="1" x="2941"/>
        <item m="1" x="2942"/>
        <item m="1" x="3394"/>
        <item m="1" x="3185"/>
        <item m="1" x="2943"/>
        <item m="1" x="2037"/>
        <item m="1" x="3559"/>
        <item m="1" x="3560"/>
        <item m="1" x="2278"/>
        <item m="1" x="1515"/>
        <item m="1" x="2474"/>
        <item m="1" x="2494"/>
        <item m="1" x="2625"/>
        <item m="1" x="2944"/>
        <item m="1" x="2673"/>
        <item m="1" x="3561"/>
        <item m="1" x="3415"/>
        <item m="1" x="2653"/>
        <item m="1" x="2489"/>
        <item m="1" x="2544"/>
        <item m="1" x="2115"/>
        <item m="1" x="2816"/>
        <item m="1" x="3195"/>
        <item m="1" x="2491"/>
        <item m="1" x="3562"/>
        <item m="1" x="2822"/>
        <item m="1" x="2475"/>
        <item m="1" x="3457"/>
        <item m="1" x="3563"/>
        <item m="1" x="2945"/>
        <item m="1" x="3346"/>
        <item m="1" x="3452"/>
        <item m="1" x="3465"/>
        <item m="1" x="3564"/>
        <item m="1" x="3355"/>
        <item m="1" x="3395"/>
        <item m="1" x="3428"/>
        <item m="1" x="2946"/>
        <item m="1" x="2947"/>
        <item m="1" x="2632"/>
        <item m="1" x="524"/>
        <item m="1" x="2654"/>
        <item m="1" x="3565"/>
        <item m="1" x="3566"/>
        <item m="1" x="2948"/>
        <item m="1" x="3304"/>
        <item m="1" x="3288"/>
        <item m="1" x="1637"/>
        <item m="1" x="3567"/>
        <item m="1" x="2496"/>
        <item m="1" x="753"/>
        <item m="1" x="3568"/>
        <item m="1" x="3347"/>
        <item m="1" x="2846"/>
        <item m="1" x="2656"/>
        <item m="1" x="2637"/>
        <item m="1" x="3396"/>
        <item m="1" x="3356"/>
        <item m="1" x="2495"/>
        <item m="1" x="3442"/>
        <item m="1" x="3202"/>
        <item m="1" x="2833"/>
        <item m="1" x="2949"/>
        <item m="1" x="3569"/>
        <item m="1" x="3570"/>
        <item m="1" x="2950"/>
        <item m="1" x="3397"/>
        <item m="1" x="2627"/>
        <item m="1" x="2951"/>
        <item m="1" x="3507"/>
        <item m="1" x="3196"/>
        <item m="1" x="3571"/>
        <item m="1" x="3466"/>
        <item m="1" x="3441"/>
        <item m="1" x="2952"/>
        <item m="1" x="2626"/>
        <item m="1" x="2338"/>
        <item m="1" x="3357"/>
        <item m="1" x="3203"/>
        <item m="1" x="2143"/>
        <item m="1" x="3398"/>
        <item m="1" x="2633"/>
        <item m="1" x="3572"/>
        <item m="1" x="3467"/>
        <item m="1" x="3573"/>
        <item m="1" x="3574"/>
        <item m="1" x="2628"/>
        <item m="1" x="2638"/>
        <item m="1" x="3358"/>
        <item m="1" x="3575"/>
        <item m="1" x="3186"/>
        <item m="1" x="3576"/>
        <item m="1" x="3468"/>
        <item m="1" x="3416"/>
        <item m="1" x="2116"/>
        <item m="1" x="2953"/>
        <item m="1" x="2204"/>
        <item m="1" x="2834"/>
        <item m="1" x="3192"/>
        <item m="1" x="1023"/>
        <item m="1" x="2810"/>
        <item m="1" x="3453"/>
        <item m="1" x="2954"/>
        <item m="1" x="3577"/>
        <item m="1" x="2545"/>
        <item m="1" x="2847"/>
        <item m="1" x="3359"/>
        <item m="1" x="2848"/>
        <item m="1" x="3578"/>
        <item m="1" x="3579"/>
        <item m="1" x="3305"/>
        <item m="1" x="3376"/>
        <item m="1" x="2658"/>
        <item m="1" x="3348"/>
        <item m="1" x="2275"/>
        <item m="1" x="2955"/>
        <item m="1" x="3306"/>
        <item m="1" x="3429"/>
        <item m="1" x="3417"/>
        <item m="1" x="3265"/>
        <item x="252"/>
        <item m="1" x="3469"/>
        <item m="1" x="3454"/>
        <item m="1" x="2497"/>
        <item m="1" x="2311"/>
        <item m="1" x="2956"/>
        <item m="1" x="2024"/>
        <item m="1" x="3179"/>
        <item m="1" x="2546"/>
        <item m="1" x="2957"/>
        <item m="1" x="2630"/>
        <item m="1" x="3580"/>
        <item m="1" x="3458"/>
        <item m="1" x="3349"/>
        <item m="1" x="3187"/>
        <item m="1" x="3360"/>
        <item m="1" x="1033"/>
        <item m="1" x="3399"/>
        <item m="1" x="2958"/>
        <item m="1" x="3581"/>
        <item m="1" x="3266"/>
        <item m="1" x="3582"/>
        <item m="1" x="2823"/>
        <item m="1" x="3583"/>
        <item m="1" x="3307"/>
        <item m="1" x="3188"/>
        <item m="1" x="2211"/>
        <item m="1" x="3470"/>
        <item m="1" x="3459"/>
        <item m="1" x="3418"/>
        <item m="1" x="2959"/>
        <item m="1" x="2811"/>
        <item m="1" x="2960"/>
        <item m="1" x="3308"/>
        <item m="1" x="3419"/>
        <item m="1" x="3309"/>
        <item m="1" x="3584"/>
        <item m="1" x="2420"/>
        <item m="1" x="2961"/>
        <item m="1" x="3400"/>
        <item m="1" x="2547"/>
        <item m="1" x="3350"/>
        <item m="1" x="2518"/>
        <item x="248"/>
        <item m="1" x="3585"/>
        <item m="1" x="2962"/>
        <item x="251"/>
        <item m="1" x="2835"/>
        <item m="1" x="3286"/>
        <item m="1" x="3180"/>
        <item m="1" x="2276"/>
        <item m="1" x="2107"/>
        <item m="1" x="3586"/>
        <item m="1" x="3189"/>
        <item m="1" x="3197"/>
        <item m="1" x="3181"/>
        <item m="1" x="1475"/>
        <item m="1" x="2963"/>
        <item m="1" x="2849"/>
        <item m="1" x="3587"/>
        <item m="1" x="3471"/>
        <item m="1" x="2850"/>
        <item m="1" x="534"/>
        <item m="1" x="3588"/>
        <item m="1" x="3508"/>
        <item m="1" x="3589"/>
        <item m="1" x="3590"/>
        <item m="1" x="2964"/>
        <item m="1" x="2634"/>
        <item m="1" x="2280"/>
        <item m="1" x="3443"/>
        <item m="1" x="3401"/>
        <item m="1" x="1621"/>
        <item m="1" x="3591"/>
        <item m="1" x="3310"/>
        <item m="1" x="3592"/>
        <item m="1" x="3593"/>
        <item m="1" x="3190"/>
        <item m="1" x="2548"/>
        <item m="1" x="2965"/>
        <item m="1" x="3594"/>
        <item m="1" x="3377"/>
        <item m="1" x="2549"/>
        <item m="1" x="2288"/>
        <item m="1" x="3182"/>
        <item m="1" x="3595"/>
        <item x="112"/>
        <item m="1" x="2659"/>
        <item m="1" x="2966"/>
        <item m="1" x="2967"/>
        <item m="1" x="2836"/>
        <item m="1" x="3351"/>
        <item m="1" x="3402"/>
        <item m="1" x="3596"/>
        <item m="1" x="3311"/>
        <item m="1" x="2968"/>
        <item m="1" x="3597"/>
        <item m="1" x="2200"/>
        <item m="1" x="3598"/>
        <item m="1" x="3403"/>
        <item m="1" x="2851"/>
        <item m="1" x="2472"/>
        <item m="1" x="3361"/>
        <item m="1" x="3198"/>
        <item m="1" x="3362"/>
        <item m="1" x="3199"/>
        <item m="1" x="3599"/>
        <item m="1" x="3472"/>
        <item m="1" x="3600"/>
        <item m="1" x="3601"/>
        <item m="1" x="3602"/>
        <item m="1" x="2969"/>
        <item m="1" x="3404"/>
        <item m="1" x="2058"/>
        <item m="1" x="3603"/>
        <item m="1" x="3183"/>
        <item m="1" x="3363"/>
        <item m="1" x="2749"/>
        <item m="1" x="2970"/>
        <item m="1" x="3420"/>
        <item m="1" x="2660"/>
        <item m="1" x="3352"/>
        <item m="1" x="525"/>
        <item m="1" x="3405"/>
        <item m="1" x="3604"/>
        <item m="1" x="3473"/>
        <item m="1" x="2498"/>
        <item m="1" x="3455"/>
        <item m="1" x="3406"/>
        <item m="1" x="2661"/>
        <item m="1" x="2818"/>
        <item m="1" x="2971"/>
        <item m="1" x="2972"/>
        <item m="1" x="3353"/>
        <item m="1" x="3439"/>
        <item m="1" x="3378"/>
        <item m="1" x="3287"/>
        <item m="1" x="2973"/>
        <item m="1" x="3605"/>
        <item m="1" x="2662"/>
        <item m="1" x="3364"/>
        <item m="1" x="3365"/>
        <item m="1" x="2312"/>
        <item m="1" x="1638"/>
        <item m="1" x="2144"/>
        <item m="1" x="2974"/>
        <item m="1" x="1639"/>
        <item m="1" x="2975"/>
        <item m="1" x="2145"/>
        <item m="1" x="2976"/>
        <item m="1" x="3366"/>
        <item m="1" x="2212"/>
        <item m="1" x="3367"/>
        <item m="1" x="3368"/>
        <item m="1" x="2977"/>
        <item m="1" x="3204"/>
        <item m="1" x="3312"/>
        <item m="1" x="1074"/>
        <item m="1" x="1404"/>
        <item m="1" x="3205"/>
        <item m="1" x="2978"/>
        <item m="1" x="2979"/>
        <item m="1" x="3313"/>
        <item m="1" x="1924"/>
        <item m="1" x="1487"/>
        <item m="1" x="2550"/>
        <item m="1" x="3369"/>
        <item m="1" x="3206"/>
        <item m="1" x="2980"/>
        <item m="1" x="3314"/>
        <item m="1" x="2981"/>
        <item m="1" x="2982"/>
        <item m="1" x="2983"/>
        <item m="1" x="2984"/>
        <item m="1" x="3193"/>
        <item m="1" x="3289"/>
        <item m="1" x="2281"/>
        <item m="1" x="2985"/>
        <item m="1" x="2986"/>
        <item m="1" x="3379"/>
        <item m="1" x="2987"/>
        <item m="1" x="2988"/>
        <item m="1" x="2989"/>
        <item m="1" x="2837"/>
        <item m="1" x="2990"/>
        <item m="1" x="2991"/>
        <item m="1" x="3407"/>
        <item m="1" x="2992"/>
        <item m="1" x="3207"/>
        <item m="1" x="3380"/>
        <item m="1" x="2852"/>
        <item m="1" x="2993"/>
        <item m="1" x="3381"/>
        <item m="1" x="2994"/>
        <item m="1" x="3430"/>
        <item m="1" x="3194"/>
        <item m="1" x="2838"/>
        <item m="1" x="3431"/>
        <item m="1" x="3290"/>
        <item m="1" x="2819"/>
        <item m="1" x="2995"/>
        <item m="1" x="2996"/>
        <item m="1" x="2853"/>
        <item m="1" x="2551"/>
        <item m="1" x="3208"/>
        <item m="1" x="2824"/>
        <item m="1" x="2854"/>
        <item m="1" x="2855"/>
        <item m="1" x="3371"/>
        <item m="1" x="3372"/>
        <item m="1" x="2997"/>
        <item m="1" x="2635"/>
        <item m="1" x="1842"/>
        <item m="1" x="2552"/>
        <item m="1" x="2998"/>
        <item m="1" x="3373"/>
        <item m="1" x="3408"/>
        <item m="1" x="2840"/>
        <item m="1" x="2841"/>
        <item m="1" x="3315"/>
        <item m="1" x="3374"/>
        <item m="1" x="3000"/>
        <item m="1" x="3001"/>
        <item m="1" x="2856"/>
        <item m="1" x="3002"/>
        <item m="1" x="3354"/>
        <item m="1" x="2499"/>
        <item m="1" x="2639"/>
        <item m="1" x="2500"/>
        <item m="1" x="2842"/>
        <item m="1" x="3004"/>
        <item m="1" x="3152"/>
        <item m="1" x="3005"/>
        <item m="1" x="3006"/>
        <item m="1" x="2668"/>
        <item m="1" x="2669"/>
        <item m="1" x="1334"/>
        <item m="1" x="2501"/>
        <item m="1" x="1925"/>
        <item m="1" x="2283"/>
        <item m="1" x="3209"/>
        <item m="1" x="3210"/>
        <item m="1" x="3211"/>
        <item m="1" x="1357"/>
        <item m="1" x="2502"/>
        <item m="1" x="1926"/>
        <item m="1" x="1850"/>
        <item m="1" x="1528"/>
        <item m="1" x="2503"/>
        <item m="1" x="3212"/>
        <item m="1" x="2671"/>
        <item m="1" x="2553"/>
        <item m="1" x="3213"/>
        <item m="1" x="2415"/>
        <item m="1" x="2504"/>
        <item m="1" x="2672"/>
        <item m="1" x="3007"/>
        <item m="1" x="3214"/>
        <item m="1" x="3215"/>
        <item m="1" x="3008"/>
        <item m="1" x="2674"/>
        <item m="1" x="2505"/>
        <item m="1" x="2416"/>
        <item m="1" x="2675"/>
        <item m="1" x="2554"/>
        <item m="1" x="3009"/>
        <item m="1" x="2676"/>
        <item m="1" x="2677"/>
        <item m="1" x="3216"/>
        <item m="1" x="3217"/>
        <item m="1" x="2339"/>
        <item m="1" x="2678"/>
        <item m="1" x="2555"/>
        <item m="1" x="3218"/>
        <item m="1" x="3010"/>
        <item m="1" x="3011"/>
        <item m="1" x="2556"/>
        <item m="1" x="3012"/>
        <item m="1" x="3013"/>
        <item m="1" x="3014"/>
        <item m="1" x="2557"/>
        <item m="1" x="3015"/>
        <item m="1" x="2679"/>
        <item m="1" x="2558"/>
        <item m="1" x="3016"/>
        <item m="1" x="2680"/>
        <item m="1" x="2559"/>
        <item m="1" x="2395"/>
        <item m="1" x="2117"/>
        <item m="1" x="2417"/>
        <item m="1" x="3017"/>
        <item m="1" x="2506"/>
        <item m="1" x="2418"/>
        <item m="1" x="2560"/>
        <item m="1" x="3018"/>
        <item m="1" x="2507"/>
        <item m="1" x="754"/>
        <item m="1" x="2681"/>
        <item m="1" x="1030"/>
        <item m="1" x="3019"/>
        <item m="1" x="2508"/>
        <item m="1" x="2561"/>
        <item m="1" x="3219"/>
        <item m="1" x="2509"/>
        <item m="1" x="2562"/>
        <item m="1" x="3220"/>
        <item m="1" x="1927"/>
        <item m="1" x="1031"/>
        <item m="1" x="1359"/>
        <item m="1" x="1627"/>
        <item m="1" x="2687"/>
        <item m="1" x="3020"/>
        <item m="1" x="1079"/>
        <item m="1" x="1628"/>
        <item m="1" x="3021"/>
        <item m="1" x="3022"/>
        <item m="1" x="3221"/>
        <item m="1" x="2433"/>
        <item m="1" x="3023"/>
        <item m="1" x="1629"/>
        <item m="1" x="2563"/>
        <item m="1" x="2682"/>
        <item m="1" x="3024"/>
        <item m="1" x="3222"/>
        <item m="1" x="3025"/>
        <item m="1" x="1370"/>
        <item m="1" x="3026"/>
        <item m="1" x="3027"/>
        <item m="1" x="1371"/>
        <item m="1" x="2564"/>
        <item m="1" x="3028"/>
        <item m="1" x="3029"/>
        <item m="1" x="2038"/>
        <item m="1" x="1372"/>
        <item m="1" x="3030"/>
        <item m="1" x="2396"/>
        <item m="1" x="3031"/>
        <item m="1" x="2683"/>
        <item m="1" x="2684"/>
        <item m="1" x="2565"/>
        <item m="1" x="3223"/>
        <item m="1" x="2566"/>
        <item m="1" x="1514"/>
        <item m="1" x="3032"/>
        <item m="1" x="2434"/>
        <item m="1" x="2685"/>
        <item m="1" x="2567"/>
        <item m="1" x="2568"/>
        <item m="1" x="2686"/>
        <item m="1" x="2569"/>
        <item m="1" x="3033"/>
        <item m="1" x="2570"/>
        <item m="1" x="3034"/>
        <item m="1" x="2435"/>
        <item m="1" x="2213"/>
        <item m="1" x="3150"/>
        <item m="1" x="1851"/>
        <item m="1" x="3035"/>
        <item m="1" x="2436"/>
        <item m="1" x="2146"/>
        <item m="1" x="2437"/>
        <item m="1" x="3036"/>
        <item m="1" x="3037"/>
        <item m="1" x="3038"/>
        <item m="1" x="2118"/>
        <item m="1" x="2438"/>
        <item m="1" x="2126"/>
        <item m="1" x="2688"/>
        <item m="1" x="3039"/>
        <item m="1" x="1860"/>
        <item m="1" x="3040"/>
        <item m="1" x="3041"/>
        <item m="1" x="3042"/>
        <item m="1" x="3043"/>
        <item m="1" x="3224"/>
        <item m="1" x="3044"/>
        <item m="1" x="2689"/>
        <item m="1" x="2690"/>
        <item m="1" x="3225"/>
        <item m="1" x="3226"/>
        <item m="1" x="3045"/>
        <item m="1" x="3046"/>
        <item m="1" x="3047"/>
        <item m="1" x="301"/>
        <item m="1" x="3227"/>
        <item m="1" x="2691"/>
        <item m="1" x="2692"/>
        <item m="1" x="2700"/>
        <item m="1" x="3048"/>
        <item m="1" x="3228"/>
        <item m="1" x="3049"/>
        <item m="1" x="2693"/>
        <item m="1" x="2071"/>
        <item m="1" x="3050"/>
        <item m="1" x="3051"/>
        <item m="1" x="2694"/>
        <item m="1" x="3052"/>
        <item m="1" x="2149"/>
        <item m="1" x="3053"/>
        <item m="1" x="3054"/>
        <item m="1" x="3055"/>
        <item m="1" x="3056"/>
        <item m="1" x="3057"/>
        <item m="1" x="3058"/>
        <item m="1" x="3229"/>
        <item m="1" x="3059"/>
        <item m="1" x="3060"/>
        <item m="1" x="2510"/>
        <item m="1" x="3061"/>
        <item m="1" x="2695"/>
        <item m="1" x="2696"/>
        <item m="1" x="2697"/>
        <item m="1" x="3062"/>
        <item m="1" x="2744"/>
        <item m="1" x="3230"/>
        <item m="1" x="2207"/>
        <item m="1" x="3063"/>
        <item m="1" x="3231"/>
        <item m="1" x="3064"/>
        <item m="1" x="3065"/>
        <item m="1" x="1643"/>
        <item m="1" x="2284"/>
        <item m="1" x="3232"/>
        <item m="1" x="3066"/>
        <item m="1" x="3067"/>
        <item m="1" x="3068"/>
        <item m="1" x="3069"/>
        <item m="1" x="3070"/>
        <item m="1" x="3233"/>
        <item m="1" x="3071"/>
        <item m="1" x="3072"/>
        <item m="1" x="2698"/>
        <item m="1" x="1883"/>
        <item m="1" x="3073"/>
        <item m="1" x="3234"/>
        <item m="1" x="1075"/>
        <item m="1" x="3074"/>
        <item m="1" x="2571"/>
        <item m="1" x="2070"/>
        <item m="1" x="3075"/>
        <item m="1" x="2699"/>
        <item m="1" x="3235"/>
        <item m="1" x="757"/>
        <item m="1" x="3076"/>
        <item m="1" x="2572"/>
        <item m="1" x="2119"/>
        <item m="1" x="3236"/>
        <item m="1" x="1852"/>
        <item m="1" x="3237"/>
        <item m="1" x="1360"/>
        <item m="1" x="3077"/>
        <item m="1" x="3078"/>
        <item m="1" x="2397"/>
        <item m="1" x="2422"/>
        <item m="1" x="3079"/>
        <item m="1" x="1858"/>
        <item m="1" x="3080"/>
        <item m="1" x="3081"/>
        <item m="1" x="2285"/>
        <item m="1" x="3238"/>
        <item m="1" x="2511"/>
        <item m="1" x="3082"/>
        <item m="1" x="3239"/>
        <item m="1" x="2333"/>
        <item m="1" x="1618"/>
        <item m="1" x="2701"/>
        <item m="1" x="2702"/>
        <item m="1" x="2125"/>
        <item m="1" x="3083"/>
        <item m="1" x="3084"/>
        <item m="1" x="3240"/>
        <item m="1" x="3241"/>
        <item m="1" x="3085"/>
        <item m="1" x="2120"/>
        <item m="1" x="2703"/>
        <item m="1" x="3086"/>
        <item m="1" x="2704"/>
        <item m="1" x="3087"/>
        <item m="1" x="2705"/>
        <item m="1" x="2706"/>
        <item m="1" x="3242"/>
        <item m="1" x="2449"/>
        <item m="1" x="2707"/>
        <item m="1" x="2332"/>
        <item m="1" x="3243"/>
        <item m="1" x="3088"/>
        <item m="1" x="3089"/>
        <item m="1" x="3244"/>
        <item m="1" x="1466"/>
        <item m="1" x="1488"/>
        <item m="1" x="3090"/>
        <item m="1" x="3245"/>
        <item m="1" x="3091"/>
        <item m="1" x="3246"/>
        <item m="1" x="3247"/>
        <item m="1" x="3092"/>
        <item m="1" x="2708"/>
        <item m="1" x="2709"/>
        <item m="1" x="2124"/>
        <item m="1" x="3093"/>
        <item m="1" x="2419"/>
        <item m="1" x="2573"/>
        <item m="1" x="309"/>
        <item m="1" x="2039"/>
        <item m="1" x="3094"/>
        <item m="1" x="2286"/>
        <item m="1" x="2512"/>
        <item m="1" x="3095"/>
        <item m="1" x="3096"/>
        <item m="1" x="3248"/>
        <item m="1" x="3097"/>
        <item m="1" x="3249"/>
        <item m="1" x="2710"/>
        <item m="1" x="2711"/>
        <item m="1" x="3098"/>
        <item m="1" x="1366"/>
        <item m="1" x="3099"/>
        <item m="1" x="2712"/>
        <item m="1" x="3100"/>
        <item m="1" x="3101"/>
        <item m="1" x="2713"/>
        <item m="1" x="3102"/>
        <item m="1" x="3103"/>
        <item m="1" x="3104"/>
        <item m="1" x="3250"/>
        <item m="1" x="2714"/>
        <item m="1" x="3105"/>
        <item m="1" x="2715"/>
        <item m="1" x="3106"/>
        <item m="1" x="3251"/>
        <item m="1" x="3107"/>
        <item m="1" x="3151"/>
        <item m="1" x="3108"/>
        <item m="1" x="3109"/>
        <item m="1" x="2060"/>
        <item m="1" x="3110"/>
        <item m="1" x="3111"/>
        <item m="1" x="2716"/>
        <item m="1" x="2717"/>
        <item m="1" x="2214"/>
        <item m="1" x="3112"/>
        <item m="1" x="3113"/>
        <item m="1" x="1856"/>
        <item m="1" x="2574"/>
        <item m="1" x="2718"/>
        <item m="1" x="1853"/>
        <item m="1" x="3114"/>
        <item m="1" x="3115"/>
        <item m="1" x="2513"/>
        <item m="1" x="3116"/>
        <item m="1" x="2719"/>
        <item m="1" x="3252"/>
        <item m="1" x="2291"/>
        <item m="1" x="3253"/>
        <item m="1" x="2720"/>
        <item m="1" x="3254"/>
        <item m="1" x="3255"/>
        <item m="1" x="2059"/>
        <item m="1" x="1084"/>
        <item m="1" x="2721"/>
        <item m="1" x="2444"/>
        <item m="1" x="1034"/>
        <item m="1" x="3117"/>
        <item m="1" x="2722"/>
        <item m="1" x="2723"/>
        <item m="1" x="3256"/>
        <item m="1" x="3118"/>
        <item m="1" x="2724"/>
        <item m="1" x="3119"/>
        <item m="1" x="3120"/>
        <item m="1" x="2161"/>
        <item m="1" x="3257"/>
        <item m="1" x="3258"/>
        <item m="1" x="3259"/>
        <item m="1" x="1930"/>
        <item m="1" x="3260"/>
        <item m="1" x="2725"/>
        <item m="1" x="1622"/>
        <item m="1" x="2726"/>
        <item m="1" x="2727"/>
        <item m="1" x="2446"/>
        <item m="1" x="2728"/>
        <item m="1" x="3121"/>
        <item m="1" x="3261"/>
        <item m="1" x="2729"/>
        <item m="1" x="3262"/>
        <item m="1" x="3122"/>
        <item m="1" x="2327"/>
        <item m="1" x="3123"/>
        <item m="1" x="3124"/>
        <item m="1" x="3125"/>
        <item m="1" x="3263"/>
        <item m="1" x="2439"/>
        <item m="1" x="2313"/>
        <item m="1" x="3126"/>
        <item m="1" x="2575"/>
        <item m="1" x="2576"/>
        <item m="1" x="3127"/>
        <item m="1" x="2440"/>
        <item m="1" x="2730"/>
        <item m="1" x="2577"/>
        <item m="1" x="3128"/>
        <item m="1" x="2731"/>
        <item m="1" x="2597"/>
        <item m="1" x="2732"/>
        <item m="1" x="2733"/>
        <item m="1" x="2202"/>
        <item m="1" x="3129"/>
        <item m="1" x="2734"/>
        <item m="1" x="2314"/>
        <item m="1" x="2735"/>
        <item m="1" x="2578"/>
        <item m="1" x="2123"/>
        <item m="1" x="3130"/>
        <item m="1" x="3131"/>
        <item m="1" x="2514"/>
        <item m="1" x="3132"/>
        <item m="1" x="2736"/>
        <item m="1" x="2515"/>
        <item m="1" x="3133"/>
        <item m="1" x="2516"/>
        <item m="1" x="2517"/>
        <item m="1" x="3134"/>
        <item m="1" x="3135"/>
        <item m="1" x="2737"/>
        <item m="1" x="2599"/>
        <item m="1" x="2738"/>
        <item m="1" x="2040"/>
        <item m="1" x="2203"/>
        <item m="1" x="2519"/>
        <item m="1" x="3136"/>
        <item m="1" x="2455"/>
        <item m="1" x="3137"/>
        <item m="1" x="3138"/>
        <item m="1" x="2600"/>
        <item m="1" x="3139"/>
        <item m="1" x="3140"/>
        <item m="1" x="2520"/>
        <item m="1" x="3141"/>
        <item m="1" x="3142"/>
        <item m="1" x="2579"/>
        <item m="1" x="2739"/>
        <item m="1" x="2521"/>
        <item m="1" x="3143"/>
        <item m="1" x="2740"/>
        <item m="1" x="2522"/>
        <item m="1" x="2580"/>
        <item m="1" x="3144"/>
        <item m="1" x="2581"/>
        <item m="1" x="3145"/>
        <item m="1" x="2523"/>
        <item m="1" x="2524"/>
        <item m="1" x="2741"/>
        <item m="1" x="2582"/>
        <item m="1" x="2583"/>
        <item m="1" x="3146"/>
        <item m="1" x="2584"/>
        <item m="1" x="2585"/>
        <item m="1" x="2586"/>
        <item m="1" x="3147"/>
        <item m="1" x="3148"/>
        <item m="1" x="2742"/>
        <item m="1" x="2587"/>
        <item m="1" x="2743"/>
        <item m="1" x="2588"/>
        <item m="1" x="3149"/>
        <item m="1" x="2147"/>
        <item m="1" x="3153"/>
        <item m="1" x="3154"/>
        <item m="1" x="2589"/>
        <item m="1" x="2745"/>
        <item m="1" x="2473"/>
        <item m="1" x="1928"/>
        <item m="1" x="2590"/>
        <item m="1" x="2746"/>
        <item m="1" x="2591"/>
        <item m="1" x="1640"/>
        <item m="1" x="2205"/>
        <item m="1" x="2592"/>
        <item m="1" x="2593"/>
        <item m="1" x="2287"/>
        <item m="1" x="2747"/>
        <item m="1" x="2594"/>
        <item m="1" x="2748"/>
        <item m="1" x="2525"/>
        <item m="1" x="2315"/>
        <item m="1" x="2316"/>
        <item m="1" x="2595"/>
        <item m="1" x="2596"/>
        <item m="1" x="2317"/>
        <item m="1" x="2398"/>
        <item m="1" x="2601"/>
        <item m="1" x="2318"/>
        <item m="1" x="2602"/>
        <item m="1" x="2319"/>
        <item m="1" x="2215"/>
        <item m="1" x="2603"/>
        <item m="1" x="2604"/>
        <item m="1" x="2605"/>
        <item m="1" x="2606"/>
        <item m="1" x="2607"/>
        <item m="1" x="2320"/>
        <item m="1" x="2608"/>
        <item m="1" x="2609"/>
        <item m="1" x="2610"/>
        <item m="1" x="2611"/>
        <item m="1" x="2321"/>
        <item m="1" x="2612"/>
        <item m="1" x="2613"/>
        <item m="1" x="2322"/>
        <item m="1" x="1641"/>
        <item m="1" x="1642"/>
        <item m="1" x="2323"/>
        <item m="1" x="2216"/>
        <item m="1" x="2441"/>
        <item m="1" x="2324"/>
        <item m="1" x="2289"/>
        <item m="1" x="2442"/>
        <item m="1" x="2290"/>
        <item m="1" x="2443"/>
        <item m="1" x="1929"/>
        <item m="1" x="2292"/>
        <item m="1" x="2421"/>
        <item m="1" x="2325"/>
        <item m="1" x="2445"/>
        <item m="1" x="2326"/>
        <item m="1" x="2447"/>
        <item x="5"/>
        <item m="1" x="1971"/>
        <item m="1" x="2328"/>
        <item m="1" x="2329"/>
        <item m="1" x="2330"/>
        <item m="1" x="2148"/>
        <item m="1" x="2331"/>
        <item m="1" x="2206"/>
        <item m="1" x="2448"/>
        <item m="1" x="1882"/>
        <item m="1" x="1931"/>
        <item m="1" x="1857"/>
        <item m="1" x="2293"/>
        <item m="1" x="1932"/>
        <item m="1" x="2399"/>
        <item m="1" x="2092"/>
        <item m="1" x="2400"/>
        <item x="8"/>
        <item m="1" x="2334"/>
        <item m="1" x="1859"/>
        <item m="1" x="2450"/>
        <item m="1" x="2451"/>
        <item m="1" x="2335"/>
        <item m="1" x="2401"/>
        <item m="1" x="2336"/>
        <item m="1" x="2452"/>
        <item m="1" x="2337"/>
        <item m="1" x="2402"/>
        <item m="1" x="2453"/>
        <item m="1" x="1644"/>
        <item m="1" x="2454"/>
        <item m="1" x="1405"/>
        <item m="1" x="2294"/>
        <item m="1" x="2072"/>
        <item m="1" x="2456"/>
        <item m="1" x="2457"/>
        <item m="1" x="2340"/>
        <item m="1" x="2341"/>
        <item m="1" x="2342"/>
        <item m="1" x="2458"/>
        <item m="1" x="2459"/>
        <item m="1" x="1294"/>
        <item m="1" x="2404"/>
        <item m="1" x="2343"/>
        <item m="1" x="2460"/>
        <item m="1" x="2073"/>
        <item m="1" x="2295"/>
        <item m="1" x="2461"/>
        <item m="1" x="2296"/>
        <item m="1" x="2462"/>
        <item m="1" x="2297"/>
        <item m="1" x="2344"/>
        <item m="1" x="2345"/>
        <item m="1" x="2217"/>
        <item m="1" x="2463"/>
        <item m="1" x="2150"/>
        <item m="1" x="2298"/>
        <item m="1" x="2346"/>
        <item m="1" x="2405"/>
        <item m="1" x="2347"/>
        <item m="1" x="2406"/>
        <item m="1" x="2348"/>
        <item m="1" x="2218"/>
        <item m="1" x="2349"/>
        <item m="1" x="2151"/>
        <item m="1" x="2407"/>
        <item m="1" x="2464"/>
        <item m="1" x="1029"/>
        <item m="1" x="2350"/>
        <item m="1" x="2351"/>
        <item m="1" x="1884"/>
        <item m="1" x="2299"/>
        <item m="1" x="2152"/>
        <item m="1" x="2352"/>
        <item m="1" x="2353"/>
        <item m="1" x="2354"/>
        <item m="1" x="2408"/>
        <item m="1" x="2465"/>
        <item m="1" x="2355"/>
        <item m="1" x="2356"/>
        <item m="1" x="1861"/>
        <item m="1" x="2466"/>
        <item m="1" x="2467"/>
        <item m="1" x="1862"/>
        <item m="1" x="2468"/>
        <item m="1" x="1406"/>
        <item m="1" x="2300"/>
        <item m="1" x="1863"/>
        <item m="1" x="2409"/>
        <item m="1" x="1468"/>
        <item m="1" x="755"/>
        <item m="1" x="2469"/>
        <item m="1" x="2357"/>
        <item m="1" x="1489"/>
        <item m="1" x="1864"/>
        <item m="1" x="1529"/>
        <item m="1" x="2208"/>
        <item m="1" x="2301"/>
        <item m="1" x="1530"/>
        <item m="1" x="1394"/>
        <item m="1" x="2153"/>
        <item m="1" x="1623"/>
        <item m="1" x="2121"/>
        <item m="1" x="2241"/>
        <item m="1" x="765"/>
        <item m="1" x="2127"/>
        <item m="1" x="2302"/>
        <item m="1" x="2303"/>
        <item m="1" x="1367"/>
        <item m="1" x="2358"/>
        <item m="1" x="2074"/>
        <item m="1" x="2359"/>
        <item m="1" x="1624"/>
        <item m="1" x="2410"/>
        <item m="1" x="1885"/>
        <item m="1" x="2470"/>
        <item x="109"/>
        <item m="1" x="2360"/>
        <item m="1" x="2154"/>
        <item m="1" x="2209"/>
        <item m="1" x="2155"/>
        <item m="1" x="1358"/>
        <item m="1" x="1933"/>
        <item m="1" x="2304"/>
        <item m="1" x="2128"/>
        <item m="1" x="1645"/>
        <item m="1" x="2156"/>
        <item m="1" x="766"/>
        <item m="1" x="2157"/>
        <item m="1" x="2219"/>
        <item m="1" x="2220"/>
        <item m="1" x="2361"/>
        <item m="1" x="2122"/>
        <item x="249"/>
        <item m="1" x="2305"/>
        <item m="1" x="1626"/>
        <item m="1" x="2362"/>
        <item m="1" x="2363"/>
        <item m="1" x="2158"/>
        <item m="1" x="2364"/>
        <item m="1" x="2365"/>
        <item m="1" x="1531"/>
        <item m="1" x="2366"/>
        <item m="1" x="2367"/>
        <item m="1" x="2159"/>
        <item m="1" x="2368"/>
        <item m="1" x="1934"/>
        <item m="1" x="2369"/>
        <item m="1" x="1032"/>
        <item x="6"/>
        <item m="1" x="1886"/>
        <item m="1" x="2041"/>
        <item m="1" x="2160"/>
        <item x="28"/>
        <item m="1" x="2370"/>
        <item m="1" x="2371"/>
        <item m="1" x="1973"/>
        <item m="1" x="2372"/>
        <item m="1" x="2373"/>
        <item m="1" x="2374"/>
        <item m="1" x="1490"/>
        <item m="1" x="2375"/>
        <item m="1" x="2376"/>
        <item m="1" x="2377"/>
        <item m="1" x="2378"/>
        <item m="1" x="2379"/>
        <item m="1" x="760"/>
        <item m="1" x="2380"/>
        <item m="1" x="2221"/>
        <item m="1" x="2381"/>
        <item m="1" x="2382"/>
        <item m="1" x="2383"/>
        <item m="1" x="2129"/>
        <item m="1" x="2384"/>
        <item m="1" x="2385"/>
        <item m="1" x="2386"/>
        <item m="1" x="2387"/>
        <item m="1" x="2222"/>
        <item m="1" x="1865"/>
        <item m="1" x="2388"/>
        <item m="1" x="2223"/>
        <item m="1" x="2389"/>
        <item m="1" x="2390"/>
        <item m="1" x="2224"/>
        <item m="1" x="2042"/>
        <item m="1" x="2103"/>
        <item m="1" x="1866"/>
        <item m="1" x="1935"/>
        <item m="1" x="1867"/>
        <item m="1" x="2391"/>
        <item m="1" x="2392"/>
        <item m="1" x="2225"/>
        <item m="1" x="2075"/>
        <item m="1" x="758"/>
        <item m="1" x="1868"/>
        <item m="1" x="2226"/>
        <item m="1" x="2076"/>
        <item m="1" x="2227"/>
        <item m="1" x="2162"/>
        <item m="1" x="2228"/>
        <item m="1" x="2077"/>
        <item m="1" x="1908"/>
        <item m="1" x="1832"/>
        <item m="1" x="1333"/>
        <item m="1" x="1491"/>
        <item m="1" x="1361"/>
        <item m="1" x="2163"/>
        <item m="1" x="1936"/>
        <item m="1" x="2130"/>
        <item m="1" x="2164"/>
        <item m="1" x="1937"/>
        <item m="1" x="1938"/>
        <item m="1" x="1939"/>
        <item m="1" x="2078"/>
        <item m="1" x="1840"/>
        <item m="1" x="2165"/>
        <item m="1" x="2166"/>
        <item m="1" x="2043"/>
        <item m="1" x="2229"/>
        <item m="1" x="1492"/>
        <item m="1" x="1940"/>
        <item m="1" x="2230"/>
        <item m="1" x="2167"/>
        <item m="1" x="1646"/>
        <item m="1" x="2231"/>
        <item m="1" x="2232"/>
        <item m="1" x="2168"/>
        <item m="1" x="1647"/>
        <item m="1" x="310"/>
        <item m="1" x="2031"/>
        <item m="1" x="2169"/>
        <item m="1" x="2131"/>
        <item m="1" x="2233"/>
        <item m="1" x="756"/>
        <item m="1" x="1368"/>
        <item m="1" x="2132"/>
        <item m="1" x="2234"/>
        <item m="1" x="2104"/>
        <item m="1" x="1373"/>
        <item m="1" x="1625"/>
        <item m="1" x="1365"/>
        <item m="1" x="1493"/>
        <item m="1" x="2235"/>
        <item m="1" x="1941"/>
        <item m="1" x="1942"/>
        <item m="1" x="2236"/>
        <item m="1" x="1943"/>
        <item m="1" x="2133"/>
        <item m="1" x="2032"/>
        <item m="1" x="2237"/>
        <item m="1" x="2238"/>
        <item m="1" x="311"/>
        <item m="1" x="1944"/>
        <item m="1" x="1362"/>
        <item m="1" x="2239"/>
        <item m="1" x="2170"/>
        <item m="1" x="2240"/>
        <item m="1" x="1035"/>
        <item m="1" x="1869"/>
        <item m="1" x="2242"/>
        <item m="1" x="2134"/>
        <item m="1" x="2171"/>
        <item m="1" x="2135"/>
        <item m="1" x="1871"/>
        <item m="1" x="2079"/>
        <item m="1" x="2243"/>
        <item m="1" x="2172"/>
        <item m="1" x="2173"/>
        <item m="1" x="2174"/>
        <item m="1" x="2244"/>
        <item m="1" x="2175"/>
        <item m="1" x="2245"/>
        <item m="1" x="1945"/>
        <item m="1" x="2246"/>
        <item m="1" x="2247"/>
        <item m="1" x="2019"/>
        <item m="1" x="2027"/>
        <item m="1" x="2136"/>
        <item m="1" x="2176"/>
        <item m="1" x="2248"/>
        <item m="1" x="2249"/>
        <item m="1" x="1887"/>
        <item m="1" x="2028"/>
        <item m="1" x="2080"/>
        <item m="1" x="1363"/>
        <item m="1" x="2250"/>
        <item m="1" x="2251"/>
        <item m="1" x="2044"/>
        <item m="1" x="2081"/>
        <item m="1" x="2137"/>
        <item m="1" x="1872"/>
        <item m="1" x="2252"/>
        <item m="1" x="2177"/>
        <item m="1" x="2178"/>
        <item m="1" x="2179"/>
        <item m="1" x="1946"/>
        <item m="1" x="1295"/>
        <item m="1" x="2253"/>
        <item m="1" x="2138"/>
        <item m="1" x="1947"/>
        <item m="1" x="1364"/>
        <item m="1" x="2139"/>
        <item m="1" x="2082"/>
        <item m="1" x="2254"/>
        <item m="1" x="2180"/>
        <item m="1" x="2105"/>
        <item m="1" x="2029"/>
        <item m="1" x="535"/>
        <item m="1" x="1648"/>
        <item m="1" x="780"/>
        <item m="1" x="2255"/>
        <item m="1" x="536"/>
        <item m="1" x="2083"/>
        <item m="1" x="2181"/>
        <item m="1" x="2045"/>
        <item m="1" x="1649"/>
        <item m="1" x="1948"/>
        <item m="1" x="2061"/>
        <item m="1" x="2084"/>
        <item m="1" x="537"/>
        <item m="1" x="1476"/>
        <item m="1" x="1494"/>
        <item m="1" x="2182"/>
        <item m="1" x="2183"/>
        <item m="1" x="2184"/>
        <item m="1" x="2185"/>
        <item m="1" x="2186"/>
        <item m="1" x="1532"/>
        <item m="1" x="1533"/>
        <item m="1" x="1534"/>
        <item m="1" x="2187"/>
        <item m="1" x="2188"/>
        <item m="1" x="2106"/>
        <item m="1" x="1888"/>
        <item m="1" x="2189"/>
        <item m="1" x="1469"/>
        <item m="1" x="1878"/>
        <item m="1" x="2190"/>
        <item m="1" x="1949"/>
        <item m="1" x="2191"/>
        <item m="1" x="298"/>
        <item m="1" x="2050"/>
        <item x="0"/>
        <item m="1" x="2192"/>
        <item m="1" x="1950"/>
        <item m="1" x="1650"/>
        <item m="1" x="2085"/>
        <item m="1" x="1889"/>
        <item m="1" x="2086"/>
        <item m="1" x="2193"/>
        <item m="1" x="2140"/>
        <item m="1" x="1873"/>
        <item m="1" x="2087"/>
        <item m="1" x="1874"/>
        <item m="1" x="1875"/>
        <item m="1" x="2194"/>
        <item m="1" x="1876"/>
        <item m="1" x="2088"/>
        <item m="1" x="2195"/>
        <item m="1" x="2030"/>
        <item m="1" x="2196"/>
        <item m="1" x="2089"/>
        <item m="1" x="1951"/>
        <item m="1" x="1877"/>
        <item m="1" x="2046"/>
        <item m="1" x="2047"/>
        <item m="1" x="2048"/>
        <item m="1" x="1890"/>
        <item m="1" x="1036"/>
        <item m="1" x="1891"/>
        <item m="1" x="1296"/>
        <item m="1" x="1892"/>
        <item m="1" x="1841"/>
        <item m="1" x="1893"/>
        <item m="1" x="1630"/>
        <item m="1" x="1407"/>
        <item m="1" x="761"/>
        <item m="1" x="2068"/>
        <item m="1" x="526"/>
        <item m="1" x="1467"/>
        <item m="1" x="2049"/>
        <item m="1" x="762"/>
        <item m="1" x="2066"/>
        <item m="1" x="1894"/>
        <item m="1" x="1631"/>
        <item m="1" x="2090"/>
        <item m="1" x="1952"/>
        <item m="1" x="1910"/>
        <item m="1" x="1895"/>
        <item m="1" x="767"/>
        <item m="1" x="1896"/>
        <item m="1" x="2091"/>
        <item m="1" x="768"/>
        <item m="1" x="1326"/>
        <item m="1" x="2063"/>
        <item m="1" x="1953"/>
        <item m="1" x="2051"/>
        <item x="7"/>
        <item m="1" x="2093"/>
        <item m="1" x="1909"/>
        <item m="1" x="2064"/>
        <item m="1" x="2094"/>
        <item m="1" x="763"/>
        <item m="1" x="2052"/>
        <item m="1" x="300"/>
        <item m="1" x="1897"/>
        <item m="1" x="1954"/>
        <item m="1" x="1955"/>
        <item m="1" x="2053"/>
        <item m="1" x="1898"/>
        <item m="1" x="1899"/>
        <item m="1" x="1956"/>
        <item m="1" x="1957"/>
        <item m="1" x="2054"/>
        <item m="1" x="1958"/>
        <item m="1" x="1959"/>
        <item m="1" x="2020"/>
        <item m="1" x="2095"/>
        <item m="1" x="1960"/>
        <item m="1" x="1961"/>
        <item m="1" x="2065"/>
        <item m="1" x="2055"/>
        <item m="1" x="1962"/>
        <item m="1" x="2056"/>
        <item m="1" x="1901"/>
        <item m="1" x="1651"/>
        <item m="1" x="1902"/>
        <item m="1" x="1903"/>
        <item m="1" x="2096"/>
        <item m="1" x="2097"/>
        <item m="1" x="1963"/>
        <item m="1" x="1964"/>
        <item m="1" x="1904"/>
        <item m="1" x="2067"/>
        <item m="1" x="1408"/>
        <item m="1" x="1076"/>
        <item m="1" x="1077"/>
        <item m="1" x="781"/>
        <item m="1" x="764"/>
        <item m="1" x="1409"/>
        <item m="1" x="538"/>
        <item m="1" x="2057"/>
        <item m="1" x="2098"/>
        <item m="1" x="1516"/>
        <item m="1" x="2099"/>
        <item m="1" x="516"/>
        <item m="1" x="1632"/>
        <item m="1" x="1526"/>
        <item m="1" x="1633"/>
        <item m="1" x="1905"/>
        <item m="1" x="1965"/>
        <item m="1" x="2100"/>
        <item m="1" x="1966"/>
        <item m="1" x="1906"/>
        <item m="1" x="1967"/>
        <item m="1" x="1968"/>
        <item m="1" x="807"/>
        <item m="1" x="1969"/>
        <item m="1" x="2101"/>
        <item m="1" x="1907"/>
        <item m="1" x="1833"/>
        <item m="1" x="1970"/>
        <item m="1" x="2102"/>
        <item m="1" x="1972"/>
        <item m="1" x="1974"/>
        <item m="1" x="1495"/>
        <item m="1" x="1975"/>
        <item m="1" x="1652"/>
        <item m="1" x="1976"/>
        <item m="1" x="1653"/>
        <item m="1" x="1654"/>
        <item m="1" x="1977"/>
        <item m="1" x="1978"/>
        <item m="1" x="1039"/>
        <item m="1" x="1979"/>
        <item m="1" x="1980"/>
        <item m="1" x="1655"/>
        <item m="1" x="312"/>
        <item m="1" x="1834"/>
        <item m="1" x="1374"/>
        <item m="1" x="769"/>
        <item m="1" x="1981"/>
        <item m="1" x="1535"/>
        <item m="1" x="1982"/>
        <item m="1" x="313"/>
        <item m="1" x="1983"/>
        <item m="1" x="1911"/>
        <item m="1" x="1656"/>
        <item m="1" x="314"/>
        <item m="1" x="1297"/>
        <item m="1" x="1496"/>
        <item m="1" x="770"/>
        <item m="1" x="1984"/>
        <item m="1" x="1336"/>
        <item m="1" x="1985"/>
        <item m="1" x="1986"/>
        <item m="1" x="1987"/>
        <item m="1" x="1835"/>
        <item m="1" x="1988"/>
        <item m="1" x="1497"/>
        <item x="1"/>
        <item m="1" x="1989"/>
        <item m="1" x="1990"/>
        <item m="1" x="1991"/>
        <item m="1" x="1992"/>
        <item m="1" x="1993"/>
        <item m="1" x="1994"/>
        <item m="1" x="1995"/>
        <item m="1" x="1996"/>
        <item m="1" x="1536"/>
        <item m="1" x="527"/>
        <item m="1" x="1997"/>
        <item m="1" x="1836"/>
        <item m="1" x="1998"/>
        <item m="1" x="1999"/>
        <item m="1" x="1410"/>
        <item m="1" x="2000"/>
        <item m="1" x="2001"/>
        <item m="1" x="2002"/>
        <item m="1" x="1375"/>
        <item m="1" x="773"/>
        <item m="1" x="2003"/>
        <item m="1" x="1470"/>
        <item m="1" x="1657"/>
        <item m="1" x="2004"/>
        <item m="1" x="1498"/>
        <item m="1" x="1658"/>
        <item m="1" x="1499"/>
        <item m="1" x="2005"/>
        <item m="1" x="1912"/>
        <item m="1" x="1078"/>
        <item m="1" x="2006"/>
        <item m="1" x="1040"/>
        <item m="1" x="2007"/>
        <item m="1" x="2008"/>
        <item m="1" x="1913"/>
        <item m="1" x="2009"/>
        <item m="1" x="1500"/>
        <item m="1" x="2010"/>
        <item m="1" x="1501"/>
        <item m="1" x="2011"/>
        <item m="1" x="2012"/>
        <item m="1" x="2013"/>
        <item m="1" x="2014"/>
        <item m="1" x="2015"/>
        <item m="1" x="1041"/>
        <item m="1" x="2016"/>
        <item m="1" x="1042"/>
        <item x="110"/>
        <item m="1" x="539"/>
        <item m="1" x="2017"/>
        <item m="1" x="540"/>
        <item m="1" x="1634"/>
        <item m="1" x="1043"/>
        <item m="1" x="1837"/>
        <item m="1" x="1838"/>
        <item m="1" x="1044"/>
        <item m="1" x="1045"/>
        <item m="1" x="1915"/>
        <item m="1" x="2018"/>
        <item m="1" x="541"/>
        <item m="1" x="542"/>
        <item m="1" x="1839"/>
        <item m="1" x="1914"/>
        <item m="1" x="1659"/>
        <item m="1" x="1660"/>
        <item m="1" x="1661"/>
        <item m="1" x="1662"/>
        <item m="1" x="1471"/>
        <item m="1" x="1537"/>
        <item m="1" x="1538"/>
        <item m="1" x="1663"/>
        <item m="1" x="1664"/>
        <item m="1" x="1665"/>
        <item m="1" x="1666"/>
        <item m="1" x="1667"/>
        <item m="1" x="1668"/>
        <item m="1" x="1669"/>
        <item m="1" x="1670"/>
        <item m="1" x="1671"/>
        <item m="1" x="1539"/>
        <item m="1" x="1672"/>
        <item m="1" x="1673"/>
        <item m="1" x="1307"/>
        <item m="1" x="1411"/>
        <item m="1" x="1540"/>
        <item m="1" x="315"/>
        <item m="1" x="1674"/>
        <item m="1" x="1675"/>
        <item m="1" x="1676"/>
        <item m="1" x="1677"/>
        <item m="1" x="1678"/>
        <item m="1" x="1679"/>
        <item m="1" x="1680"/>
        <item m="1" x="782"/>
        <item m="1" x="774"/>
        <item m="1" x="1337"/>
        <item x="9"/>
        <item m="1" x="1681"/>
        <item m="1" x="1502"/>
        <item m="1" x="1308"/>
        <item m="1" x="1682"/>
        <item m="1" x="1683"/>
        <item m="1" x="1338"/>
        <item m="1" x="324"/>
        <item m="1" x="1684"/>
        <item x="29"/>
        <item m="1" x="528"/>
        <item m="1" x="1354"/>
        <item m="1" x="1685"/>
        <item m="1" x="1686"/>
        <item m="1" x="1339"/>
        <item m="1" x="1046"/>
        <item m="1" x="783"/>
        <item m="1" x="1687"/>
        <item m="1" x="1387"/>
        <item m="1" x="1541"/>
        <item m="1" x="1412"/>
        <item x="22"/>
        <item m="1" x="1340"/>
        <item m="1" x="306"/>
        <item m="1" x="1688"/>
        <item m="1" x="1503"/>
        <item m="1" x="1689"/>
        <item m="1" x="530"/>
        <item m="1" x="1517"/>
        <item m="1" x="784"/>
        <item x="23"/>
        <item m="1" x="1690"/>
        <item m="1" x="1542"/>
        <item x="10"/>
        <item m="1" x="1543"/>
        <item m="1" x="1413"/>
        <item m="1" x="1544"/>
        <item m="1" x="1238"/>
        <item m="1" x="1414"/>
        <item m="1" x="1691"/>
        <item x="2"/>
        <item x="11"/>
        <item m="1" x="1692"/>
        <item m="1" x="1693"/>
        <item x="19"/>
        <item m="1" x="785"/>
        <item m="1" x="1504"/>
        <item m="1" x="1694"/>
        <item m="1" x="1080"/>
        <item m="1" x="1695"/>
        <item x="30"/>
        <item m="1" x="316"/>
        <item m="1" x="1696"/>
        <item m="1" x="1697"/>
        <item m="1" x="1047"/>
        <item m="1" x="1081"/>
        <item m="1" x="1384"/>
        <item m="1" x="317"/>
        <item m="1" x="1698"/>
        <item m="1" x="1415"/>
        <item m="1" x="1699"/>
        <item m="1" x="1416"/>
        <item m="1" x="1700"/>
        <item m="1" x="1477"/>
        <item m="1" x="1385"/>
        <item m="1" x="318"/>
        <item m="1" x="1048"/>
        <item m="1" x="1298"/>
        <item m="1" x="1505"/>
        <item m="1" x="1701"/>
        <item m="1" x="1545"/>
        <item x="31"/>
        <item m="1" x="305"/>
        <item m="1" x="1702"/>
        <item m="1" x="1506"/>
        <item m="1" x="1386"/>
        <item m="1" x="1417"/>
        <item m="1" x="1703"/>
        <item m="1" x="1049"/>
        <item m="1" x="1704"/>
        <item m="1" x="1546"/>
        <item m="1" x="1705"/>
        <item x="12"/>
        <item m="1" x="1706"/>
        <item m="1" x="1082"/>
        <item m="1" x="1418"/>
        <item m="1" x="1419"/>
        <item m="1" x="1050"/>
        <item m="1" x="1547"/>
        <item m="1" x="1055"/>
        <item m="1" x="1420"/>
        <item x="13"/>
        <item m="1" x="1707"/>
        <item x="32"/>
        <item m="1" x="1421"/>
        <item m="1" x="1548"/>
        <item m="1" x="771"/>
        <item m="1" x="786"/>
        <item m="1" x="1708"/>
        <item m="1" x="1507"/>
        <item x="14"/>
        <item m="1" x="1508"/>
        <item m="1" x="319"/>
        <item m="1" x="1083"/>
        <item x="20"/>
        <item m="1" x="1709"/>
        <item m="1" x="1056"/>
        <item m="1" x="1710"/>
        <item m="1" x="1525"/>
        <item m="1" x="1711"/>
        <item m="1" x="1549"/>
        <item m="1" x="1712"/>
        <item m="1" x="787"/>
        <item x="15"/>
        <item m="1" x="1527"/>
        <item m="1" x="788"/>
        <item m="1" x="1714"/>
        <item m="1" x="1715"/>
        <item m="1" x="1550"/>
        <item m="1" x="1716"/>
        <item x="21"/>
        <item m="1" x="1369"/>
        <item m="1" x="1717"/>
        <item m="1" x="1509"/>
        <item m="1" x="1718"/>
        <item m="1" x="775"/>
        <item x="33"/>
        <item m="1" x="1051"/>
        <item x="16"/>
        <item m="1" x="1719"/>
        <item m="1" x="1720"/>
        <item x="34"/>
        <item m="1" x="1721"/>
        <item m="1" x="1722"/>
        <item m="1" x="1723"/>
        <item m="1" x="1395"/>
        <item m="1" x="1724"/>
        <item m="1" x="1725"/>
        <item m="1" x="1057"/>
        <item m="1" x="1510"/>
        <item m="1" x="1176"/>
        <item m="1" x="1422"/>
        <item m="1" x="1423"/>
        <item m="1" x="320"/>
        <item m="1" x="1726"/>
        <item x="35"/>
        <item m="1" x="777"/>
        <item m="1" x="1727"/>
        <item m="1" x="307"/>
        <item m="1" x="1397"/>
        <item m="1" x="321"/>
        <item m="1" x="1309"/>
        <item m="1" x="1058"/>
        <item m="1" x="1511"/>
        <item m="1" x="302"/>
        <item m="1" x="1728"/>
        <item m="1" x="1729"/>
        <item m="1" x="1059"/>
        <item m="1" x="303"/>
        <item m="1" x="322"/>
        <item x="17"/>
        <item m="1" x="1299"/>
        <item m="1" x="531"/>
        <item m="1" x="1730"/>
        <item m="1" x="1551"/>
        <item m="1" x="304"/>
        <item m="1" x="529"/>
        <item m="1" x="1552"/>
        <item x="56"/>
        <item m="1" x="789"/>
        <item m="1" x="1052"/>
        <item m="1" x="1553"/>
        <item m="1" x="1053"/>
        <item m="1" x="790"/>
        <item m="1" x="1518"/>
        <item m="1" x="1731"/>
        <item m="1" x="1554"/>
        <item m="1" x="1732"/>
        <item m="1" x="1060"/>
        <item x="24"/>
        <item m="1" x="1300"/>
        <item m="1" x="1555"/>
        <item x="36"/>
        <item m="1" x="1519"/>
        <item m="1" x="1733"/>
        <item m="1" x="1734"/>
        <item m="1" x="1301"/>
        <item m="1" x="1556"/>
        <item m="1" x="1302"/>
        <item m="1" x="1424"/>
        <item m="1" x="1472"/>
        <item m="1" x="1735"/>
        <item m="1" x="1736"/>
        <item m="1" x="1737"/>
        <item m="1" x="1738"/>
        <item m="1" x="1739"/>
        <item m="1" x="1740"/>
        <item m="1" x="1557"/>
        <item m="1" x="1558"/>
        <item m="1" x="1741"/>
        <item m="1" x="1473"/>
        <item m="1" x="1742"/>
        <item m="1" x="1743"/>
        <item m="1" x="1744"/>
        <item m="1" x="1745"/>
        <item m="1" x="1746"/>
        <item m="1" x="1559"/>
        <item m="1" x="1747"/>
        <item m="1" x="1575"/>
        <item m="1" x="1748"/>
        <item m="1" x="1749"/>
        <item m="1" x="1750"/>
        <item m="1" x="1751"/>
        <item m="1" x="1752"/>
        <item m="1" x="1753"/>
        <item m="1" x="1754"/>
        <item m="1" x="1755"/>
        <item m="1" x="1756"/>
        <item m="1" x="1757"/>
        <item m="1" x="1758"/>
        <item m="1" x="1512"/>
        <item m="1" x="1759"/>
        <item m="1" x="1760"/>
        <item m="1" x="1761"/>
        <item m="1" x="1762"/>
        <item m="1" x="1763"/>
        <item m="1" x="1764"/>
        <item m="1" x="1765"/>
        <item m="1" x="1766"/>
        <item m="1" x="1767"/>
        <item m="1" x="1560"/>
        <item m="1" x="1768"/>
        <item m="1" x="1769"/>
        <item m="1" x="1770"/>
        <item m="1" x="1771"/>
        <item m="1" x="1772"/>
        <item m="1" x="1425"/>
        <item m="1" x="1773"/>
        <item m="1" x="1774"/>
        <item m="1" x="1775"/>
        <item m="1" x="1776"/>
        <item m="1" x="1777"/>
        <item m="1" x="1561"/>
        <item m="1" x="1778"/>
        <item m="1" x="1779"/>
        <item m="1" x="1562"/>
        <item m="1" x="1780"/>
        <item m="1" x="1376"/>
        <item m="1" x="1478"/>
        <item m="1" x="1781"/>
        <item m="1" x="1782"/>
        <item m="1" x="1783"/>
        <item m="1" x="1784"/>
        <item m="1" x="1785"/>
        <item m="1" x="1786"/>
        <item m="1" x="1787"/>
        <item m="1" x="1788"/>
        <item m="1" x="1789"/>
        <item m="1" x="1513"/>
        <item m="1" x="1085"/>
        <item m="1" x="1790"/>
        <item m="1" x="1426"/>
        <item m="1" x="1791"/>
        <item m="1" x="1792"/>
        <item m="1" x="1793"/>
        <item m="1" x="1794"/>
        <item m="1" x="1427"/>
        <item m="1" x="1520"/>
        <item m="1" x="1428"/>
        <item m="1" x="1563"/>
        <item m="1" x="1795"/>
        <item m="1" x="1796"/>
        <item m="1" x="1564"/>
        <item m="1" x="1086"/>
        <item m="1" x="1797"/>
        <item m="1" x="1565"/>
        <item m="1" x="1087"/>
        <item m="1" x="1088"/>
        <item m="1" x="1429"/>
        <item m="1" x="543"/>
        <item m="1" x="1089"/>
        <item m="1" x="1566"/>
        <item m="1" x="791"/>
        <item m="1" x="1310"/>
        <item m="1" x="1311"/>
        <item m="1" x="1312"/>
        <item m="1" x="515"/>
        <item m="1" x="1798"/>
        <item m="1" x="1061"/>
        <item m="1" x="1799"/>
        <item m="1" x="772"/>
        <item m="1" x="1313"/>
        <item x="72"/>
        <item m="1" x="1303"/>
        <item m="1" x="1377"/>
        <item m="1" x="1800"/>
        <item m="1" x="1341"/>
        <item m="1" x="1801"/>
        <item m="1" x="544"/>
        <item m="1" x="1090"/>
        <item m="1" x="1802"/>
        <item m="1" x="1342"/>
        <item m="1" x="1567"/>
        <item m="1" x="1474"/>
        <item m="1" x="1398"/>
        <item m="1" x="1803"/>
        <item m="1" x="1054"/>
        <item m="1" x="1804"/>
        <item m="1" x="1805"/>
        <item m="1" x="1806"/>
        <item m="1" x="1807"/>
        <item m="1" x="1808"/>
        <item m="1" x="1809"/>
        <item m="1" x="1810"/>
        <item m="1" x="1811"/>
        <item m="1" x="1812"/>
        <item m="1" x="1813"/>
        <item m="1" x="1814"/>
        <item m="1" x="1314"/>
        <item m="1" x="1815"/>
        <item m="1" x="1816"/>
        <item m="1" x="1817"/>
        <item m="1" x="1818"/>
        <item m="1" x="1819"/>
        <item m="1" x="1062"/>
        <item m="1" x="1820"/>
        <item m="1" x="1821"/>
        <item m="1" x="1822"/>
        <item m="1" x="1823"/>
        <item m="1" x="1824"/>
        <item m="1" x="1430"/>
        <item m="1" x="1825"/>
        <item m="1" x="1399"/>
        <item m="1" x="1063"/>
        <item m="1" x="1568"/>
        <item m="1" x="1378"/>
        <item m="1" x="1826"/>
        <item m="1" x="545"/>
        <item m="1" x="1521"/>
        <item m="1" x="1827"/>
        <item m="1" x="1828"/>
        <item m="1" x="1064"/>
        <item m="1" x="1829"/>
        <item m="1" x="1379"/>
        <item m="1" x="1830"/>
        <item m="1" x="1400"/>
        <item m="1" x="1831"/>
        <item m="1" x="546"/>
        <item m="1" x="1569"/>
        <item m="1" x="1570"/>
        <item m="1" x="1571"/>
        <item m="1" x="1091"/>
        <item m="1" x="1572"/>
        <item m="1" x="323"/>
        <item m="1" x="1343"/>
        <item m="1" x="1065"/>
        <item x="25"/>
        <item m="1" x="1573"/>
        <item x="27"/>
        <item m="1" x="1574"/>
        <item m="1" x="1304"/>
        <item m="1" x="776"/>
        <item m="1" x="1479"/>
        <item x="37"/>
        <item m="1" x="1092"/>
        <item m="1" x="1093"/>
        <item m="1" x="1321"/>
        <item m="1" x="1094"/>
        <item m="1" x="1315"/>
        <item m="1" x="1576"/>
        <item x="38"/>
        <item m="1" x="1344"/>
        <item m="1" x="1577"/>
        <item m="1" x="1578"/>
        <item m="1" x="1579"/>
        <item m="1" x="1580"/>
        <item m="1" x="1431"/>
        <item m="1" x="1522"/>
        <item m="1" x="1380"/>
        <item m="1" x="1581"/>
        <item m="1" x="1582"/>
        <item m="1" x="1583"/>
        <item m="1" x="1432"/>
        <item m="1" x="1480"/>
        <item m="1" x="1523"/>
        <item m="1" x="1584"/>
        <item m="1" x="1585"/>
        <item m="1" x="1586"/>
        <item m="1" x="1095"/>
        <item m="1" x="1345"/>
        <item m="1" x="1587"/>
        <item m="1" x="1066"/>
        <item m="1" x="1096"/>
        <item m="1" x="1097"/>
        <item m="1" x="1305"/>
        <item m="1" x="1588"/>
        <item m="1" x="1589"/>
        <item m="1" x="1590"/>
        <item m="1" x="1524"/>
        <item m="1" x="1381"/>
        <item m="1" x="1591"/>
        <item m="1" x="1433"/>
        <item m="1" x="1592"/>
        <item m="1" x="1434"/>
        <item m="1" x="1593"/>
        <item m="1" x="1316"/>
        <item m="1" x="325"/>
        <item m="1" x="1306"/>
        <item m="1" x="1594"/>
        <item m="1" x="1067"/>
        <item m="1" x="1595"/>
        <item m="1" x="1596"/>
        <item m="1" x="1098"/>
        <item m="1" x="1099"/>
        <item m="1" x="1597"/>
        <item m="1" x="1598"/>
        <item m="1" x="547"/>
        <item m="1" x="1599"/>
        <item m="1" x="1600"/>
        <item m="1" x="1481"/>
        <item m="1" x="1601"/>
        <item m="1" x="1024"/>
        <item m="1" x="1602"/>
        <item m="1" x="1482"/>
        <item x="247"/>
        <item m="1" x="1317"/>
        <item m="1" x="1318"/>
        <item m="1" x="1435"/>
        <item m="1" x="1603"/>
        <item m="1" x="1604"/>
        <item m="1" x="1605"/>
        <item m="1" x="1100"/>
        <item m="1" x="1101"/>
        <item m="1" x="1606"/>
        <item m="1" x="1607"/>
        <item m="1" x="1346"/>
        <item m="1" x="1436"/>
        <item m="1" x="1608"/>
        <item m="1" x="1609"/>
        <item m="1" x="1610"/>
        <item m="1" x="1347"/>
        <item m="1" x="1611"/>
        <item m="1" x="1483"/>
        <item m="1" x="1102"/>
        <item m="1" x="1382"/>
        <item m="1" x="1068"/>
        <item m="1" x="1484"/>
        <item m="1" x="1612"/>
        <item m="1" x="548"/>
        <item m="1" x="1613"/>
        <item m="1" x="1614"/>
        <item m="1" x="1103"/>
        <item m="1" x="1383"/>
        <item m="1" x="1615"/>
        <item m="1" x="1616"/>
        <item m="1" x="1348"/>
        <item m="1" x="549"/>
        <item m="1" x="1025"/>
        <item m="1" x="1401"/>
        <item m="1" x="1353"/>
        <item m="1" x="1617"/>
        <item m="1" x="517"/>
        <item m="1" x="533"/>
        <item m="1" x="1437"/>
        <item m="1" x="1349"/>
        <item m="1" x="1438"/>
        <item m="1" x="1388"/>
        <item m="1" x="1319"/>
        <item m="1" x="326"/>
        <item m="1" x="1439"/>
        <item m="1" x="1350"/>
        <item m="1" x="1440"/>
        <item m="1" x="1104"/>
        <item m="1" x="1441"/>
        <item m="1" x="1442"/>
        <item m="1" x="1443"/>
        <item m="1" x="1444"/>
        <item m="1" x="1445"/>
        <item m="1" x="1389"/>
        <item m="1" x="1446"/>
        <item m="1" x="1320"/>
        <item m="1" x="1105"/>
        <item m="1" x="1351"/>
        <item m="1" x="778"/>
        <item m="1" x="1447"/>
        <item m="1" x="1322"/>
        <item m="1" x="1448"/>
        <item m="1" x="1106"/>
        <item m="1" x="327"/>
        <item m="1" x="1107"/>
        <item m="1" x="1323"/>
        <item m="1" x="1449"/>
        <item m="1" x="532"/>
        <item m="1" x="1108"/>
        <item m="1" x="1069"/>
        <item m="1" x="1109"/>
        <item x="26"/>
        <item m="1" x="1402"/>
        <item m="1" x="1450"/>
        <item m="1" x="328"/>
        <item m="1" x="329"/>
        <item m="1" x="1451"/>
        <item m="1" x="1452"/>
        <item m="1" x="330"/>
        <item m="1" x="1453"/>
        <item m="1" x="331"/>
        <item m="1" x="332"/>
        <item m="1" x="1454"/>
        <item m="1" x="1455"/>
        <item m="1" x="1324"/>
        <item m="1" x="1325"/>
        <item m="1" x="1390"/>
        <item m="1" x="333"/>
        <item m="1" x="1327"/>
        <item m="1" x="1328"/>
        <item m="1" x="482"/>
        <item m="1" x="1329"/>
        <item m="1" x="1070"/>
        <item m="1" x="1456"/>
        <item m="1" x="1457"/>
        <item m="1" x="1071"/>
        <item m="1" x="1330"/>
        <item m="1" x="1072"/>
        <item m="1" x="1458"/>
        <item m="1" x="1331"/>
        <item m="1" x="792"/>
        <item m="1" x="1459"/>
        <item m="1" x="1460"/>
        <item m="1" x="1461"/>
        <item m="1" x="1073"/>
        <item m="1" x="1396"/>
        <item m="1" x="514"/>
        <item m="1" x="1391"/>
        <item m="1" x="1462"/>
        <item m="1" x="1463"/>
        <item m="1" x="1392"/>
        <item m="1" x="1464"/>
        <item m="1" x="1393"/>
        <item m="1" x="1465"/>
        <item m="1" x="1332"/>
        <item m="1" x="1352"/>
        <item m="1" x="1110"/>
        <item x="39"/>
        <item m="1" x="1111"/>
        <item m="1" x="550"/>
        <item m="1" x="1112"/>
        <item m="1" x="1113"/>
        <item m="1" x="551"/>
        <item m="1" x="1114"/>
        <item x="40"/>
        <item m="1" x="1115"/>
        <item m="1" x="1116"/>
        <item m="1" x="1117"/>
        <item m="1" x="334"/>
        <item m="1" x="793"/>
        <item m="1" x="1118"/>
        <item m="1" x="1119"/>
        <item m="1" x="1120"/>
        <item m="1" x="1121"/>
        <item m="1" x="335"/>
        <item m="1" x="1122"/>
        <item x="41"/>
        <item m="1" x="1123"/>
        <item m="1" x="336"/>
        <item m="1" x="1124"/>
        <item m="1" x="1125"/>
        <item m="1" x="794"/>
        <item x="42"/>
        <item m="1" x="1126"/>
        <item m="1" x="1127"/>
        <item m="1" x="1128"/>
        <item m="1" x="1129"/>
        <item m="1" x="337"/>
        <item m="1" x="1130"/>
        <item m="1" x="1131"/>
        <item m="1" x="1132"/>
        <item m="1" x="1133"/>
        <item m="1" x="1134"/>
        <item m="1" x="1135"/>
        <item m="1" x="1136"/>
        <item m="1" x="338"/>
        <item m="1" x="1137"/>
        <item m="1" x="1138"/>
        <item m="1" x="339"/>
        <item m="1" x="1139"/>
        <item m="1" x="1140"/>
        <item m="1" x="1141"/>
        <item x="43"/>
        <item m="1" x="1142"/>
        <item m="1" x="1143"/>
        <item m="1" x="1144"/>
        <item m="1" x="1145"/>
        <item m="1" x="1146"/>
        <item m="1" x="1147"/>
        <item m="1" x="340"/>
        <item m="1" x="1148"/>
        <item m="1" x="1149"/>
        <item m="1" x="1150"/>
        <item m="1" x="1151"/>
        <item m="1" x="552"/>
        <item m="1" x="1152"/>
        <item m="1" x="1153"/>
        <item m="1" x="1154"/>
        <item m="1" x="1155"/>
        <item m="1" x="341"/>
        <item m="1" x="1156"/>
        <item m="1" x="1157"/>
        <item m="1" x="1158"/>
        <item m="1" x="1159"/>
        <item m="1" x="1160"/>
        <item m="1" x="1161"/>
        <item m="1" x="342"/>
        <item x="44"/>
        <item m="1" x="1162"/>
        <item m="1" x="1163"/>
        <item m="1" x="1164"/>
        <item m="1" x="343"/>
        <item m="1" x="795"/>
        <item m="1" x="1165"/>
        <item m="1" x="1166"/>
        <item m="1" x="1167"/>
        <item m="1" x="1168"/>
        <item m="1" x="1169"/>
        <item m="1" x="509"/>
        <item m="1" x="1170"/>
        <item m="1" x="1171"/>
        <item m="1" x="1172"/>
        <item m="1" x="1173"/>
        <item m="1" x="796"/>
        <item m="1" x="797"/>
        <item m="1" x="1174"/>
        <item x="45"/>
        <item m="1" x="798"/>
        <item m="1" x="344"/>
        <item m="1" x="1175"/>
        <item m="1" x="1177"/>
        <item m="1" x="1178"/>
        <item m="1" x="1179"/>
        <item m="1" x="1180"/>
        <item m="1" x="1181"/>
        <item m="1" x="1182"/>
        <item m="1" x="1183"/>
        <item m="1" x="1184"/>
        <item m="1" x="1185"/>
        <item x="46"/>
        <item m="1" x="1186"/>
        <item m="1" x="1187"/>
        <item m="1" x="1188"/>
        <item m="1" x="1189"/>
        <item m="1" x="1190"/>
        <item m="1" x="1191"/>
        <item x="47"/>
        <item m="1" x="1192"/>
        <item m="1" x="1193"/>
        <item m="1" x="1194"/>
        <item m="1" x="1195"/>
        <item m="1" x="345"/>
        <item x="48"/>
        <item m="1" x="799"/>
        <item x="49"/>
        <item m="1" x="1196"/>
        <item m="1" x="1197"/>
        <item m="1" x="346"/>
        <item m="1" x="1198"/>
        <item m="1" x="1199"/>
        <item m="1" x="1200"/>
        <item m="1" x="1201"/>
        <item m="1" x="1202"/>
        <item m="1" x="1203"/>
        <item x="50"/>
        <item m="1" x="1204"/>
        <item m="1" x="1205"/>
        <item m="1" x="1206"/>
        <item m="1" x="1207"/>
        <item m="1" x="347"/>
        <item m="1" x="1208"/>
        <item m="1" x="1209"/>
        <item m="1" x="1210"/>
        <item m="1" x="1211"/>
        <item m="1" x="1212"/>
        <item m="1" x="1213"/>
        <item x="51"/>
        <item m="1" x="876"/>
        <item m="1" x="1215"/>
        <item m="1" x="1216"/>
        <item m="1" x="1217"/>
        <item m="1" x="1218"/>
        <item m="1" x="1219"/>
        <item m="1" x="348"/>
        <item m="1" x="800"/>
        <item m="1" x="349"/>
        <item m="1" x="1220"/>
        <item m="1" x="1221"/>
        <item m="1" x="1222"/>
        <item m="1" x="1223"/>
        <item m="1" x="1224"/>
        <item m="1" x="1225"/>
        <item m="1" x="801"/>
        <item x="52"/>
        <item x="53"/>
        <item m="1" x="350"/>
        <item m="1" x="1226"/>
        <item m="1" x="351"/>
        <item m="1" x="802"/>
        <item m="1" x="803"/>
        <item m="1" x="1227"/>
        <item m="1" x="804"/>
        <item m="1" x="1228"/>
        <item m="1" x="805"/>
        <item m="1" x="806"/>
        <item m="1" x="1229"/>
        <item m="1" x="1230"/>
        <item m="1" x="1231"/>
        <item m="1" x="1232"/>
        <item m="1" x="1233"/>
        <item m="1" x="1234"/>
        <item m="1" x="1235"/>
        <item x="54"/>
        <item m="1" x="1236"/>
        <item m="1" x="1237"/>
        <item m="1" x="808"/>
        <item m="1" x="1239"/>
        <item m="1" x="352"/>
        <item m="1" x="1240"/>
        <item m="1" x="1241"/>
        <item m="1" x="1242"/>
        <item m="1" x="353"/>
        <item m="1" x="354"/>
        <item m="1" x="1243"/>
        <item m="1" x="1244"/>
        <item m="1" x="1245"/>
        <item m="1" x="1246"/>
        <item m="1" x="809"/>
        <item x="55"/>
        <item m="1" x="810"/>
        <item m="1" x="1247"/>
        <item m="1" x="553"/>
        <item m="1" x="1248"/>
        <item m="1" x="811"/>
        <item m="1" x="355"/>
        <item m="1" x="1249"/>
        <item m="1" x="1250"/>
        <item m="1" x="1251"/>
        <item m="1" x="812"/>
        <item m="1" x="1252"/>
        <item m="1" x="813"/>
        <item m="1" x="1253"/>
        <item m="1" x="814"/>
        <item m="1" x="815"/>
        <item m="1" x="1254"/>
        <item m="1" x="1255"/>
        <item m="1" x="1256"/>
        <item m="1" x="816"/>
        <item m="1" x="1257"/>
        <item m="1" x="1258"/>
        <item m="1" x="1259"/>
        <item m="1" x="1260"/>
        <item m="1" x="1261"/>
        <item m="1" x="1262"/>
        <item m="1" x="1263"/>
        <item m="1" x="1264"/>
        <item m="1" x="817"/>
        <item m="1" x="1265"/>
        <item m="1" x="1266"/>
        <item m="1" x="1267"/>
        <item m="1" x="1268"/>
        <item m="1" x="1269"/>
        <item m="1" x="1270"/>
        <item m="1" x="1271"/>
        <item m="1" x="1272"/>
        <item m="1" x="1273"/>
        <item m="1" x="1274"/>
        <item m="1" x="818"/>
        <item m="1" x="1275"/>
        <item m="1" x="819"/>
        <item m="1" x="356"/>
        <item m="1" x="1276"/>
        <item m="1" x="1277"/>
        <item m="1" x="820"/>
        <item m="1" x="357"/>
        <item m="1" x="358"/>
        <item m="1" x="1278"/>
        <item m="1" x="1279"/>
        <item m="1" x="1280"/>
        <item m="1" x="1281"/>
        <item m="1" x="1282"/>
        <item m="1" x="1283"/>
        <item m="1" x="1284"/>
        <item m="1" x="1285"/>
        <item m="1" x="554"/>
        <item m="1" x="1286"/>
        <item m="1" x="555"/>
        <item m="1" x="1287"/>
        <item m="1" x="821"/>
        <item m="1" x="556"/>
        <item m="1" x="1288"/>
        <item m="1" x="557"/>
        <item m="1" x="1289"/>
        <item m="1" x="1290"/>
        <item m="1" x="822"/>
        <item m="1" x="1291"/>
        <item m="1" x="1292"/>
        <item m="1" x="1293"/>
        <item m="1" x="1214"/>
        <item m="1" x="823"/>
        <item m="1" x="824"/>
        <item m="1" x="558"/>
        <item m="1" x="478"/>
        <item m="1" x="479"/>
        <item m="1" x="825"/>
        <item m="1" x="826"/>
        <item m="1" x="469"/>
        <item m="1" x="559"/>
        <item m="1" x="827"/>
        <item m="1" x="828"/>
        <item m="1" x="829"/>
        <item m="1" x="830"/>
        <item m="1" x="831"/>
        <item m="1" x="832"/>
        <item m="1" x="833"/>
        <item m="1" x="834"/>
        <item m="1" x="560"/>
        <item m="1" x="835"/>
        <item m="1" x="836"/>
        <item m="1" x="837"/>
        <item m="1" x="838"/>
        <item m="1" x="499"/>
        <item m="1" x="839"/>
        <item m="1" x="840"/>
        <item m="1" x="841"/>
        <item m="1" x="842"/>
        <item m="1" x="843"/>
        <item m="1" x="844"/>
        <item m="1" x="845"/>
        <item m="1" x="846"/>
        <item m="1" x="847"/>
        <item m="1" x="848"/>
        <item m="1" x="849"/>
        <item m="1" x="850"/>
        <item m="1" x="851"/>
        <item m="1" x="852"/>
        <item m="1" x="853"/>
        <item m="1" x="483"/>
        <item m="1" x="854"/>
        <item m="1" x="484"/>
        <item m="1" x="855"/>
        <item m="1" x="856"/>
        <item m="1" x="857"/>
        <item m="1" x="858"/>
        <item m="1" x="859"/>
        <item m="1" x="860"/>
        <item m="1" x="561"/>
        <item m="1" x="861"/>
        <item m="1" x="562"/>
        <item m="1" x="862"/>
        <item m="1" x="863"/>
        <item x="107"/>
        <item m="1" x="563"/>
        <item m="1" x="512"/>
        <item m="1" x="508"/>
        <item m="1" x="864"/>
        <item m="1" x="865"/>
        <item m="1" x="866"/>
        <item m="1" x="867"/>
        <item m="1" x="564"/>
        <item m="1" x="868"/>
        <item m="1" x="869"/>
        <item m="1" x="870"/>
        <item m="1" x="871"/>
        <item x="108"/>
        <item m="1" x="872"/>
        <item m="1" x="565"/>
        <item m="1" x="510"/>
        <item m="1" x="507"/>
        <item m="1" x="873"/>
        <item m="1" x="566"/>
        <item m="1" x="874"/>
        <item m="1" x="875"/>
        <item m="1" x="511"/>
        <item m="1" x="50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x="57"/>
        <item m="1" x="898"/>
        <item m="1" x="899"/>
        <item m="1" x="900"/>
        <item m="1" x="901"/>
        <item m="1" x="902"/>
        <item m="1" x="903"/>
        <item m="1" x="904"/>
        <item m="1" x="905"/>
        <item m="1" x="359"/>
        <item m="1" x="906"/>
        <item m="1" x="907"/>
        <item m="1" x="908"/>
        <item m="1" x="360"/>
        <item m="1" x="909"/>
        <item m="1" x="910"/>
        <item m="1" x="567"/>
        <item m="1" x="568"/>
        <item m="1" x="911"/>
        <item x="58"/>
        <item m="1" x="912"/>
        <item m="1" x="913"/>
        <item m="1" x="569"/>
        <item m="1" x="570"/>
        <item m="1" x="914"/>
        <item m="1" x="571"/>
        <item m="1" x="572"/>
        <item x="59"/>
        <item m="1" x="573"/>
        <item m="1" x="401"/>
        <item m="1" x="915"/>
        <item m="1" x="916"/>
        <item m="1" x="574"/>
        <item x="60"/>
        <item m="1" x="917"/>
        <item m="1" x="918"/>
        <item m="1" x="919"/>
        <item m="1" x="920"/>
        <item m="1" x="921"/>
        <item m="1" x="575"/>
        <item m="1" x="922"/>
        <item m="1" x="923"/>
        <item m="1" x="924"/>
        <item x="61"/>
        <item m="1" x="925"/>
        <item m="1" x="926"/>
        <item m="1" x="576"/>
        <item m="1" x="361"/>
        <item m="1" x="513"/>
        <item m="1" x="927"/>
        <item m="1" x="928"/>
        <item m="1" x="929"/>
        <item m="1" x="930"/>
        <item m="1" x="931"/>
        <item m="1" x="932"/>
        <item m="1" x="933"/>
        <item x="62"/>
        <item m="1" x="934"/>
        <item m="1" x="935"/>
        <item m="1" x="936"/>
        <item m="1" x="937"/>
        <item x="63"/>
        <item m="1" x="938"/>
        <item m="1" x="362"/>
        <item m="1" x="939"/>
        <item m="1" x="577"/>
        <item m="1" x="363"/>
        <item m="1" x="940"/>
        <item m="1" x="941"/>
        <item x="64"/>
        <item m="1" x="942"/>
        <item m="1" x="943"/>
        <item m="1" x="944"/>
        <item m="1" x="945"/>
        <item x="65"/>
        <item m="1" x="946"/>
        <item m="1" x="947"/>
        <item m="1" x="948"/>
        <item m="1" x="949"/>
        <item m="1" x="950"/>
        <item m="1" x="951"/>
        <item m="1" x="364"/>
        <item m="1" x="952"/>
        <item m="1" x="365"/>
        <item m="1" x="578"/>
        <item m="1" x="953"/>
        <item m="1" x="954"/>
        <item m="1" x="955"/>
        <item x="66"/>
        <item m="1" x="956"/>
        <item m="1" x="579"/>
        <item m="1" x="957"/>
        <item m="1" x="958"/>
        <item m="1" x="959"/>
        <item m="1" x="580"/>
        <item m="1" x="960"/>
        <item m="1" x="961"/>
        <item m="1" x="962"/>
        <item m="1" x="581"/>
        <item m="1" x="963"/>
        <item m="1" x="964"/>
        <item m="1" x="965"/>
        <item m="1" x="966"/>
        <item m="1" x="366"/>
        <item m="1" x="967"/>
        <item m="1" x="968"/>
        <item m="1" x="969"/>
        <item m="1" x="970"/>
        <item m="1" x="971"/>
        <item x="67"/>
        <item m="1" x="367"/>
        <item m="1" x="368"/>
        <item m="1" x="972"/>
        <item m="1" x="973"/>
        <item m="1" x="974"/>
        <item x="68"/>
        <item m="1" x="975"/>
        <item m="1" x="976"/>
        <item m="1" x="977"/>
        <item m="1" x="978"/>
        <item m="1" x="979"/>
        <item m="1" x="980"/>
        <item m="1" x="369"/>
        <item x="69"/>
        <item m="1" x="981"/>
        <item m="1" x="370"/>
        <item m="1" x="982"/>
        <item m="1" x="983"/>
        <item m="1" x="984"/>
        <item m="1" x="371"/>
        <item m="1" x="985"/>
        <item m="1" x="986"/>
        <item m="1" x="987"/>
        <item m="1" x="988"/>
        <item m="1" x="989"/>
        <item m="1" x="990"/>
        <item m="1" x="991"/>
        <item m="1" x="992"/>
        <item m="1" x="993"/>
        <item m="1" x="994"/>
        <item m="1" x="995"/>
        <item m="1" x="996"/>
        <item m="1" x="997"/>
        <item m="1" x="372"/>
        <item m="1" x="373"/>
        <item m="1" x="998"/>
        <item m="1" x="374"/>
        <item m="1" x="999"/>
        <item m="1" x="1000"/>
        <item m="1" x="1001"/>
        <item m="1" x="375"/>
        <item m="1" x="1002"/>
        <item m="1" x="376"/>
        <item m="1" x="377"/>
        <item m="1" x="1003"/>
        <item m="1" x="1004"/>
        <item m="1" x="582"/>
        <item m="1" x="1005"/>
        <item m="1" x="378"/>
        <item m="1" x="1006"/>
        <item x="70"/>
        <item m="1" x="1007"/>
        <item m="1" x="379"/>
        <item m="1" x="380"/>
        <item m="1" x="1008"/>
        <item m="1" x="381"/>
        <item m="1" x="1009"/>
        <item m="1" x="1010"/>
        <item m="1" x="1011"/>
        <item m="1" x="583"/>
        <item m="1" x="382"/>
        <item m="1" x="1012"/>
        <item m="1" x="1013"/>
        <item x="71"/>
        <item m="1" x="584"/>
        <item m="1" x="1014"/>
        <item m="1" x="1015"/>
        <item m="1" x="1016"/>
        <item m="1" x="1017"/>
        <item m="1" x="1018"/>
        <item m="1" x="1019"/>
        <item m="1" x="1020"/>
        <item m="1" x="383"/>
        <item m="1" x="1021"/>
        <item m="1" x="1022"/>
        <item m="1" x="585"/>
        <item m="1" x="586"/>
        <item x="73"/>
        <item m="1" x="587"/>
        <item m="1" x="384"/>
        <item m="1" x="385"/>
        <item m="1" x="588"/>
        <item m="1" x="589"/>
        <item m="1" x="590"/>
        <item x="74"/>
        <item m="1" x="386"/>
        <item m="1" x="387"/>
        <item m="1" x="591"/>
        <item m="1" x="592"/>
        <item m="1" x="388"/>
        <item m="1" x="389"/>
        <item m="1" x="390"/>
        <item m="1" x="391"/>
        <item m="1" x="392"/>
        <item m="1" x="393"/>
        <item m="1" x="593"/>
        <item m="1" x="394"/>
        <item m="1" x="395"/>
        <item x="75"/>
        <item x="76"/>
        <item m="1" x="594"/>
        <item x="77"/>
        <item m="1" x="396"/>
        <item m="1" x="397"/>
        <item m="1" x="595"/>
        <item m="1" x="596"/>
        <item m="1" x="398"/>
        <item m="1" x="399"/>
        <item m="1" x="400"/>
        <item x="78"/>
        <item m="1" x="597"/>
        <item m="1" x="598"/>
        <item m="1" x="599"/>
        <item m="1" x="600"/>
        <item m="1" x="601"/>
        <item m="1" x="602"/>
        <item m="1" x="402"/>
        <item m="1" x="603"/>
        <item m="1" x="403"/>
        <item m="1" x="404"/>
        <item m="1" x="604"/>
        <item m="1" x="605"/>
        <item m="1" x="606"/>
        <item m="1" x="607"/>
        <item m="1" x="608"/>
        <item m="1" x="405"/>
        <item m="1" x="406"/>
        <item m="1" x="407"/>
        <item m="1" x="408"/>
        <item m="1" x="409"/>
        <item m="1" x="410"/>
        <item m="1" x="411"/>
        <item m="1" x="412"/>
        <item m="1" x="609"/>
        <item m="1" x="610"/>
        <item m="1" x="413"/>
        <item x="79"/>
        <item m="1" x="414"/>
        <item m="1" x="611"/>
        <item m="1" x="415"/>
        <item m="1" x="416"/>
        <item m="1" x="417"/>
        <item m="1" x="418"/>
        <item m="1" x="612"/>
        <item m="1" x="419"/>
        <item m="1" x="613"/>
        <item m="1" x="614"/>
        <item m="1" x="420"/>
        <item m="1" x="615"/>
        <item m="1" x="616"/>
        <item m="1" x="617"/>
        <item m="1" x="618"/>
        <item m="1" x="619"/>
        <item m="1" x="421"/>
        <item m="1" x="620"/>
        <item m="1" x="422"/>
        <item m="1" x="423"/>
        <item x="80"/>
        <item m="1" x="424"/>
        <item m="1" x="621"/>
        <item m="1" x="425"/>
        <item m="1" x="426"/>
        <item m="1" x="427"/>
        <item m="1" x="622"/>
        <item m="1" x="623"/>
        <item x="81"/>
        <item m="1" x="624"/>
        <item m="1" x="625"/>
        <item m="1" x="626"/>
        <item x="82"/>
        <item m="1" x="627"/>
        <item m="1" x="628"/>
        <item x="83"/>
        <item m="1" x="428"/>
        <item m="1" x="429"/>
        <item m="1" x="430"/>
        <item m="1" x="629"/>
        <item m="1" x="431"/>
        <item m="1" x="630"/>
        <item m="1" x="631"/>
        <item m="1" x="432"/>
        <item m="1" x="433"/>
        <item m="1" x="434"/>
        <item m="1" x="632"/>
        <item m="1" x="633"/>
        <item m="1" x="634"/>
        <item m="1" x="635"/>
        <item m="1" x="636"/>
        <item m="1" x="637"/>
        <item m="1" x="638"/>
        <item m="1" x="639"/>
        <item m="1" x="435"/>
        <item m="1" x="640"/>
        <item m="1" x="436"/>
        <item m="1" x="641"/>
        <item m="1" x="437"/>
        <item x="84"/>
        <item m="1" x="642"/>
        <item m="1" x="438"/>
        <item m="1" x="643"/>
        <item m="1" x="439"/>
        <item m="1" x="644"/>
        <item m="1" x="440"/>
        <item m="1" x="645"/>
        <item m="1" x="441"/>
        <item m="1" x="646"/>
        <item x="85"/>
        <item m="1" x="647"/>
        <item m="1" x="648"/>
        <item m="1" x="442"/>
        <item m="1" x="649"/>
        <item x="86"/>
        <item m="1" x="443"/>
        <item x="87"/>
        <item m="1" x="650"/>
        <item x="88"/>
        <item m="1" x="651"/>
        <item m="1" x="652"/>
        <item x="89"/>
        <item m="1" x="444"/>
        <item m="1" x="445"/>
        <item m="1" x="653"/>
        <item m="1" x="446"/>
        <item m="1" x="447"/>
        <item m="1" x="654"/>
        <item m="1" x="655"/>
        <item m="1" x="656"/>
        <item x="245"/>
        <item m="1" x="448"/>
        <item x="242"/>
        <item m="1" x="449"/>
        <item m="1" x="450"/>
        <item m="1" x="451"/>
        <item x="90"/>
        <item m="1" x="452"/>
        <item m="1" x="453"/>
        <item m="1" x="454"/>
        <item m="1" x="657"/>
        <item m="1" x="658"/>
        <item m="1" x="659"/>
        <item m="1" x="660"/>
        <item m="1" x="455"/>
        <item m="1" x="456"/>
        <item m="1" x="661"/>
        <item m="1" x="662"/>
        <item x="91"/>
        <item m="1" x="663"/>
        <item m="1" x="457"/>
        <item m="1" x="664"/>
        <item m="1" x="458"/>
        <item m="1" x="665"/>
        <item m="1" x="459"/>
        <item m="1" x="666"/>
        <item m="1" x="667"/>
        <item m="1" x="460"/>
        <item m="1" x="668"/>
        <item m="1" x="461"/>
        <item x="92"/>
        <item m="1" x="669"/>
        <item m="1" x="462"/>
        <item m="1" x="463"/>
        <item m="1" x="464"/>
        <item m="1" x="670"/>
        <item m="1" x="671"/>
        <item m="1" x="672"/>
        <item m="1" x="673"/>
        <item m="1" x="674"/>
        <item m="1" x="675"/>
        <item m="1" x="676"/>
        <item m="1" x="677"/>
        <item m="1" x="678"/>
        <item m="1" x="679"/>
        <item m="1" x="680"/>
        <item m="1" x="681"/>
        <item m="1" x="682"/>
        <item x="106"/>
        <item m="1" x="683"/>
        <item m="1" x="684"/>
        <item m="1" x="685"/>
        <item m="1" x="686"/>
        <item m="1" x="687"/>
        <item m="1" x="688"/>
        <item m="1" x="689"/>
        <item x="104"/>
        <item m="1" x="690"/>
        <item m="1" x="691"/>
        <item m="1" x="692"/>
        <item m="1" x="693"/>
        <item m="1" x="694"/>
        <item m="1" x="695"/>
        <item m="1" x="493"/>
        <item m="1" x="696"/>
        <item m="1" x="497"/>
        <item x="97"/>
        <item m="1" x="697"/>
        <item m="1" x="698"/>
        <item m="1" x="699"/>
        <item m="1" x="700"/>
        <item m="1" x="701"/>
        <item m="1" x="702"/>
        <item m="1" x="703"/>
        <item m="1" x="704"/>
        <item m="1" x="705"/>
        <item m="1" x="706"/>
        <item m="1" x="707"/>
        <item m="1" x="708"/>
        <item m="1" x="709"/>
        <item m="1" x="486"/>
        <item m="1" x="710"/>
        <item m="1" x="711"/>
        <item m="1" x="712"/>
        <item m="1" x="713"/>
        <item m="1" x="714"/>
        <item m="1" x="715"/>
        <item m="1" x="716"/>
        <item m="1" x="717"/>
        <item x="101"/>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x="240"/>
        <item x="93"/>
        <item m="1" x="465"/>
        <item m="1" x="466"/>
        <item x="94"/>
        <item x="95"/>
        <item m="1" x="467"/>
        <item x="96"/>
        <item m="1" x="468"/>
        <item m="1" x="470"/>
        <item m="1" x="471"/>
        <item m="1" x="472"/>
        <item m="1" x="473"/>
        <item m="1" x="474"/>
        <item m="1" x="475"/>
        <item m="1" x="476"/>
        <item m="1" x="477"/>
        <item m="1" x="480"/>
        <item m="1" x="481"/>
        <item m="1" x="485"/>
        <item m="1" x="487"/>
        <item m="1" x="488"/>
        <item m="1" x="489"/>
        <item m="1" x="490"/>
        <item x="98"/>
        <item m="1" x="491"/>
        <item m="1" x="492"/>
        <item x="99"/>
        <item m="1" x="494"/>
        <item m="1" x="495"/>
        <item m="1" x="496"/>
        <item m="1" x="498"/>
        <item x="100"/>
        <item x="102"/>
        <item x="103"/>
        <item x="105"/>
        <item m="1" x="500"/>
        <item m="1" x="501"/>
        <item m="1" x="502"/>
        <item m="1" x="503"/>
        <item m="1" x="504"/>
        <item m="1" x="505"/>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3"/>
        <item x="244"/>
        <item x="246"/>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pivotField showAll="0"/>
    <pivotField showAll="0"/>
    <pivotField showAll="0"/>
    <pivotField showAll="0"/>
    <pivotField showAll="0"/>
    <pivotField showAll="0">
      <items count="9">
        <item m="1" x="7"/>
        <item m="1" x="6"/>
        <item x="2"/>
        <item x="3"/>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3">
        <item x="36"/>
        <item x="27"/>
        <item x="29"/>
        <item x="4"/>
        <item x="6"/>
        <item m="1" x="61"/>
        <item x="3"/>
        <item x="34"/>
        <item x="47"/>
        <item x="35"/>
        <item x="15"/>
        <item m="1" x="79"/>
        <item m="1" x="80"/>
        <item m="1" x="67"/>
        <item x="24"/>
        <item x="45"/>
        <item x="25"/>
        <item m="1" x="58"/>
        <item x="44"/>
        <item x="5"/>
        <item m="1" x="75"/>
        <item m="1" x="62"/>
        <item x="14"/>
        <item m="1" x="64"/>
        <item x="55"/>
        <item x="12"/>
        <item x="39"/>
        <item x="11"/>
        <item x="1"/>
        <item m="1" x="60"/>
        <item x="46"/>
        <item x="26"/>
        <item m="1" x="68"/>
        <item x="16"/>
        <item m="1" x="77"/>
        <item x="37"/>
        <item x="54"/>
        <item x="40"/>
        <item x="21"/>
        <item x="22"/>
        <item x="51"/>
        <item m="1" x="65"/>
        <item m="1" x="59"/>
        <item m="1" x="76"/>
        <item m="1" x="56"/>
        <item m="1" x="71"/>
        <item x="38"/>
        <item x="23"/>
        <item x="33"/>
        <item x="50"/>
        <item x="7"/>
        <item x="49"/>
        <item x="0"/>
        <item m="1" x="57"/>
        <item x="8"/>
        <item m="1" x="78"/>
        <item m="1" x="63"/>
        <item x="17"/>
        <item x="28"/>
        <item x="48"/>
        <item x="2"/>
        <item x="31"/>
        <item x="9"/>
        <item x="20"/>
        <item x="30"/>
        <item x="18"/>
        <item x="10"/>
        <item m="1" x="74"/>
        <item x="32"/>
        <item x="41"/>
        <item x="19"/>
        <item x="13"/>
        <item x="43"/>
        <item m="1" x="81"/>
        <item x="42"/>
        <item m="1" x="73"/>
        <item x="53"/>
        <item m="1" x="66"/>
        <item m="1" x="70"/>
        <item m="1" x="72"/>
        <item m="1" x="69"/>
        <item x="52"/>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4"/>
    <field x="4"/>
  </rowFields>
  <rowItems count="91">
    <i>
      <x/>
    </i>
    <i r="1">
      <x v="60"/>
    </i>
    <i r="2">
      <x v="100"/>
    </i>
    <i>
      <x v="1"/>
    </i>
    <i r="1">
      <x v="6"/>
    </i>
    <i r="2">
      <x v="1209"/>
    </i>
    <i>
      <x v="2"/>
    </i>
    <i r="1">
      <x v="3"/>
    </i>
    <i r="2">
      <x v="2554"/>
    </i>
    <i r="1">
      <x v="50"/>
    </i>
    <i r="2">
      <x v="2571"/>
    </i>
    <i>
      <x v="3"/>
    </i>
    <i r="1">
      <x v="19"/>
    </i>
    <i r="2">
      <x v="2703"/>
    </i>
    <i>
      <x v="4"/>
    </i>
    <i r="1">
      <x v="52"/>
    </i>
    <i r="2">
      <x v="2896"/>
    </i>
    <i>
      <x v="5"/>
    </i>
    <i r="1">
      <x v="4"/>
    </i>
    <i r="2">
      <x v="2951"/>
    </i>
    <i>
      <x v="6"/>
    </i>
    <i r="1">
      <x v="52"/>
    </i>
    <i r="2">
      <x v="3054"/>
    </i>
    <i>
      <x v="7"/>
    </i>
    <i>
      <x v="8"/>
    </i>
    <i r="1">
      <x v="33"/>
    </i>
    <i r="2">
      <x v="3507"/>
    </i>
    <i r="1">
      <x v="65"/>
    </i>
    <i r="2">
      <x v="3509"/>
    </i>
    <i>
      <x v="9"/>
    </i>
    <i r="1">
      <x v="57"/>
    </i>
    <i r="2">
      <x v="3647"/>
    </i>
    <i>
      <x v="10"/>
    </i>
    <i r="1">
      <x v="4"/>
    </i>
    <i r="2">
      <x v="3802"/>
    </i>
    <i r="1">
      <x v="14"/>
    </i>
    <i r="2">
      <x v="3693"/>
    </i>
    <i r="2">
      <x v="3849"/>
    </i>
    <i r="1">
      <x v="16"/>
    </i>
    <i r="2">
      <x v="3718"/>
    </i>
    <i r="1">
      <x v="28"/>
    </i>
    <i r="2">
      <x v="3795"/>
    </i>
    <i r="1">
      <x v="31"/>
    </i>
    <i r="2">
      <x v="3763"/>
    </i>
    <i r="1">
      <x v="52"/>
    </i>
    <i r="2">
      <x v="3319"/>
    </i>
    <i r="2">
      <x v="3700"/>
    </i>
    <i r="1">
      <x v="58"/>
    </i>
    <i r="2">
      <x v="3820"/>
    </i>
    <i r="1">
      <x v="63"/>
    </i>
    <i r="2">
      <x v="3884"/>
    </i>
    <i r="1">
      <x v="64"/>
    </i>
    <i r="2">
      <x v="3868"/>
    </i>
    <i>
      <x v="11"/>
    </i>
    <i r="1">
      <x v="7"/>
    </i>
    <i r="2">
      <x v="4113"/>
    </i>
    <i r="1">
      <x v="14"/>
    </i>
    <i r="2">
      <x v="4175"/>
    </i>
    <i r="1">
      <x v="48"/>
    </i>
    <i r="2">
      <x v="4108"/>
    </i>
    <i>
      <x v="12"/>
    </i>
    <i r="1">
      <x v="7"/>
    </i>
    <i r="2">
      <x v="4298"/>
    </i>
    <i r="1">
      <x v="9"/>
    </i>
    <i r="2">
      <x v="4327"/>
    </i>
    <i r="1">
      <x v="22"/>
    </i>
    <i r="2">
      <x v="4419"/>
    </i>
    <i r="1">
      <x v="26"/>
    </i>
    <i r="2">
      <x v="4395"/>
    </i>
    <i r="1">
      <x v="35"/>
    </i>
    <i r="2">
      <x v="4373"/>
    </i>
    <i r="1">
      <x v="46"/>
    </i>
    <i r="2">
      <x v="4375"/>
    </i>
    <i r="1">
      <x v="48"/>
    </i>
    <i r="2">
      <x v="4334"/>
    </i>
    <i r="1">
      <x v="50"/>
    </i>
    <i r="2">
      <x v="4246"/>
    </i>
    <i r="1">
      <x v="52"/>
    </i>
    <i r="2">
      <x v="4377"/>
    </i>
    <i r="1">
      <x v="57"/>
    </i>
    <i r="2">
      <x v="4271"/>
    </i>
    <i r="1">
      <x v="62"/>
    </i>
    <i r="2">
      <x v="4239"/>
    </i>
    <i r="1">
      <x v="65"/>
    </i>
    <i r="2">
      <x v="4263"/>
    </i>
    <i>
      <x v="15"/>
    </i>
    <i r="1">
      <x v="1"/>
    </i>
    <i r="2">
      <x v="3443"/>
    </i>
    <i r="2">
      <x v="3782"/>
    </i>
    <i r="2">
      <x v="4407"/>
    </i>
    <i t="grand">
      <x/>
    </i>
  </rowItems>
  <colItems count="1">
    <i/>
  </colItems>
  <pageFields count="2">
    <pageField fld="3" item="0" hier="-1"/>
    <pageField fld="0" item="2" hier="-1"/>
  </pageFields>
  <dataFields count="1">
    <dataField name="Count" fld="4" subtotal="count" baseField="0" baseItem="0"/>
  </dataFields>
  <formats count="4">
    <format dxfId="119">
      <pivotArea field="2" type="button" dataOnly="0" labelOnly="1" outline="0" axis="axisRow" fieldPosition="0"/>
    </format>
    <format dxfId="120">
      <pivotArea dataOnly="0" labelOnly="1" outline="0" axis="axisValues" fieldPosition="0"/>
    </format>
    <format dxfId="121">
      <pivotArea field="2" type="button" dataOnly="0" labelOnly="1" outline="0" axis="axisRow" fieldPosition="0"/>
    </format>
    <format dxfId="1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317D53F9-DBD1-41B1-855D-456D91EF2301}" sourceName="Assigned To">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 tabId="1" name="PivotTable13"/>
    <pivotTable tabId="1" name="PivotTable14"/>
    <pivotTable tabId="1" name="PivotTable15"/>
    <pivotTable tabId="1" name="PivotTable16"/>
    <pivotTable tabId="1" name="PivotTable17"/>
    <pivotTable tabId="1" name="PivotTable18"/>
    <pivotTable tabId="4" name="PivotTable13"/>
    <pivotTable tabId="4" name="PivotTable15"/>
  </pivotTables>
  <data>
    <tabular pivotCacheId="712566192">
      <items count="82">
        <i x="36" s="1"/>
        <i x="27" s="1"/>
        <i x="29" s="1"/>
        <i x="4" s="1"/>
        <i x="6" s="1"/>
        <i x="3" s="1"/>
        <i x="53" s="1"/>
        <i x="34" s="1"/>
        <i x="47" s="1"/>
        <i x="35" s="1"/>
        <i x="15" s="1"/>
        <i x="24" s="1"/>
        <i x="45" s="1"/>
        <i x="25" s="1"/>
        <i x="44" s="1"/>
        <i x="5" s="1"/>
        <i x="42" s="1"/>
        <i x="14" s="1"/>
        <i x="55" s="1"/>
        <i x="12" s="1"/>
        <i x="39" s="1"/>
        <i x="11" s="1"/>
        <i x="1" s="1"/>
        <i x="46" s="1"/>
        <i x="26" s="1"/>
        <i x="16" s="1"/>
        <i x="37" s="1"/>
        <i x="54" s="1"/>
        <i x="40" s="1"/>
        <i x="21" s="1"/>
        <i x="22" s="1"/>
        <i x="51" s="1"/>
        <i x="38" s="1"/>
        <i x="23" s="1"/>
        <i x="33" s="1"/>
        <i x="50" s="1"/>
        <i x="7" s="1"/>
        <i x="49" s="1"/>
        <i x="0" s="1"/>
        <i x="8" s="1"/>
        <i x="17" s="1"/>
        <i x="28" s="1"/>
        <i x="48" s="1"/>
        <i x="2" s="1"/>
        <i x="31" s="1"/>
        <i x="9" s="1"/>
        <i x="20" s="1"/>
        <i x="30" s="1"/>
        <i x="13" s="1"/>
        <i x="18" s="1"/>
        <i x="10" s="1"/>
        <i x="52" s="1"/>
        <i x="32" s="1"/>
        <i x="41" s="1"/>
        <i x="19" s="1"/>
        <i x="43" s="1"/>
        <i x="61" s="1" nd="1"/>
        <i x="79" s="1" nd="1"/>
        <i x="80" s="1" nd="1"/>
        <i x="67" s="1" nd="1"/>
        <i x="66" s="1" nd="1"/>
        <i x="72" s="1" nd="1"/>
        <i x="58" s="1" nd="1"/>
        <i x="75" s="1" nd="1"/>
        <i x="62" s="1" nd="1"/>
        <i x="69" s="1" nd="1"/>
        <i x="64" s="1" nd="1"/>
        <i x="60" s="1" nd="1"/>
        <i x="70" s="1" nd="1"/>
        <i x="68" s="1" nd="1"/>
        <i x="77" s="1" nd="1"/>
        <i x="73" s="1" nd="1"/>
        <i x="65" s="1" nd="1"/>
        <i x="59" s="1" nd="1"/>
        <i x="76" s="1" nd="1"/>
        <i x="56" s="1" nd="1"/>
        <i x="71" s="1" nd="1"/>
        <i x="57" s="1" nd="1"/>
        <i x="78" s="1" nd="1"/>
        <i x="63" s="1" nd="1"/>
        <i x="81" s="1" nd="1"/>
        <i x="7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E87E2261-E6EB-4E80-AECA-6E9E9D4DCBE8}" sourceName="Manager">
  <pivotTables>
    <pivotTable tabId="4" name="PivotTable15"/>
    <pivotTable tabId="1" name="PivotTable13"/>
    <pivotTable tabId="1" name="PivotTable14"/>
    <pivotTable tabId="1" name="PivotTable15"/>
    <pivotTable tabId="1" name="PivotTable16"/>
    <pivotTable tabId="1" name="PivotTable17"/>
    <pivotTable tabId="1" name="PivotTable18"/>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12566192">
      <items count="8">
        <i x="2" s="1"/>
        <i x="3" s="1"/>
        <i x="4" s="1"/>
        <i x="0" s="1"/>
        <i x="1" s="1"/>
        <i x="5" s="1"/>
        <i x="7"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 To" xr10:uid="{6ABEE81C-41D4-43A7-9843-215808E31EF6}" cache="Slicer_Assigned_To" caption="Assigned To" rowHeight="257175"/>
  <slicer name="Manager" xr10:uid="{CBC4199C-7165-4469-B3D7-C703B9EA6F5C}" cache="Slicer_Manager" caption="Manag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 To 1" xr10:uid="{48A60590-3C2F-4362-9C05-EC4C984018C1}" cache="Slicer_Assigned_To" caption="Assigned To" columnCount="7" rowHeight="257175"/>
  <slicer name="Manager 1" xr10:uid="{8CE5B92E-778B-4C3B-BB21-487133CFB439}" cache="Slicer_Manager" caption="Manag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F1C3FC-B34A-464D-BEC7-72CAC0CB0F73}" name="Table2" displayName="Table2" ref="A1:CI789" totalsRowShown="0" headerRowDxfId="114" dataDxfId="113" headerRowBorderDxfId="112">
  <autoFilter ref="A1:CI789" xr:uid="{DAF1C3FC-B34A-464D-BEC7-72CAC0CB0F73}">
    <filterColumn colId="11">
      <filters>
        <filter val="Jennifer Rutor"/>
      </filters>
    </filterColumn>
  </autoFilter>
  <tableColumns count="87">
    <tableColumn id="1" xr3:uid="{42441A2E-B01E-4C36-9806-27B7637861B5}" name="Status" dataDxfId="111"/>
    <tableColumn id="79" xr3:uid="{477C6D14-746E-495F-85E6-093C2C261F8A}" name="Remarks" dataDxfId="110"/>
    <tableColumn id="78" xr3:uid="{404554C1-CE41-4A13-B092-399510FA073F}" name="Date" dataDxfId="109"/>
    <tableColumn id="77" xr3:uid="{6D5D5079-628F-4DEB-B789-49EFA76A4F62}" name="Category" dataDxfId="108"/>
    <tableColumn id="76" xr3:uid="{5701C542-A516-4474-95E8-8B5E5CE0267E}" name="Inquiry number2" dataDxfId="107"/>
    <tableColumn id="2" xr3:uid="{E238FA0D-3006-4845-A0B4-0B23CEF68EB5}" name="External Inquiry ID" dataDxfId="106"/>
    <tableColumn id="3" xr3:uid="{8C9B7B9C-8B05-4CC1-9762-E37097B437E6}" name="Urgency" dataDxfId="105"/>
    <tableColumn id="4" xr3:uid="{86AC4E8C-9B77-4AA5-B852-59169C4DD995}" name="Total Age" dataDxfId="104">
      <calculatedColumnFormula>IF(AND(A2="Completed",#REF!="Valid"),0,DATEDIF(AR2,TODAY(),"D"))</calculatedColumnFormula>
    </tableColumn>
    <tableColumn id="5" xr3:uid="{66BFC4DF-428D-4248-8A45-3A833BADB05B}" name="Age" dataDxfId="103"/>
    <tableColumn id="6" xr3:uid="{354E5B35-99CB-481E-B29A-F6C52AAE3477}" name="Receipt" dataDxfId="102"/>
    <tableColumn id="7" xr3:uid="{323373DC-0F5F-4DEC-BBD7-33EB83D11CBB}" name="Domain" dataDxfId="101"/>
    <tableColumn id="8" xr3:uid="{1B84367A-3789-47E8-B74F-B0DC2D66D72F}" name="Manager" dataDxfId="100"/>
    <tableColumn id="9" xr3:uid="{32A580EA-0607-4C12-8115-8B96760742DB}" name="Pended Days" dataDxfId="99"/>
    <tableColumn id="10" xr3:uid="{78AFB49C-5866-4A24-AC01-D0A9E6B39ED3}" name="Status2" dataDxfId="98"/>
    <tableColumn id="11" xr3:uid="{8401110E-2084-4E16-89DD-7804A11A3E4C}" name="Sub-status" dataDxfId="97"/>
    <tableColumn id="12" xr3:uid="{6936FC3A-A2BA-4ED0-9432-B638C61A81B5}" name="HCID" dataDxfId="96"/>
    <tableColumn id="13" xr3:uid="{3A34D24E-5B30-4B27-B57C-CFDBDDAEDDFF}" name="Class Code" dataDxfId="95"/>
    <tableColumn id="14" xr3:uid="{85883463-4F34-425E-91A2-A865F2312A0E}" name="Source" dataDxfId="94"/>
    <tableColumn id="15" xr3:uid="{D51BBFC3-441C-45FF-A457-A82E79466717}" name="DCN" dataDxfId="93"/>
    <tableColumn id="16" xr3:uid="{0AE1940A-3607-4226-A456-7A6BEA10DEBE}" name="Case number" dataDxfId="92"/>
    <tableColumn id="17" xr3:uid="{691D509E-9EC0-480C-BA2F-0EF192C1886F}" name="Pended Date" dataDxfId="91"/>
    <tableColumn id="18" xr3:uid="{DF339B14-94E6-4D76-851A-6C1C41117159}" name="Inquiry specialization skill" dataDxfId="90"/>
    <tableColumn id="19" xr3:uid="{805231BB-6005-40F1-B375-5BDDB82BD426}" name="Benefit type skill" dataDxfId="89"/>
    <tableColumn id="20" xr3:uid="{D9BDC124-E845-4AFB-AAC8-D58D699333E1}" name="Restriction type skill" dataDxfId="88"/>
    <tableColumn id="21" xr3:uid="{2E750311-B47D-4FDE-856F-F12FC217C2DA}" name="Group specialization skill" dataDxfId="87"/>
    <tableColumn id="22" xr3:uid="{396B6815-C0D4-4046-A6CA-99C404B1DE32}" name="Region type skill" dataDxfId="86"/>
    <tableColumn id="23" xr3:uid="{AD86B9D6-7EF7-4E5C-A7C0-B5EE44C6C8A6}" name="Item type skill" dataDxfId="85"/>
    <tableColumn id="24" xr3:uid="{1F6FCCF3-DBDA-4AB5-AAD6-1BCBB3BDC84C}" name="Group number" dataDxfId="84"/>
    <tableColumn id="25" xr3:uid="{02791524-A442-4DFC-961F-FFD609824A60}" name="Provider State" dataDxfId="83"/>
    <tableColumn id="26" xr3:uid="{3DA8A683-46D6-4D1A-B8E0-176ACD90CD01}" name="Tax ID" dataDxfId="82"/>
    <tableColumn id="27" xr3:uid="{4A07CE29-DC4D-4D09-83C6-2CF4912FAF93}" name="Billing NPI" dataDxfId="81"/>
    <tableColumn id="28" xr3:uid="{3F7A3D14-0C07-44B9-9F26-437BBE1AFAB3}" name="Rendering NPI" dataDxfId="80"/>
    <tableColumn id="29" xr3:uid="{95607551-5BB4-4AB8-8CB2-707C095D22B2}" name="SCCF Number" dataDxfId="79"/>
    <tableColumn id="30" xr3:uid="{BD4459B0-5820-4F39-8036-11B7D7910F97}" name="Routed From" dataDxfId="78"/>
    <tableColumn id="31" xr3:uid="{041EC640-9D07-4A01-BFD0-76B72DDC2135}" name="Assigned To" dataDxfId="77"/>
    <tableColumn id="32" xr3:uid="{1EF19EC0-6A48-4CE1-9773-6B1ECB7C8D76}" name="Workgroup" dataDxfId="76"/>
    <tableColumn id="33" xr3:uid="{35EE1965-30D5-4FE0-816B-8F137677AD85}" name="Inquiry Create Date" dataDxfId="75"/>
    <tableColumn id="34" xr3:uid="{710850C5-A508-4559-A0FD-0E96CFF2A4A4}" name="Billed Amount" dataDxfId="74"/>
    <tableColumn id="35" xr3:uid="{DB162EA9-A804-4FC7-A968-C32FFA4F29A8}" name="Host plan code" dataDxfId="73"/>
    <tableColumn id="36" xr3:uid="{F954CA64-9E52-4F26-AFCE-BC921C345BC8}" name="Message Reason Code" dataDxfId="72"/>
    <tableColumn id="37" xr3:uid="{F1F8B005-7E2F-4FA4-B39D-35C41A5EC9A7}" name="Prefix" dataDxfId="71"/>
    <tableColumn id="38" xr3:uid="{F5536F50-D566-45CA-BB4B-215DAB7B1BCD}" name="Attachment Indicator" dataDxfId="70"/>
    <tableColumn id="39" xr3:uid="{63F760FE-CFB1-4287-AB17-CA45C83C0D5C}" name="Days Since Last Touched In CIW" dataDxfId="69"/>
    <tableColumn id="40" xr3:uid="{39E9E52B-FEE2-46F7-BF84-0B160759A3F1}" name="Last Touched Date" dataDxfId="68"/>
    <tableColumn id="41" xr3:uid="{C2E08EA0-F19D-44B2-BD29-3E9E9FCFA047}" name="Last Updated Operator ID" dataDxfId="67"/>
    <tableColumn id="42" xr3:uid="{2FAE1777-BE31-486C-8B6E-FFAB89FABD36}" name="Last Note" dataDxfId="66"/>
    <tableColumn id="43" xr3:uid="{8C68261F-ECA8-45C7-B045-1A0318AAA9A8}" name="Ticket #" dataDxfId="65"/>
    <tableColumn id="44" xr3:uid="{4655DA0D-55E0-404C-957F-0036B88BF640}" name="Provider Name" dataDxfId="64"/>
    <tableColumn id="45" xr3:uid="{9D089F4D-FC8E-4EA2-8069-71258099548B}" name="PDR Reason" dataDxfId="63"/>
    <tableColumn id="46" xr3:uid="{1831EBC1-BF8E-4421-B618-CFE0A5A82DD4}" name="Dispute Level" dataDxfId="62"/>
    <tableColumn id="47" xr3:uid="{2F04DC59-65FF-4837-96FF-6D4AB8D0A70B}" name="Due Date" dataDxfId="61"/>
    <tableColumn id="48" xr3:uid="{66ACA3AE-ACE7-41A0-A772-44B084B972AC}" name="PDR Decision" dataDxfId="60"/>
    <tableColumn id="49" xr3:uid="{6B0B9FE5-C537-4F61-B05D-538F8693228F}" name="Resolved Date" dataDxfId="59"/>
    <tableColumn id="50" xr3:uid="{39AE2F0E-D722-4121-BB5F-21B90EC0F6BD}" name="EXTERNAL ID" dataDxfId="58"/>
    <tableColumn id="51" xr3:uid="{CD1FB4CC-7448-484C-A27F-C8F733CE3AB6}" name="Message Type" dataDxfId="57"/>
    <tableColumn id="52" xr3:uid="{ED7B7CE3-669C-47BF-B5F6-6C0BAECFB589}" name="Owner" dataDxfId="56"/>
    <tableColumn id="53" xr3:uid="{628C00CB-3420-4B1E-B27D-B87350388889}" name="Home age" dataDxfId="55"/>
    <tableColumn id="54" xr3:uid="{D3D2D61D-D440-472F-A729-660D1DA91549}" name="Payor name" dataDxfId="54"/>
    <tableColumn id="55" xr3:uid="{E26EA2CD-7872-4AE9-8BFC-4A54C9FACD87}" name="Inquiry type" dataDxfId="53"/>
    <tableColumn id="56" xr3:uid="{E2CB3574-72E6-4560-A02D-533563D37DAC}" name="Line of business" dataDxfId="52"/>
    <tableColumn id="57" xr3:uid="{21BE9B82-E01A-4471-B077-0593A17E85A9}" name="Member ID" dataDxfId="51"/>
    <tableColumn id="58" xr3:uid="{4FD8F429-D66C-4F79-B07C-8B100FF02038}" name="Claim count" dataDxfId="50"/>
    <tableColumn id="59" xr3:uid="{BE0DD8C4-DCF8-4845-BA48-69A520591B1D}" name="Payor inquiry number" dataDxfId="49"/>
    <tableColumn id="60" xr3:uid="{2FA71B9E-ED71-4176-9F90-57186A1E3945}" name="Decision Outcome" dataDxfId="48"/>
    <tableColumn id="61" xr3:uid="{512AECDB-D0F1-4C32-BCD5-6988B188A89B}" name="Intake Type" dataDxfId="47"/>
    <tableColumn id="62" xr3:uid="{06A1B4EC-9702-48BB-A4CA-72DCBFF1F2C4}" name="Recovery Type" dataDxfId="46"/>
    <tableColumn id="63" xr3:uid="{6731285A-FAEB-46CC-AFAE-E649F9E082A1}" name="Current Paid Amount" dataDxfId="45"/>
    <tableColumn id="64" xr3:uid="{612C77F7-87B2-4D97-9C9A-20FB90AD1D52}" name="Correct Paid Amount" dataDxfId="44"/>
    <tableColumn id="65" xr3:uid="{B00A2E4E-51B9-46A4-953E-ABBEB69671AE}" name="Recovery Amount" dataDxfId="43"/>
    <tableColumn id="66" xr3:uid="{4BB75110-767E-4D4E-9D13-744311D749D4}" name="ACRLetterDate" dataDxfId="42"/>
    <tableColumn id="67" xr3:uid="{6F3CE91B-8E67-44D4-8787-7521A6045C3D}" name="AdjustedDate" dataDxfId="41"/>
    <tableColumn id="68" xr3:uid="{8879C6A0-FB21-4434-AB20-189CE2E3D6FC}" name="Disposition" dataDxfId="40"/>
    <tableColumn id="69" xr3:uid="{B7C8D8FD-0E4C-47BA-9199-F8A635B8A079}" name="ReversalReason" dataDxfId="39"/>
    <tableColumn id="70" xr3:uid="{8DCC339C-17D4-4B0C-B37B-3C969AA697CD}" name="ReversalType" dataDxfId="38"/>
    <tableColumn id="71" xr3:uid="{271EB69B-E2A2-482E-B49F-EB8708004051}" name="RecoveryConceptID" dataDxfId="37"/>
    <tableColumn id="72" xr3:uid="{5ECB5DF3-9450-417C-AAFC-64EB16395F4D}" name="Workbasket received date" dataDxfId="36"/>
    <tableColumn id="73" xr3:uid="{E1CAE15B-98FC-4555-9F35-B5799039F62A}" name="Workbasket age" dataDxfId="35"/>
    <tableColumn id="74" xr3:uid="{F7134E93-31D4-414E-8A73-075AA413C58F}" name="OwnershipChangeDate" dataDxfId="34"/>
    <tableColumn id="92" xr3:uid="{646DCC3C-1E16-46BC-BEF7-F8B6A0564F2D}" name="Update Date" dataDxfId="33"/>
    <tableColumn id="75" xr3:uid="{3DB30864-FE5F-4DFB-9B1A-68F10244CA4B}" name="Column1" dataDxfId="32"/>
    <tableColumn id="80" xr3:uid="{00B66632-DC8F-4D56-A2C2-ED53ADECA981}" name="Inquiry number" dataDxfId="31"/>
    <tableColumn id="81" xr3:uid="{5036CC77-4819-43AB-9DF3-78D8AA6A6762}" name="External Inquiry ID2" dataDxfId="30"/>
    <tableColumn id="82" xr3:uid="{F84C2D15-646D-4021-BC62-EC51EF920E34}" name="Urgency3" dataDxfId="29"/>
    <tableColumn id="83" xr3:uid="{E6C22BF7-3BF6-4AE1-9394-791CD7114723}" name="Total Age4" dataDxfId="28"/>
    <tableColumn id="84" xr3:uid="{7AEFCBEC-0626-4AF7-B103-B3A32456627D}" name="Last Note5" dataDxfId="27"/>
    <tableColumn id="85" xr3:uid="{B2FF35B8-A496-4490-BCE4-EC1D4D707B8C}" name="Owner6" dataDxfId="26"/>
    <tableColumn id="86" xr3:uid="{330B0AB4-6B4B-473D-958B-CEABCD56E474}" name="__PowerAppsId__" dataDxfId="25"/>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D4E93C-BBCB-49C8-A1A0-A35A28152160}" name="Table3" displayName="Table3" ref="A1:L1053" totalsRowShown="0" dataDxfId="14" headerRowBorderDxfId="12" tableBorderDxfId="13">
  <autoFilter ref="A1:L1053" xr:uid="{49BD893E-0749-4533-9DD1-B45D153389CE}">
    <filterColumn colId="9">
      <filters blank="1"/>
    </filterColumn>
  </autoFilter>
  <tableColumns count="12">
    <tableColumn id="1" xr3:uid="{AC85D63A-13F8-4EB0-98E8-202B5BEA7BC8}" name="Date" dataDxfId="11"/>
    <tableColumn id="2" xr3:uid="{9F1D0EE8-7A3D-4A7A-8E9E-440BF8B91A0F}" name="CIW" dataDxfId="10"/>
    <tableColumn id="3" xr3:uid="{526B4ACF-9C61-4B96-9260-5D5C6BE579C6}" name="Domain " dataDxfId="9"/>
    <tableColumn id="4" xr3:uid="{C4912169-6F0A-4B20-B5C4-4CA52C87CB11}" name="Associate" dataDxfId="8"/>
    <tableColumn id="5" xr3:uid="{9ADB717A-46D7-4114-8298-D9DB891DB11B}" name="AM Name" dataDxfId="7"/>
    <tableColumn id="6" xr3:uid="{124FD595-9F72-45C1-81AB-DA529E8D334D}" name="Reason" dataDxfId="6"/>
    <tableColumn id="7" xr3:uid="{4E13628B-E743-4250-8231-D2F2B6C3FFEF}" name="Auditor/SME" dataDxfId="5"/>
    <tableColumn id="8" xr3:uid="{C5AF2573-1D68-43E4-8A88-5152E0574230}" name="Remarks" dataDxfId="4"/>
    <tableColumn id="9" xr3:uid="{0EC51E4B-6B81-4AB5-BEDB-A633F7E8336D}" name="SME Review Date" dataDxfId="3"/>
    <tableColumn id="10" xr3:uid="{6A764BD2-6FCE-4F80-9DA4-8C13280A0746}" name="Associate Remarks for Completion" dataDxfId="2"/>
    <tableColumn id="11" xr3:uid="{A468463F-FEB7-4297-B492-F8D417128409}" name="Status" dataDxfId="1"/>
    <tableColumn id="12" xr3:uid="{55DEA798-BA4E-4341-B8AF-0D19C35CCF3B}" name="__PowerAppsId__"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7.xml"/><Relationship Id="rId7" Type="http://schemas.openxmlformats.org/officeDocument/2006/relationships/drawing" Target="../drawings/drawing2.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10D8E-8347-4E3F-B90B-7327D1416E18}">
  <dimension ref="A1:Y259"/>
  <sheetViews>
    <sheetView topLeftCell="M1" zoomScale="115" zoomScaleNormal="115" workbookViewId="0">
      <selection activeCell="U5" sqref="U5"/>
    </sheetView>
  </sheetViews>
  <sheetFormatPr defaultRowHeight="15"/>
  <cols>
    <col min="1" max="1" width="29.7109375" bestFit="1" customWidth="1"/>
    <col min="2" max="2" width="24.140625" bestFit="1" customWidth="1"/>
    <col min="4" max="4" width="29.7109375" bestFit="1" customWidth="1"/>
    <col min="5" max="5" width="24.140625" bestFit="1" customWidth="1"/>
    <col min="7" max="7" width="30.140625" bestFit="1" customWidth="1"/>
    <col min="8" max="8" width="24.140625" bestFit="1" customWidth="1"/>
    <col min="10" max="10" width="28.85546875" bestFit="1" customWidth="1"/>
    <col min="11" max="11" width="24.140625" bestFit="1" customWidth="1"/>
    <col min="12" max="12" width="7.7109375" bestFit="1" customWidth="1"/>
    <col min="13" max="13" width="29.7109375" bestFit="1" customWidth="1"/>
    <col min="14" max="14" width="24.140625" bestFit="1" customWidth="1"/>
    <col min="16" max="16" width="30.140625" bestFit="1" customWidth="1"/>
    <col min="17" max="17" width="24.140625" bestFit="1" customWidth="1"/>
    <col min="20" max="20" width="9.140625" customWidth="1"/>
    <col min="21" max="21" width="24.140625" bestFit="1" customWidth="1"/>
    <col min="22" max="22" width="20.5703125" style="8" bestFit="1" customWidth="1"/>
    <col min="23" max="23" width="11.42578125" style="8" bestFit="1" customWidth="1"/>
    <col min="24" max="24" width="11.140625" style="8" bestFit="1" customWidth="1"/>
    <col min="25" max="25" width="11.42578125" style="8" bestFit="1" customWidth="1"/>
    <col min="26" max="26" width="8.7109375" bestFit="1" customWidth="1"/>
    <col min="27" max="27" width="5.7109375" bestFit="1" customWidth="1"/>
    <col min="28" max="28" width="23" bestFit="1" customWidth="1"/>
    <col min="29" max="30" width="18.28515625" bestFit="1" customWidth="1"/>
    <col min="31" max="31" width="11.42578125" bestFit="1" customWidth="1"/>
    <col min="32" max="32" width="19" bestFit="1" customWidth="1"/>
    <col min="33" max="33" width="8" bestFit="1" customWidth="1"/>
    <col min="34" max="34" width="6" bestFit="1" customWidth="1"/>
    <col min="35" max="36" width="11.42578125" bestFit="1" customWidth="1"/>
  </cols>
  <sheetData>
    <row r="1" spans="1:25">
      <c r="A1" s="1" t="s">
        <v>0</v>
      </c>
      <c r="B1" t="s">
        <v>1</v>
      </c>
      <c r="D1" s="1" t="s">
        <v>0</v>
      </c>
      <c r="E1" t="s">
        <v>1</v>
      </c>
      <c r="G1" s="1" t="s">
        <v>0</v>
      </c>
      <c r="H1" t="s">
        <v>1</v>
      </c>
      <c r="K1" s="1" t="s">
        <v>0</v>
      </c>
      <c r="L1" t="s">
        <v>2</v>
      </c>
    </row>
    <row r="2" spans="1:25">
      <c r="A2" s="1" t="s">
        <v>3</v>
      </c>
      <c r="B2" t="s">
        <v>4</v>
      </c>
      <c r="D2" s="1" t="s">
        <v>3</v>
      </c>
      <c r="E2" t="s">
        <v>5</v>
      </c>
      <c r="G2" s="1" t="s">
        <v>3</v>
      </c>
      <c r="H2" t="s">
        <v>6</v>
      </c>
      <c r="K2" s="1" t="s">
        <v>3</v>
      </c>
      <c r="L2" t="s">
        <v>2</v>
      </c>
      <c r="V2"/>
    </row>
    <row r="4" spans="1:25">
      <c r="A4" t="s">
        <v>7</v>
      </c>
      <c r="D4" t="s">
        <v>7</v>
      </c>
      <c r="G4" t="s">
        <v>7</v>
      </c>
      <c r="K4" t="s">
        <v>7</v>
      </c>
      <c r="U4" s="1" t="s">
        <v>7</v>
      </c>
      <c r="V4" s="7" t="s">
        <v>8</v>
      </c>
    </row>
    <row r="5" spans="1:25">
      <c r="A5">
        <v>1</v>
      </c>
      <c r="C5" s="2">
        <f>GETPIVOTDATA("Inquiry number2",$A$4)</f>
        <v>1</v>
      </c>
      <c r="D5">
        <v>59</v>
      </c>
      <c r="F5" s="2">
        <f>GETPIVOTDATA("Inquiry number2",$D$4)</f>
        <v>59</v>
      </c>
      <c r="G5">
        <v>172</v>
      </c>
      <c r="I5" s="2">
        <f>GETPIVOTDATA("Inquiry number2",$G$4)</f>
        <v>172</v>
      </c>
      <c r="J5">
        <f>I5+F5+C5</f>
        <v>232</v>
      </c>
      <c r="K5">
        <v>296</v>
      </c>
      <c r="U5" s="1" t="s">
        <v>9</v>
      </c>
      <c r="V5" s="22" t="s">
        <v>4</v>
      </c>
      <c r="W5" s="8" t="s">
        <v>10</v>
      </c>
      <c r="X5" s="6" t="s">
        <v>11</v>
      </c>
      <c r="Y5" s="8" t="s">
        <v>12</v>
      </c>
    </row>
    <row r="6" spans="1:25">
      <c r="U6" s="16" t="s">
        <v>13</v>
      </c>
      <c r="W6" s="8">
        <v>8</v>
      </c>
      <c r="X6" s="8">
        <v>28</v>
      </c>
      <c r="Y6" s="8">
        <v>36</v>
      </c>
    </row>
    <row r="7" spans="1:25">
      <c r="U7" s="14" t="s">
        <v>1</v>
      </c>
      <c r="W7" s="8">
        <v>7</v>
      </c>
      <c r="X7" s="8">
        <v>14</v>
      </c>
      <c r="Y7" s="8">
        <v>21</v>
      </c>
    </row>
    <row r="8" spans="1:25">
      <c r="A8" s="1" t="s">
        <v>0</v>
      </c>
      <c r="B8" t="s">
        <v>14</v>
      </c>
      <c r="D8" s="1" t="s">
        <v>0</v>
      </c>
      <c r="E8" t="s">
        <v>14</v>
      </c>
      <c r="G8" s="1" t="s">
        <v>0</v>
      </c>
      <c r="H8" t="s">
        <v>14</v>
      </c>
      <c r="U8" s="14" t="s">
        <v>14</v>
      </c>
      <c r="W8" s="8">
        <v>1</v>
      </c>
      <c r="X8" s="8">
        <v>14</v>
      </c>
      <c r="Y8" s="8">
        <v>15</v>
      </c>
    </row>
    <row r="9" spans="1:25">
      <c r="A9" s="1" t="s">
        <v>3</v>
      </c>
      <c r="B9" t="s">
        <v>4</v>
      </c>
      <c r="D9" s="1" t="s">
        <v>3</v>
      </c>
      <c r="E9" t="s">
        <v>5</v>
      </c>
      <c r="G9" s="1" t="s">
        <v>3</v>
      </c>
      <c r="H9" t="s">
        <v>6</v>
      </c>
      <c r="U9" s="16" t="s">
        <v>15</v>
      </c>
      <c r="W9" s="8">
        <v>1</v>
      </c>
      <c r="X9" s="8">
        <v>1</v>
      </c>
      <c r="Y9" s="8">
        <v>2</v>
      </c>
    </row>
    <row r="10" spans="1:25">
      <c r="U10" s="14" t="s">
        <v>1</v>
      </c>
      <c r="W10" s="8">
        <v>1</v>
      </c>
      <c r="X10" s="8">
        <v>1</v>
      </c>
      <c r="Y10" s="8">
        <v>2</v>
      </c>
    </row>
    <row r="11" spans="1:25">
      <c r="A11" t="s">
        <v>7</v>
      </c>
      <c r="D11" t="s">
        <v>7</v>
      </c>
      <c r="G11" t="s">
        <v>7</v>
      </c>
      <c r="U11" s="16" t="s">
        <v>16</v>
      </c>
      <c r="X11" s="8">
        <v>36</v>
      </c>
      <c r="Y11" s="8">
        <v>36</v>
      </c>
    </row>
    <row r="12" spans="1:25">
      <c r="A12">
        <v>1</v>
      </c>
      <c r="C12" s="2">
        <f>GETPIVOTDATA("Inquiry number2",$A$11)</f>
        <v>1</v>
      </c>
      <c r="D12">
        <v>5</v>
      </c>
      <c r="F12" s="2">
        <f>GETPIVOTDATA("Inquiry number2",$D$11)</f>
        <v>5</v>
      </c>
      <c r="G12">
        <v>58</v>
      </c>
      <c r="I12" s="2">
        <f>GETPIVOTDATA("Inquiry number2",$G$11)</f>
        <v>58</v>
      </c>
      <c r="J12">
        <f>I12+F12+C12</f>
        <v>64</v>
      </c>
      <c r="U12" s="14" t="s">
        <v>1</v>
      </c>
      <c r="X12" s="8">
        <v>20</v>
      </c>
      <c r="Y12" s="8">
        <v>20</v>
      </c>
    </row>
    <row r="13" spans="1:25">
      <c r="U13" s="14" t="s">
        <v>14</v>
      </c>
      <c r="X13" s="8">
        <v>16</v>
      </c>
      <c r="Y13" s="8">
        <v>16</v>
      </c>
    </row>
    <row r="14" spans="1:25">
      <c r="U14" s="16" t="s">
        <v>17</v>
      </c>
      <c r="W14" s="8">
        <v>44</v>
      </c>
      <c r="X14" s="8">
        <v>110</v>
      </c>
      <c r="Y14" s="8">
        <v>154</v>
      </c>
    </row>
    <row r="15" spans="1:25">
      <c r="U15" s="14" t="s">
        <v>1</v>
      </c>
      <c r="W15" s="8">
        <v>41</v>
      </c>
      <c r="X15" s="8">
        <v>88</v>
      </c>
      <c r="Y15" s="8">
        <v>129</v>
      </c>
    </row>
    <row r="16" spans="1:25">
      <c r="A16" s="1" t="s">
        <v>0</v>
      </c>
      <c r="B16" t="s">
        <v>1</v>
      </c>
      <c r="D16" s="1" t="s">
        <v>0</v>
      </c>
      <c r="E16" t="s">
        <v>1</v>
      </c>
      <c r="G16" s="1" t="s">
        <v>0</v>
      </c>
      <c r="H16" t="s">
        <v>1</v>
      </c>
      <c r="J16" s="1" t="s">
        <v>0</v>
      </c>
      <c r="K16" t="s">
        <v>14</v>
      </c>
      <c r="M16" s="1" t="s">
        <v>0</v>
      </c>
      <c r="N16" t="s">
        <v>14</v>
      </c>
      <c r="P16" s="1" t="s">
        <v>0</v>
      </c>
      <c r="Q16" t="s">
        <v>14</v>
      </c>
      <c r="U16" s="14" t="s">
        <v>14</v>
      </c>
      <c r="W16" s="8">
        <v>3</v>
      </c>
      <c r="X16" s="8">
        <v>22</v>
      </c>
      <c r="Y16" s="8">
        <v>25</v>
      </c>
    </row>
    <row r="17" spans="1:25">
      <c r="A17" s="1" t="s">
        <v>3</v>
      </c>
      <c r="B17" t="s">
        <v>5</v>
      </c>
      <c r="D17" s="1" t="s">
        <v>3</v>
      </c>
      <c r="E17" t="s">
        <v>5</v>
      </c>
      <c r="G17" s="1" t="s">
        <v>3</v>
      </c>
      <c r="H17" t="s">
        <v>6</v>
      </c>
      <c r="J17" s="1" t="s">
        <v>3</v>
      </c>
      <c r="K17" t="s">
        <v>5</v>
      </c>
      <c r="M17" s="1" t="s">
        <v>3</v>
      </c>
      <c r="N17" t="s">
        <v>5</v>
      </c>
      <c r="P17" s="1" t="s">
        <v>3</v>
      </c>
      <c r="Q17" t="s">
        <v>6</v>
      </c>
      <c r="U17" s="16" t="s">
        <v>18</v>
      </c>
      <c r="W17" s="8">
        <v>11</v>
      </c>
      <c r="X17" s="8">
        <v>55</v>
      </c>
      <c r="Y17" s="8">
        <v>66</v>
      </c>
    </row>
    <row r="18" spans="1:25">
      <c r="U18" s="14" t="s">
        <v>1</v>
      </c>
      <c r="W18" s="8">
        <v>10</v>
      </c>
      <c r="X18" s="8">
        <v>49</v>
      </c>
      <c r="Y18" s="8">
        <v>59</v>
      </c>
    </row>
    <row r="19" spans="1:25">
      <c r="A19" s="1" t="s">
        <v>9</v>
      </c>
      <c r="B19" t="s">
        <v>7</v>
      </c>
      <c r="D19" s="1" t="s">
        <v>9</v>
      </c>
      <c r="E19" t="s">
        <v>7</v>
      </c>
      <c r="G19" s="1" t="s">
        <v>9</v>
      </c>
      <c r="H19" t="s">
        <v>7</v>
      </c>
      <c r="J19" s="1" t="s">
        <v>9</v>
      </c>
      <c r="K19" t="s">
        <v>7</v>
      </c>
      <c r="M19" s="1" t="s">
        <v>9</v>
      </c>
      <c r="N19" t="s">
        <v>7</v>
      </c>
      <c r="P19" s="1" t="s">
        <v>9</v>
      </c>
      <c r="Q19" t="s">
        <v>7</v>
      </c>
      <c r="U19" s="14" t="s">
        <v>14</v>
      </c>
      <c r="W19" s="8">
        <v>1</v>
      </c>
      <c r="X19" s="8">
        <v>6</v>
      </c>
      <c r="Y19" s="8">
        <v>7</v>
      </c>
    </row>
    <row r="20" spans="1:25">
      <c r="A20" s="3">
        <v>46146</v>
      </c>
      <c r="B20">
        <v>1</v>
      </c>
      <c r="D20" s="3">
        <v>46146</v>
      </c>
      <c r="E20">
        <v>1</v>
      </c>
      <c r="G20" s="3">
        <v>46178</v>
      </c>
      <c r="H20">
        <v>1</v>
      </c>
      <c r="J20" s="3">
        <v>46232</v>
      </c>
      <c r="K20">
        <v>5</v>
      </c>
      <c r="M20" s="3">
        <v>46232</v>
      </c>
      <c r="N20">
        <v>5</v>
      </c>
      <c r="P20" s="3">
        <v>46232</v>
      </c>
      <c r="Q20">
        <v>15</v>
      </c>
      <c r="U20" s="16" t="s">
        <v>6</v>
      </c>
      <c r="V20" s="8">
        <v>2</v>
      </c>
      <c r="Y20" s="8">
        <v>2</v>
      </c>
    </row>
    <row r="21" spans="1:25">
      <c r="A21" s="14" t="s">
        <v>19</v>
      </c>
      <c r="B21">
        <v>1</v>
      </c>
      <c r="D21" s="14" t="s">
        <v>19</v>
      </c>
      <c r="E21">
        <v>1</v>
      </c>
      <c r="G21" s="14" t="s">
        <v>20</v>
      </c>
      <c r="H21">
        <v>1</v>
      </c>
      <c r="J21" s="14" t="s">
        <v>21</v>
      </c>
      <c r="K21">
        <v>1</v>
      </c>
      <c r="M21" s="14" t="s">
        <v>21</v>
      </c>
      <c r="N21">
        <v>1</v>
      </c>
      <c r="P21" s="14" t="s">
        <v>22</v>
      </c>
      <c r="Q21">
        <v>2</v>
      </c>
      <c r="U21" s="14" t="s">
        <v>1</v>
      </c>
      <c r="V21" s="8">
        <v>1</v>
      </c>
      <c r="Y21" s="8">
        <v>1</v>
      </c>
    </row>
    <row r="22" spans="1:25">
      <c r="A22" s="15" t="s">
        <v>23</v>
      </c>
      <c r="B22">
        <v>1</v>
      </c>
      <c r="D22" s="15" t="s">
        <v>23</v>
      </c>
      <c r="E22">
        <v>1</v>
      </c>
      <c r="G22" s="15" t="s">
        <v>24</v>
      </c>
      <c r="H22">
        <v>1</v>
      </c>
      <c r="J22" s="14" t="s">
        <v>25</v>
      </c>
      <c r="K22">
        <v>1</v>
      </c>
      <c r="M22" s="15" t="s">
        <v>26</v>
      </c>
      <c r="N22">
        <v>1</v>
      </c>
      <c r="P22" s="15" t="s">
        <v>27</v>
      </c>
      <c r="Q22">
        <v>1</v>
      </c>
      <c r="U22" s="14" t="s">
        <v>14</v>
      </c>
      <c r="V22" s="8">
        <v>1</v>
      </c>
      <c r="Y22" s="8">
        <v>1</v>
      </c>
    </row>
    <row r="23" spans="1:25">
      <c r="A23" s="3">
        <v>46153</v>
      </c>
      <c r="B23">
        <v>1</v>
      </c>
      <c r="D23" s="3">
        <v>46153</v>
      </c>
      <c r="E23">
        <v>1</v>
      </c>
      <c r="G23" s="3">
        <v>46196</v>
      </c>
      <c r="H23">
        <v>6</v>
      </c>
      <c r="J23" s="14" t="s">
        <v>28</v>
      </c>
      <c r="K23">
        <v>1</v>
      </c>
      <c r="M23" s="14" t="s">
        <v>25</v>
      </c>
      <c r="N23">
        <v>1</v>
      </c>
      <c r="P23" s="15" t="s">
        <v>29</v>
      </c>
      <c r="Q23">
        <v>1</v>
      </c>
      <c r="U23" s="8" t="s">
        <v>12</v>
      </c>
      <c r="V23" s="8">
        <v>2</v>
      </c>
      <c r="W23" s="8">
        <v>64</v>
      </c>
      <c r="X23" s="8">
        <v>230</v>
      </c>
      <c r="Y23" s="8">
        <v>296</v>
      </c>
    </row>
    <row r="24" spans="1:25">
      <c r="A24" s="14" t="s">
        <v>30</v>
      </c>
      <c r="B24">
        <v>1</v>
      </c>
      <c r="D24" s="14" t="s">
        <v>30</v>
      </c>
      <c r="E24">
        <v>1</v>
      </c>
      <c r="G24" s="14" t="s">
        <v>31</v>
      </c>
      <c r="H24">
        <v>4</v>
      </c>
      <c r="J24" s="14" t="s">
        <v>32</v>
      </c>
      <c r="K24">
        <v>1</v>
      </c>
      <c r="M24" s="15" t="s">
        <v>33</v>
      </c>
      <c r="N24">
        <v>1</v>
      </c>
      <c r="P24" s="14" t="s">
        <v>34</v>
      </c>
      <c r="Q24">
        <v>4</v>
      </c>
      <c r="V24"/>
      <c r="W24"/>
      <c r="X24"/>
      <c r="Y24"/>
    </row>
    <row r="25" spans="1:25">
      <c r="A25" s="15" t="s">
        <v>35</v>
      </c>
      <c r="B25">
        <v>1</v>
      </c>
      <c r="D25" s="15" t="s">
        <v>35</v>
      </c>
      <c r="E25">
        <v>1</v>
      </c>
      <c r="G25" s="15" t="s">
        <v>36</v>
      </c>
      <c r="H25">
        <v>1</v>
      </c>
      <c r="J25" s="14" t="s">
        <v>37</v>
      </c>
      <c r="K25">
        <v>1</v>
      </c>
      <c r="M25" s="14" t="s">
        <v>28</v>
      </c>
      <c r="N25">
        <v>1</v>
      </c>
      <c r="P25" s="15" t="s">
        <v>38</v>
      </c>
      <c r="Q25">
        <v>1</v>
      </c>
      <c r="V25"/>
      <c r="W25"/>
      <c r="X25"/>
      <c r="Y25"/>
    </row>
    <row r="26" spans="1:25">
      <c r="A26" s="3">
        <v>46177</v>
      </c>
      <c r="B26">
        <v>2</v>
      </c>
      <c r="D26" s="3">
        <v>46177</v>
      </c>
      <c r="E26">
        <v>2</v>
      </c>
      <c r="G26" s="15" t="s">
        <v>39</v>
      </c>
      <c r="H26">
        <v>1</v>
      </c>
      <c r="J26" s="3" t="s">
        <v>12</v>
      </c>
      <c r="K26">
        <v>5</v>
      </c>
      <c r="M26" s="15" t="s">
        <v>40</v>
      </c>
      <c r="N26">
        <v>1</v>
      </c>
      <c r="P26" s="15" t="s">
        <v>41</v>
      </c>
      <c r="Q26">
        <v>1</v>
      </c>
      <c r="V26"/>
    </row>
    <row r="27" spans="1:25">
      <c r="A27" s="14" t="s">
        <v>21</v>
      </c>
      <c r="B27">
        <v>1</v>
      </c>
      <c r="D27" s="14" t="s">
        <v>21</v>
      </c>
      <c r="E27">
        <v>1</v>
      </c>
      <c r="G27" s="15" t="s">
        <v>42</v>
      </c>
      <c r="H27">
        <v>1</v>
      </c>
      <c r="M27" s="14" t="s">
        <v>32</v>
      </c>
      <c r="N27">
        <v>1</v>
      </c>
      <c r="P27" s="15" t="s">
        <v>43</v>
      </c>
      <c r="Q27">
        <v>1</v>
      </c>
    </row>
    <row r="28" spans="1:25">
      <c r="A28" s="15" t="s">
        <v>44</v>
      </c>
      <c r="B28">
        <v>1</v>
      </c>
      <c r="D28" s="15" t="s">
        <v>44</v>
      </c>
      <c r="E28">
        <v>1</v>
      </c>
      <c r="G28" s="15" t="s">
        <v>45</v>
      </c>
      <c r="H28">
        <v>1</v>
      </c>
      <c r="M28" s="15" t="s">
        <v>46</v>
      </c>
      <c r="N28">
        <v>1</v>
      </c>
      <c r="P28" s="15" t="s">
        <v>47</v>
      </c>
      <c r="Q28">
        <v>1</v>
      </c>
      <c r="V28"/>
      <c r="W28"/>
      <c r="X28"/>
    </row>
    <row r="29" spans="1:25">
      <c r="A29" s="14" t="s">
        <v>28</v>
      </c>
      <c r="B29">
        <v>1</v>
      </c>
      <c r="D29" s="14" t="s">
        <v>28</v>
      </c>
      <c r="E29">
        <v>1</v>
      </c>
      <c r="G29" s="14" t="s">
        <v>48</v>
      </c>
      <c r="H29">
        <v>1</v>
      </c>
      <c r="M29" s="14" t="s">
        <v>37</v>
      </c>
      <c r="N29">
        <v>1</v>
      </c>
      <c r="P29" s="14" t="s">
        <v>49</v>
      </c>
      <c r="Q29">
        <v>1</v>
      </c>
      <c r="V29"/>
      <c r="W29"/>
      <c r="X29"/>
    </row>
    <row r="30" spans="1:25">
      <c r="A30" s="15" t="s">
        <v>50</v>
      </c>
      <c r="B30">
        <v>1</v>
      </c>
      <c r="D30" s="15" t="s">
        <v>50</v>
      </c>
      <c r="E30">
        <v>1</v>
      </c>
      <c r="G30" s="15" t="s">
        <v>51</v>
      </c>
      <c r="H30">
        <v>1</v>
      </c>
      <c r="M30" s="15" t="s">
        <v>52</v>
      </c>
      <c r="N30">
        <v>1</v>
      </c>
      <c r="P30" s="15" t="s">
        <v>53</v>
      </c>
      <c r="Q30">
        <v>1</v>
      </c>
      <c r="V30"/>
      <c r="W30"/>
      <c r="X30"/>
    </row>
    <row r="31" spans="1:25">
      <c r="A31" s="3">
        <v>46178</v>
      </c>
      <c r="B31">
        <v>1</v>
      </c>
      <c r="D31" s="3">
        <v>46178</v>
      </c>
      <c r="E31">
        <v>1</v>
      </c>
      <c r="G31" s="14" t="s">
        <v>54</v>
      </c>
      <c r="H31">
        <v>1</v>
      </c>
      <c r="M31" s="3" t="s">
        <v>12</v>
      </c>
      <c r="N31">
        <v>5</v>
      </c>
      <c r="P31" s="14" t="s">
        <v>55</v>
      </c>
      <c r="Q31">
        <v>1</v>
      </c>
      <c r="V31"/>
      <c r="W31"/>
      <c r="X31"/>
    </row>
    <row r="32" spans="1:25">
      <c r="A32" s="14" t="s">
        <v>31</v>
      </c>
      <c r="B32">
        <v>1</v>
      </c>
      <c r="D32" s="14" t="s">
        <v>31</v>
      </c>
      <c r="E32">
        <v>1</v>
      </c>
      <c r="G32" s="15" t="s">
        <v>56</v>
      </c>
      <c r="H32">
        <v>1</v>
      </c>
      <c r="P32" s="15" t="s">
        <v>57</v>
      </c>
      <c r="Q32">
        <v>1</v>
      </c>
      <c r="V32"/>
      <c r="W32"/>
      <c r="X32"/>
    </row>
    <row r="33" spans="1:24">
      <c r="A33" s="15" t="s">
        <v>58</v>
      </c>
      <c r="B33">
        <v>1</v>
      </c>
      <c r="D33" s="15" t="s">
        <v>58</v>
      </c>
      <c r="E33">
        <v>1</v>
      </c>
      <c r="G33" s="3">
        <v>46198</v>
      </c>
      <c r="H33">
        <v>2</v>
      </c>
      <c r="P33" s="14" t="s">
        <v>54</v>
      </c>
      <c r="Q33">
        <v>1</v>
      </c>
    </row>
    <row r="34" spans="1:24">
      <c r="A34" s="3">
        <v>46183</v>
      </c>
      <c r="B34">
        <v>1</v>
      </c>
      <c r="D34" s="3">
        <v>46183</v>
      </c>
      <c r="E34">
        <v>1</v>
      </c>
      <c r="G34" s="14" t="s">
        <v>59</v>
      </c>
      <c r="H34">
        <v>1</v>
      </c>
      <c r="P34" s="15" t="s">
        <v>60</v>
      </c>
      <c r="Q34">
        <v>1</v>
      </c>
      <c r="V34"/>
    </row>
    <row r="35" spans="1:24">
      <c r="A35" s="14" t="s">
        <v>32</v>
      </c>
      <c r="B35">
        <v>1</v>
      </c>
      <c r="D35" s="14" t="s">
        <v>32</v>
      </c>
      <c r="E35">
        <v>1</v>
      </c>
      <c r="G35" s="15" t="s">
        <v>61</v>
      </c>
      <c r="H35">
        <v>1</v>
      </c>
      <c r="P35" s="14" t="s">
        <v>19</v>
      </c>
      <c r="Q35">
        <v>1</v>
      </c>
    </row>
    <row r="36" spans="1:24">
      <c r="A36" s="15" t="s">
        <v>62</v>
      </c>
      <c r="B36">
        <v>1</v>
      </c>
      <c r="D36" s="15" t="s">
        <v>62</v>
      </c>
      <c r="E36">
        <v>1</v>
      </c>
      <c r="G36" s="14" t="s">
        <v>63</v>
      </c>
      <c r="H36">
        <v>1</v>
      </c>
      <c r="P36" s="15" t="s">
        <v>64</v>
      </c>
      <c r="Q36">
        <v>1</v>
      </c>
      <c r="V36"/>
      <c r="W36"/>
      <c r="X36"/>
    </row>
    <row r="37" spans="1:24">
      <c r="A37" s="3">
        <v>46185</v>
      </c>
      <c r="B37">
        <v>1</v>
      </c>
      <c r="D37" s="3">
        <v>46185</v>
      </c>
      <c r="E37">
        <v>1</v>
      </c>
      <c r="G37" s="15" t="s">
        <v>65</v>
      </c>
      <c r="H37">
        <v>1</v>
      </c>
      <c r="P37" s="14" t="s">
        <v>66</v>
      </c>
      <c r="Q37">
        <v>1</v>
      </c>
      <c r="V37"/>
      <c r="W37"/>
      <c r="X37"/>
    </row>
    <row r="38" spans="1:24">
      <c r="A38" s="14" t="s">
        <v>67</v>
      </c>
      <c r="B38">
        <v>1</v>
      </c>
      <c r="D38" s="14" t="s">
        <v>67</v>
      </c>
      <c r="E38">
        <v>1</v>
      </c>
      <c r="G38" s="3">
        <v>46209</v>
      </c>
      <c r="H38">
        <v>6</v>
      </c>
      <c r="P38" s="15" t="s">
        <v>68</v>
      </c>
      <c r="Q38">
        <v>1</v>
      </c>
      <c r="V38"/>
      <c r="W38"/>
      <c r="X38"/>
    </row>
    <row r="39" spans="1:24">
      <c r="A39" s="15" t="s">
        <v>69</v>
      </c>
      <c r="B39">
        <v>1</v>
      </c>
      <c r="D39" s="15" t="s">
        <v>69</v>
      </c>
      <c r="E39">
        <v>1</v>
      </c>
      <c r="G39" s="14" t="s">
        <v>70</v>
      </c>
      <c r="H39">
        <v>2</v>
      </c>
      <c r="P39" s="14" t="s">
        <v>71</v>
      </c>
      <c r="Q39">
        <v>1</v>
      </c>
      <c r="V39"/>
      <c r="W39"/>
      <c r="X39"/>
    </row>
    <row r="40" spans="1:24">
      <c r="A40" s="3">
        <v>46188</v>
      </c>
      <c r="B40">
        <v>1</v>
      </c>
      <c r="D40" s="3">
        <v>46188</v>
      </c>
      <c r="E40">
        <v>1</v>
      </c>
      <c r="G40" s="15" t="s">
        <v>72</v>
      </c>
      <c r="H40">
        <v>1</v>
      </c>
      <c r="P40" s="15" t="s">
        <v>73</v>
      </c>
      <c r="Q40">
        <v>1</v>
      </c>
      <c r="V40"/>
      <c r="W40"/>
      <c r="X40"/>
    </row>
    <row r="41" spans="1:24">
      <c r="A41" s="14" t="s">
        <v>32</v>
      </c>
      <c r="B41">
        <v>1</v>
      </c>
      <c r="D41" s="14" t="s">
        <v>32</v>
      </c>
      <c r="E41">
        <v>1</v>
      </c>
      <c r="G41" s="15" t="s">
        <v>74</v>
      </c>
      <c r="H41">
        <v>1</v>
      </c>
      <c r="P41" s="14" t="s">
        <v>75</v>
      </c>
      <c r="Q41">
        <v>1</v>
      </c>
    </row>
    <row r="42" spans="1:24">
      <c r="A42" s="15" t="s">
        <v>76</v>
      </c>
      <c r="B42">
        <v>1</v>
      </c>
      <c r="D42" s="15" t="s">
        <v>76</v>
      </c>
      <c r="E42">
        <v>1</v>
      </c>
      <c r="G42" s="14" t="s">
        <v>19</v>
      </c>
      <c r="H42">
        <v>1</v>
      </c>
      <c r="P42" s="15" t="s">
        <v>77</v>
      </c>
      <c r="Q42">
        <v>1</v>
      </c>
    </row>
    <row r="43" spans="1:24">
      <c r="A43" s="3">
        <v>46196</v>
      </c>
      <c r="B43">
        <v>19</v>
      </c>
      <c r="D43" s="3">
        <v>46196</v>
      </c>
      <c r="E43">
        <v>19</v>
      </c>
      <c r="G43" s="15" t="s">
        <v>78</v>
      </c>
      <c r="H43">
        <v>1</v>
      </c>
      <c r="P43" s="14" t="s">
        <v>20</v>
      </c>
      <c r="Q43">
        <v>1</v>
      </c>
    </row>
    <row r="44" spans="1:24">
      <c r="A44" s="14" t="s">
        <v>67</v>
      </c>
      <c r="B44">
        <v>1</v>
      </c>
      <c r="D44" s="14" t="s">
        <v>67</v>
      </c>
      <c r="E44">
        <v>1</v>
      </c>
      <c r="G44" s="14" t="s">
        <v>20</v>
      </c>
      <c r="H44">
        <v>3</v>
      </c>
      <c r="P44" s="15" t="s">
        <v>79</v>
      </c>
      <c r="Q44">
        <v>1</v>
      </c>
    </row>
    <row r="45" spans="1:24">
      <c r="A45" s="15" t="s">
        <v>80</v>
      </c>
      <c r="B45">
        <v>1</v>
      </c>
      <c r="D45" s="15" t="s">
        <v>80</v>
      </c>
      <c r="E45">
        <v>1</v>
      </c>
      <c r="G45" s="15" t="s">
        <v>81</v>
      </c>
      <c r="H45">
        <v>1</v>
      </c>
      <c r="P45" s="14" t="s">
        <v>82</v>
      </c>
      <c r="Q45">
        <v>1</v>
      </c>
    </row>
    <row r="46" spans="1:24">
      <c r="A46" s="14" t="s">
        <v>25</v>
      </c>
      <c r="B46">
        <v>1</v>
      </c>
      <c r="D46" s="14" t="s">
        <v>25</v>
      </c>
      <c r="E46">
        <v>1</v>
      </c>
      <c r="G46" s="15" t="s">
        <v>83</v>
      </c>
      <c r="H46">
        <v>1</v>
      </c>
      <c r="P46" s="15" t="s">
        <v>84</v>
      </c>
      <c r="Q46">
        <v>1</v>
      </c>
    </row>
    <row r="47" spans="1:24">
      <c r="A47" s="15" t="s">
        <v>85</v>
      </c>
      <c r="B47">
        <v>1</v>
      </c>
      <c r="D47" s="15" t="s">
        <v>85</v>
      </c>
      <c r="E47">
        <v>1</v>
      </c>
      <c r="G47" s="15" t="s">
        <v>86</v>
      </c>
      <c r="H47">
        <v>1</v>
      </c>
      <c r="P47" s="3">
        <v>46241</v>
      </c>
      <c r="Q47">
        <v>43</v>
      </c>
    </row>
    <row r="48" spans="1:24">
      <c r="A48" s="14" t="s">
        <v>87</v>
      </c>
      <c r="B48">
        <v>1</v>
      </c>
      <c r="D48" s="14" t="s">
        <v>87</v>
      </c>
      <c r="E48">
        <v>1</v>
      </c>
      <c r="G48" s="3">
        <v>46217</v>
      </c>
      <c r="H48">
        <v>12</v>
      </c>
      <c r="P48" s="14" t="s">
        <v>88</v>
      </c>
      <c r="Q48">
        <v>1</v>
      </c>
    </row>
    <row r="49" spans="1:17">
      <c r="A49" s="15" t="s">
        <v>89</v>
      </c>
      <c r="B49">
        <v>1</v>
      </c>
      <c r="D49" s="15" t="s">
        <v>89</v>
      </c>
      <c r="E49">
        <v>1</v>
      </c>
      <c r="G49" s="14" t="s">
        <v>70</v>
      </c>
      <c r="H49">
        <v>1</v>
      </c>
      <c r="P49" s="15" t="s">
        <v>90</v>
      </c>
      <c r="Q49">
        <v>1</v>
      </c>
    </row>
    <row r="50" spans="1:17">
      <c r="A50" s="14" t="s">
        <v>91</v>
      </c>
      <c r="B50">
        <v>3</v>
      </c>
      <c r="D50" s="14" t="s">
        <v>91</v>
      </c>
      <c r="E50">
        <v>3</v>
      </c>
      <c r="G50" s="15" t="s">
        <v>92</v>
      </c>
      <c r="H50">
        <v>1</v>
      </c>
      <c r="P50" s="14" t="s">
        <v>93</v>
      </c>
      <c r="Q50">
        <v>9</v>
      </c>
    </row>
    <row r="51" spans="1:17">
      <c r="A51" s="15" t="s">
        <v>94</v>
      </c>
      <c r="B51">
        <v>1</v>
      </c>
      <c r="D51" s="15" t="s">
        <v>94</v>
      </c>
      <c r="E51">
        <v>1</v>
      </c>
      <c r="G51" s="14" t="s">
        <v>48</v>
      </c>
      <c r="H51">
        <v>2</v>
      </c>
      <c r="P51" s="15" t="s">
        <v>95</v>
      </c>
      <c r="Q51">
        <v>1</v>
      </c>
    </row>
    <row r="52" spans="1:17">
      <c r="A52" s="15" t="s">
        <v>96</v>
      </c>
      <c r="B52">
        <v>1</v>
      </c>
      <c r="D52" s="15" t="s">
        <v>96</v>
      </c>
      <c r="E52">
        <v>1</v>
      </c>
      <c r="G52" s="15" t="s">
        <v>97</v>
      </c>
      <c r="H52">
        <v>1</v>
      </c>
      <c r="P52" s="15" t="s">
        <v>98</v>
      </c>
      <c r="Q52">
        <v>1</v>
      </c>
    </row>
    <row r="53" spans="1:17">
      <c r="A53" s="15" t="s">
        <v>99</v>
      </c>
      <c r="B53">
        <v>1</v>
      </c>
      <c r="D53" s="15" t="s">
        <v>99</v>
      </c>
      <c r="E53">
        <v>1</v>
      </c>
      <c r="G53" s="15" t="s">
        <v>100</v>
      </c>
      <c r="H53">
        <v>1</v>
      </c>
      <c r="P53" s="15" t="s">
        <v>101</v>
      </c>
      <c r="Q53">
        <v>1</v>
      </c>
    </row>
    <row r="54" spans="1:17">
      <c r="A54" s="14" t="s">
        <v>102</v>
      </c>
      <c r="B54">
        <v>1</v>
      </c>
      <c r="D54" s="14" t="s">
        <v>102</v>
      </c>
      <c r="E54">
        <v>1</v>
      </c>
      <c r="G54" s="14" t="s">
        <v>19</v>
      </c>
      <c r="H54">
        <v>2</v>
      </c>
      <c r="P54" s="15" t="s">
        <v>103</v>
      </c>
      <c r="Q54">
        <v>1</v>
      </c>
    </row>
    <row r="55" spans="1:17">
      <c r="A55" s="15" t="s">
        <v>104</v>
      </c>
      <c r="B55">
        <v>1</v>
      </c>
      <c r="D55" s="15" t="s">
        <v>104</v>
      </c>
      <c r="E55">
        <v>1</v>
      </c>
      <c r="G55" s="15" t="s">
        <v>105</v>
      </c>
      <c r="H55">
        <v>1</v>
      </c>
      <c r="P55" s="15" t="s">
        <v>106</v>
      </c>
      <c r="Q55">
        <v>1</v>
      </c>
    </row>
    <row r="56" spans="1:17">
      <c r="A56" s="14" t="s">
        <v>107</v>
      </c>
      <c r="B56">
        <v>1</v>
      </c>
      <c r="D56" s="14" t="s">
        <v>107</v>
      </c>
      <c r="E56">
        <v>1</v>
      </c>
      <c r="G56" s="15" t="s">
        <v>108</v>
      </c>
      <c r="H56">
        <v>1</v>
      </c>
      <c r="P56" s="15" t="s">
        <v>109</v>
      </c>
      <c r="Q56">
        <v>1</v>
      </c>
    </row>
    <row r="57" spans="1:17">
      <c r="A57" s="15" t="s">
        <v>110</v>
      </c>
      <c r="B57">
        <v>1</v>
      </c>
      <c r="D57" s="15" t="s">
        <v>110</v>
      </c>
      <c r="E57">
        <v>1</v>
      </c>
      <c r="G57" s="14" t="s">
        <v>66</v>
      </c>
      <c r="H57">
        <v>3</v>
      </c>
      <c r="P57" s="15" t="s">
        <v>111</v>
      </c>
      <c r="Q57">
        <v>1</v>
      </c>
    </row>
    <row r="58" spans="1:17">
      <c r="A58" s="14" t="s">
        <v>28</v>
      </c>
      <c r="B58">
        <v>1</v>
      </c>
      <c r="D58" s="14" t="s">
        <v>28</v>
      </c>
      <c r="E58">
        <v>1</v>
      </c>
      <c r="G58" s="15" t="s">
        <v>112</v>
      </c>
      <c r="H58">
        <v>1</v>
      </c>
      <c r="P58" s="15" t="s">
        <v>113</v>
      </c>
      <c r="Q58">
        <v>1</v>
      </c>
    </row>
    <row r="59" spans="1:17">
      <c r="A59" s="15" t="s">
        <v>114</v>
      </c>
      <c r="B59">
        <v>1</v>
      </c>
      <c r="D59" s="15" t="s">
        <v>114</v>
      </c>
      <c r="E59">
        <v>1</v>
      </c>
      <c r="G59" s="15" t="s">
        <v>115</v>
      </c>
      <c r="H59">
        <v>1</v>
      </c>
      <c r="P59" s="15" t="s">
        <v>116</v>
      </c>
      <c r="Q59">
        <v>1</v>
      </c>
    </row>
    <row r="60" spans="1:17">
      <c r="A60" s="14" t="s">
        <v>63</v>
      </c>
      <c r="B60">
        <v>6</v>
      </c>
      <c r="D60" s="14" t="s">
        <v>63</v>
      </c>
      <c r="E60">
        <v>6</v>
      </c>
      <c r="G60" s="15" t="s">
        <v>117</v>
      </c>
      <c r="H60">
        <v>1</v>
      </c>
      <c r="P60" s="14" t="s">
        <v>34</v>
      </c>
      <c r="Q60">
        <v>3</v>
      </c>
    </row>
    <row r="61" spans="1:17">
      <c r="A61" s="15" t="s">
        <v>118</v>
      </c>
      <c r="B61">
        <v>1</v>
      </c>
      <c r="D61" s="15" t="s">
        <v>118</v>
      </c>
      <c r="E61">
        <v>1</v>
      </c>
      <c r="G61" s="14" t="s">
        <v>119</v>
      </c>
      <c r="H61">
        <v>1</v>
      </c>
      <c r="P61" s="15" t="s">
        <v>120</v>
      </c>
      <c r="Q61">
        <v>1</v>
      </c>
    </row>
    <row r="62" spans="1:17">
      <c r="A62" s="15" t="s">
        <v>121</v>
      </c>
      <c r="B62">
        <v>1</v>
      </c>
      <c r="D62" s="15" t="s">
        <v>121</v>
      </c>
      <c r="E62">
        <v>1</v>
      </c>
      <c r="G62" s="15" t="s">
        <v>122</v>
      </c>
      <c r="H62">
        <v>1</v>
      </c>
      <c r="P62" s="15" t="s">
        <v>123</v>
      </c>
      <c r="Q62">
        <v>1</v>
      </c>
    </row>
    <row r="63" spans="1:17">
      <c r="A63" s="15" t="s">
        <v>124</v>
      </c>
      <c r="B63">
        <v>1</v>
      </c>
      <c r="D63" s="15" t="s">
        <v>124</v>
      </c>
      <c r="E63">
        <v>1</v>
      </c>
      <c r="G63" s="14" t="s">
        <v>20</v>
      </c>
      <c r="H63">
        <v>3</v>
      </c>
      <c r="P63" s="15" t="s">
        <v>125</v>
      </c>
      <c r="Q63">
        <v>1</v>
      </c>
    </row>
    <row r="64" spans="1:17">
      <c r="A64" s="15" t="s">
        <v>126</v>
      </c>
      <c r="B64">
        <v>1</v>
      </c>
      <c r="D64" s="15" t="s">
        <v>126</v>
      </c>
      <c r="E64">
        <v>1</v>
      </c>
      <c r="G64" s="15" t="s">
        <v>127</v>
      </c>
      <c r="H64">
        <v>1</v>
      </c>
      <c r="P64" s="14" t="s">
        <v>128</v>
      </c>
      <c r="Q64">
        <v>1</v>
      </c>
    </row>
    <row r="65" spans="1:17">
      <c r="A65" s="15" t="s">
        <v>129</v>
      </c>
      <c r="B65">
        <v>1</v>
      </c>
      <c r="D65" s="15" t="s">
        <v>129</v>
      </c>
      <c r="E65">
        <v>1</v>
      </c>
      <c r="G65" s="15" t="s">
        <v>130</v>
      </c>
      <c r="H65">
        <v>1</v>
      </c>
      <c r="P65" s="15" t="s">
        <v>131</v>
      </c>
      <c r="Q65">
        <v>1</v>
      </c>
    </row>
    <row r="66" spans="1:17">
      <c r="A66" s="15" t="s">
        <v>132</v>
      </c>
      <c r="B66">
        <v>1</v>
      </c>
      <c r="D66" s="15" t="s">
        <v>132</v>
      </c>
      <c r="E66">
        <v>1</v>
      </c>
      <c r="G66" s="15" t="s">
        <v>133</v>
      </c>
      <c r="H66">
        <v>1</v>
      </c>
      <c r="P66" s="14" t="s">
        <v>55</v>
      </c>
      <c r="Q66">
        <v>3</v>
      </c>
    </row>
    <row r="67" spans="1:17">
      <c r="A67" s="14" t="s">
        <v>134</v>
      </c>
      <c r="B67">
        <v>1</v>
      </c>
      <c r="D67" s="14" t="s">
        <v>134</v>
      </c>
      <c r="E67">
        <v>1</v>
      </c>
      <c r="G67" s="3">
        <v>46224</v>
      </c>
      <c r="H67">
        <v>7</v>
      </c>
      <c r="P67" s="15" t="s">
        <v>135</v>
      </c>
      <c r="Q67">
        <v>1</v>
      </c>
    </row>
    <row r="68" spans="1:17">
      <c r="A68" s="15" t="s">
        <v>136</v>
      </c>
      <c r="B68">
        <v>1</v>
      </c>
      <c r="D68" s="15" t="s">
        <v>136</v>
      </c>
      <c r="E68">
        <v>1</v>
      </c>
      <c r="G68" s="14" t="s">
        <v>88</v>
      </c>
      <c r="H68">
        <v>1</v>
      </c>
      <c r="P68" s="15" t="s">
        <v>137</v>
      </c>
      <c r="Q68">
        <v>1</v>
      </c>
    </row>
    <row r="69" spans="1:17">
      <c r="A69" s="14" t="s">
        <v>138</v>
      </c>
      <c r="B69">
        <v>1</v>
      </c>
      <c r="D69" s="14" t="s">
        <v>138</v>
      </c>
      <c r="E69">
        <v>1</v>
      </c>
      <c r="G69" s="15" t="s">
        <v>139</v>
      </c>
      <c r="H69">
        <v>1</v>
      </c>
      <c r="P69" s="15" t="s">
        <v>140</v>
      </c>
      <c r="Q69">
        <v>1</v>
      </c>
    </row>
    <row r="70" spans="1:17">
      <c r="A70" s="15" t="s">
        <v>141</v>
      </c>
      <c r="B70">
        <v>1</v>
      </c>
      <c r="D70" s="15" t="s">
        <v>141</v>
      </c>
      <c r="E70">
        <v>1</v>
      </c>
      <c r="G70" s="14" t="s">
        <v>70</v>
      </c>
      <c r="H70">
        <v>2</v>
      </c>
      <c r="P70" s="14" t="s">
        <v>142</v>
      </c>
      <c r="Q70">
        <v>2</v>
      </c>
    </row>
    <row r="71" spans="1:17">
      <c r="A71" s="14" t="s">
        <v>143</v>
      </c>
      <c r="B71">
        <v>1</v>
      </c>
      <c r="D71" s="14" t="s">
        <v>143</v>
      </c>
      <c r="E71">
        <v>1</v>
      </c>
      <c r="G71" s="15" t="s">
        <v>144</v>
      </c>
      <c r="H71">
        <v>1</v>
      </c>
      <c r="P71" s="15" t="s">
        <v>145</v>
      </c>
      <c r="Q71">
        <v>1</v>
      </c>
    </row>
    <row r="72" spans="1:17">
      <c r="A72" s="15" t="s">
        <v>146</v>
      </c>
      <c r="B72">
        <v>1</v>
      </c>
      <c r="D72" s="15" t="s">
        <v>146</v>
      </c>
      <c r="E72">
        <v>1</v>
      </c>
      <c r="G72" s="15" t="s">
        <v>147</v>
      </c>
      <c r="H72">
        <v>1</v>
      </c>
      <c r="P72" s="15" t="s">
        <v>148</v>
      </c>
      <c r="Q72">
        <v>1</v>
      </c>
    </row>
    <row r="73" spans="1:17">
      <c r="A73" s="14" t="s">
        <v>149</v>
      </c>
      <c r="B73">
        <v>1</v>
      </c>
      <c r="D73" s="14" t="s">
        <v>149</v>
      </c>
      <c r="E73">
        <v>1</v>
      </c>
      <c r="G73" s="14" t="s">
        <v>54</v>
      </c>
      <c r="H73">
        <v>1</v>
      </c>
      <c r="P73" s="14" t="s">
        <v>150</v>
      </c>
      <c r="Q73">
        <v>1</v>
      </c>
    </row>
    <row r="74" spans="1:17">
      <c r="A74" s="15" t="s">
        <v>151</v>
      </c>
      <c r="B74">
        <v>1</v>
      </c>
      <c r="D74" s="15" t="s">
        <v>151</v>
      </c>
      <c r="E74">
        <v>1</v>
      </c>
      <c r="G74" s="15" t="s">
        <v>152</v>
      </c>
      <c r="H74">
        <v>1</v>
      </c>
      <c r="P74" s="15" t="s">
        <v>153</v>
      </c>
      <c r="Q74">
        <v>1</v>
      </c>
    </row>
    <row r="75" spans="1:17">
      <c r="A75" s="3">
        <v>46198</v>
      </c>
      <c r="B75">
        <v>2</v>
      </c>
      <c r="D75" s="3">
        <v>46198</v>
      </c>
      <c r="E75">
        <v>2</v>
      </c>
      <c r="G75" s="14" t="s">
        <v>19</v>
      </c>
      <c r="H75">
        <v>2</v>
      </c>
      <c r="P75" s="14" t="s">
        <v>28</v>
      </c>
      <c r="Q75">
        <v>1</v>
      </c>
    </row>
    <row r="76" spans="1:17">
      <c r="A76" s="14" t="s">
        <v>154</v>
      </c>
      <c r="B76">
        <v>1</v>
      </c>
      <c r="D76" s="14" t="s">
        <v>154</v>
      </c>
      <c r="E76">
        <v>1</v>
      </c>
      <c r="G76" s="15" t="s">
        <v>155</v>
      </c>
      <c r="H76">
        <v>1</v>
      </c>
      <c r="P76" s="15" t="s">
        <v>156</v>
      </c>
      <c r="Q76">
        <v>1</v>
      </c>
    </row>
    <row r="77" spans="1:17">
      <c r="A77" s="15" t="s">
        <v>157</v>
      </c>
      <c r="B77">
        <v>1</v>
      </c>
      <c r="D77" s="15" t="s">
        <v>157</v>
      </c>
      <c r="E77">
        <v>1</v>
      </c>
      <c r="G77" s="15" t="s">
        <v>158</v>
      </c>
      <c r="H77">
        <v>1</v>
      </c>
      <c r="P77" s="14" t="s">
        <v>159</v>
      </c>
      <c r="Q77">
        <v>1</v>
      </c>
    </row>
    <row r="78" spans="1:17">
      <c r="A78" s="14" t="s">
        <v>71</v>
      </c>
      <c r="B78">
        <v>1</v>
      </c>
      <c r="D78" s="14" t="s">
        <v>71</v>
      </c>
      <c r="E78">
        <v>1</v>
      </c>
      <c r="G78" s="14" t="s">
        <v>149</v>
      </c>
      <c r="H78">
        <v>1</v>
      </c>
      <c r="P78" s="15" t="s">
        <v>160</v>
      </c>
      <c r="Q78">
        <v>1</v>
      </c>
    </row>
    <row r="79" spans="1:17">
      <c r="A79" s="15" t="s">
        <v>161</v>
      </c>
      <c r="B79">
        <v>1</v>
      </c>
      <c r="D79" s="15" t="s">
        <v>161</v>
      </c>
      <c r="E79">
        <v>1</v>
      </c>
      <c r="G79" s="15" t="s">
        <v>162</v>
      </c>
      <c r="H79">
        <v>1</v>
      </c>
      <c r="P79" s="14" t="s">
        <v>32</v>
      </c>
      <c r="Q79">
        <v>2</v>
      </c>
    </row>
    <row r="80" spans="1:17">
      <c r="A80" s="3">
        <v>46202</v>
      </c>
      <c r="B80">
        <v>1</v>
      </c>
      <c r="D80" s="3">
        <v>46202</v>
      </c>
      <c r="E80">
        <v>1</v>
      </c>
      <c r="G80" s="3">
        <v>46241</v>
      </c>
      <c r="H80">
        <v>138</v>
      </c>
      <c r="P80" s="15" t="s">
        <v>163</v>
      </c>
      <c r="Q80">
        <v>1</v>
      </c>
    </row>
    <row r="81" spans="1:17">
      <c r="A81" s="14" t="s">
        <v>37</v>
      </c>
      <c r="B81">
        <v>1</v>
      </c>
      <c r="D81" s="14" t="s">
        <v>37</v>
      </c>
      <c r="E81">
        <v>1</v>
      </c>
      <c r="G81" s="14" t="s">
        <v>164</v>
      </c>
      <c r="H81">
        <v>1</v>
      </c>
      <c r="P81" s="15" t="s">
        <v>165</v>
      </c>
      <c r="Q81">
        <v>1</v>
      </c>
    </row>
    <row r="82" spans="1:17">
      <c r="A82" s="15" t="s">
        <v>166</v>
      </c>
      <c r="B82">
        <v>1</v>
      </c>
      <c r="D82" s="15" t="s">
        <v>166</v>
      </c>
      <c r="E82">
        <v>1</v>
      </c>
      <c r="G82" s="15" t="s">
        <v>167</v>
      </c>
      <c r="H82">
        <v>1</v>
      </c>
      <c r="P82" s="14" t="s">
        <v>19</v>
      </c>
      <c r="Q82">
        <v>1</v>
      </c>
    </row>
    <row r="83" spans="1:17">
      <c r="A83" s="3">
        <v>46209</v>
      </c>
      <c r="B83">
        <v>11</v>
      </c>
      <c r="D83" s="3">
        <v>46209</v>
      </c>
      <c r="E83">
        <v>11</v>
      </c>
      <c r="G83" s="14" t="s">
        <v>70</v>
      </c>
      <c r="H83">
        <v>5</v>
      </c>
      <c r="P83" s="15" t="s">
        <v>168</v>
      </c>
      <c r="Q83">
        <v>1</v>
      </c>
    </row>
    <row r="84" spans="1:17">
      <c r="A84" s="14" t="s">
        <v>67</v>
      </c>
      <c r="B84">
        <v>1</v>
      </c>
      <c r="D84" s="14" t="s">
        <v>67</v>
      </c>
      <c r="E84">
        <v>1</v>
      </c>
      <c r="G84" s="15" t="s">
        <v>169</v>
      </c>
      <c r="H84">
        <v>1</v>
      </c>
      <c r="P84" s="14" t="s">
        <v>66</v>
      </c>
      <c r="Q84">
        <v>1</v>
      </c>
    </row>
    <row r="85" spans="1:17">
      <c r="A85" s="15" t="s">
        <v>170</v>
      </c>
      <c r="B85">
        <v>1</v>
      </c>
      <c r="D85" s="15" t="s">
        <v>170</v>
      </c>
      <c r="E85">
        <v>1</v>
      </c>
      <c r="G85" s="15" t="s">
        <v>171</v>
      </c>
      <c r="H85">
        <v>1</v>
      </c>
      <c r="P85" s="15" t="s">
        <v>172</v>
      </c>
      <c r="Q85">
        <v>1</v>
      </c>
    </row>
    <row r="86" spans="1:17">
      <c r="A86" s="14" t="s">
        <v>173</v>
      </c>
      <c r="B86">
        <v>2</v>
      </c>
      <c r="D86" s="14" t="s">
        <v>173</v>
      </c>
      <c r="E86">
        <v>2</v>
      </c>
      <c r="G86" s="15" t="s">
        <v>174</v>
      </c>
      <c r="H86">
        <v>1</v>
      </c>
      <c r="P86" s="14" t="s">
        <v>138</v>
      </c>
      <c r="Q86">
        <v>1</v>
      </c>
    </row>
    <row r="87" spans="1:17">
      <c r="A87" s="15" t="s">
        <v>175</v>
      </c>
      <c r="B87">
        <v>1</v>
      </c>
      <c r="D87" s="15" t="s">
        <v>175</v>
      </c>
      <c r="E87">
        <v>1</v>
      </c>
      <c r="G87" s="15" t="s">
        <v>176</v>
      </c>
      <c r="H87">
        <v>1</v>
      </c>
      <c r="P87" s="15" t="s">
        <v>177</v>
      </c>
      <c r="Q87">
        <v>1</v>
      </c>
    </row>
    <row r="88" spans="1:17">
      <c r="A88" s="15" t="s">
        <v>178</v>
      </c>
      <c r="B88">
        <v>1</v>
      </c>
      <c r="D88" s="15" t="s">
        <v>178</v>
      </c>
      <c r="E88">
        <v>1</v>
      </c>
      <c r="G88" s="15" t="s">
        <v>179</v>
      </c>
      <c r="H88">
        <v>1</v>
      </c>
      <c r="P88" s="14" t="s">
        <v>180</v>
      </c>
      <c r="Q88">
        <v>1</v>
      </c>
    </row>
    <row r="89" spans="1:17">
      <c r="A89" s="14" t="s">
        <v>181</v>
      </c>
      <c r="B89">
        <v>1</v>
      </c>
      <c r="D89" s="14" t="s">
        <v>181</v>
      </c>
      <c r="E89">
        <v>1</v>
      </c>
      <c r="G89" s="14" t="s">
        <v>21</v>
      </c>
      <c r="H89">
        <v>4</v>
      </c>
      <c r="P89" s="15" t="s">
        <v>182</v>
      </c>
      <c r="Q89">
        <v>1</v>
      </c>
    </row>
    <row r="90" spans="1:17">
      <c r="A90" s="15" t="s">
        <v>183</v>
      </c>
      <c r="B90">
        <v>1</v>
      </c>
      <c r="D90" s="15" t="s">
        <v>183</v>
      </c>
      <c r="E90">
        <v>1</v>
      </c>
      <c r="G90" s="15" t="s">
        <v>184</v>
      </c>
      <c r="H90">
        <v>1</v>
      </c>
      <c r="P90" s="14" t="s">
        <v>75</v>
      </c>
      <c r="Q90">
        <v>3</v>
      </c>
    </row>
    <row r="91" spans="1:17">
      <c r="A91" s="14" t="s">
        <v>107</v>
      </c>
      <c r="B91">
        <v>1</v>
      </c>
      <c r="D91" s="14" t="s">
        <v>107</v>
      </c>
      <c r="E91">
        <v>1</v>
      </c>
      <c r="G91" s="15" t="s">
        <v>185</v>
      </c>
      <c r="H91">
        <v>1</v>
      </c>
      <c r="P91" s="15" t="s">
        <v>186</v>
      </c>
      <c r="Q91">
        <v>1</v>
      </c>
    </row>
    <row r="92" spans="1:17">
      <c r="A92" s="15" t="s">
        <v>187</v>
      </c>
      <c r="B92">
        <v>1</v>
      </c>
      <c r="D92" s="15" t="s">
        <v>187</v>
      </c>
      <c r="E92">
        <v>1</v>
      </c>
      <c r="G92" s="15" t="s">
        <v>188</v>
      </c>
      <c r="H92">
        <v>1</v>
      </c>
      <c r="P92" s="15" t="s">
        <v>189</v>
      </c>
      <c r="Q92">
        <v>1</v>
      </c>
    </row>
    <row r="93" spans="1:17">
      <c r="A93" s="14" t="s">
        <v>49</v>
      </c>
      <c r="B93">
        <v>1</v>
      </c>
      <c r="D93" s="14" t="s">
        <v>49</v>
      </c>
      <c r="E93">
        <v>1</v>
      </c>
      <c r="G93" s="15" t="s">
        <v>190</v>
      </c>
      <c r="H93">
        <v>1</v>
      </c>
      <c r="P93" s="15" t="s">
        <v>191</v>
      </c>
      <c r="Q93">
        <v>1</v>
      </c>
    </row>
    <row r="94" spans="1:17">
      <c r="A94" s="15" t="s">
        <v>192</v>
      </c>
      <c r="B94">
        <v>1</v>
      </c>
      <c r="D94" s="15" t="s">
        <v>192</v>
      </c>
      <c r="E94">
        <v>1</v>
      </c>
      <c r="G94" s="14" t="s">
        <v>67</v>
      </c>
      <c r="H94">
        <v>7</v>
      </c>
      <c r="P94" s="14" t="s">
        <v>82</v>
      </c>
      <c r="Q94">
        <v>4</v>
      </c>
    </row>
    <row r="95" spans="1:17">
      <c r="A95" s="14" t="s">
        <v>32</v>
      </c>
      <c r="B95">
        <v>2</v>
      </c>
      <c r="D95" s="14" t="s">
        <v>32</v>
      </c>
      <c r="E95">
        <v>2</v>
      </c>
      <c r="G95" s="15" t="s">
        <v>193</v>
      </c>
      <c r="H95">
        <v>1</v>
      </c>
      <c r="P95" s="15" t="s">
        <v>194</v>
      </c>
      <c r="Q95">
        <v>1</v>
      </c>
    </row>
    <row r="96" spans="1:17">
      <c r="A96" s="15" t="s">
        <v>195</v>
      </c>
      <c r="B96">
        <v>1</v>
      </c>
      <c r="D96" s="15" t="s">
        <v>195</v>
      </c>
      <c r="E96">
        <v>1</v>
      </c>
      <c r="G96" s="15" t="s">
        <v>196</v>
      </c>
      <c r="H96">
        <v>1</v>
      </c>
      <c r="P96" s="15" t="s">
        <v>197</v>
      </c>
      <c r="Q96">
        <v>1</v>
      </c>
    </row>
    <row r="97" spans="1:17">
      <c r="A97" s="15" t="s">
        <v>198</v>
      </c>
      <c r="B97">
        <v>1</v>
      </c>
      <c r="D97" s="15" t="s">
        <v>198</v>
      </c>
      <c r="E97">
        <v>1</v>
      </c>
      <c r="G97" s="15" t="s">
        <v>199</v>
      </c>
      <c r="H97">
        <v>1</v>
      </c>
      <c r="P97" s="15" t="s">
        <v>200</v>
      </c>
      <c r="Q97">
        <v>1</v>
      </c>
    </row>
    <row r="98" spans="1:17">
      <c r="A98" s="14" t="s">
        <v>201</v>
      </c>
      <c r="B98">
        <v>1</v>
      </c>
      <c r="D98" s="14" t="s">
        <v>201</v>
      </c>
      <c r="E98">
        <v>1</v>
      </c>
      <c r="G98" s="15" t="s">
        <v>202</v>
      </c>
      <c r="H98">
        <v>1</v>
      </c>
      <c r="P98" s="15" t="s">
        <v>203</v>
      </c>
      <c r="Q98">
        <v>1</v>
      </c>
    </row>
    <row r="99" spans="1:17">
      <c r="A99" s="15" t="s">
        <v>204</v>
      </c>
      <c r="B99">
        <v>1</v>
      </c>
      <c r="D99" s="15" t="s">
        <v>204</v>
      </c>
      <c r="E99">
        <v>1</v>
      </c>
      <c r="G99" s="15" t="s">
        <v>205</v>
      </c>
      <c r="H99">
        <v>1</v>
      </c>
      <c r="P99" s="14" t="s">
        <v>206</v>
      </c>
      <c r="Q99">
        <v>8</v>
      </c>
    </row>
    <row r="100" spans="1:17">
      <c r="A100" s="14" t="s">
        <v>138</v>
      </c>
      <c r="B100">
        <v>1</v>
      </c>
      <c r="D100" s="14" t="s">
        <v>138</v>
      </c>
      <c r="E100">
        <v>1</v>
      </c>
      <c r="G100" s="15" t="s">
        <v>207</v>
      </c>
      <c r="H100">
        <v>1</v>
      </c>
      <c r="P100" s="15" t="s">
        <v>208</v>
      </c>
      <c r="Q100">
        <v>1</v>
      </c>
    </row>
    <row r="101" spans="1:17">
      <c r="A101" s="15" t="s">
        <v>209</v>
      </c>
      <c r="B101">
        <v>1</v>
      </c>
      <c r="D101" s="15" t="s">
        <v>209</v>
      </c>
      <c r="E101">
        <v>1</v>
      </c>
      <c r="G101" s="15" t="s">
        <v>210</v>
      </c>
      <c r="H101">
        <v>1</v>
      </c>
      <c r="P101" s="15" t="s">
        <v>211</v>
      </c>
      <c r="Q101">
        <v>1</v>
      </c>
    </row>
    <row r="102" spans="1:17">
      <c r="A102" s="14" t="s">
        <v>180</v>
      </c>
      <c r="B102">
        <v>1</v>
      </c>
      <c r="D102" s="14" t="s">
        <v>180</v>
      </c>
      <c r="E102">
        <v>1</v>
      </c>
      <c r="G102" s="14" t="s">
        <v>22</v>
      </c>
      <c r="H102">
        <v>1</v>
      </c>
      <c r="P102" s="15" t="s">
        <v>212</v>
      </c>
      <c r="Q102">
        <v>1</v>
      </c>
    </row>
    <row r="103" spans="1:17">
      <c r="A103" s="15" t="s">
        <v>213</v>
      </c>
      <c r="B103">
        <v>1</v>
      </c>
      <c r="D103" s="15" t="s">
        <v>213</v>
      </c>
      <c r="E103">
        <v>1</v>
      </c>
      <c r="G103" s="15" t="s">
        <v>214</v>
      </c>
      <c r="H103">
        <v>1</v>
      </c>
      <c r="P103" s="15" t="s">
        <v>215</v>
      </c>
      <c r="Q103">
        <v>1</v>
      </c>
    </row>
    <row r="104" spans="1:17">
      <c r="A104" s="3">
        <v>46217</v>
      </c>
      <c r="B104">
        <v>3</v>
      </c>
      <c r="D104" s="3">
        <v>46217</v>
      </c>
      <c r="E104">
        <v>3</v>
      </c>
      <c r="G104" s="14" t="s">
        <v>93</v>
      </c>
      <c r="H104">
        <v>3</v>
      </c>
      <c r="P104" s="15" t="s">
        <v>216</v>
      </c>
      <c r="Q104">
        <v>1</v>
      </c>
    </row>
    <row r="105" spans="1:17">
      <c r="A105" s="14" t="s">
        <v>22</v>
      </c>
      <c r="B105">
        <v>1</v>
      </c>
      <c r="D105" s="14" t="s">
        <v>22</v>
      </c>
      <c r="E105">
        <v>1</v>
      </c>
      <c r="G105" s="15" t="s">
        <v>217</v>
      </c>
      <c r="H105">
        <v>1</v>
      </c>
      <c r="P105" s="15" t="s">
        <v>218</v>
      </c>
      <c r="Q105">
        <v>1</v>
      </c>
    </row>
    <row r="106" spans="1:17">
      <c r="A106" s="15" t="s">
        <v>219</v>
      </c>
      <c r="B106">
        <v>1</v>
      </c>
      <c r="D106" s="15" t="s">
        <v>219</v>
      </c>
      <c r="E106">
        <v>1</v>
      </c>
      <c r="G106" s="15" t="s">
        <v>220</v>
      </c>
      <c r="H106">
        <v>1</v>
      </c>
      <c r="P106" s="15" t="s">
        <v>221</v>
      </c>
      <c r="Q106">
        <v>1</v>
      </c>
    </row>
    <row r="107" spans="1:17">
      <c r="A107" s="14" t="s">
        <v>173</v>
      </c>
      <c r="B107">
        <v>1</v>
      </c>
      <c r="D107" s="14" t="s">
        <v>173</v>
      </c>
      <c r="E107">
        <v>1</v>
      </c>
      <c r="G107" s="15" t="s">
        <v>222</v>
      </c>
      <c r="H107">
        <v>1</v>
      </c>
      <c r="P107" s="15" t="s">
        <v>223</v>
      </c>
      <c r="Q107">
        <v>1</v>
      </c>
    </row>
    <row r="108" spans="1:17">
      <c r="A108" s="15" t="s">
        <v>224</v>
      </c>
      <c r="B108">
        <v>1</v>
      </c>
      <c r="D108" s="15" t="s">
        <v>224</v>
      </c>
      <c r="E108">
        <v>1</v>
      </c>
      <c r="G108" s="14" t="s">
        <v>34</v>
      </c>
      <c r="H108">
        <v>7</v>
      </c>
      <c r="P108" s="3" t="s">
        <v>12</v>
      </c>
      <c r="Q108">
        <v>58</v>
      </c>
    </row>
    <row r="109" spans="1:17">
      <c r="A109" s="14" t="s">
        <v>225</v>
      </c>
      <c r="B109">
        <v>1</v>
      </c>
      <c r="D109" s="14" t="s">
        <v>225</v>
      </c>
      <c r="E109">
        <v>1</v>
      </c>
      <c r="G109" s="15" t="s">
        <v>226</v>
      </c>
      <c r="H109">
        <v>1</v>
      </c>
    </row>
    <row r="110" spans="1:17">
      <c r="A110" s="15" t="s">
        <v>227</v>
      </c>
      <c r="B110">
        <v>1</v>
      </c>
      <c r="D110" s="15" t="s">
        <v>227</v>
      </c>
      <c r="E110">
        <v>1</v>
      </c>
      <c r="G110" s="15" t="s">
        <v>228</v>
      </c>
      <c r="H110">
        <v>1</v>
      </c>
    </row>
    <row r="111" spans="1:17">
      <c r="A111" s="3">
        <v>46224</v>
      </c>
      <c r="B111">
        <v>12</v>
      </c>
      <c r="D111" s="3">
        <v>46224</v>
      </c>
      <c r="E111">
        <v>12</v>
      </c>
      <c r="G111" s="15" t="s">
        <v>229</v>
      </c>
      <c r="H111">
        <v>1</v>
      </c>
    </row>
    <row r="112" spans="1:17">
      <c r="A112" s="14" t="s">
        <v>22</v>
      </c>
      <c r="B112">
        <v>1</v>
      </c>
      <c r="D112" s="14" t="s">
        <v>22</v>
      </c>
      <c r="E112">
        <v>1</v>
      </c>
      <c r="G112" s="15" t="s">
        <v>230</v>
      </c>
      <c r="H112">
        <v>1</v>
      </c>
    </row>
    <row r="113" spans="1:8">
      <c r="A113" s="15" t="s">
        <v>231</v>
      </c>
      <c r="B113">
        <v>1</v>
      </c>
      <c r="D113" s="15" t="s">
        <v>231</v>
      </c>
      <c r="E113">
        <v>1</v>
      </c>
      <c r="G113" s="15" t="s">
        <v>232</v>
      </c>
      <c r="H113">
        <v>1</v>
      </c>
    </row>
    <row r="114" spans="1:8">
      <c r="A114" s="14" t="s">
        <v>34</v>
      </c>
      <c r="B114">
        <v>1</v>
      </c>
      <c r="D114" s="14" t="s">
        <v>34</v>
      </c>
      <c r="E114">
        <v>1</v>
      </c>
      <c r="G114" s="15" t="s">
        <v>233</v>
      </c>
      <c r="H114">
        <v>1</v>
      </c>
    </row>
    <row r="115" spans="1:8">
      <c r="A115" s="15" t="s">
        <v>234</v>
      </c>
      <c r="B115">
        <v>1</v>
      </c>
      <c r="D115" s="15" t="s">
        <v>234</v>
      </c>
      <c r="E115">
        <v>1</v>
      </c>
      <c r="G115" s="15" t="s">
        <v>235</v>
      </c>
      <c r="H115">
        <v>1</v>
      </c>
    </row>
    <row r="116" spans="1:8">
      <c r="A116" s="14" t="s">
        <v>87</v>
      </c>
      <c r="B116">
        <v>1</v>
      </c>
      <c r="D116" s="14" t="s">
        <v>87</v>
      </c>
      <c r="E116">
        <v>1</v>
      </c>
      <c r="G116" s="14" t="s">
        <v>25</v>
      </c>
      <c r="H116">
        <v>2</v>
      </c>
    </row>
    <row r="117" spans="1:8">
      <c r="A117" s="15" t="s">
        <v>236</v>
      </c>
      <c r="B117">
        <v>1</v>
      </c>
      <c r="D117" s="15" t="s">
        <v>236</v>
      </c>
      <c r="E117">
        <v>1</v>
      </c>
      <c r="G117" s="15" t="s">
        <v>237</v>
      </c>
      <c r="H117">
        <v>1</v>
      </c>
    </row>
    <row r="118" spans="1:8">
      <c r="A118" s="14" t="s">
        <v>238</v>
      </c>
      <c r="B118">
        <v>1</v>
      </c>
      <c r="D118" s="14" t="s">
        <v>238</v>
      </c>
      <c r="E118">
        <v>1</v>
      </c>
      <c r="G118" s="15" t="s">
        <v>239</v>
      </c>
      <c r="H118">
        <v>1</v>
      </c>
    </row>
    <row r="119" spans="1:8">
      <c r="A119" s="15" t="s">
        <v>240</v>
      </c>
      <c r="B119">
        <v>1</v>
      </c>
      <c r="D119" s="15" t="s">
        <v>240</v>
      </c>
      <c r="E119">
        <v>1</v>
      </c>
      <c r="G119" s="14" t="s">
        <v>173</v>
      </c>
      <c r="H119">
        <v>3</v>
      </c>
    </row>
    <row r="120" spans="1:8">
      <c r="A120" s="14" t="s">
        <v>241</v>
      </c>
      <c r="B120">
        <v>1</v>
      </c>
      <c r="D120" s="14" t="s">
        <v>241</v>
      </c>
      <c r="E120">
        <v>1</v>
      </c>
      <c r="G120" s="15" t="s">
        <v>242</v>
      </c>
      <c r="H120">
        <v>1</v>
      </c>
    </row>
    <row r="121" spans="1:8">
      <c r="A121" s="15" t="s">
        <v>243</v>
      </c>
      <c r="B121">
        <v>1</v>
      </c>
      <c r="D121" s="15" t="s">
        <v>243</v>
      </c>
      <c r="E121">
        <v>1</v>
      </c>
      <c r="G121" s="15" t="s">
        <v>244</v>
      </c>
      <c r="H121">
        <v>1</v>
      </c>
    </row>
    <row r="122" spans="1:8">
      <c r="A122" s="14" t="s">
        <v>150</v>
      </c>
      <c r="B122">
        <v>1</v>
      </c>
      <c r="D122" s="14" t="s">
        <v>150</v>
      </c>
      <c r="E122">
        <v>1</v>
      </c>
      <c r="G122" s="15" t="s">
        <v>245</v>
      </c>
      <c r="H122">
        <v>1</v>
      </c>
    </row>
    <row r="123" spans="1:8">
      <c r="A123" s="15" t="s">
        <v>246</v>
      </c>
      <c r="B123">
        <v>1</v>
      </c>
      <c r="D123" s="15" t="s">
        <v>246</v>
      </c>
      <c r="E123">
        <v>1</v>
      </c>
      <c r="G123" s="14" t="s">
        <v>247</v>
      </c>
      <c r="H123">
        <v>13</v>
      </c>
    </row>
    <row r="124" spans="1:8">
      <c r="A124" s="14" t="s">
        <v>225</v>
      </c>
      <c r="B124">
        <v>1</v>
      </c>
      <c r="D124" s="14" t="s">
        <v>225</v>
      </c>
      <c r="E124">
        <v>1</v>
      </c>
      <c r="G124" s="15" t="s">
        <v>248</v>
      </c>
      <c r="H124">
        <v>1</v>
      </c>
    </row>
    <row r="125" spans="1:8">
      <c r="A125" s="15" t="s">
        <v>249</v>
      </c>
      <c r="B125">
        <v>1</v>
      </c>
      <c r="D125" s="15" t="s">
        <v>249</v>
      </c>
      <c r="E125">
        <v>1</v>
      </c>
      <c r="G125" s="15" t="s">
        <v>250</v>
      </c>
      <c r="H125">
        <v>1</v>
      </c>
    </row>
    <row r="126" spans="1:8">
      <c r="A126" s="14" t="s">
        <v>28</v>
      </c>
      <c r="B126">
        <v>1</v>
      </c>
      <c r="D126" s="14" t="s">
        <v>28</v>
      </c>
      <c r="E126">
        <v>1</v>
      </c>
      <c r="G126" s="15" t="s">
        <v>251</v>
      </c>
      <c r="H126">
        <v>1</v>
      </c>
    </row>
    <row r="127" spans="1:8">
      <c r="A127" s="15" t="s">
        <v>252</v>
      </c>
      <c r="B127">
        <v>1</v>
      </c>
      <c r="D127" s="15" t="s">
        <v>252</v>
      </c>
      <c r="E127">
        <v>1</v>
      </c>
      <c r="G127" s="15" t="s">
        <v>253</v>
      </c>
      <c r="H127">
        <v>1</v>
      </c>
    </row>
    <row r="128" spans="1:8">
      <c r="A128" s="14" t="s">
        <v>32</v>
      </c>
      <c r="B128">
        <v>1</v>
      </c>
      <c r="D128" s="14" t="s">
        <v>32</v>
      </c>
      <c r="E128">
        <v>1</v>
      </c>
      <c r="G128" s="15" t="s">
        <v>254</v>
      </c>
      <c r="H128">
        <v>1</v>
      </c>
    </row>
    <row r="129" spans="1:8">
      <c r="A129" s="15" t="s">
        <v>255</v>
      </c>
      <c r="B129">
        <v>1</v>
      </c>
      <c r="D129" s="15" t="s">
        <v>255</v>
      </c>
      <c r="E129">
        <v>1</v>
      </c>
      <c r="G129" s="15" t="s">
        <v>256</v>
      </c>
      <c r="H129">
        <v>1</v>
      </c>
    </row>
    <row r="130" spans="1:8">
      <c r="A130" s="14" t="s">
        <v>37</v>
      </c>
      <c r="B130">
        <v>1</v>
      </c>
      <c r="D130" s="14" t="s">
        <v>37</v>
      </c>
      <c r="E130">
        <v>1</v>
      </c>
      <c r="G130" s="15" t="s">
        <v>257</v>
      </c>
      <c r="H130">
        <v>1</v>
      </c>
    </row>
    <row r="131" spans="1:8">
      <c r="A131" s="15" t="s">
        <v>258</v>
      </c>
      <c r="B131">
        <v>1</v>
      </c>
      <c r="D131" s="15" t="s">
        <v>258</v>
      </c>
      <c r="E131">
        <v>1</v>
      </c>
      <c r="G131" s="15" t="s">
        <v>259</v>
      </c>
      <c r="H131">
        <v>1</v>
      </c>
    </row>
    <row r="132" spans="1:8">
      <c r="A132" s="14" t="s">
        <v>134</v>
      </c>
      <c r="B132">
        <v>1</v>
      </c>
      <c r="D132" s="14" t="s">
        <v>134</v>
      </c>
      <c r="E132">
        <v>1</v>
      </c>
      <c r="G132" s="15" t="s">
        <v>260</v>
      </c>
      <c r="H132">
        <v>1</v>
      </c>
    </row>
    <row r="133" spans="1:8">
      <c r="A133" s="15" t="s">
        <v>261</v>
      </c>
      <c r="B133">
        <v>1</v>
      </c>
      <c r="D133" s="15" t="s">
        <v>261</v>
      </c>
      <c r="E133">
        <v>1</v>
      </c>
      <c r="G133" s="15" t="s">
        <v>262</v>
      </c>
      <c r="H133">
        <v>1</v>
      </c>
    </row>
    <row r="134" spans="1:8">
      <c r="A134" s="14" t="s">
        <v>71</v>
      </c>
      <c r="B134">
        <v>1</v>
      </c>
      <c r="D134" s="14" t="s">
        <v>71</v>
      </c>
      <c r="E134">
        <v>1</v>
      </c>
      <c r="G134" s="15" t="s">
        <v>263</v>
      </c>
      <c r="H134">
        <v>1</v>
      </c>
    </row>
    <row r="135" spans="1:8">
      <c r="A135" s="15" t="s">
        <v>264</v>
      </c>
      <c r="B135">
        <v>1</v>
      </c>
      <c r="D135" s="15" t="s">
        <v>264</v>
      </c>
      <c r="E135">
        <v>1</v>
      </c>
      <c r="G135" s="15" t="s">
        <v>265</v>
      </c>
      <c r="H135">
        <v>1</v>
      </c>
    </row>
    <row r="136" spans="1:8">
      <c r="A136" s="3">
        <v>46240</v>
      </c>
      <c r="B136">
        <v>3</v>
      </c>
      <c r="D136" s="3">
        <v>46240</v>
      </c>
      <c r="E136">
        <v>3</v>
      </c>
      <c r="G136" s="15" t="s">
        <v>266</v>
      </c>
      <c r="H136">
        <v>1</v>
      </c>
    </row>
    <row r="137" spans="1:8">
      <c r="A137" s="14" t="s">
        <v>164</v>
      </c>
      <c r="B137">
        <v>3</v>
      </c>
      <c r="D137" s="14" t="s">
        <v>164</v>
      </c>
      <c r="E137">
        <v>3</v>
      </c>
      <c r="G137" s="14" t="s">
        <v>267</v>
      </c>
      <c r="H137">
        <v>9</v>
      </c>
    </row>
    <row r="138" spans="1:8">
      <c r="A138" s="15" t="s">
        <v>268</v>
      </c>
      <c r="B138">
        <v>1</v>
      </c>
      <c r="D138" s="15" t="s">
        <v>268</v>
      </c>
      <c r="E138">
        <v>1</v>
      </c>
      <c r="G138" s="15" t="s">
        <v>269</v>
      </c>
      <c r="H138">
        <v>1</v>
      </c>
    </row>
    <row r="139" spans="1:8">
      <c r="A139" s="15" t="s">
        <v>270</v>
      </c>
      <c r="B139">
        <v>1</v>
      </c>
      <c r="D139" s="15" t="s">
        <v>270</v>
      </c>
      <c r="E139">
        <v>1</v>
      </c>
      <c r="G139" s="15" t="s">
        <v>271</v>
      </c>
      <c r="H139">
        <v>1</v>
      </c>
    </row>
    <row r="140" spans="1:8">
      <c r="A140" s="15" t="s">
        <v>272</v>
      </c>
      <c r="B140">
        <v>1</v>
      </c>
      <c r="D140" s="15" t="s">
        <v>272</v>
      </c>
      <c r="E140">
        <v>1</v>
      </c>
      <c r="G140" s="15" t="s">
        <v>273</v>
      </c>
      <c r="H140">
        <v>1</v>
      </c>
    </row>
    <row r="141" spans="1:8">
      <c r="A141" s="3" t="s">
        <v>12</v>
      </c>
      <c r="B141">
        <v>59</v>
      </c>
      <c r="D141" s="3" t="s">
        <v>12</v>
      </c>
      <c r="E141">
        <v>59</v>
      </c>
      <c r="G141" s="15" t="s">
        <v>274</v>
      </c>
      <c r="H141">
        <v>1</v>
      </c>
    </row>
    <row r="142" spans="1:8">
      <c r="G142" s="15" t="s">
        <v>275</v>
      </c>
      <c r="H142">
        <v>1</v>
      </c>
    </row>
    <row r="143" spans="1:8">
      <c r="G143" s="15" t="s">
        <v>276</v>
      </c>
      <c r="H143">
        <v>1</v>
      </c>
    </row>
    <row r="144" spans="1:8">
      <c r="G144" s="15" t="s">
        <v>277</v>
      </c>
      <c r="H144">
        <v>1</v>
      </c>
    </row>
    <row r="145" spans="7:8">
      <c r="G145" s="15" t="s">
        <v>278</v>
      </c>
      <c r="H145">
        <v>1</v>
      </c>
    </row>
    <row r="146" spans="7:8">
      <c r="G146" s="15" t="s">
        <v>279</v>
      </c>
      <c r="H146">
        <v>1</v>
      </c>
    </row>
    <row r="147" spans="7:8">
      <c r="G147" s="14" t="s">
        <v>31</v>
      </c>
      <c r="H147">
        <v>3</v>
      </c>
    </row>
    <row r="148" spans="7:8">
      <c r="G148" s="15" t="s">
        <v>280</v>
      </c>
      <c r="H148">
        <v>1</v>
      </c>
    </row>
    <row r="149" spans="7:8">
      <c r="G149" s="15" t="s">
        <v>281</v>
      </c>
      <c r="H149">
        <v>1</v>
      </c>
    </row>
    <row r="150" spans="7:8">
      <c r="G150" s="15" t="s">
        <v>282</v>
      </c>
      <c r="H150">
        <v>1</v>
      </c>
    </row>
    <row r="151" spans="7:8">
      <c r="G151" s="14" t="s">
        <v>87</v>
      </c>
      <c r="H151">
        <v>3</v>
      </c>
    </row>
    <row r="152" spans="7:8">
      <c r="G152" s="15" t="s">
        <v>283</v>
      </c>
      <c r="H152">
        <v>1</v>
      </c>
    </row>
    <row r="153" spans="7:8">
      <c r="G153" s="15" t="s">
        <v>284</v>
      </c>
      <c r="H153">
        <v>1</v>
      </c>
    </row>
    <row r="154" spans="7:8">
      <c r="G154" s="15" t="s">
        <v>285</v>
      </c>
      <c r="H154">
        <v>1</v>
      </c>
    </row>
    <row r="155" spans="7:8">
      <c r="G155" s="14" t="s">
        <v>91</v>
      </c>
      <c r="H155">
        <v>1</v>
      </c>
    </row>
    <row r="156" spans="7:8">
      <c r="G156" s="15" t="s">
        <v>286</v>
      </c>
      <c r="H156">
        <v>1</v>
      </c>
    </row>
    <row r="157" spans="7:8">
      <c r="G157" s="14" t="s">
        <v>238</v>
      </c>
      <c r="H157">
        <v>2</v>
      </c>
    </row>
    <row r="158" spans="7:8">
      <c r="G158" s="15" t="s">
        <v>287</v>
      </c>
      <c r="H158">
        <v>1</v>
      </c>
    </row>
    <row r="159" spans="7:8">
      <c r="G159" s="15" t="s">
        <v>288</v>
      </c>
      <c r="H159">
        <v>1</v>
      </c>
    </row>
    <row r="160" spans="7:8">
      <c r="G160" s="14" t="s">
        <v>107</v>
      </c>
      <c r="H160">
        <v>1</v>
      </c>
    </row>
    <row r="161" spans="7:8">
      <c r="G161" s="15" t="s">
        <v>289</v>
      </c>
      <c r="H161">
        <v>1</v>
      </c>
    </row>
    <row r="162" spans="7:8">
      <c r="G162" s="14" t="s">
        <v>290</v>
      </c>
      <c r="H162">
        <v>3</v>
      </c>
    </row>
    <row r="163" spans="7:8">
      <c r="G163" s="15" t="s">
        <v>291</v>
      </c>
      <c r="H163">
        <v>1</v>
      </c>
    </row>
    <row r="164" spans="7:8">
      <c r="G164" s="15" t="s">
        <v>292</v>
      </c>
      <c r="H164">
        <v>1</v>
      </c>
    </row>
    <row r="165" spans="7:8">
      <c r="G165" s="15" t="s">
        <v>293</v>
      </c>
      <c r="H165">
        <v>1</v>
      </c>
    </row>
    <row r="166" spans="7:8">
      <c r="G166" s="14" t="s">
        <v>49</v>
      </c>
      <c r="H166">
        <v>1</v>
      </c>
    </row>
    <row r="167" spans="7:8">
      <c r="G167" s="15" t="s">
        <v>294</v>
      </c>
      <c r="H167">
        <v>1</v>
      </c>
    </row>
    <row r="168" spans="7:8">
      <c r="G168" s="14" t="s">
        <v>154</v>
      </c>
      <c r="H168">
        <v>2</v>
      </c>
    </row>
    <row r="169" spans="7:8">
      <c r="G169" s="15" t="s">
        <v>295</v>
      </c>
      <c r="H169">
        <v>1</v>
      </c>
    </row>
    <row r="170" spans="7:8">
      <c r="G170" s="15" t="s">
        <v>296</v>
      </c>
      <c r="H170">
        <v>1</v>
      </c>
    </row>
    <row r="171" spans="7:8">
      <c r="G171" s="14" t="s">
        <v>241</v>
      </c>
      <c r="H171">
        <v>1</v>
      </c>
    </row>
    <row r="172" spans="7:8">
      <c r="G172" s="15" t="s">
        <v>297</v>
      </c>
      <c r="H172">
        <v>1</v>
      </c>
    </row>
    <row r="173" spans="7:8">
      <c r="G173" s="14" t="s">
        <v>298</v>
      </c>
      <c r="H173">
        <v>1</v>
      </c>
    </row>
    <row r="174" spans="7:8">
      <c r="G174" s="15" t="s">
        <v>299</v>
      </c>
      <c r="H174">
        <v>1</v>
      </c>
    </row>
    <row r="175" spans="7:8">
      <c r="G175" s="14" t="s">
        <v>54</v>
      </c>
      <c r="H175">
        <v>11</v>
      </c>
    </row>
    <row r="176" spans="7:8">
      <c r="G176" s="15" t="s">
        <v>300</v>
      </c>
      <c r="H176">
        <v>1</v>
      </c>
    </row>
    <row r="177" spans="7:8">
      <c r="G177" s="15" t="s">
        <v>301</v>
      </c>
      <c r="H177">
        <v>1</v>
      </c>
    </row>
    <row r="178" spans="7:8">
      <c r="G178" s="15" t="s">
        <v>302</v>
      </c>
      <c r="H178">
        <v>1</v>
      </c>
    </row>
    <row r="179" spans="7:8">
      <c r="G179" s="15" t="s">
        <v>303</v>
      </c>
      <c r="H179">
        <v>1</v>
      </c>
    </row>
    <row r="180" spans="7:8">
      <c r="G180" s="15" t="s">
        <v>304</v>
      </c>
      <c r="H180">
        <v>1</v>
      </c>
    </row>
    <row r="181" spans="7:8">
      <c r="G181" s="15" t="s">
        <v>305</v>
      </c>
      <c r="H181">
        <v>1</v>
      </c>
    </row>
    <row r="182" spans="7:8">
      <c r="G182" s="15" t="s">
        <v>306</v>
      </c>
      <c r="H182">
        <v>1</v>
      </c>
    </row>
    <row r="183" spans="7:8">
      <c r="G183" s="15" t="s">
        <v>307</v>
      </c>
      <c r="H183">
        <v>1</v>
      </c>
    </row>
    <row r="184" spans="7:8">
      <c r="G184" s="15" t="s">
        <v>308</v>
      </c>
      <c r="H184">
        <v>1</v>
      </c>
    </row>
    <row r="185" spans="7:8">
      <c r="G185" s="15" t="s">
        <v>309</v>
      </c>
      <c r="H185">
        <v>1</v>
      </c>
    </row>
    <row r="186" spans="7:8">
      <c r="G186" s="15" t="s">
        <v>310</v>
      </c>
      <c r="H186">
        <v>1</v>
      </c>
    </row>
    <row r="187" spans="7:8">
      <c r="G187" s="14" t="s">
        <v>142</v>
      </c>
      <c r="H187">
        <v>1</v>
      </c>
    </row>
    <row r="188" spans="7:8">
      <c r="G188" s="15" t="s">
        <v>311</v>
      </c>
      <c r="H188">
        <v>1</v>
      </c>
    </row>
    <row r="189" spans="7:8">
      <c r="G189" s="14" t="s">
        <v>150</v>
      </c>
      <c r="H189">
        <v>3</v>
      </c>
    </row>
    <row r="190" spans="7:8">
      <c r="G190" s="15" t="s">
        <v>312</v>
      </c>
      <c r="H190">
        <v>1</v>
      </c>
    </row>
    <row r="191" spans="7:8">
      <c r="G191" s="15" t="s">
        <v>313</v>
      </c>
      <c r="H191">
        <v>1</v>
      </c>
    </row>
    <row r="192" spans="7:8">
      <c r="G192" s="15" t="s">
        <v>314</v>
      </c>
      <c r="H192">
        <v>1</v>
      </c>
    </row>
    <row r="193" spans="7:8">
      <c r="G193" s="14" t="s">
        <v>59</v>
      </c>
      <c r="H193">
        <v>1</v>
      </c>
    </row>
    <row r="194" spans="7:8">
      <c r="G194" s="15" t="s">
        <v>315</v>
      </c>
      <c r="H194">
        <v>1</v>
      </c>
    </row>
    <row r="195" spans="7:8">
      <c r="G195" s="14" t="s">
        <v>225</v>
      </c>
      <c r="H195">
        <v>2</v>
      </c>
    </row>
    <row r="196" spans="7:8">
      <c r="G196" s="15" t="s">
        <v>316</v>
      </c>
      <c r="H196">
        <v>1</v>
      </c>
    </row>
    <row r="197" spans="7:8">
      <c r="G197" s="15" t="s">
        <v>317</v>
      </c>
      <c r="H197">
        <v>1</v>
      </c>
    </row>
    <row r="198" spans="7:8">
      <c r="G198" s="14" t="s">
        <v>318</v>
      </c>
      <c r="H198">
        <v>2</v>
      </c>
    </row>
    <row r="199" spans="7:8">
      <c r="G199" s="15" t="s">
        <v>319</v>
      </c>
      <c r="H199">
        <v>1</v>
      </c>
    </row>
    <row r="200" spans="7:8">
      <c r="G200" s="15" t="s">
        <v>320</v>
      </c>
      <c r="H200">
        <v>1</v>
      </c>
    </row>
    <row r="201" spans="7:8">
      <c r="G201" s="14" t="s">
        <v>28</v>
      </c>
      <c r="H201">
        <v>5</v>
      </c>
    </row>
    <row r="202" spans="7:8">
      <c r="G202" s="15" t="s">
        <v>321</v>
      </c>
      <c r="H202">
        <v>1</v>
      </c>
    </row>
    <row r="203" spans="7:8">
      <c r="G203" s="15" t="s">
        <v>322</v>
      </c>
      <c r="H203">
        <v>1</v>
      </c>
    </row>
    <row r="204" spans="7:8">
      <c r="G204" s="15" t="s">
        <v>323</v>
      </c>
      <c r="H204">
        <v>1</v>
      </c>
    </row>
    <row r="205" spans="7:8">
      <c r="G205" s="15" t="s">
        <v>324</v>
      </c>
      <c r="H205">
        <v>1</v>
      </c>
    </row>
    <row r="206" spans="7:8">
      <c r="G206" s="15" t="s">
        <v>325</v>
      </c>
      <c r="H206">
        <v>1</v>
      </c>
    </row>
    <row r="207" spans="7:8">
      <c r="G207" s="14" t="s">
        <v>159</v>
      </c>
      <c r="H207">
        <v>3</v>
      </c>
    </row>
    <row r="208" spans="7:8">
      <c r="G208" s="15" t="s">
        <v>326</v>
      </c>
      <c r="H208">
        <v>1</v>
      </c>
    </row>
    <row r="209" spans="7:8">
      <c r="G209" s="15" t="s">
        <v>327</v>
      </c>
      <c r="H209">
        <v>1</v>
      </c>
    </row>
    <row r="210" spans="7:8">
      <c r="G210" s="15" t="s">
        <v>328</v>
      </c>
      <c r="H210">
        <v>1</v>
      </c>
    </row>
    <row r="211" spans="7:8">
      <c r="G211" s="14" t="s">
        <v>32</v>
      </c>
      <c r="H211">
        <v>6</v>
      </c>
    </row>
    <row r="212" spans="7:8">
      <c r="G212" s="15" t="s">
        <v>329</v>
      </c>
      <c r="H212">
        <v>1</v>
      </c>
    </row>
    <row r="213" spans="7:8">
      <c r="G213" s="15" t="s">
        <v>330</v>
      </c>
      <c r="H213">
        <v>1</v>
      </c>
    </row>
    <row r="214" spans="7:8">
      <c r="G214" s="15" t="s">
        <v>331</v>
      </c>
      <c r="H214">
        <v>1</v>
      </c>
    </row>
    <row r="215" spans="7:8">
      <c r="G215" s="15" t="s">
        <v>332</v>
      </c>
      <c r="H215">
        <v>1</v>
      </c>
    </row>
    <row r="216" spans="7:8">
      <c r="G216" s="15" t="s">
        <v>333</v>
      </c>
      <c r="H216">
        <v>1</v>
      </c>
    </row>
    <row r="217" spans="7:8">
      <c r="G217" s="15" t="s">
        <v>334</v>
      </c>
      <c r="H217">
        <v>1</v>
      </c>
    </row>
    <row r="218" spans="7:8">
      <c r="G218" s="14" t="s">
        <v>37</v>
      </c>
      <c r="H218">
        <v>4</v>
      </c>
    </row>
    <row r="219" spans="7:8">
      <c r="G219" s="15" t="s">
        <v>335</v>
      </c>
      <c r="H219">
        <v>1</v>
      </c>
    </row>
    <row r="220" spans="7:8">
      <c r="G220" s="15" t="s">
        <v>336</v>
      </c>
      <c r="H220">
        <v>1</v>
      </c>
    </row>
    <row r="221" spans="7:8">
      <c r="G221" s="15" t="s">
        <v>337</v>
      </c>
      <c r="H221">
        <v>1</v>
      </c>
    </row>
    <row r="222" spans="7:8">
      <c r="G222" s="15" t="s">
        <v>338</v>
      </c>
      <c r="H222">
        <v>1</v>
      </c>
    </row>
    <row r="223" spans="7:8">
      <c r="G223" s="14" t="s">
        <v>201</v>
      </c>
      <c r="H223">
        <v>2</v>
      </c>
    </row>
    <row r="224" spans="7:8">
      <c r="G224" s="15" t="s">
        <v>339</v>
      </c>
      <c r="H224">
        <v>1</v>
      </c>
    </row>
    <row r="225" spans="7:8">
      <c r="G225" s="15" t="s">
        <v>340</v>
      </c>
      <c r="H225">
        <v>1</v>
      </c>
    </row>
    <row r="226" spans="7:8">
      <c r="G226" s="14" t="s">
        <v>341</v>
      </c>
      <c r="H226">
        <v>3</v>
      </c>
    </row>
    <row r="227" spans="7:8">
      <c r="G227" s="15" t="s">
        <v>342</v>
      </c>
      <c r="H227">
        <v>1</v>
      </c>
    </row>
    <row r="228" spans="7:8">
      <c r="G228" s="15" t="s">
        <v>343</v>
      </c>
      <c r="H228">
        <v>1</v>
      </c>
    </row>
    <row r="229" spans="7:8">
      <c r="G229" s="15" t="s">
        <v>344</v>
      </c>
      <c r="H229">
        <v>1</v>
      </c>
    </row>
    <row r="230" spans="7:8">
      <c r="G230" s="14" t="s">
        <v>19</v>
      </c>
      <c r="H230">
        <v>2</v>
      </c>
    </row>
    <row r="231" spans="7:8">
      <c r="G231" s="15" t="s">
        <v>345</v>
      </c>
      <c r="H231">
        <v>1</v>
      </c>
    </row>
    <row r="232" spans="7:8">
      <c r="G232" s="15" t="s">
        <v>346</v>
      </c>
      <c r="H232">
        <v>1</v>
      </c>
    </row>
    <row r="233" spans="7:8">
      <c r="G233" s="14" t="s">
        <v>134</v>
      </c>
      <c r="H233">
        <v>2</v>
      </c>
    </row>
    <row r="234" spans="7:8">
      <c r="G234" s="15" t="s">
        <v>347</v>
      </c>
      <c r="H234">
        <v>1</v>
      </c>
    </row>
    <row r="235" spans="7:8">
      <c r="G235" s="15" t="s">
        <v>348</v>
      </c>
      <c r="H235">
        <v>1</v>
      </c>
    </row>
    <row r="236" spans="7:8">
      <c r="G236" s="14" t="s">
        <v>143</v>
      </c>
      <c r="H236">
        <v>4</v>
      </c>
    </row>
    <row r="237" spans="7:8">
      <c r="G237" s="15" t="s">
        <v>349</v>
      </c>
      <c r="H237">
        <v>1</v>
      </c>
    </row>
    <row r="238" spans="7:8">
      <c r="G238" s="15" t="s">
        <v>350</v>
      </c>
      <c r="H238">
        <v>1</v>
      </c>
    </row>
    <row r="239" spans="7:8">
      <c r="G239" s="15" t="s">
        <v>351</v>
      </c>
      <c r="H239">
        <v>1</v>
      </c>
    </row>
    <row r="240" spans="7:8">
      <c r="G240" s="15" t="s">
        <v>352</v>
      </c>
      <c r="H240">
        <v>1</v>
      </c>
    </row>
    <row r="241" spans="7:8">
      <c r="G241" s="14" t="s">
        <v>20</v>
      </c>
      <c r="H241">
        <v>9</v>
      </c>
    </row>
    <row r="242" spans="7:8">
      <c r="G242" s="15" t="s">
        <v>353</v>
      </c>
      <c r="H242">
        <v>1</v>
      </c>
    </row>
    <row r="243" spans="7:8">
      <c r="G243" s="15" t="s">
        <v>354</v>
      </c>
      <c r="H243">
        <v>1</v>
      </c>
    </row>
    <row r="244" spans="7:8">
      <c r="G244" s="15" t="s">
        <v>355</v>
      </c>
      <c r="H244">
        <v>1</v>
      </c>
    </row>
    <row r="245" spans="7:8">
      <c r="G245" s="15" t="s">
        <v>356</v>
      </c>
      <c r="H245">
        <v>1</v>
      </c>
    </row>
    <row r="246" spans="7:8">
      <c r="G246" s="15" t="s">
        <v>357</v>
      </c>
      <c r="H246">
        <v>1</v>
      </c>
    </row>
    <row r="247" spans="7:8">
      <c r="G247" s="15" t="s">
        <v>358</v>
      </c>
      <c r="H247">
        <v>1</v>
      </c>
    </row>
    <row r="248" spans="7:8">
      <c r="G248" s="15" t="s">
        <v>359</v>
      </c>
      <c r="H248">
        <v>1</v>
      </c>
    </row>
    <row r="249" spans="7:8">
      <c r="G249" s="15" t="s">
        <v>360</v>
      </c>
      <c r="H249">
        <v>1</v>
      </c>
    </row>
    <row r="250" spans="7:8">
      <c r="G250" s="15" t="s">
        <v>361</v>
      </c>
      <c r="H250">
        <v>1</v>
      </c>
    </row>
    <row r="251" spans="7:8">
      <c r="G251" s="14" t="s">
        <v>82</v>
      </c>
      <c r="H251">
        <v>1</v>
      </c>
    </row>
    <row r="252" spans="7:8">
      <c r="G252" s="15" t="s">
        <v>362</v>
      </c>
      <c r="H252">
        <v>1</v>
      </c>
    </row>
    <row r="253" spans="7:8">
      <c r="G253" s="14" t="s">
        <v>206</v>
      </c>
      <c r="H253">
        <v>3</v>
      </c>
    </row>
    <row r="254" spans="7:8">
      <c r="G254" s="15" t="s">
        <v>363</v>
      </c>
      <c r="H254">
        <v>1</v>
      </c>
    </row>
    <row r="255" spans="7:8">
      <c r="G255" s="15" t="s">
        <v>364</v>
      </c>
      <c r="H255">
        <v>1</v>
      </c>
    </row>
    <row r="256" spans="7:8">
      <c r="G256" s="15" t="s">
        <v>365</v>
      </c>
      <c r="H256">
        <v>1</v>
      </c>
    </row>
    <row r="257" spans="7:8">
      <c r="G257" s="14" t="s">
        <v>366</v>
      </c>
      <c r="H257">
        <v>1</v>
      </c>
    </row>
    <row r="258" spans="7:8">
      <c r="G258" s="15" t="s">
        <v>367</v>
      </c>
      <c r="H258">
        <v>1</v>
      </c>
    </row>
    <row r="259" spans="7:8">
      <c r="G259" s="3" t="s">
        <v>12</v>
      </c>
      <c r="H259">
        <v>172</v>
      </c>
    </row>
  </sheetData>
  <sheetProtection autoFilter="0" pivotTables="0"/>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A1C15-F988-4614-A8BA-4F71BFC70E23}">
  <dimension ref="A23:L266"/>
  <sheetViews>
    <sheetView showGridLines="0" workbookViewId="0">
      <selection activeCell="D18" sqref="D18"/>
    </sheetView>
  </sheetViews>
  <sheetFormatPr defaultRowHeight="15"/>
  <cols>
    <col min="1" max="1" width="31.7109375" customWidth="1"/>
    <col min="3" max="3" width="31.7109375" customWidth="1"/>
    <col min="5" max="5" width="31.7109375" customWidth="1"/>
    <col min="7" max="7" width="31.7109375" customWidth="1"/>
    <col min="9" max="9" width="31.7109375" customWidth="1"/>
    <col min="11" max="11" width="31.7109375" customWidth="1"/>
  </cols>
  <sheetData>
    <row r="23" spans="1:12" hidden="1">
      <c r="A23" s="1" t="s">
        <v>0</v>
      </c>
      <c r="B23" t="s">
        <v>1</v>
      </c>
      <c r="C23" s="1" t="s">
        <v>0</v>
      </c>
      <c r="D23" t="s">
        <v>1</v>
      </c>
      <c r="E23" s="1" t="s">
        <v>0</v>
      </c>
      <c r="F23" t="s">
        <v>1</v>
      </c>
      <c r="G23" s="1" t="s">
        <v>0</v>
      </c>
      <c r="H23" t="s">
        <v>14</v>
      </c>
      <c r="I23" s="1" t="s">
        <v>0</v>
      </c>
      <c r="J23" t="s">
        <v>14</v>
      </c>
      <c r="K23" s="1" t="s">
        <v>0</v>
      </c>
      <c r="L23" t="s">
        <v>14</v>
      </c>
    </row>
    <row r="24" spans="1:12" hidden="1">
      <c r="A24" s="1" t="s">
        <v>3</v>
      </c>
      <c r="B24" t="s">
        <v>4</v>
      </c>
      <c r="C24" s="1" t="s">
        <v>3</v>
      </c>
      <c r="D24" t="s">
        <v>5</v>
      </c>
      <c r="E24" s="1" t="s">
        <v>3</v>
      </c>
      <c r="F24" t="s">
        <v>6</v>
      </c>
      <c r="G24" s="1" t="s">
        <v>3</v>
      </c>
      <c r="H24" t="s">
        <v>4</v>
      </c>
      <c r="I24" s="1" t="s">
        <v>3</v>
      </c>
      <c r="J24" t="s">
        <v>5</v>
      </c>
      <c r="K24" s="1" t="s">
        <v>3</v>
      </c>
      <c r="L24" t="s">
        <v>6</v>
      </c>
    </row>
    <row r="26" spans="1:12">
      <c r="A26" s="4" t="s">
        <v>4</v>
      </c>
      <c r="B26" s="4" t="s">
        <v>368</v>
      </c>
      <c r="C26" s="5" t="s">
        <v>369</v>
      </c>
      <c r="D26" s="5" t="s">
        <v>368</v>
      </c>
      <c r="E26" s="6" t="s">
        <v>370</v>
      </c>
      <c r="F26" s="6" t="s">
        <v>368</v>
      </c>
      <c r="G26" s="4" t="s">
        <v>4</v>
      </c>
      <c r="H26" s="4" t="s">
        <v>368</v>
      </c>
      <c r="I26" s="5" t="s">
        <v>369</v>
      </c>
      <c r="J26" s="5" t="s">
        <v>368</v>
      </c>
      <c r="K26" s="6" t="s">
        <v>370</v>
      </c>
      <c r="L26" s="6" t="s">
        <v>368</v>
      </c>
    </row>
    <row r="27" spans="1:12">
      <c r="A27" s="3" t="s">
        <v>6</v>
      </c>
      <c r="B27">
        <v>1</v>
      </c>
      <c r="C27" s="3">
        <v>46146</v>
      </c>
      <c r="D27">
        <v>1</v>
      </c>
      <c r="E27" s="3">
        <v>46178</v>
      </c>
      <c r="F27">
        <v>1</v>
      </c>
      <c r="G27" s="3" t="s">
        <v>6</v>
      </c>
      <c r="H27">
        <v>1</v>
      </c>
      <c r="I27" s="3">
        <v>46232</v>
      </c>
      <c r="J27">
        <v>5</v>
      </c>
      <c r="K27" s="3">
        <v>46232</v>
      </c>
      <c r="L27">
        <v>15</v>
      </c>
    </row>
    <row r="28" spans="1:12">
      <c r="A28" s="14" t="s">
        <v>6</v>
      </c>
      <c r="B28">
        <v>1</v>
      </c>
      <c r="C28" s="14" t="s">
        <v>19</v>
      </c>
      <c r="D28">
        <v>1</v>
      </c>
      <c r="E28" s="14" t="s">
        <v>20</v>
      </c>
      <c r="F28">
        <v>1</v>
      </c>
      <c r="G28" s="14" t="s">
        <v>6</v>
      </c>
      <c r="H28">
        <v>1</v>
      </c>
      <c r="I28" s="14" t="s">
        <v>21</v>
      </c>
      <c r="J28">
        <v>1</v>
      </c>
      <c r="K28" s="14" t="s">
        <v>22</v>
      </c>
      <c r="L28">
        <v>2</v>
      </c>
    </row>
    <row r="29" spans="1:12">
      <c r="A29" s="15" t="s">
        <v>371</v>
      </c>
      <c r="B29">
        <v>1</v>
      </c>
      <c r="C29" s="15" t="s">
        <v>23</v>
      </c>
      <c r="D29">
        <v>1</v>
      </c>
      <c r="E29" s="15" t="s">
        <v>24</v>
      </c>
      <c r="F29">
        <v>1</v>
      </c>
      <c r="G29" s="15" t="s">
        <v>372</v>
      </c>
      <c r="H29">
        <v>1</v>
      </c>
      <c r="I29" s="15" t="s">
        <v>26</v>
      </c>
      <c r="J29">
        <v>1</v>
      </c>
      <c r="K29" s="15" t="s">
        <v>27</v>
      </c>
      <c r="L29">
        <v>1</v>
      </c>
    </row>
    <row r="30" spans="1:12">
      <c r="A30" s="3" t="s">
        <v>12</v>
      </c>
      <c r="B30">
        <v>1</v>
      </c>
      <c r="C30" s="3">
        <v>46153</v>
      </c>
      <c r="D30">
        <v>1</v>
      </c>
      <c r="E30" s="3">
        <v>46196</v>
      </c>
      <c r="F30">
        <v>6</v>
      </c>
      <c r="G30" s="3" t="s">
        <v>12</v>
      </c>
      <c r="H30">
        <v>1</v>
      </c>
      <c r="I30" s="14" t="s">
        <v>25</v>
      </c>
      <c r="J30">
        <v>1</v>
      </c>
      <c r="K30" s="15" t="s">
        <v>29</v>
      </c>
      <c r="L30">
        <v>1</v>
      </c>
    </row>
    <row r="31" spans="1:12">
      <c r="C31" s="14" t="s">
        <v>30</v>
      </c>
      <c r="D31">
        <v>1</v>
      </c>
      <c r="E31" s="14" t="s">
        <v>31</v>
      </c>
      <c r="F31">
        <v>4</v>
      </c>
      <c r="I31" s="15" t="s">
        <v>33</v>
      </c>
      <c r="J31">
        <v>1</v>
      </c>
      <c r="K31" s="14" t="s">
        <v>34</v>
      </c>
      <c r="L31">
        <v>4</v>
      </c>
    </row>
    <row r="32" spans="1:12">
      <c r="C32" s="15" t="s">
        <v>35</v>
      </c>
      <c r="D32">
        <v>1</v>
      </c>
      <c r="E32" s="15" t="s">
        <v>36</v>
      </c>
      <c r="F32">
        <v>1</v>
      </c>
      <c r="I32" s="14" t="s">
        <v>28</v>
      </c>
      <c r="J32">
        <v>1</v>
      </c>
      <c r="K32" s="15" t="s">
        <v>38</v>
      </c>
      <c r="L32">
        <v>1</v>
      </c>
    </row>
    <row r="33" spans="3:12">
      <c r="C33" s="3">
        <v>46177</v>
      </c>
      <c r="D33">
        <v>2</v>
      </c>
      <c r="E33" s="15" t="s">
        <v>39</v>
      </c>
      <c r="F33">
        <v>1</v>
      </c>
      <c r="I33" s="15" t="s">
        <v>40</v>
      </c>
      <c r="J33">
        <v>1</v>
      </c>
      <c r="K33" s="15" t="s">
        <v>41</v>
      </c>
      <c r="L33">
        <v>1</v>
      </c>
    </row>
    <row r="34" spans="3:12">
      <c r="C34" s="14" t="s">
        <v>21</v>
      </c>
      <c r="D34">
        <v>1</v>
      </c>
      <c r="E34" s="15" t="s">
        <v>42</v>
      </c>
      <c r="F34">
        <v>1</v>
      </c>
      <c r="I34" s="14" t="s">
        <v>32</v>
      </c>
      <c r="J34">
        <v>1</v>
      </c>
      <c r="K34" s="15" t="s">
        <v>43</v>
      </c>
      <c r="L34">
        <v>1</v>
      </c>
    </row>
    <row r="35" spans="3:12">
      <c r="C35" s="15" t="s">
        <v>44</v>
      </c>
      <c r="D35">
        <v>1</v>
      </c>
      <c r="E35" s="15" t="s">
        <v>45</v>
      </c>
      <c r="F35">
        <v>1</v>
      </c>
      <c r="I35" s="15" t="s">
        <v>46</v>
      </c>
      <c r="J35">
        <v>1</v>
      </c>
      <c r="K35" s="15" t="s">
        <v>47</v>
      </c>
      <c r="L35">
        <v>1</v>
      </c>
    </row>
    <row r="36" spans="3:12">
      <c r="C36" s="14" t="s">
        <v>28</v>
      </c>
      <c r="D36">
        <v>1</v>
      </c>
      <c r="E36" s="14" t="s">
        <v>48</v>
      </c>
      <c r="F36">
        <v>1</v>
      </c>
      <c r="I36" s="14" t="s">
        <v>37</v>
      </c>
      <c r="J36">
        <v>1</v>
      </c>
      <c r="K36" s="14" t="s">
        <v>49</v>
      </c>
      <c r="L36">
        <v>1</v>
      </c>
    </row>
    <row r="37" spans="3:12">
      <c r="C37" s="15" t="s">
        <v>50</v>
      </c>
      <c r="D37">
        <v>1</v>
      </c>
      <c r="E37" s="15" t="s">
        <v>51</v>
      </c>
      <c r="F37">
        <v>1</v>
      </c>
      <c r="I37" s="15" t="s">
        <v>52</v>
      </c>
      <c r="J37">
        <v>1</v>
      </c>
      <c r="K37" s="15" t="s">
        <v>53</v>
      </c>
      <c r="L37">
        <v>1</v>
      </c>
    </row>
    <row r="38" spans="3:12">
      <c r="C38" s="3">
        <v>46178</v>
      </c>
      <c r="D38">
        <v>1</v>
      </c>
      <c r="E38" s="14" t="s">
        <v>54</v>
      </c>
      <c r="F38">
        <v>1</v>
      </c>
      <c r="I38" s="3" t="s">
        <v>12</v>
      </c>
      <c r="J38">
        <v>5</v>
      </c>
      <c r="K38" s="14" t="s">
        <v>55</v>
      </c>
      <c r="L38">
        <v>1</v>
      </c>
    </row>
    <row r="39" spans="3:12">
      <c r="C39" s="14" t="s">
        <v>31</v>
      </c>
      <c r="D39">
        <v>1</v>
      </c>
      <c r="E39" s="15" t="s">
        <v>56</v>
      </c>
      <c r="F39">
        <v>1</v>
      </c>
      <c r="K39" s="15" t="s">
        <v>57</v>
      </c>
      <c r="L39">
        <v>1</v>
      </c>
    </row>
    <row r="40" spans="3:12">
      <c r="C40" s="15" t="s">
        <v>58</v>
      </c>
      <c r="D40">
        <v>1</v>
      </c>
      <c r="E40" s="3">
        <v>46198</v>
      </c>
      <c r="F40">
        <v>2</v>
      </c>
      <c r="K40" s="14" t="s">
        <v>54</v>
      </c>
      <c r="L40">
        <v>1</v>
      </c>
    </row>
    <row r="41" spans="3:12">
      <c r="C41" s="3">
        <v>46183</v>
      </c>
      <c r="D41">
        <v>1</v>
      </c>
      <c r="E41" s="14" t="s">
        <v>59</v>
      </c>
      <c r="F41">
        <v>1</v>
      </c>
      <c r="K41" s="15" t="s">
        <v>60</v>
      </c>
      <c r="L41">
        <v>1</v>
      </c>
    </row>
    <row r="42" spans="3:12">
      <c r="C42" s="14" t="s">
        <v>32</v>
      </c>
      <c r="D42">
        <v>1</v>
      </c>
      <c r="E42" s="15" t="s">
        <v>61</v>
      </c>
      <c r="F42">
        <v>1</v>
      </c>
      <c r="K42" s="14" t="s">
        <v>19</v>
      </c>
      <c r="L42">
        <v>1</v>
      </c>
    </row>
    <row r="43" spans="3:12">
      <c r="C43" s="15" t="s">
        <v>62</v>
      </c>
      <c r="D43">
        <v>1</v>
      </c>
      <c r="E43" s="14" t="s">
        <v>63</v>
      </c>
      <c r="F43">
        <v>1</v>
      </c>
      <c r="K43" s="15" t="s">
        <v>64</v>
      </c>
      <c r="L43">
        <v>1</v>
      </c>
    </row>
    <row r="44" spans="3:12">
      <c r="C44" s="3">
        <v>46185</v>
      </c>
      <c r="D44">
        <v>1</v>
      </c>
      <c r="E44" s="15" t="s">
        <v>65</v>
      </c>
      <c r="F44">
        <v>1</v>
      </c>
      <c r="K44" s="14" t="s">
        <v>66</v>
      </c>
      <c r="L44">
        <v>1</v>
      </c>
    </row>
    <row r="45" spans="3:12">
      <c r="C45" s="14" t="s">
        <v>67</v>
      </c>
      <c r="D45">
        <v>1</v>
      </c>
      <c r="E45" s="3">
        <v>46209</v>
      </c>
      <c r="F45">
        <v>6</v>
      </c>
      <c r="K45" s="15" t="s">
        <v>68</v>
      </c>
      <c r="L45">
        <v>1</v>
      </c>
    </row>
    <row r="46" spans="3:12">
      <c r="C46" s="15" t="s">
        <v>69</v>
      </c>
      <c r="D46">
        <v>1</v>
      </c>
      <c r="E46" s="14" t="s">
        <v>70</v>
      </c>
      <c r="F46">
        <v>2</v>
      </c>
      <c r="K46" s="14" t="s">
        <v>71</v>
      </c>
      <c r="L46">
        <v>1</v>
      </c>
    </row>
    <row r="47" spans="3:12">
      <c r="C47" s="3">
        <v>46188</v>
      </c>
      <c r="D47">
        <v>1</v>
      </c>
      <c r="E47" s="15" t="s">
        <v>72</v>
      </c>
      <c r="F47">
        <v>1</v>
      </c>
      <c r="K47" s="15" t="s">
        <v>73</v>
      </c>
      <c r="L47">
        <v>1</v>
      </c>
    </row>
    <row r="48" spans="3:12">
      <c r="C48" s="14" t="s">
        <v>32</v>
      </c>
      <c r="D48">
        <v>1</v>
      </c>
      <c r="E48" s="15" t="s">
        <v>74</v>
      </c>
      <c r="F48">
        <v>1</v>
      </c>
      <c r="K48" s="14" t="s">
        <v>75</v>
      </c>
      <c r="L48">
        <v>1</v>
      </c>
    </row>
    <row r="49" spans="3:12">
      <c r="C49" s="15" t="s">
        <v>76</v>
      </c>
      <c r="D49">
        <v>1</v>
      </c>
      <c r="E49" s="14" t="s">
        <v>19</v>
      </c>
      <c r="F49">
        <v>1</v>
      </c>
      <c r="K49" s="15" t="s">
        <v>77</v>
      </c>
      <c r="L49">
        <v>1</v>
      </c>
    </row>
    <row r="50" spans="3:12">
      <c r="C50" s="3">
        <v>46196</v>
      </c>
      <c r="D50">
        <v>19</v>
      </c>
      <c r="E50" s="15" t="s">
        <v>78</v>
      </c>
      <c r="F50">
        <v>1</v>
      </c>
      <c r="K50" s="14" t="s">
        <v>20</v>
      </c>
      <c r="L50">
        <v>1</v>
      </c>
    </row>
    <row r="51" spans="3:12">
      <c r="C51" s="3">
        <v>46198</v>
      </c>
      <c r="D51">
        <v>2</v>
      </c>
      <c r="E51" s="14" t="s">
        <v>20</v>
      </c>
      <c r="F51">
        <v>3</v>
      </c>
      <c r="K51" s="15" t="s">
        <v>79</v>
      </c>
      <c r="L51">
        <v>1</v>
      </c>
    </row>
    <row r="52" spans="3:12">
      <c r="C52" s="14" t="s">
        <v>154</v>
      </c>
      <c r="D52">
        <v>1</v>
      </c>
      <c r="E52" s="15" t="s">
        <v>81</v>
      </c>
      <c r="F52">
        <v>1</v>
      </c>
      <c r="K52" s="14" t="s">
        <v>82</v>
      </c>
      <c r="L52">
        <v>1</v>
      </c>
    </row>
    <row r="53" spans="3:12">
      <c r="C53" s="15" t="s">
        <v>157</v>
      </c>
      <c r="D53">
        <v>1</v>
      </c>
      <c r="E53" s="15" t="s">
        <v>83</v>
      </c>
      <c r="F53">
        <v>1</v>
      </c>
      <c r="K53" s="15" t="s">
        <v>84</v>
      </c>
      <c r="L53">
        <v>1</v>
      </c>
    </row>
    <row r="54" spans="3:12">
      <c r="C54" s="14" t="s">
        <v>71</v>
      </c>
      <c r="D54">
        <v>1</v>
      </c>
      <c r="E54" s="15" t="s">
        <v>86</v>
      </c>
      <c r="F54">
        <v>1</v>
      </c>
      <c r="K54" s="3">
        <v>46241</v>
      </c>
      <c r="L54">
        <v>43</v>
      </c>
    </row>
    <row r="55" spans="3:12">
      <c r="C55" s="15" t="s">
        <v>161</v>
      </c>
      <c r="D55">
        <v>1</v>
      </c>
      <c r="E55" s="3">
        <v>46217</v>
      </c>
      <c r="F55">
        <v>12</v>
      </c>
      <c r="K55" s="14" t="s">
        <v>88</v>
      </c>
      <c r="L55">
        <v>1</v>
      </c>
    </row>
    <row r="56" spans="3:12">
      <c r="C56" s="3">
        <v>46202</v>
      </c>
      <c r="D56">
        <v>1</v>
      </c>
      <c r="E56" s="14" t="s">
        <v>70</v>
      </c>
      <c r="F56">
        <v>1</v>
      </c>
      <c r="K56" s="15" t="s">
        <v>90</v>
      </c>
      <c r="L56">
        <v>1</v>
      </c>
    </row>
    <row r="57" spans="3:12">
      <c r="C57" s="14" t="s">
        <v>37</v>
      </c>
      <c r="D57">
        <v>1</v>
      </c>
      <c r="E57" s="15" t="s">
        <v>92</v>
      </c>
      <c r="F57">
        <v>1</v>
      </c>
      <c r="K57" s="14" t="s">
        <v>93</v>
      </c>
      <c r="L57">
        <v>9</v>
      </c>
    </row>
    <row r="58" spans="3:12">
      <c r="C58" s="15" t="s">
        <v>166</v>
      </c>
      <c r="D58">
        <v>1</v>
      </c>
      <c r="E58" s="14" t="s">
        <v>48</v>
      </c>
      <c r="F58">
        <v>2</v>
      </c>
      <c r="K58" s="15" t="s">
        <v>95</v>
      </c>
      <c r="L58">
        <v>1</v>
      </c>
    </row>
    <row r="59" spans="3:12">
      <c r="C59" s="3">
        <v>46209</v>
      </c>
      <c r="D59">
        <v>11</v>
      </c>
      <c r="E59" s="15" t="s">
        <v>97</v>
      </c>
      <c r="F59">
        <v>1</v>
      </c>
      <c r="K59" s="15" t="s">
        <v>98</v>
      </c>
      <c r="L59">
        <v>1</v>
      </c>
    </row>
    <row r="60" spans="3:12">
      <c r="C60" s="14" t="s">
        <v>67</v>
      </c>
      <c r="D60">
        <v>1</v>
      </c>
      <c r="E60" s="15" t="s">
        <v>100</v>
      </c>
      <c r="F60">
        <v>1</v>
      </c>
      <c r="K60" s="15" t="s">
        <v>101</v>
      </c>
      <c r="L60">
        <v>1</v>
      </c>
    </row>
    <row r="61" spans="3:12">
      <c r="C61" s="15" t="s">
        <v>170</v>
      </c>
      <c r="D61">
        <v>1</v>
      </c>
      <c r="E61" s="14" t="s">
        <v>19</v>
      </c>
      <c r="F61">
        <v>2</v>
      </c>
      <c r="K61" s="15" t="s">
        <v>103</v>
      </c>
      <c r="L61">
        <v>1</v>
      </c>
    </row>
    <row r="62" spans="3:12">
      <c r="C62" s="14" t="s">
        <v>173</v>
      </c>
      <c r="D62">
        <v>2</v>
      </c>
      <c r="E62" s="15" t="s">
        <v>105</v>
      </c>
      <c r="F62">
        <v>1</v>
      </c>
      <c r="K62" s="15" t="s">
        <v>106</v>
      </c>
      <c r="L62">
        <v>1</v>
      </c>
    </row>
    <row r="63" spans="3:12">
      <c r="C63" s="15" t="s">
        <v>175</v>
      </c>
      <c r="D63">
        <v>1</v>
      </c>
      <c r="E63" s="15" t="s">
        <v>108</v>
      </c>
      <c r="F63">
        <v>1</v>
      </c>
      <c r="K63" s="15" t="s">
        <v>109</v>
      </c>
      <c r="L63">
        <v>1</v>
      </c>
    </row>
    <row r="64" spans="3:12">
      <c r="C64" s="15" t="s">
        <v>178</v>
      </c>
      <c r="D64">
        <v>1</v>
      </c>
      <c r="E64" s="14" t="s">
        <v>66</v>
      </c>
      <c r="F64">
        <v>3</v>
      </c>
      <c r="K64" s="15" t="s">
        <v>111</v>
      </c>
      <c r="L64">
        <v>1</v>
      </c>
    </row>
    <row r="65" spans="3:12">
      <c r="C65" s="14" t="s">
        <v>181</v>
      </c>
      <c r="D65">
        <v>1</v>
      </c>
      <c r="E65" s="15" t="s">
        <v>112</v>
      </c>
      <c r="F65">
        <v>1</v>
      </c>
      <c r="K65" s="15" t="s">
        <v>113</v>
      </c>
      <c r="L65">
        <v>1</v>
      </c>
    </row>
    <row r="66" spans="3:12">
      <c r="C66" s="15" t="s">
        <v>183</v>
      </c>
      <c r="D66">
        <v>1</v>
      </c>
      <c r="E66" s="15" t="s">
        <v>115</v>
      </c>
      <c r="F66">
        <v>1</v>
      </c>
      <c r="K66" s="15" t="s">
        <v>116</v>
      </c>
      <c r="L66">
        <v>1</v>
      </c>
    </row>
    <row r="67" spans="3:12">
      <c r="C67" s="14" t="s">
        <v>107</v>
      </c>
      <c r="D67">
        <v>1</v>
      </c>
      <c r="E67" s="15" t="s">
        <v>117</v>
      </c>
      <c r="F67">
        <v>1</v>
      </c>
      <c r="K67" s="14" t="s">
        <v>34</v>
      </c>
      <c r="L67">
        <v>3</v>
      </c>
    </row>
    <row r="68" spans="3:12">
      <c r="C68" s="15" t="s">
        <v>187</v>
      </c>
      <c r="D68">
        <v>1</v>
      </c>
      <c r="E68" s="14" t="s">
        <v>119</v>
      </c>
      <c r="F68">
        <v>1</v>
      </c>
      <c r="K68" s="15" t="s">
        <v>120</v>
      </c>
      <c r="L68">
        <v>1</v>
      </c>
    </row>
    <row r="69" spans="3:12">
      <c r="C69" s="14" t="s">
        <v>49</v>
      </c>
      <c r="D69">
        <v>1</v>
      </c>
      <c r="E69" s="15" t="s">
        <v>122</v>
      </c>
      <c r="F69">
        <v>1</v>
      </c>
      <c r="K69" s="15" t="s">
        <v>123</v>
      </c>
      <c r="L69">
        <v>1</v>
      </c>
    </row>
    <row r="70" spans="3:12">
      <c r="C70" s="15" t="s">
        <v>192</v>
      </c>
      <c r="D70">
        <v>1</v>
      </c>
      <c r="E70" s="14" t="s">
        <v>20</v>
      </c>
      <c r="F70">
        <v>3</v>
      </c>
      <c r="K70" s="15" t="s">
        <v>125</v>
      </c>
      <c r="L70">
        <v>1</v>
      </c>
    </row>
    <row r="71" spans="3:12">
      <c r="C71" s="14" t="s">
        <v>32</v>
      </c>
      <c r="D71">
        <v>2</v>
      </c>
      <c r="E71" s="15" t="s">
        <v>127</v>
      </c>
      <c r="F71">
        <v>1</v>
      </c>
      <c r="K71" s="14" t="s">
        <v>128</v>
      </c>
      <c r="L71">
        <v>1</v>
      </c>
    </row>
    <row r="72" spans="3:12">
      <c r="C72" s="15" t="s">
        <v>195</v>
      </c>
      <c r="D72">
        <v>1</v>
      </c>
      <c r="E72" s="15" t="s">
        <v>130</v>
      </c>
      <c r="F72">
        <v>1</v>
      </c>
      <c r="K72" s="15" t="s">
        <v>131</v>
      </c>
      <c r="L72">
        <v>1</v>
      </c>
    </row>
    <row r="73" spans="3:12">
      <c r="C73" s="15" t="s">
        <v>198</v>
      </c>
      <c r="D73">
        <v>1</v>
      </c>
      <c r="E73" s="15" t="s">
        <v>133</v>
      </c>
      <c r="F73">
        <v>1</v>
      </c>
      <c r="K73" s="14" t="s">
        <v>55</v>
      </c>
      <c r="L73">
        <v>3</v>
      </c>
    </row>
    <row r="74" spans="3:12">
      <c r="C74" s="14" t="s">
        <v>201</v>
      </c>
      <c r="D74">
        <v>1</v>
      </c>
      <c r="E74" s="3">
        <v>46224</v>
      </c>
      <c r="F74">
        <v>7</v>
      </c>
      <c r="K74" s="15" t="s">
        <v>135</v>
      </c>
      <c r="L74">
        <v>1</v>
      </c>
    </row>
    <row r="75" spans="3:12">
      <c r="C75" s="15" t="s">
        <v>204</v>
      </c>
      <c r="D75">
        <v>1</v>
      </c>
      <c r="E75" s="14" t="s">
        <v>88</v>
      </c>
      <c r="F75">
        <v>1</v>
      </c>
      <c r="K75" s="15" t="s">
        <v>137</v>
      </c>
      <c r="L75">
        <v>1</v>
      </c>
    </row>
    <row r="76" spans="3:12">
      <c r="C76" s="14" t="s">
        <v>138</v>
      </c>
      <c r="D76">
        <v>1</v>
      </c>
      <c r="E76" s="15" t="s">
        <v>139</v>
      </c>
      <c r="F76">
        <v>1</v>
      </c>
      <c r="K76" s="15" t="s">
        <v>140</v>
      </c>
      <c r="L76">
        <v>1</v>
      </c>
    </row>
    <row r="77" spans="3:12">
      <c r="C77" s="15" t="s">
        <v>209</v>
      </c>
      <c r="D77">
        <v>1</v>
      </c>
      <c r="E77" s="14" t="s">
        <v>70</v>
      </c>
      <c r="F77">
        <v>2</v>
      </c>
      <c r="K77" s="14" t="s">
        <v>142</v>
      </c>
      <c r="L77">
        <v>2</v>
      </c>
    </row>
    <row r="78" spans="3:12">
      <c r="C78" s="14" t="s">
        <v>180</v>
      </c>
      <c r="D78">
        <v>1</v>
      </c>
      <c r="E78" s="15" t="s">
        <v>144</v>
      </c>
      <c r="F78">
        <v>1</v>
      </c>
      <c r="K78" s="15" t="s">
        <v>145</v>
      </c>
      <c r="L78">
        <v>1</v>
      </c>
    </row>
    <row r="79" spans="3:12">
      <c r="C79" s="15" t="s">
        <v>213</v>
      </c>
      <c r="D79">
        <v>1</v>
      </c>
      <c r="E79" s="15" t="s">
        <v>147</v>
      </c>
      <c r="F79">
        <v>1</v>
      </c>
      <c r="K79" s="15" t="s">
        <v>148</v>
      </c>
      <c r="L79">
        <v>1</v>
      </c>
    </row>
    <row r="80" spans="3:12">
      <c r="C80" s="3">
        <v>46217</v>
      </c>
      <c r="D80">
        <v>3</v>
      </c>
      <c r="E80" s="14" t="s">
        <v>54</v>
      </c>
      <c r="F80">
        <v>1</v>
      </c>
      <c r="K80" s="14" t="s">
        <v>150</v>
      </c>
      <c r="L80">
        <v>1</v>
      </c>
    </row>
    <row r="81" spans="3:12">
      <c r="C81" s="14" t="s">
        <v>22</v>
      </c>
      <c r="D81">
        <v>1</v>
      </c>
      <c r="E81" s="15" t="s">
        <v>152</v>
      </c>
      <c r="F81">
        <v>1</v>
      </c>
      <c r="K81" s="15" t="s">
        <v>153</v>
      </c>
      <c r="L81">
        <v>1</v>
      </c>
    </row>
    <row r="82" spans="3:12">
      <c r="C82" s="15" t="s">
        <v>219</v>
      </c>
      <c r="D82">
        <v>1</v>
      </c>
      <c r="E82" s="14" t="s">
        <v>19</v>
      </c>
      <c r="F82">
        <v>2</v>
      </c>
      <c r="K82" s="14" t="s">
        <v>28</v>
      </c>
      <c r="L82">
        <v>1</v>
      </c>
    </row>
    <row r="83" spans="3:12">
      <c r="C83" s="14" t="s">
        <v>173</v>
      </c>
      <c r="D83">
        <v>1</v>
      </c>
      <c r="E83" s="15" t="s">
        <v>155</v>
      </c>
      <c r="F83">
        <v>1</v>
      </c>
      <c r="K83" s="15" t="s">
        <v>156</v>
      </c>
      <c r="L83">
        <v>1</v>
      </c>
    </row>
    <row r="84" spans="3:12">
      <c r="C84" s="15" t="s">
        <v>224</v>
      </c>
      <c r="D84">
        <v>1</v>
      </c>
      <c r="E84" s="15" t="s">
        <v>158</v>
      </c>
      <c r="F84">
        <v>1</v>
      </c>
      <c r="K84" s="14" t="s">
        <v>159</v>
      </c>
      <c r="L84">
        <v>1</v>
      </c>
    </row>
    <row r="85" spans="3:12">
      <c r="C85" s="14" t="s">
        <v>225</v>
      </c>
      <c r="D85">
        <v>1</v>
      </c>
      <c r="E85" s="14" t="s">
        <v>149</v>
      </c>
      <c r="F85">
        <v>1</v>
      </c>
      <c r="K85" s="15" t="s">
        <v>160</v>
      </c>
      <c r="L85">
        <v>1</v>
      </c>
    </row>
    <row r="86" spans="3:12">
      <c r="C86" s="15" t="s">
        <v>227</v>
      </c>
      <c r="D86">
        <v>1</v>
      </c>
      <c r="E86" s="15" t="s">
        <v>162</v>
      </c>
      <c r="F86">
        <v>1</v>
      </c>
      <c r="K86" s="14" t="s">
        <v>32</v>
      </c>
      <c r="L86">
        <v>2</v>
      </c>
    </row>
    <row r="87" spans="3:12">
      <c r="C87" s="3">
        <v>46224</v>
      </c>
      <c r="D87">
        <v>12</v>
      </c>
      <c r="E87" s="3">
        <v>46241</v>
      </c>
      <c r="F87">
        <v>138</v>
      </c>
      <c r="K87" s="15" t="s">
        <v>163</v>
      </c>
      <c r="L87">
        <v>1</v>
      </c>
    </row>
    <row r="88" spans="3:12">
      <c r="C88" s="14" t="s">
        <v>22</v>
      </c>
      <c r="D88">
        <v>1</v>
      </c>
      <c r="E88" s="14" t="s">
        <v>164</v>
      </c>
      <c r="F88">
        <v>1</v>
      </c>
      <c r="K88" s="15" t="s">
        <v>165</v>
      </c>
      <c r="L88">
        <v>1</v>
      </c>
    </row>
    <row r="89" spans="3:12">
      <c r="C89" s="15" t="s">
        <v>231</v>
      </c>
      <c r="D89">
        <v>1</v>
      </c>
      <c r="E89" s="15" t="s">
        <v>167</v>
      </c>
      <c r="F89">
        <v>1</v>
      </c>
      <c r="K89" s="14" t="s">
        <v>19</v>
      </c>
      <c r="L89">
        <v>1</v>
      </c>
    </row>
    <row r="90" spans="3:12">
      <c r="C90" s="14" t="s">
        <v>34</v>
      </c>
      <c r="D90">
        <v>1</v>
      </c>
      <c r="E90" s="14" t="s">
        <v>70</v>
      </c>
      <c r="F90">
        <v>5</v>
      </c>
      <c r="K90" s="15" t="s">
        <v>168</v>
      </c>
      <c r="L90">
        <v>1</v>
      </c>
    </row>
    <row r="91" spans="3:12">
      <c r="C91" s="15" t="s">
        <v>234</v>
      </c>
      <c r="D91">
        <v>1</v>
      </c>
      <c r="E91" s="15" t="s">
        <v>169</v>
      </c>
      <c r="F91">
        <v>1</v>
      </c>
      <c r="K91" s="14" t="s">
        <v>66</v>
      </c>
      <c r="L91">
        <v>1</v>
      </c>
    </row>
    <row r="92" spans="3:12">
      <c r="C92" s="14" t="s">
        <v>87</v>
      </c>
      <c r="D92">
        <v>1</v>
      </c>
      <c r="E92" s="15" t="s">
        <v>171</v>
      </c>
      <c r="F92">
        <v>1</v>
      </c>
      <c r="K92" s="15" t="s">
        <v>172</v>
      </c>
      <c r="L92">
        <v>1</v>
      </c>
    </row>
    <row r="93" spans="3:12">
      <c r="C93" s="15" t="s">
        <v>236</v>
      </c>
      <c r="D93">
        <v>1</v>
      </c>
      <c r="E93" s="15" t="s">
        <v>174</v>
      </c>
      <c r="F93">
        <v>1</v>
      </c>
      <c r="K93" s="14" t="s">
        <v>138</v>
      </c>
      <c r="L93">
        <v>1</v>
      </c>
    </row>
    <row r="94" spans="3:12">
      <c r="C94" s="14" t="s">
        <v>238</v>
      </c>
      <c r="D94">
        <v>1</v>
      </c>
      <c r="E94" s="15" t="s">
        <v>176</v>
      </c>
      <c r="F94">
        <v>1</v>
      </c>
      <c r="K94" s="15" t="s">
        <v>177</v>
      </c>
      <c r="L94">
        <v>1</v>
      </c>
    </row>
    <row r="95" spans="3:12">
      <c r="C95" s="15" t="s">
        <v>240</v>
      </c>
      <c r="D95">
        <v>1</v>
      </c>
      <c r="E95" s="15" t="s">
        <v>179</v>
      </c>
      <c r="F95">
        <v>1</v>
      </c>
      <c r="K95" s="14" t="s">
        <v>180</v>
      </c>
      <c r="L95">
        <v>1</v>
      </c>
    </row>
    <row r="96" spans="3:12">
      <c r="C96" s="14" t="s">
        <v>241</v>
      </c>
      <c r="D96">
        <v>1</v>
      </c>
      <c r="E96" s="14" t="s">
        <v>21</v>
      </c>
      <c r="F96">
        <v>4</v>
      </c>
      <c r="K96" s="15" t="s">
        <v>182</v>
      </c>
      <c r="L96">
        <v>1</v>
      </c>
    </row>
    <row r="97" spans="3:12">
      <c r="C97" s="15" t="s">
        <v>243</v>
      </c>
      <c r="D97">
        <v>1</v>
      </c>
      <c r="E97" s="15" t="s">
        <v>184</v>
      </c>
      <c r="F97">
        <v>1</v>
      </c>
      <c r="K97" s="14" t="s">
        <v>75</v>
      </c>
      <c r="L97">
        <v>3</v>
      </c>
    </row>
    <row r="98" spans="3:12">
      <c r="C98" s="14" t="s">
        <v>150</v>
      </c>
      <c r="D98">
        <v>1</v>
      </c>
      <c r="E98" s="15" t="s">
        <v>185</v>
      </c>
      <c r="F98">
        <v>1</v>
      </c>
      <c r="K98" s="15" t="s">
        <v>186</v>
      </c>
      <c r="L98">
        <v>1</v>
      </c>
    </row>
    <row r="99" spans="3:12">
      <c r="C99" s="15" t="s">
        <v>246</v>
      </c>
      <c r="D99">
        <v>1</v>
      </c>
      <c r="E99" s="15" t="s">
        <v>188</v>
      </c>
      <c r="F99">
        <v>1</v>
      </c>
      <c r="K99" s="15" t="s">
        <v>189</v>
      </c>
      <c r="L99">
        <v>1</v>
      </c>
    </row>
    <row r="100" spans="3:12">
      <c r="C100" s="14" t="s">
        <v>225</v>
      </c>
      <c r="D100">
        <v>1</v>
      </c>
      <c r="E100" s="15" t="s">
        <v>190</v>
      </c>
      <c r="F100">
        <v>1</v>
      </c>
      <c r="K100" s="15" t="s">
        <v>191</v>
      </c>
      <c r="L100">
        <v>1</v>
      </c>
    </row>
    <row r="101" spans="3:12">
      <c r="C101" s="15" t="s">
        <v>249</v>
      </c>
      <c r="D101">
        <v>1</v>
      </c>
      <c r="E101" s="14" t="s">
        <v>67</v>
      </c>
      <c r="F101">
        <v>7</v>
      </c>
      <c r="K101" s="14" t="s">
        <v>82</v>
      </c>
      <c r="L101">
        <v>4</v>
      </c>
    </row>
    <row r="102" spans="3:12">
      <c r="C102" s="14" t="s">
        <v>28</v>
      </c>
      <c r="D102">
        <v>1</v>
      </c>
      <c r="E102" s="15" t="s">
        <v>193</v>
      </c>
      <c r="F102">
        <v>1</v>
      </c>
      <c r="K102" s="15" t="s">
        <v>194</v>
      </c>
      <c r="L102">
        <v>1</v>
      </c>
    </row>
    <row r="103" spans="3:12">
      <c r="C103" s="15" t="s">
        <v>252</v>
      </c>
      <c r="D103">
        <v>1</v>
      </c>
      <c r="E103" s="15" t="s">
        <v>196</v>
      </c>
      <c r="F103">
        <v>1</v>
      </c>
      <c r="K103" s="15" t="s">
        <v>197</v>
      </c>
      <c r="L103">
        <v>1</v>
      </c>
    </row>
    <row r="104" spans="3:12">
      <c r="C104" s="14" t="s">
        <v>32</v>
      </c>
      <c r="D104">
        <v>1</v>
      </c>
      <c r="E104" s="15" t="s">
        <v>199</v>
      </c>
      <c r="F104">
        <v>1</v>
      </c>
      <c r="K104" s="15" t="s">
        <v>200</v>
      </c>
      <c r="L104">
        <v>1</v>
      </c>
    </row>
    <row r="105" spans="3:12">
      <c r="C105" s="15" t="s">
        <v>255</v>
      </c>
      <c r="D105">
        <v>1</v>
      </c>
      <c r="E105" s="15" t="s">
        <v>202</v>
      </c>
      <c r="F105">
        <v>1</v>
      </c>
      <c r="K105" s="15" t="s">
        <v>203</v>
      </c>
      <c r="L105">
        <v>1</v>
      </c>
    </row>
    <row r="106" spans="3:12">
      <c r="C106" s="14" t="s">
        <v>37</v>
      </c>
      <c r="D106">
        <v>1</v>
      </c>
      <c r="E106" s="15" t="s">
        <v>205</v>
      </c>
      <c r="F106">
        <v>1</v>
      </c>
      <c r="K106" s="14" t="s">
        <v>206</v>
      </c>
      <c r="L106">
        <v>8</v>
      </c>
    </row>
    <row r="107" spans="3:12">
      <c r="C107" s="15" t="s">
        <v>258</v>
      </c>
      <c r="D107">
        <v>1</v>
      </c>
      <c r="E107" s="15" t="s">
        <v>207</v>
      </c>
      <c r="F107">
        <v>1</v>
      </c>
      <c r="K107" s="15" t="s">
        <v>208</v>
      </c>
      <c r="L107">
        <v>1</v>
      </c>
    </row>
    <row r="108" spans="3:12">
      <c r="C108" s="14" t="s">
        <v>134</v>
      </c>
      <c r="D108">
        <v>1</v>
      </c>
      <c r="E108" s="15" t="s">
        <v>210</v>
      </c>
      <c r="F108">
        <v>1</v>
      </c>
      <c r="K108" s="15" t="s">
        <v>211</v>
      </c>
      <c r="L108">
        <v>1</v>
      </c>
    </row>
    <row r="109" spans="3:12">
      <c r="C109" s="15" t="s">
        <v>261</v>
      </c>
      <c r="D109">
        <v>1</v>
      </c>
      <c r="E109" s="14" t="s">
        <v>22</v>
      </c>
      <c r="F109">
        <v>1</v>
      </c>
      <c r="K109" s="15" t="s">
        <v>212</v>
      </c>
      <c r="L109">
        <v>1</v>
      </c>
    </row>
    <row r="110" spans="3:12">
      <c r="C110" s="14" t="s">
        <v>71</v>
      </c>
      <c r="D110">
        <v>1</v>
      </c>
      <c r="E110" s="15" t="s">
        <v>214</v>
      </c>
      <c r="F110">
        <v>1</v>
      </c>
      <c r="K110" s="15" t="s">
        <v>215</v>
      </c>
      <c r="L110">
        <v>1</v>
      </c>
    </row>
    <row r="111" spans="3:12">
      <c r="C111" s="15" t="s">
        <v>264</v>
      </c>
      <c r="D111">
        <v>1</v>
      </c>
      <c r="E111" s="14" t="s">
        <v>93</v>
      </c>
      <c r="F111">
        <v>3</v>
      </c>
      <c r="K111" s="15" t="s">
        <v>216</v>
      </c>
      <c r="L111">
        <v>1</v>
      </c>
    </row>
    <row r="112" spans="3:12">
      <c r="C112" s="3">
        <v>46240</v>
      </c>
      <c r="D112">
        <v>3</v>
      </c>
      <c r="E112" s="15" t="s">
        <v>217</v>
      </c>
      <c r="F112">
        <v>1</v>
      </c>
      <c r="K112" s="15" t="s">
        <v>218</v>
      </c>
      <c r="L112">
        <v>1</v>
      </c>
    </row>
    <row r="113" spans="3:12">
      <c r="C113" s="14" t="s">
        <v>164</v>
      </c>
      <c r="D113">
        <v>3</v>
      </c>
      <c r="E113" s="15" t="s">
        <v>220</v>
      </c>
      <c r="F113">
        <v>1</v>
      </c>
      <c r="K113" s="15" t="s">
        <v>221</v>
      </c>
      <c r="L113">
        <v>1</v>
      </c>
    </row>
    <row r="114" spans="3:12">
      <c r="C114" s="15" t="s">
        <v>268</v>
      </c>
      <c r="D114">
        <v>1</v>
      </c>
      <c r="E114" s="15" t="s">
        <v>222</v>
      </c>
      <c r="F114">
        <v>1</v>
      </c>
      <c r="K114" s="15" t="s">
        <v>223</v>
      </c>
      <c r="L114">
        <v>1</v>
      </c>
    </row>
    <row r="115" spans="3:12">
      <c r="C115" s="15" t="s">
        <v>270</v>
      </c>
      <c r="D115">
        <v>1</v>
      </c>
      <c r="E115" s="14" t="s">
        <v>34</v>
      </c>
      <c r="F115">
        <v>7</v>
      </c>
      <c r="K115" s="3" t="s">
        <v>12</v>
      </c>
      <c r="L115">
        <v>58</v>
      </c>
    </row>
    <row r="116" spans="3:12">
      <c r="C116" s="15" t="s">
        <v>272</v>
      </c>
      <c r="D116">
        <v>1</v>
      </c>
      <c r="E116" s="15" t="s">
        <v>226</v>
      </c>
      <c r="F116">
        <v>1</v>
      </c>
    </row>
    <row r="117" spans="3:12">
      <c r="C117" s="3" t="s">
        <v>12</v>
      </c>
      <c r="D117">
        <v>59</v>
      </c>
      <c r="E117" s="15" t="s">
        <v>228</v>
      </c>
      <c r="F117">
        <v>1</v>
      </c>
    </row>
    <row r="118" spans="3:12">
      <c r="E118" s="15" t="s">
        <v>229</v>
      </c>
      <c r="F118">
        <v>1</v>
      </c>
    </row>
    <row r="119" spans="3:12">
      <c r="E119" s="15" t="s">
        <v>230</v>
      </c>
      <c r="F119">
        <v>1</v>
      </c>
    </row>
    <row r="120" spans="3:12">
      <c r="E120" s="15" t="s">
        <v>232</v>
      </c>
      <c r="F120">
        <v>1</v>
      </c>
    </row>
    <row r="121" spans="3:12">
      <c r="E121" s="15" t="s">
        <v>233</v>
      </c>
      <c r="F121">
        <v>1</v>
      </c>
    </row>
    <row r="122" spans="3:12">
      <c r="E122" s="15" t="s">
        <v>235</v>
      </c>
      <c r="F122">
        <v>1</v>
      </c>
    </row>
    <row r="123" spans="3:12">
      <c r="E123" s="14" t="s">
        <v>25</v>
      </c>
      <c r="F123">
        <v>2</v>
      </c>
    </row>
    <row r="124" spans="3:12">
      <c r="E124" s="15" t="s">
        <v>237</v>
      </c>
      <c r="F124">
        <v>1</v>
      </c>
    </row>
    <row r="125" spans="3:12">
      <c r="E125" s="15" t="s">
        <v>239</v>
      </c>
      <c r="F125">
        <v>1</v>
      </c>
    </row>
    <row r="126" spans="3:12">
      <c r="E126" s="14" t="s">
        <v>173</v>
      </c>
      <c r="F126">
        <v>3</v>
      </c>
    </row>
    <row r="127" spans="3:12">
      <c r="E127" s="15" t="s">
        <v>242</v>
      </c>
      <c r="F127">
        <v>1</v>
      </c>
    </row>
    <row r="128" spans="3:12">
      <c r="E128" s="15" t="s">
        <v>244</v>
      </c>
      <c r="F128">
        <v>1</v>
      </c>
    </row>
    <row r="129" spans="5:6">
      <c r="E129" s="15" t="s">
        <v>245</v>
      </c>
      <c r="F129">
        <v>1</v>
      </c>
    </row>
    <row r="130" spans="5:6">
      <c r="E130" s="14" t="s">
        <v>247</v>
      </c>
      <c r="F130">
        <v>13</v>
      </c>
    </row>
    <row r="131" spans="5:6">
      <c r="E131" s="15" t="s">
        <v>248</v>
      </c>
      <c r="F131">
        <v>1</v>
      </c>
    </row>
    <row r="132" spans="5:6">
      <c r="E132" s="15" t="s">
        <v>250</v>
      </c>
      <c r="F132">
        <v>1</v>
      </c>
    </row>
    <row r="133" spans="5:6">
      <c r="E133" s="15" t="s">
        <v>251</v>
      </c>
      <c r="F133">
        <v>1</v>
      </c>
    </row>
    <row r="134" spans="5:6">
      <c r="E134" s="15" t="s">
        <v>253</v>
      </c>
      <c r="F134">
        <v>1</v>
      </c>
    </row>
    <row r="135" spans="5:6">
      <c r="E135" s="15" t="s">
        <v>254</v>
      </c>
      <c r="F135">
        <v>1</v>
      </c>
    </row>
    <row r="136" spans="5:6">
      <c r="E136" s="15" t="s">
        <v>256</v>
      </c>
      <c r="F136">
        <v>1</v>
      </c>
    </row>
    <row r="137" spans="5:6">
      <c r="E137" s="15" t="s">
        <v>257</v>
      </c>
      <c r="F137">
        <v>1</v>
      </c>
    </row>
    <row r="138" spans="5:6">
      <c r="E138" s="15" t="s">
        <v>259</v>
      </c>
      <c r="F138">
        <v>1</v>
      </c>
    </row>
    <row r="139" spans="5:6">
      <c r="E139" s="15" t="s">
        <v>260</v>
      </c>
      <c r="F139">
        <v>1</v>
      </c>
    </row>
    <row r="140" spans="5:6">
      <c r="E140" s="15" t="s">
        <v>262</v>
      </c>
      <c r="F140">
        <v>1</v>
      </c>
    </row>
    <row r="141" spans="5:6">
      <c r="E141" s="15" t="s">
        <v>263</v>
      </c>
      <c r="F141">
        <v>1</v>
      </c>
    </row>
    <row r="142" spans="5:6">
      <c r="E142" s="15" t="s">
        <v>265</v>
      </c>
      <c r="F142">
        <v>1</v>
      </c>
    </row>
    <row r="143" spans="5:6">
      <c r="E143" s="15" t="s">
        <v>266</v>
      </c>
      <c r="F143">
        <v>1</v>
      </c>
    </row>
    <row r="144" spans="5:6">
      <c r="E144" s="14" t="s">
        <v>267</v>
      </c>
      <c r="F144">
        <v>9</v>
      </c>
    </row>
    <row r="145" spans="5:6">
      <c r="E145" s="15" t="s">
        <v>269</v>
      </c>
      <c r="F145">
        <v>1</v>
      </c>
    </row>
    <row r="146" spans="5:6">
      <c r="E146" s="15" t="s">
        <v>271</v>
      </c>
      <c r="F146">
        <v>1</v>
      </c>
    </row>
    <row r="147" spans="5:6">
      <c r="E147" s="15" t="s">
        <v>273</v>
      </c>
      <c r="F147">
        <v>1</v>
      </c>
    </row>
    <row r="148" spans="5:6">
      <c r="E148" s="15" t="s">
        <v>274</v>
      </c>
      <c r="F148">
        <v>1</v>
      </c>
    </row>
    <row r="149" spans="5:6">
      <c r="E149" s="15" t="s">
        <v>275</v>
      </c>
      <c r="F149">
        <v>1</v>
      </c>
    </row>
    <row r="150" spans="5:6">
      <c r="E150" s="15" t="s">
        <v>276</v>
      </c>
      <c r="F150">
        <v>1</v>
      </c>
    </row>
    <row r="151" spans="5:6">
      <c r="E151" s="15" t="s">
        <v>277</v>
      </c>
      <c r="F151">
        <v>1</v>
      </c>
    </row>
    <row r="152" spans="5:6">
      <c r="E152" s="15" t="s">
        <v>278</v>
      </c>
      <c r="F152">
        <v>1</v>
      </c>
    </row>
    <row r="153" spans="5:6">
      <c r="E153" s="15" t="s">
        <v>279</v>
      </c>
      <c r="F153">
        <v>1</v>
      </c>
    </row>
    <row r="154" spans="5:6">
      <c r="E154" s="14" t="s">
        <v>31</v>
      </c>
      <c r="F154">
        <v>3</v>
      </c>
    </row>
    <row r="155" spans="5:6">
      <c r="E155" s="15" t="s">
        <v>280</v>
      </c>
      <c r="F155">
        <v>1</v>
      </c>
    </row>
    <row r="156" spans="5:6">
      <c r="E156" s="15" t="s">
        <v>281</v>
      </c>
      <c r="F156">
        <v>1</v>
      </c>
    </row>
    <row r="157" spans="5:6">
      <c r="E157" s="15" t="s">
        <v>282</v>
      </c>
      <c r="F157">
        <v>1</v>
      </c>
    </row>
    <row r="158" spans="5:6">
      <c r="E158" s="14" t="s">
        <v>87</v>
      </c>
      <c r="F158">
        <v>3</v>
      </c>
    </row>
    <row r="159" spans="5:6">
      <c r="E159" s="15" t="s">
        <v>283</v>
      </c>
      <c r="F159">
        <v>1</v>
      </c>
    </row>
    <row r="160" spans="5:6">
      <c r="E160" s="15" t="s">
        <v>284</v>
      </c>
      <c r="F160">
        <v>1</v>
      </c>
    </row>
    <row r="161" spans="5:6">
      <c r="E161" s="15" t="s">
        <v>285</v>
      </c>
      <c r="F161">
        <v>1</v>
      </c>
    </row>
    <row r="162" spans="5:6">
      <c r="E162" s="14" t="s">
        <v>91</v>
      </c>
      <c r="F162">
        <v>1</v>
      </c>
    </row>
    <row r="163" spans="5:6">
      <c r="E163" s="15" t="s">
        <v>286</v>
      </c>
      <c r="F163">
        <v>1</v>
      </c>
    </row>
    <row r="164" spans="5:6">
      <c r="E164" s="14" t="s">
        <v>238</v>
      </c>
      <c r="F164">
        <v>2</v>
      </c>
    </row>
    <row r="165" spans="5:6">
      <c r="E165" s="15" t="s">
        <v>287</v>
      </c>
      <c r="F165">
        <v>1</v>
      </c>
    </row>
    <row r="166" spans="5:6">
      <c r="E166" s="15" t="s">
        <v>288</v>
      </c>
      <c r="F166">
        <v>1</v>
      </c>
    </row>
    <row r="167" spans="5:6">
      <c r="E167" s="14" t="s">
        <v>107</v>
      </c>
      <c r="F167">
        <v>1</v>
      </c>
    </row>
    <row r="168" spans="5:6">
      <c r="E168" s="15" t="s">
        <v>289</v>
      </c>
      <c r="F168">
        <v>1</v>
      </c>
    </row>
    <row r="169" spans="5:6">
      <c r="E169" s="14" t="s">
        <v>290</v>
      </c>
      <c r="F169">
        <v>3</v>
      </c>
    </row>
    <row r="170" spans="5:6">
      <c r="E170" s="15" t="s">
        <v>291</v>
      </c>
      <c r="F170">
        <v>1</v>
      </c>
    </row>
    <row r="171" spans="5:6">
      <c r="E171" s="15" t="s">
        <v>292</v>
      </c>
      <c r="F171">
        <v>1</v>
      </c>
    </row>
    <row r="172" spans="5:6">
      <c r="E172" s="15" t="s">
        <v>293</v>
      </c>
      <c r="F172">
        <v>1</v>
      </c>
    </row>
    <row r="173" spans="5:6">
      <c r="E173" s="14" t="s">
        <v>49</v>
      </c>
      <c r="F173">
        <v>1</v>
      </c>
    </row>
    <row r="174" spans="5:6">
      <c r="E174" s="15" t="s">
        <v>294</v>
      </c>
      <c r="F174">
        <v>1</v>
      </c>
    </row>
    <row r="175" spans="5:6">
      <c r="E175" s="14" t="s">
        <v>154</v>
      </c>
      <c r="F175">
        <v>2</v>
      </c>
    </row>
    <row r="176" spans="5:6">
      <c r="E176" s="15" t="s">
        <v>295</v>
      </c>
      <c r="F176">
        <v>1</v>
      </c>
    </row>
    <row r="177" spans="5:6">
      <c r="E177" s="15" t="s">
        <v>296</v>
      </c>
      <c r="F177">
        <v>1</v>
      </c>
    </row>
    <row r="178" spans="5:6">
      <c r="E178" s="14" t="s">
        <v>241</v>
      </c>
      <c r="F178">
        <v>1</v>
      </c>
    </row>
    <row r="179" spans="5:6">
      <c r="E179" s="15" t="s">
        <v>297</v>
      </c>
      <c r="F179">
        <v>1</v>
      </c>
    </row>
    <row r="180" spans="5:6">
      <c r="E180" s="14" t="s">
        <v>298</v>
      </c>
      <c r="F180">
        <v>1</v>
      </c>
    </row>
    <row r="181" spans="5:6">
      <c r="E181" s="15" t="s">
        <v>299</v>
      </c>
      <c r="F181">
        <v>1</v>
      </c>
    </row>
    <row r="182" spans="5:6">
      <c r="E182" s="14" t="s">
        <v>54</v>
      </c>
      <c r="F182">
        <v>11</v>
      </c>
    </row>
    <row r="183" spans="5:6">
      <c r="E183" s="15" t="s">
        <v>300</v>
      </c>
      <c r="F183">
        <v>1</v>
      </c>
    </row>
    <row r="184" spans="5:6">
      <c r="E184" s="15" t="s">
        <v>301</v>
      </c>
      <c r="F184">
        <v>1</v>
      </c>
    </row>
    <row r="185" spans="5:6">
      <c r="E185" s="15" t="s">
        <v>302</v>
      </c>
      <c r="F185">
        <v>1</v>
      </c>
    </row>
    <row r="186" spans="5:6">
      <c r="E186" s="15" t="s">
        <v>303</v>
      </c>
      <c r="F186">
        <v>1</v>
      </c>
    </row>
    <row r="187" spans="5:6">
      <c r="E187" s="15" t="s">
        <v>304</v>
      </c>
      <c r="F187">
        <v>1</v>
      </c>
    </row>
    <row r="188" spans="5:6">
      <c r="E188" s="15" t="s">
        <v>305</v>
      </c>
      <c r="F188">
        <v>1</v>
      </c>
    </row>
    <row r="189" spans="5:6">
      <c r="E189" s="15" t="s">
        <v>306</v>
      </c>
      <c r="F189">
        <v>1</v>
      </c>
    </row>
    <row r="190" spans="5:6">
      <c r="E190" s="15" t="s">
        <v>307</v>
      </c>
      <c r="F190">
        <v>1</v>
      </c>
    </row>
    <row r="191" spans="5:6">
      <c r="E191" s="15" t="s">
        <v>308</v>
      </c>
      <c r="F191">
        <v>1</v>
      </c>
    </row>
    <row r="192" spans="5:6">
      <c r="E192" s="15" t="s">
        <v>309</v>
      </c>
      <c r="F192">
        <v>1</v>
      </c>
    </row>
    <row r="193" spans="5:6">
      <c r="E193" s="15" t="s">
        <v>310</v>
      </c>
      <c r="F193">
        <v>1</v>
      </c>
    </row>
    <row r="194" spans="5:6">
      <c r="E194" s="14" t="s">
        <v>142</v>
      </c>
      <c r="F194">
        <v>1</v>
      </c>
    </row>
    <row r="195" spans="5:6">
      <c r="E195" s="15" t="s">
        <v>311</v>
      </c>
      <c r="F195">
        <v>1</v>
      </c>
    </row>
    <row r="196" spans="5:6">
      <c r="E196" s="14" t="s">
        <v>150</v>
      </c>
      <c r="F196">
        <v>3</v>
      </c>
    </row>
    <row r="197" spans="5:6">
      <c r="E197" s="15" t="s">
        <v>312</v>
      </c>
      <c r="F197">
        <v>1</v>
      </c>
    </row>
    <row r="198" spans="5:6">
      <c r="E198" s="15" t="s">
        <v>313</v>
      </c>
      <c r="F198">
        <v>1</v>
      </c>
    </row>
    <row r="199" spans="5:6">
      <c r="E199" s="15" t="s">
        <v>314</v>
      </c>
      <c r="F199">
        <v>1</v>
      </c>
    </row>
    <row r="200" spans="5:6">
      <c r="E200" s="14" t="s">
        <v>59</v>
      </c>
      <c r="F200">
        <v>1</v>
      </c>
    </row>
    <row r="201" spans="5:6">
      <c r="E201" s="15" t="s">
        <v>315</v>
      </c>
      <c r="F201">
        <v>1</v>
      </c>
    </row>
    <row r="202" spans="5:6">
      <c r="E202" s="14" t="s">
        <v>225</v>
      </c>
      <c r="F202">
        <v>2</v>
      </c>
    </row>
    <row r="203" spans="5:6">
      <c r="E203" s="15" t="s">
        <v>316</v>
      </c>
      <c r="F203">
        <v>1</v>
      </c>
    </row>
    <row r="204" spans="5:6">
      <c r="E204" s="15" t="s">
        <v>317</v>
      </c>
      <c r="F204">
        <v>1</v>
      </c>
    </row>
    <row r="205" spans="5:6">
      <c r="E205" s="14" t="s">
        <v>318</v>
      </c>
      <c r="F205">
        <v>2</v>
      </c>
    </row>
    <row r="206" spans="5:6">
      <c r="E206" s="15" t="s">
        <v>319</v>
      </c>
      <c r="F206">
        <v>1</v>
      </c>
    </row>
    <row r="207" spans="5:6">
      <c r="E207" s="15" t="s">
        <v>320</v>
      </c>
      <c r="F207">
        <v>1</v>
      </c>
    </row>
    <row r="208" spans="5:6">
      <c r="E208" s="14" t="s">
        <v>28</v>
      </c>
      <c r="F208">
        <v>5</v>
      </c>
    </row>
    <row r="209" spans="5:6">
      <c r="E209" s="15" t="s">
        <v>321</v>
      </c>
      <c r="F209">
        <v>1</v>
      </c>
    </row>
    <row r="210" spans="5:6">
      <c r="E210" s="15" t="s">
        <v>322</v>
      </c>
      <c r="F210">
        <v>1</v>
      </c>
    </row>
    <row r="211" spans="5:6">
      <c r="E211" s="15" t="s">
        <v>323</v>
      </c>
      <c r="F211">
        <v>1</v>
      </c>
    </row>
    <row r="212" spans="5:6">
      <c r="E212" s="15" t="s">
        <v>324</v>
      </c>
      <c r="F212">
        <v>1</v>
      </c>
    </row>
    <row r="213" spans="5:6">
      <c r="E213" s="15" t="s">
        <v>325</v>
      </c>
      <c r="F213">
        <v>1</v>
      </c>
    </row>
    <row r="214" spans="5:6">
      <c r="E214" s="14" t="s">
        <v>159</v>
      </c>
      <c r="F214">
        <v>3</v>
      </c>
    </row>
    <row r="215" spans="5:6">
      <c r="E215" s="15" t="s">
        <v>326</v>
      </c>
      <c r="F215">
        <v>1</v>
      </c>
    </row>
    <row r="216" spans="5:6">
      <c r="E216" s="15" t="s">
        <v>327</v>
      </c>
      <c r="F216">
        <v>1</v>
      </c>
    </row>
    <row r="217" spans="5:6">
      <c r="E217" s="15" t="s">
        <v>328</v>
      </c>
      <c r="F217">
        <v>1</v>
      </c>
    </row>
    <row r="218" spans="5:6">
      <c r="E218" s="14" t="s">
        <v>32</v>
      </c>
      <c r="F218">
        <v>6</v>
      </c>
    </row>
    <row r="219" spans="5:6">
      <c r="E219" s="15" t="s">
        <v>329</v>
      </c>
      <c r="F219">
        <v>1</v>
      </c>
    </row>
    <row r="220" spans="5:6">
      <c r="E220" s="15" t="s">
        <v>330</v>
      </c>
      <c r="F220">
        <v>1</v>
      </c>
    </row>
    <row r="221" spans="5:6">
      <c r="E221" s="15" t="s">
        <v>331</v>
      </c>
      <c r="F221">
        <v>1</v>
      </c>
    </row>
    <row r="222" spans="5:6">
      <c r="E222" s="15" t="s">
        <v>332</v>
      </c>
      <c r="F222">
        <v>1</v>
      </c>
    </row>
    <row r="223" spans="5:6">
      <c r="E223" s="15" t="s">
        <v>333</v>
      </c>
      <c r="F223">
        <v>1</v>
      </c>
    </row>
    <row r="224" spans="5:6">
      <c r="E224" s="15" t="s">
        <v>334</v>
      </c>
      <c r="F224">
        <v>1</v>
      </c>
    </row>
    <row r="225" spans="5:6">
      <c r="E225" s="14" t="s">
        <v>37</v>
      </c>
      <c r="F225">
        <v>4</v>
      </c>
    </row>
    <row r="226" spans="5:6">
      <c r="E226" s="15" t="s">
        <v>335</v>
      </c>
      <c r="F226">
        <v>1</v>
      </c>
    </row>
    <row r="227" spans="5:6">
      <c r="E227" s="15" t="s">
        <v>336</v>
      </c>
      <c r="F227">
        <v>1</v>
      </c>
    </row>
    <row r="228" spans="5:6">
      <c r="E228" s="15" t="s">
        <v>337</v>
      </c>
      <c r="F228">
        <v>1</v>
      </c>
    </row>
    <row r="229" spans="5:6">
      <c r="E229" s="15" t="s">
        <v>338</v>
      </c>
      <c r="F229">
        <v>1</v>
      </c>
    </row>
    <row r="230" spans="5:6">
      <c r="E230" s="14" t="s">
        <v>201</v>
      </c>
      <c r="F230">
        <v>2</v>
      </c>
    </row>
    <row r="231" spans="5:6">
      <c r="E231" s="15" t="s">
        <v>339</v>
      </c>
      <c r="F231">
        <v>1</v>
      </c>
    </row>
    <row r="232" spans="5:6">
      <c r="E232" s="15" t="s">
        <v>340</v>
      </c>
      <c r="F232">
        <v>1</v>
      </c>
    </row>
    <row r="233" spans="5:6">
      <c r="E233" s="14" t="s">
        <v>341</v>
      </c>
      <c r="F233">
        <v>3</v>
      </c>
    </row>
    <row r="234" spans="5:6">
      <c r="E234" s="15" t="s">
        <v>342</v>
      </c>
      <c r="F234">
        <v>1</v>
      </c>
    </row>
    <row r="235" spans="5:6">
      <c r="E235" s="15" t="s">
        <v>343</v>
      </c>
      <c r="F235">
        <v>1</v>
      </c>
    </row>
    <row r="236" spans="5:6">
      <c r="E236" s="15" t="s">
        <v>344</v>
      </c>
      <c r="F236">
        <v>1</v>
      </c>
    </row>
    <row r="237" spans="5:6">
      <c r="E237" s="14" t="s">
        <v>19</v>
      </c>
      <c r="F237">
        <v>2</v>
      </c>
    </row>
    <row r="238" spans="5:6">
      <c r="E238" s="15" t="s">
        <v>345</v>
      </c>
      <c r="F238">
        <v>1</v>
      </c>
    </row>
    <row r="239" spans="5:6">
      <c r="E239" s="15" t="s">
        <v>346</v>
      </c>
      <c r="F239">
        <v>1</v>
      </c>
    </row>
    <row r="240" spans="5:6">
      <c r="E240" s="14" t="s">
        <v>134</v>
      </c>
      <c r="F240">
        <v>2</v>
      </c>
    </row>
    <row r="241" spans="5:6">
      <c r="E241" s="15" t="s">
        <v>347</v>
      </c>
      <c r="F241">
        <v>1</v>
      </c>
    </row>
    <row r="242" spans="5:6">
      <c r="E242" s="15" t="s">
        <v>348</v>
      </c>
      <c r="F242">
        <v>1</v>
      </c>
    </row>
    <row r="243" spans="5:6">
      <c r="E243" s="14" t="s">
        <v>143</v>
      </c>
      <c r="F243">
        <v>4</v>
      </c>
    </row>
    <row r="244" spans="5:6">
      <c r="E244" s="15" t="s">
        <v>349</v>
      </c>
      <c r="F244">
        <v>1</v>
      </c>
    </row>
    <row r="245" spans="5:6">
      <c r="E245" s="15" t="s">
        <v>350</v>
      </c>
      <c r="F245">
        <v>1</v>
      </c>
    </row>
    <row r="246" spans="5:6">
      <c r="E246" s="15" t="s">
        <v>351</v>
      </c>
      <c r="F246">
        <v>1</v>
      </c>
    </row>
    <row r="247" spans="5:6">
      <c r="E247" s="15" t="s">
        <v>352</v>
      </c>
      <c r="F247">
        <v>1</v>
      </c>
    </row>
    <row r="248" spans="5:6">
      <c r="E248" s="14" t="s">
        <v>20</v>
      </c>
      <c r="F248">
        <v>9</v>
      </c>
    </row>
    <row r="249" spans="5:6">
      <c r="E249" s="15" t="s">
        <v>353</v>
      </c>
      <c r="F249">
        <v>1</v>
      </c>
    </row>
    <row r="250" spans="5:6">
      <c r="E250" s="15" t="s">
        <v>354</v>
      </c>
      <c r="F250">
        <v>1</v>
      </c>
    </row>
    <row r="251" spans="5:6">
      <c r="E251" s="15" t="s">
        <v>355</v>
      </c>
      <c r="F251">
        <v>1</v>
      </c>
    </row>
    <row r="252" spans="5:6">
      <c r="E252" s="15" t="s">
        <v>356</v>
      </c>
      <c r="F252">
        <v>1</v>
      </c>
    </row>
    <row r="253" spans="5:6">
      <c r="E253" s="15" t="s">
        <v>357</v>
      </c>
      <c r="F253">
        <v>1</v>
      </c>
    </row>
    <row r="254" spans="5:6">
      <c r="E254" s="15" t="s">
        <v>358</v>
      </c>
      <c r="F254">
        <v>1</v>
      </c>
    </row>
    <row r="255" spans="5:6">
      <c r="E255" s="15" t="s">
        <v>359</v>
      </c>
      <c r="F255">
        <v>1</v>
      </c>
    </row>
    <row r="256" spans="5:6">
      <c r="E256" s="15" t="s">
        <v>360</v>
      </c>
      <c r="F256">
        <v>1</v>
      </c>
    </row>
    <row r="257" spans="5:6">
      <c r="E257" s="15" t="s">
        <v>361</v>
      </c>
      <c r="F257">
        <v>1</v>
      </c>
    </row>
    <row r="258" spans="5:6">
      <c r="E258" s="14" t="s">
        <v>82</v>
      </c>
      <c r="F258">
        <v>1</v>
      </c>
    </row>
    <row r="259" spans="5:6">
      <c r="E259" s="15" t="s">
        <v>362</v>
      </c>
      <c r="F259">
        <v>1</v>
      </c>
    </row>
    <row r="260" spans="5:6">
      <c r="E260" s="14" t="s">
        <v>206</v>
      </c>
      <c r="F260">
        <v>3</v>
      </c>
    </row>
    <row r="261" spans="5:6">
      <c r="E261" s="15" t="s">
        <v>363</v>
      </c>
      <c r="F261">
        <v>1</v>
      </c>
    </row>
    <row r="262" spans="5:6">
      <c r="E262" s="15" t="s">
        <v>364</v>
      </c>
      <c r="F262">
        <v>1</v>
      </c>
    </row>
    <row r="263" spans="5:6">
      <c r="E263" s="15" t="s">
        <v>365</v>
      </c>
      <c r="F263">
        <v>1</v>
      </c>
    </row>
    <row r="264" spans="5:6">
      <c r="E264" s="14" t="s">
        <v>366</v>
      </c>
      <c r="F264">
        <v>1</v>
      </c>
    </row>
    <row r="265" spans="5:6">
      <c r="E265" s="15" t="s">
        <v>367</v>
      </c>
      <c r="F265">
        <v>1</v>
      </c>
    </row>
    <row r="266" spans="5:6">
      <c r="E266" s="3" t="s">
        <v>12</v>
      </c>
      <c r="F266">
        <v>172</v>
      </c>
    </row>
  </sheetData>
  <sheetProtection autoFilter="0" pivotTables="0"/>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F381-D52D-44C9-A4F9-7257DF0E11AF}">
  <sheetPr>
    <tabColor theme="8" tint="-0.249977111117893"/>
  </sheetPr>
  <dimension ref="A1:CI789"/>
  <sheetViews>
    <sheetView topLeftCell="L1" workbookViewId="0">
      <pane ySplit="1" topLeftCell="AK2" activePane="bottomLeft" state="frozen"/>
      <selection pane="bottomLeft" activeCell="O7" sqref="O7"/>
      <selection activeCell="BA1" sqref="BA1"/>
    </sheetView>
  </sheetViews>
  <sheetFormatPr defaultRowHeight="15"/>
  <cols>
    <col min="1" max="1" width="19.5703125" customWidth="1"/>
    <col min="2" max="2" width="90.42578125" bestFit="1" customWidth="1"/>
    <col min="3" max="3" width="10.140625" bestFit="1" customWidth="1"/>
    <col min="4" max="4" width="11.42578125" bestFit="1" customWidth="1"/>
    <col min="5" max="5" width="18.140625" bestFit="1" customWidth="1"/>
    <col min="6" max="6" width="20" bestFit="1" customWidth="1"/>
    <col min="7" max="7" width="10.7109375" bestFit="1" customWidth="1"/>
    <col min="8" max="8" width="11.42578125" bestFit="1" customWidth="1"/>
    <col min="9" max="9" width="12.42578125" customWidth="1"/>
    <col min="10" max="10" width="12.42578125" bestFit="1" customWidth="1"/>
    <col min="11" max="11" width="10.28515625" bestFit="1" customWidth="1"/>
    <col min="12" max="12" width="17.5703125" customWidth="1"/>
    <col min="13" max="13" width="15.28515625" customWidth="1"/>
    <col min="14" max="14" width="20.5703125" bestFit="1" customWidth="1"/>
    <col min="15" max="15" width="31.7109375" customWidth="1"/>
    <col min="16" max="16" width="16.42578125" bestFit="1" customWidth="1"/>
    <col min="17" max="17" width="26.7109375" bestFit="1" customWidth="1"/>
    <col min="18" max="18" width="15.5703125" bestFit="1" customWidth="1"/>
    <col min="19" max="19" width="16.28515625" bestFit="1" customWidth="1"/>
    <col min="20" max="20" width="15.28515625" bestFit="1" customWidth="1"/>
    <col min="21" max="21" width="23.42578125" customWidth="1"/>
    <col min="22" max="22" width="27" bestFit="1" customWidth="1"/>
    <col min="23" max="23" width="19.28515625" bestFit="1" customWidth="1"/>
    <col min="24" max="24" width="21.85546875" bestFit="1" customWidth="1"/>
    <col min="25" max="25" width="26.28515625" bestFit="1" customWidth="1"/>
    <col min="26" max="26" width="18" bestFit="1" customWidth="1"/>
    <col min="27" max="27" width="16" bestFit="1" customWidth="1"/>
    <col min="28" max="28" width="16.28515625" bestFit="1" customWidth="1"/>
    <col min="29" max="29" width="16" bestFit="1" customWidth="1"/>
    <col min="30" max="30" width="10.85546875" bestFit="1" customWidth="1"/>
    <col min="31" max="31" width="12.5703125" bestFit="1" customWidth="1"/>
    <col min="32" max="32" width="16.140625" bestFit="1" customWidth="1"/>
    <col min="33" max="33" width="19.85546875" bestFit="1" customWidth="1"/>
    <col min="34" max="34" width="18" bestFit="1" customWidth="1"/>
    <col min="35" max="35" width="37.28515625" customWidth="1"/>
    <col min="36" max="36" width="17.7109375" bestFit="1" customWidth="1"/>
    <col min="37" max="37" width="26" bestFit="1" customWidth="1"/>
    <col min="38" max="38" width="16" bestFit="1" customWidth="1"/>
    <col min="39" max="39" width="16.85546875" bestFit="1" customWidth="1"/>
    <col min="40" max="40" width="23.5703125" bestFit="1" customWidth="1"/>
    <col min="41" max="41" width="10.85546875" bestFit="1" customWidth="1"/>
    <col min="42" max="42" width="22.5703125" bestFit="1" customWidth="1"/>
    <col min="43" max="43" width="32.140625" bestFit="1" customWidth="1"/>
    <col min="44" max="44" width="20" bestFit="1" customWidth="1"/>
    <col min="45" max="45" width="26.140625" bestFit="1" customWidth="1"/>
    <col min="46" max="46" width="255.7109375" bestFit="1" customWidth="1"/>
    <col min="47" max="47" width="10.28515625" bestFit="1" customWidth="1"/>
    <col min="48" max="48" width="39.140625" bestFit="1" customWidth="1"/>
    <col min="49" max="49" width="14.140625" bestFit="1" customWidth="1"/>
    <col min="50" max="50" width="15.5703125" bestFit="1" customWidth="1"/>
    <col min="51" max="51" width="11.5703125" bestFit="1" customWidth="1"/>
    <col min="52" max="52" width="15.5703125" bestFit="1" customWidth="1"/>
    <col min="53" max="53" width="24.42578125" bestFit="1" customWidth="1"/>
    <col min="54" max="54" width="14.85546875" bestFit="1" customWidth="1"/>
    <col min="55" max="55" width="15.85546875" bestFit="1" customWidth="1"/>
    <col min="56" max="56" width="28.5703125" customWidth="1"/>
    <col min="57" max="57" width="12.28515625" bestFit="1" customWidth="1"/>
    <col min="58" max="58" width="49.85546875" bestFit="1" customWidth="1"/>
    <col min="59" max="59" width="22.7109375" bestFit="1" customWidth="1"/>
    <col min="60" max="60" width="17.85546875" bestFit="1" customWidth="1"/>
    <col min="61" max="61" width="13.140625" bestFit="1" customWidth="1"/>
    <col min="62" max="62" width="14.140625" bestFit="1" customWidth="1"/>
    <col min="63" max="63" width="22.5703125" bestFit="1" customWidth="1"/>
    <col min="64" max="64" width="22" bestFit="1" customWidth="1"/>
    <col min="65" max="65" width="13.5703125" bestFit="1" customWidth="1"/>
    <col min="66" max="66" width="16.28515625" bestFit="1" customWidth="1"/>
    <col min="67" max="68" width="22.140625" bestFit="1" customWidth="1"/>
    <col min="69" max="69" width="19.140625" bestFit="1" customWidth="1"/>
    <col min="70" max="70" width="16.7109375" bestFit="1" customWidth="1"/>
    <col min="71" max="71" width="15.5703125" bestFit="1" customWidth="1"/>
    <col min="72" max="72" width="13.5703125" bestFit="1" customWidth="1"/>
    <col min="73" max="73" width="17.85546875" bestFit="1" customWidth="1"/>
    <col min="74" max="74" width="15.28515625" bestFit="1" customWidth="1"/>
    <col min="75" max="75" width="21.42578125" bestFit="1" customWidth="1"/>
    <col min="76" max="76" width="26.85546875" bestFit="1" customWidth="1"/>
    <col min="77" max="77" width="17.7109375" bestFit="1" customWidth="1"/>
    <col min="78" max="78" width="24.42578125" bestFit="1" customWidth="1"/>
    <col min="79" max="79" width="24.42578125" style="191" customWidth="1"/>
    <col min="80" max="80" width="11.5703125" bestFit="1" customWidth="1"/>
    <col min="81" max="81" width="17" bestFit="1" customWidth="1"/>
    <col min="82" max="82" width="21" bestFit="1" customWidth="1"/>
    <col min="83" max="83" width="11.7109375" bestFit="1" customWidth="1"/>
    <col min="84" max="84" width="13" bestFit="1" customWidth="1"/>
    <col min="85" max="85" width="12.85546875" bestFit="1" customWidth="1"/>
    <col min="86" max="86" width="10.28515625" bestFit="1" customWidth="1"/>
  </cols>
  <sheetData>
    <row r="1" spans="1:87" s="18" customFormat="1">
      <c r="A1" s="19" t="s">
        <v>3</v>
      </c>
      <c r="B1" s="19" t="s">
        <v>373</v>
      </c>
      <c r="C1" s="18" t="s">
        <v>374</v>
      </c>
      <c r="D1" s="18" t="s">
        <v>0</v>
      </c>
      <c r="E1" s="18" t="s">
        <v>375</v>
      </c>
      <c r="F1" s="18" t="s">
        <v>376</v>
      </c>
      <c r="G1" s="18" t="s">
        <v>377</v>
      </c>
      <c r="H1" s="18" t="s">
        <v>378</v>
      </c>
      <c r="I1" s="18" t="s">
        <v>379</v>
      </c>
      <c r="J1" s="18" t="s">
        <v>380</v>
      </c>
      <c r="K1" s="18" t="s">
        <v>381</v>
      </c>
      <c r="L1" s="18" t="s">
        <v>382</v>
      </c>
      <c r="M1" s="18" t="s">
        <v>383</v>
      </c>
      <c r="N1" s="18" t="s">
        <v>384</v>
      </c>
      <c r="O1" s="18" t="s">
        <v>385</v>
      </c>
      <c r="P1" s="18" t="s">
        <v>386</v>
      </c>
      <c r="Q1" s="18" t="s">
        <v>387</v>
      </c>
      <c r="R1" s="18" t="s">
        <v>388</v>
      </c>
      <c r="S1" s="18" t="s">
        <v>389</v>
      </c>
      <c r="T1" s="18" t="s">
        <v>390</v>
      </c>
      <c r="U1" s="18" t="s">
        <v>391</v>
      </c>
      <c r="V1" s="18" t="s">
        <v>392</v>
      </c>
      <c r="W1" s="18" t="s">
        <v>393</v>
      </c>
      <c r="X1" s="18" t="s">
        <v>394</v>
      </c>
      <c r="Y1" s="18" t="s">
        <v>395</v>
      </c>
      <c r="Z1" s="18" t="s">
        <v>396</v>
      </c>
      <c r="AA1" s="18" t="s">
        <v>397</v>
      </c>
      <c r="AB1" s="18" t="s">
        <v>398</v>
      </c>
      <c r="AC1" s="18" t="s">
        <v>399</v>
      </c>
      <c r="AD1" s="18" t="s">
        <v>400</v>
      </c>
      <c r="AE1" s="18" t="s">
        <v>401</v>
      </c>
      <c r="AF1" s="18" t="s">
        <v>402</v>
      </c>
      <c r="AG1" s="18" t="s">
        <v>403</v>
      </c>
      <c r="AH1" s="18" t="s">
        <v>404</v>
      </c>
      <c r="AI1" s="18" t="s">
        <v>405</v>
      </c>
      <c r="AJ1" s="18" t="s">
        <v>406</v>
      </c>
      <c r="AK1" s="18" t="s">
        <v>407</v>
      </c>
      <c r="AL1" s="18" t="s">
        <v>408</v>
      </c>
      <c r="AM1" s="18" t="s">
        <v>409</v>
      </c>
      <c r="AN1" s="18" t="s">
        <v>410</v>
      </c>
      <c r="AO1" s="18" t="s">
        <v>411</v>
      </c>
      <c r="AP1" s="18" t="s">
        <v>412</v>
      </c>
      <c r="AQ1" s="18" t="s">
        <v>413</v>
      </c>
      <c r="AR1" s="18" t="s">
        <v>414</v>
      </c>
      <c r="AS1" s="18" t="s">
        <v>415</v>
      </c>
      <c r="AT1" s="18" t="s">
        <v>416</v>
      </c>
      <c r="AU1" s="18" t="s">
        <v>417</v>
      </c>
      <c r="AV1" s="18" t="s">
        <v>418</v>
      </c>
      <c r="AW1" s="18" t="s">
        <v>419</v>
      </c>
      <c r="AX1" s="18" t="s">
        <v>420</v>
      </c>
      <c r="AY1" s="18" t="s">
        <v>421</v>
      </c>
      <c r="AZ1" s="18" t="s">
        <v>422</v>
      </c>
      <c r="BA1" s="18" t="s">
        <v>423</v>
      </c>
      <c r="BB1" s="18" t="s">
        <v>424</v>
      </c>
      <c r="BC1" s="18" t="s">
        <v>425</v>
      </c>
      <c r="BD1" s="18" t="s">
        <v>426</v>
      </c>
      <c r="BE1" s="18" t="s">
        <v>427</v>
      </c>
      <c r="BF1" s="18" t="s">
        <v>428</v>
      </c>
      <c r="BG1" s="18" t="s">
        <v>429</v>
      </c>
      <c r="BH1" s="18" t="s">
        <v>430</v>
      </c>
      <c r="BI1" s="18" t="s">
        <v>431</v>
      </c>
      <c r="BJ1" s="18" t="s">
        <v>432</v>
      </c>
      <c r="BK1" s="18" t="s">
        <v>433</v>
      </c>
      <c r="BL1" s="18" t="s">
        <v>434</v>
      </c>
      <c r="BM1" s="18" t="s">
        <v>435</v>
      </c>
      <c r="BN1" s="18" t="s">
        <v>436</v>
      </c>
      <c r="BO1" s="18" t="s">
        <v>437</v>
      </c>
      <c r="BP1" s="18" t="s">
        <v>438</v>
      </c>
      <c r="BQ1" s="18" t="s">
        <v>439</v>
      </c>
      <c r="BR1" s="18" t="s">
        <v>440</v>
      </c>
      <c r="BS1" s="18" t="s">
        <v>441</v>
      </c>
      <c r="BT1" s="18" t="s">
        <v>442</v>
      </c>
      <c r="BU1" s="18" t="s">
        <v>443</v>
      </c>
      <c r="BV1" s="18" t="s">
        <v>444</v>
      </c>
      <c r="BW1" s="18" t="s">
        <v>445</v>
      </c>
      <c r="BX1" s="18" t="s">
        <v>446</v>
      </c>
      <c r="BY1" s="18" t="s">
        <v>447</v>
      </c>
      <c r="BZ1" s="18" t="s">
        <v>448</v>
      </c>
      <c r="CA1" s="189" t="s">
        <v>449</v>
      </c>
      <c r="CB1" s="18" t="s">
        <v>450</v>
      </c>
      <c r="CC1" s="23" t="s">
        <v>451</v>
      </c>
      <c r="CD1" s="23" t="s">
        <v>452</v>
      </c>
      <c r="CE1" s="23" t="s">
        <v>453</v>
      </c>
      <c r="CF1" s="23" t="s">
        <v>454</v>
      </c>
      <c r="CG1" s="23" t="s">
        <v>455</v>
      </c>
      <c r="CH1" s="23" t="s">
        <v>456</v>
      </c>
      <c r="CI1" s="23" t="s">
        <v>457</v>
      </c>
    </row>
    <row r="2" spans="1:87">
      <c r="A2" s="16" t="s">
        <v>5</v>
      </c>
      <c r="B2" s="16" t="s">
        <v>458</v>
      </c>
      <c r="C2" s="3">
        <v>46196</v>
      </c>
      <c r="D2" s="16" t="s">
        <v>1</v>
      </c>
      <c r="E2" s="16" t="s">
        <v>80</v>
      </c>
      <c r="F2" s="16" t="s">
        <v>459</v>
      </c>
      <c r="G2" s="16">
        <v>40</v>
      </c>
      <c r="H2" s="16" t="e">
        <f ca="1">IF(AND(A2="Completed",#REF!="Valid"),0,DATEDIF(AR2,TODAY(),"D"))</f>
        <v>#REF!</v>
      </c>
      <c r="I2" s="16" t="s">
        <v>460</v>
      </c>
      <c r="J2" s="16" t="s">
        <v>80</v>
      </c>
      <c r="K2" s="16" t="s">
        <v>461</v>
      </c>
      <c r="L2" s="16" t="s">
        <v>17</v>
      </c>
      <c r="M2" s="16">
        <v>12</v>
      </c>
      <c r="N2" s="16" t="s">
        <v>462</v>
      </c>
      <c r="O2" s="16" t="s">
        <v>463</v>
      </c>
      <c r="P2" s="16" t="s">
        <v>464</v>
      </c>
      <c r="Q2" s="16" t="s">
        <v>465</v>
      </c>
      <c r="R2" s="16" t="s">
        <v>466</v>
      </c>
      <c r="S2" s="16" t="s">
        <v>467</v>
      </c>
      <c r="T2" s="16" t="s">
        <v>465</v>
      </c>
      <c r="U2" s="16" t="s">
        <v>468</v>
      </c>
      <c r="V2" s="16" t="s">
        <v>469</v>
      </c>
      <c r="W2" s="16" t="s">
        <v>470</v>
      </c>
      <c r="X2" s="16" t="s">
        <v>471</v>
      </c>
      <c r="Y2" s="16" t="s">
        <v>472</v>
      </c>
      <c r="Z2" s="16" t="s">
        <v>473</v>
      </c>
      <c r="AA2" s="16" t="s">
        <v>474</v>
      </c>
      <c r="AB2" s="16" t="s">
        <v>475</v>
      </c>
      <c r="AC2" s="16" t="s">
        <v>476</v>
      </c>
      <c r="AD2" s="16" t="s">
        <v>477</v>
      </c>
      <c r="AE2" s="16" t="s">
        <v>478</v>
      </c>
      <c r="AF2" s="16" t="s">
        <v>479</v>
      </c>
      <c r="AG2" s="16" t="s">
        <v>480</v>
      </c>
      <c r="AH2" s="16" t="s">
        <v>480</v>
      </c>
      <c r="AI2" s="16" t="s">
        <v>67</v>
      </c>
      <c r="AJ2" s="16" t="s">
        <v>481</v>
      </c>
      <c r="AK2" s="16" t="s">
        <v>482</v>
      </c>
      <c r="AL2" s="16" t="s">
        <v>483</v>
      </c>
      <c r="AM2" s="16" t="s">
        <v>480</v>
      </c>
      <c r="AN2" s="16" t="s">
        <v>480</v>
      </c>
      <c r="AO2" s="16" t="s">
        <v>484</v>
      </c>
      <c r="AP2" s="16" t="s">
        <v>485</v>
      </c>
      <c r="AQ2" s="16" t="s">
        <v>486</v>
      </c>
      <c r="AR2" s="3">
        <v>46183</v>
      </c>
      <c r="AS2" s="16" t="s">
        <v>67</v>
      </c>
      <c r="AT2" s="16" t="s">
        <v>487</v>
      </c>
      <c r="AU2" s="16" t="s">
        <v>480</v>
      </c>
      <c r="AV2" s="16" t="s">
        <v>488</v>
      </c>
      <c r="AW2" s="16" t="s">
        <v>480</v>
      </c>
      <c r="AX2" s="16" t="s">
        <v>480</v>
      </c>
      <c r="AY2" s="16" t="s">
        <v>480</v>
      </c>
      <c r="AZ2" s="16" t="s">
        <v>480</v>
      </c>
      <c r="BA2" s="16" t="s">
        <v>480</v>
      </c>
      <c r="BB2" s="16" t="s">
        <v>480</v>
      </c>
      <c r="BC2" s="16" t="s">
        <v>480</v>
      </c>
      <c r="BD2" s="16" t="s">
        <v>67</v>
      </c>
      <c r="BE2" s="16" t="s">
        <v>489</v>
      </c>
      <c r="BF2" s="16" t="s">
        <v>480</v>
      </c>
      <c r="BG2" s="16" t="s">
        <v>490</v>
      </c>
      <c r="BH2" s="16" t="s">
        <v>491</v>
      </c>
      <c r="BI2" s="16" t="s">
        <v>492</v>
      </c>
      <c r="BJ2" s="16" t="s">
        <v>480</v>
      </c>
      <c r="BK2" s="16" t="s">
        <v>480</v>
      </c>
      <c r="BL2" s="16" t="s">
        <v>480</v>
      </c>
      <c r="BM2" s="16" t="s">
        <v>480</v>
      </c>
      <c r="BN2" s="16" t="s">
        <v>480</v>
      </c>
      <c r="BO2" s="16" t="s">
        <v>480</v>
      </c>
      <c r="BP2" s="16" t="s">
        <v>480</v>
      </c>
      <c r="BQ2" s="16" t="s">
        <v>480</v>
      </c>
      <c r="BR2" s="16" t="s">
        <v>480</v>
      </c>
      <c r="BS2" s="16" t="s">
        <v>480</v>
      </c>
      <c r="BT2" s="16" t="s">
        <v>480</v>
      </c>
      <c r="BU2" s="16" t="s">
        <v>480</v>
      </c>
      <c r="BV2" s="16" t="s">
        <v>480</v>
      </c>
      <c r="BW2" s="16" t="s">
        <v>480</v>
      </c>
      <c r="BX2" s="16" t="s">
        <v>480</v>
      </c>
      <c r="BY2" s="16" t="s">
        <v>480</v>
      </c>
      <c r="BZ2" s="16" t="s">
        <v>480</v>
      </c>
      <c r="CA2" s="3">
        <v>46282.166666666701</v>
      </c>
      <c r="CB2" s="3"/>
      <c r="CC2" s="16"/>
      <c r="CD2" s="16"/>
      <c r="CE2" s="16"/>
      <c r="CF2" s="16"/>
      <c r="CG2" s="16"/>
      <c r="CH2" s="16"/>
      <c r="CI2" s="16" t="s">
        <v>493</v>
      </c>
    </row>
    <row r="3" spans="1:87" ht="29.25">
      <c r="A3" s="16" t="s">
        <v>5</v>
      </c>
      <c r="B3" s="25" t="s">
        <v>494</v>
      </c>
      <c r="C3" s="3">
        <v>46196</v>
      </c>
      <c r="D3" s="16" t="s">
        <v>1</v>
      </c>
      <c r="E3" s="16" t="s">
        <v>96</v>
      </c>
      <c r="F3" s="16" t="s">
        <v>495</v>
      </c>
      <c r="G3" s="16">
        <v>40</v>
      </c>
      <c r="H3" s="16" t="e">
        <f ca="1">IF(AND(A3="Completed",#REF!="Valid"),0,DATEDIF(AR3,TODAY(),"D"))</f>
        <v>#REF!</v>
      </c>
      <c r="I3" s="16" t="s">
        <v>460</v>
      </c>
      <c r="J3" s="16" t="s">
        <v>96</v>
      </c>
      <c r="K3" s="16" t="s">
        <v>496</v>
      </c>
      <c r="L3" s="16" t="s">
        <v>17</v>
      </c>
      <c r="M3" s="16">
        <v>0</v>
      </c>
      <c r="N3" s="16" t="s">
        <v>462</v>
      </c>
      <c r="O3" s="16" t="s">
        <v>497</v>
      </c>
      <c r="P3" s="16" t="s">
        <v>498</v>
      </c>
      <c r="Q3" s="16" t="s">
        <v>465</v>
      </c>
      <c r="R3" s="16" t="s">
        <v>466</v>
      </c>
      <c r="S3" s="16" t="s">
        <v>499</v>
      </c>
      <c r="T3" s="16" t="s">
        <v>465</v>
      </c>
      <c r="U3" s="16" t="s">
        <v>500</v>
      </c>
      <c r="V3" s="16" t="s">
        <v>469</v>
      </c>
      <c r="W3" s="16" t="s">
        <v>470</v>
      </c>
      <c r="X3" s="16" t="s">
        <v>471</v>
      </c>
      <c r="Y3" s="16" t="s">
        <v>472</v>
      </c>
      <c r="Z3" s="16" t="s">
        <v>501</v>
      </c>
      <c r="AA3" s="16" t="s">
        <v>474</v>
      </c>
      <c r="AB3" s="16" t="s">
        <v>502</v>
      </c>
      <c r="AC3" s="16" t="s">
        <v>503</v>
      </c>
      <c r="AD3" s="16" t="s">
        <v>504</v>
      </c>
      <c r="AE3" s="16" t="s">
        <v>505</v>
      </c>
      <c r="AF3" s="16" t="s">
        <v>480</v>
      </c>
      <c r="AG3" s="16" t="s">
        <v>480</v>
      </c>
      <c r="AH3" s="16" t="s">
        <v>480</v>
      </c>
      <c r="AI3" s="16" t="s">
        <v>91</v>
      </c>
      <c r="AJ3" s="16" t="s">
        <v>481</v>
      </c>
      <c r="AK3" s="16" t="s">
        <v>506</v>
      </c>
      <c r="AL3" s="16" t="s">
        <v>507</v>
      </c>
      <c r="AM3" s="16" t="s">
        <v>480</v>
      </c>
      <c r="AN3" s="16" t="s">
        <v>480</v>
      </c>
      <c r="AO3" s="16" t="s">
        <v>508</v>
      </c>
      <c r="AP3" s="16" t="s">
        <v>485</v>
      </c>
      <c r="AQ3" s="16" t="s">
        <v>509</v>
      </c>
      <c r="AR3" s="3">
        <v>46195</v>
      </c>
      <c r="AS3" s="16" t="s">
        <v>91</v>
      </c>
      <c r="AT3" s="16" t="s">
        <v>510</v>
      </c>
      <c r="AU3" s="16" t="s">
        <v>480</v>
      </c>
      <c r="AV3" s="16" t="s">
        <v>511</v>
      </c>
      <c r="AW3" s="16" t="s">
        <v>480</v>
      </c>
      <c r="AX3" s="16" t="s">
        <v>480</v>
      </c>
      <c r="AY3" s="16" t="s">
        <v>480</v>
      </c>
      <c r="AZ3" s="16" t="s">
        <v>480</v>
      </c>
      <c r="BA3" s="16" t="s">
        <v>480</v>
      </c>
      <c r="BB3" s="16" t="s">
        <v>480</v>
      </c>
      <c r="BC3" s="16" t="s">
        <v>480</v>
      </c>
      <c r="BD3" s="16" t="s">
        <v>91</v>
      </c>
      <c r="BE3" s="16" t="s">
        <v>512</v>
      </c>
      <c r="BF3" s="16" t="s">
        <v>480</v>
      </c>
      <c r="BG3" s="16" t="s">
        <v>480</v>
      </c>
      <c r="BH3" s="16" t="s">
        <v>491</v>
      </c>
      <c r="BI3" s="16" t="s">
        <v>513</v>
      </c>
      <c r="BJ3" s="16" t="s">
        <v>480</v>
      </c>
      <c r="BK3" s="16" t="s">
        <v>480</v>
      </c>
      <c r="BL3" s="16" t="s">
        <v>480</v>
      </c>
      <c r="BM3" s="16" t="s">
        <v>480</v>
      </c>
      <c r="BN3" s="16" t="s">
        <v>480</v>
      </c>
      <c r="BO3" s="16" t="s">
        <v>480</v>
      </c>
      <c r="BP3" s="16" t="s">
        <v>480</v>
      </c>
      <c r="BQ3" s="16" t="s">
        <v>480</v>
      </c>
      <c r="BR3" s="16" t="s">
        <v>480</v>
      </c>
      <c r="BS3" s="16" t="s">
        <v>480</v>
      </c>
      <c r="BT3" s="16" t="s">
        <v>480</v>
      </c>
      <c r="BU3" s="16" t="s">
        <v>480</v>
      </c>
      <c r="BV3" s="16" t="s">
        <v>480</v>
      </c>
      <c r="BW3" s="16" t="s">
        <v>480</v>
      </c>
      <c r="BX3" s="16" t="s">
        <v>480</v>
      </c>
      <c r="BY3" s="16" t="s">
        <v>480</v>
      </c>
      <c r="BZ3" s="16" t="s">
        <v>480</v>
      </c>
      <c r="CA3" s="3" t="s">
        <v>514</v>
      </c>
      <c r="CB3" s="3"/>
      <c r="CC3" s="16"/>
      <c r="CD3" s="16"/>
      <c r="CE3" s="16"/>
      <c r="CF3" s="16"/>
      <c r="CG3" s="16"/>
      <c r="CH3" s="16"/>
      <c r="CI3" s="16" t="s">
        <v>515</v>
      </c>
    </row>
    <row r="4" spans="1:87">
      <c r="A4" s="16" t="s">
        <v>5</v>
      </c>
      <c r="B4" s="16" t="s">
        <v>516</v>
      </c>
      <c r="C4" s="3">
        <v>46196</v>
      </c>
      <c r="D4" s="16" t="s">
        <v>1</v>
      </c>
      <c r="E4" s="16" t="s">
        <v>89</v>
      </c>
      <c r="F4" s="16" t="s">
        <v>517</v>
      </c>
      <c r="G4" s="16">
        <v>40</v>
      </c>
      <c r="H4" s="16" t="e">
        <f ca="1">IF(AND(A4="Completed",#REF!="Valid"),0,DATEDIF(AR4,TODAY(),"D"))</f>
        <v>#REF!</v>
      </c>
      <c r="I4" s="16" t="s">
        <v>460</v>
      </c>
      <c r="J4" s="16" t="s">
        <v>89</v>
      </c>
      <c r="K4" s="16" t="s">
        <v>518</v>
      </c>
      <c r="L4" s="16" t="s">
        <v>17</v>
      </c>
      <c r="M4" s="16">
        <v>11</v>
      </c>
      <c r="N4" s="16" t="s">
        <v>462</v>
      </c>
      <c r="O4" s="16" t="s">
        <v>463</v>
      </c>
      <c r="P4" s="16" t="s">
        <v>519</v>
      </c>
      <c r="Q4" s="16" t="s">
        <v>465</v>
      </c>
      <c r="R4" s="16" t="s">
        <v>466</v>
      </c>
      <c r="S4" s="16" t="s">
        <v>520</v>
      </c>
      <c r="T4" s="16" t="s">
        <v>521</v>
      </c>
      <c r="U4" s="16" t="s">
        <v>522</v>
      </c>
      <c r="V4" s="16" t="s">
        <v>469</v>
      </c>
      <c r="W4" s="16" t="s">
        <v>470</v>
      </c>
      <c r="X4" s="16" t="s">
        <v>471</v>
      </c>
      <c r="Y4" s="16" t="s">
        <v>523</v>
      </c>
      <c r="Z4" s="16" t="s">
        <v>524</v>
      </c>
      <c r="AA4" s="16" t="s">
        <v>474</v>
      </c>
      <c r="AB4" s="16" t="s">
        <v>525</v>
      </c>
      <c r="AC4" s="16" t="s">
        <v>526</v>
      </c>
      <c r="AD4" s="16" t="s">
        <v>527</v>
      </c>
      <c r="AE4" s="16" t="s">
        <v>528</v>
      </c>
      <c r="AF4" s="16" t="s">
        <v>480</v>
      </c>
      <c r="AG4" s="16" t="s">
        <v>480</v>
      </c>
      <c r="AH4" s="16" t="s">
        <v>480</v>
      </c>
      <c r="AI4" s="16" t="s">
        <v>87</v>
      </c>
      <c r="AJ4" s="16" t="s">
        <v>481</v>
      </c>
      <c r="AK4" s="16" t="s">
        <v>529</v>
      </c>
      <c r="AL4" s="16" t="s">
        <v>530</v>
      </c>
      <c r="AM4" s="16" t="s">
        <v>480</v>
      </c>
      <c r="AN4" s="16" t="s">
        <v>480</v>
      </c>
      <c r="AO4" s="16" t="s">
        <v>531</v>
      </c>
      <c r="AP4" s="16" t="s">
        <v>485</v>
      </c>
      <c r="AQ4" s="16" t="s">
        <v>532</v>
      </c>
      <c r="AR4" s="3">
        <v>46184</v>
      </c>
      <c r="AS4" s="16" t="s">
        <v>87</v>
      </c>
      <c r="AT4" s="16" t="s">
        <v>533</v>
      </c>
      <c r="AU4" s="16" t="s">
        <v>480</v>
      </c>
      <c r="AV4" s="16" t="s">
        <v>534</v>
      </c>
      <c r="AW4" s="16" t="s">
        <v>480</v>
      </c>
      <c r="AX4" s="16" t="s">
        <v>480</v>
      </c>
      <c r="AY4" s="16" t="s">
        <v>480</v>
      </c>
      <c r="AZ4" s="16" t="s">
        <v>480</v>
      </c>
      <c r="BA4" s="16" t="s">
        <v>480</v>
      </c>
      <c r="BB4" s="16" t="s">
        <v>480</v>
      </c>
      <c r="BC4" s="16" t="s">
        <v>480</v>
      </c>
      <c r="BD4" s="16" t="s">
        <v>87</v>
      </c>
      <c r="BE4" s="16" t="s">
        <v>535</v>
      </c>
      <c r="BF4" s="16" t="s">
        <v>480</v>
      </c>
      <c r="BG4" s="16" t="s">
        <v>480</v>
      </c>
      <c r="BH4" s="16" t="s">
        <v>491</v>
      </c>
      <c r="BI4" s="16" t="s">
        <v>536</v>
      </c>
      <c r="BJ4" s="16" t="s">
        <v>480</v>
      </c>
      <c r="BK4" s="16" t="s">
        <v>480</v>
      </c>
      <c r="BL4" s="16" t="s">
        <v>480</v>
      </c>
      <c r="BM4" s="16" t="s">
        <v>480</v>
      </c>
      <c r="BN4" s="16" t="s">
        <v>480</v>
      </c>
      <c r="BO4" s="16" t="s">
        <v>480</v>
      </c>
      <c r="BP4" s="16" t="s">
        <v>480</v>
      </c>
      <c r="BQ4" s="16" t="s">
        <v>480</v>
      </c>
      <c r="BR4" s="16" t="s">
        <v>480</v>
      </c>
      <c r="BS4" s="16" t="s">
        <v>480</v>
      </c>
      <c r="BT4" s="16" t="s">
        <v>480</v>
      </c>
      <c r="BU4" s="16" t="s">
        <v>480</v>
      </c>
      <c r="BV4" s="16" t="s">
        <v>480</v>
      </c>
      <c r="BW4" s="16" t="s">
        <v>480</v>
      </c>
      <c r="BX4" s="16" t="s">
        <v>480</v>
      </c>
      <c r="BY4" s="16" t="s">
        <v>480</v>
      </c>
      <c r="BZ4" s="16" t="s">
        <v>480</v>
      </c>
      <c r="CA4" s="3">
        <v>46274.666666666701</v>
      </c>
      <c r="CB4" s="3"/>
      <c r="CC4" s="16"/>
      <c r="CD4" s="16"/>
      <c r="CE4" s="16"/>
      <c r="CF4" s="16"/>
      <c r="CG4" s="16"/>
      <c r="CH4" s="16"/>
      <c r="CI4" s="16" t="s">
        <v>537</v>
      </c>
    </row>
    <row r="5" spans="1:87">
      <c r="A5" s="16" t="s">
        <v>5</v>
      </c>
      <c r="B5" s="16" t="s">
        <v>538</v>
      </c>
      <c r="C5" s="3">
        <v>46196</v>
      </c>
      <c r="D5" s="16" t="s">
        <v>1</v>
      </c>
      <c r="E5" s="16" t="s">
        <v>42</v>
      </c>
      <c r="F5" s="16" t="s">
        <v>539</v>
      </c>
      <c r="G5" s="16">
        <v>40</v>
      </c>
      <c r="H5" s="16" t="e">
        <f ca="1">IF(AND(A5="Completed",#REF!="Valid"),0,DATEDIF(AR5,TODAY(),"D"))</f>
        <v>#REF!</v>
      </c>
      <c r="I5" s="16" t="s">
        <v>460</v>
      </c>
      <c r="J5" s="16" t="s">
        <v>42</v>
      </c>
      <c r="K5" s="16" t="s">
        <v>540</v>
      </c>
      <c r="L5" s="16" t="s">
        <v>18</v>
      </c>
      <c r="M5" s="16">
        <v>0</v>
      </c>
      <c r="N5" s="16" t="s">
        <v>462</v>
      </c>
      <c r="O5" s="16" t="s">
        <v>463</v>
      </c>
      <c r="P5" s="16" t="s">
        <v>541</v>
      </c>
      <c r="Q5" s="16" t="s">
        <v>465</v>
      </c>
      <c r="R5" s="16" t="s">
        <v>466</v>
      </c>
      <c r="S5" s="16" t="s">
        <v>542</v>
      </c>
      <c r="T5" s="16" t="s">
        <v>465</v>
      </c>
      <c r="U5" s="16" t="s">
        <v>543</v>
      </c>
      <c r="V5" s="16" t="s">
        <v>469</v>
      </c>
      <c r="W5" s="16" t="s">
        <v>470</v>
      </c>
      <c r="X5" s="16" t="s">
        <v>471</v>
      </c>
      <c r="Y5" s="16" t="s">
        <v>472</v>
      </c>
      <c r="Z5" s="16" t="s">
        <v>544</v>
      </c>
      <c r="AA5" s="16" t="s">
        <v>474</v>
      </c>
      <c r="AB5" s="16" t="s">
        <v>545</v>
      </c>
      <c r="AC5" s="16" t="s">
        <v>546</v>
      </c>
      <c r="AD5" s="16" t="s">
        <v>547</v>
      </c>
      <c r="AE5" s="16" t="s">
        <v>548</v>
      </c>
      <c r="AF5" s="16" t="s">
        <v>480</v>
      </c>
      <c r="AG5" s="16" t="s">
        <v>480</v>
      </c>
      <c r="AH5" s="16" t="s">
        <v>480</v>
      </c>
      <c r="AI5" s="16" t="s">
        <v>31</v>
      </c>
      <c r="AJ5" s="16" t="s">
        <v>481</v>
      </c>
      <c r="AK5" s="16" t="s">
        <v>549</v>
      </c>
      <c r="AL5" s="16" t="s">
        <v>550</v>
      </c>
      <c r="AM5" s="16" t="s">
        <v>480</v>
      </c>
      <c r="AN5" s="16" t="s">
        <v>480</v>
      </c>
      <c r="AO5" s="16" t="s">
        <v>551</v>
      </c>
      <c r="AP5" s="16" t="s">
        <v>485</v>
      </c>
      <c r="AQ5" s="16" t="s">
        <v>552</v>
      </c>
      <c r="AR5" s="3">
        <v>46195</v>
      </c>
      <c r="AS5" s="16" t="s">
        <v>31</v>
      </c>
      <c r="AT5" s="16" t="s">
        <v>553</v>
      </c>
      <c r="AU5" s="16" t="s">
        <v>480</v>
      </c>
      <c r="AV5" s="16" t="s">
        <v>554</v>
      </c>
      <c r="AW5" s="16" t="s">
        <v>480</v>
      </c>
      <c r="AX5" s="16" t="s">
        <v>480</v>
      </c>
      <c r="AY5" s="16" t="s">
        <v>480</v>
      </c>
      <c r="AZ5" s="16" t="s">
        <v>480</v>
      </c>
      <c r="BA5" s="16" t="s">
        <v>480</v>
      </c>
      <c r="BB5" s="16" t="s">
        <v>480</v>
      </c>
      <c r="BC5" s="16" t="s">
        <v>480</v>
      </c>
      <c r="BD5" s="16" t="s">
        <v>31</v>
      </c>
      <c r="BE5" s="16" t="s">
        <v>555</v>
      </c>
      <c r="BF5" s="16" t="s">
        <v>480</v>
      </c>
      <c r="BG5" s="16" t="s">
        <v>490</v>
      </c>
      <c r="BH5" s="16" t="s">
        <v>491</v>
      </c>
      <c r="BI5" s="16" t="s">
        <v>556</v>
      </c>
      <c r="BJ5" s="16" t="s">
        <v>480</v>
      </c>
      <c r="BK5" s="16" t="s">
        <v>480</v>
      </c>
      <c r="BL5" s="16" t="s">
        <v>480</v>
      </c>
      <c r="BM5" s="16" t="s">
        <v>480</v>
      </c>
      <c r="BN5" s="16" t="s">
        <v>480</v>
      </c>
      <c r="BO5" s="16" t="s">
        <v>480</v>
      </c>
      <c r="BP5" s="16" t="s">
        <v>480</v>
      </c>
      <c r="BQ5" s="16" t="s">
        <v>480</v>
      </c>
      <c r="BR5" s="16" t="s">
        <v>480</v>
      </c>
      <c r="BS5" s="16" t="s">
        <v>480</v>
      </c>
      <c r="BT5" s="16" t="s">
        <v>480</v>
      </c>
      <c r="BU5" s="16" t="s">
        <v>480</v>
      </c>
      <c r="BV5" s="16" t="s">
        <v>480</v>
      </c>
      <c r="BW5" s="16" t="s">
        <v>480</v>
      </c>
      <c r="BX5" s="16" t="s">
        <v>480</v>
      </c>
      <c r="BY5" s="16" t="s">
        <v>480</v>
      </c>
      <c r="BZ5" s="16" t="s">
        <v>480</v>
      </c>
      <c r="CA5" s="3">
        <v>46281.666666666701</v>
      </c>
      <c r="CB5" s="3"/>
      <c r="CC5" s="16"/>
      <c r="CD5" s="16"/>
      <c r="CE5" s="16"/>
      <c r="CF5" s="16"/>
      <c r="CG5" s="16"/>
      <c r="CH5" s="16"/>
      <c r="CI5" s="16" t="s">
        <v>557</v>
      </c>
    </row>
    <row r="6" spans="1:87">
      <c r="A6" s="16" t="s">
        <v>5</v>
      </c>
      <c r="B6" s="24" t="s">
        <v>558</v>
      </c>
      <c r="C6" s="3">
        <v>46198</v>
      </c>
      <c r="D6" s="16" t="s">
        <v>1</v>
      </c>
      <c r="E6" s="16" t="s">
        <v>61</v>
      </c>
      <c r="F6" s="16">
        <v>2026127680358</v>
      </c>
      <c r="G6" s="16">
        <v>40</v>
      </c>
      <c r="H6" s="16" t="e">
        <f ca="1">IF(AND(A6="Completed",#REF!="Valid"),0,DATEDIF(AR6,TODAY(),"D"))</f>
        <v>#REF!</v>
      </c>
      <c r="I6" s="16" t="s">
        <v>559</v>
      </c>
      <c r="J6" s="16" t="s">
        <v>61</v>
      </c>
      <c r="K6" s="16" t="s">
        <v>560</v>
      </c>
      <c r="L6" s="16" t="s">
        <v>13</v>
      </c>
      <c r="M6" s="16">
        <v>2</v>
      </c>
      <c r="N6" s="16" t="s">
        <v>561</v>
      </c>
      <c r="O6" s="16" t="s">
        <v>562</v>
      </c>
      <c r="P6" s="16" t="s">
        <v>563</v>
      </c>
      <c r="Q6" s="16" t="s">
        <v>564</v>
      </c>
      <c r="R6" s="16" t="s">
        <v>466</v>
      </c>
      <c r="S6" s="16" t="s">
        <v>565</v>
      </c>
      <c r="T6" s="16" t="s">
        <v>566</v>
      </c>
      <c r="U6" s="16" t="s">
        <v>567</v>
      </c>
      <c r="V6" s="16" t="s">
        <v>469</v>
      </c>
      <c r="W6" s="16" t="s">
        <v>568</v>
      </c>
      <c r="X6" s="16" t="s">
        <v>471</v>
      </c>
      <c r="Y6" s="16" t="s">
        <v>569</v>
      </c>
      <c r="Z6" s="16" t="s">
        <v>570</v>
      </c>
      <c r="AA6" s="16" t="s">
        <v>474</v>
      </c>
      <c r="AB6" s="16" t="s">
        <v>571</v>
      </c>
      <c r="AC6" s="16" t="s">
        <v>572</v>
      </c>
      <c r="AD6" s="16" t="s">
        <v>573</v>
      </c>
      <c r="AE6" s="16" t="s">
        <v>574</v>
      </c>
      <c r="AF6" s="16" t="s">
        <v>480</v>
      </c>
      <c r="AG6" s="16" t="s">
        <v>480</v>
      </c>
      <c r="AH6" s="16" t="s">
        <v>480</v>
      </c>
      <c r="AI6" s="16" t="s">
        <v>59</v>
      </c>
      <c r="AJ6" s="16" t="s">
        <v>481</v>
      </c>
      <c r="AK6" s="16" t="s">
        <v>575</v>
      </c>
      <c r="AL6" s="16" t="s">
        <v>576</v>
      </c>
      <c r="AM6" s="16" t="s">
        <v>480</v>
      </c>
      <c r="AN6" s="16" t="s">
        <v>480</v>
      </c>
      <c r="AO6" s="16" t="s">
        <v>577</v>
      </c>
      <c r="AP6" s="16" t="s">
        <v>485</v>
      </c>
      <c r="AQ6" s="16" t="s">
        <v>578</v>
      </c>
      <c r="AR6" s="3">
        <v>46195</v>
      </c>
      <c r="AS6" s="16" t="s">
        <v>59</v>
      </c>
      <c r="AT6" s="16" t="s">
        <v>579</v>
      </c>
      <c r="AU6" s="16" t="s">
        <v>480</v>
      </c>
      <c r="AV6" s="16" t="s">
        <v>580</v>
      </c>
      <c r="AW6" s="16" t="s">
        <v>480</v>
      </c>
      <c r="AX6" s="16" t="s">
        <v>480</v>
      </c>
      <c r="AY6" s="16" t="s">
        <v>480</v>
      </c>
      <c r="AZ6" s="16" t="s">
        <v>480</v>
      </c>
      <c r="BA6" s="16" t="s">
        <v>480</v>
      </c>
      <c r="BB6" s="16" t="s">
        <v>480</v>
      </c>
      <c r="BC6" s="16" t="s">
        <v>480</v>
      </c>
      <c r="BD6" s="16" t="s">
        <v>59</v>
      </c>
      <c r="BE6" s="16" t="s">
        <v>581</v>
      </c>
      <c r="BF6" s="16" t="s">
        <v>480</v>
      </c>
      <c r="BG6" s="16" t="s">
        <v>490</v>
      </c>
      <c r="BH6" s="16" t="s">
        <v>491</v>
      </c>
      <c r="BI6" s="16" t="s">
        <v>563</v>
      </c>
      <c r="BJ6" s="16" t="s">
        <v>480</v>
      </c>
      <c r="BK6" s="16" t="s">
        <v>480</v>
      </c>
      <c r="BL6" s="16" t="s">
        <v>480</v>
      </c>
      <c r="BM6" s="16" t="s">
        <v>480</v>
      </c>
      <c r="BN6" s="16" t="s">
        <v>480</v>
      </c>
      <c r="BO6" s="16" t="s">
        <v>480</v>
      </c>
      <c r="BP6" s="16" t="s">
        <v>480</v>
      </c>
      <c r="BQ6" s="16" t="s">
        <v>480</v>
      </c>
      <c r="BR6" s="16" t="s">
        <v>480</v>
      </c>
      <c r="BS6" s="16" t="s">
        <v>480</v>
      </c>
      <c r="BT6" s="16" t="s">
        <v>480</v>
      </c>
      <c r="BU6" s="16" t="s">
        <v>480</v>
      </c>
      <c r="BV6" s="16" t="s">
        <v>480</v>
      </c>
      <c r="BW6" s="16" t="s">
        <v>480</v>
      </c>
      <c r="BX6" s="16" t="s">
        <v>480</v>
      </c>
      <c r="BY6" s="16" t="s">
        <v>480</v>
      </c>
      <c r="BZ6" s="16" t="s">
        <v>480</v>
      </c>
      <c r="CA6" s="3">
        <v>46282.666666666701</v>
      </c>
      <c r="CB6" s="3"/>
      <c r="CC6" s="16"/>
      <c r="CD6" s="16"/>
      <c r="CE6" s="16"/>
      <c r="CF6" s="16"/>
      <c r="CG6" s="16"/>
      <c r="CH6" s="16"/>
      <c r="CI6" s="193" t="s">
        <v>582</v>
      </c>
    </row>
    <row r="7" spans="1:87">
      <c r="A7" s="16" t="s">
        <v>5</v>
      </c>
      <c r="B7" s="16" t="s">
        <v>583</v>
      </c>
      <c r="C7" s="3">
        <v>46217</v>
      </c>
      <c r="D7" s="16" t="s">
        <v>1</v>
      </c>
      <c r="E7" s="16" t="s">
        <v>219</v>
      </c>
      <c r="F7" s="16" t="s">
        <v>584</v>
      </c>
      <c r="G7" s="16">
        <v>40</v>
      </c>
      <c r="H7" s="16" t="e">
        <f ca="1">IF(AND(A7="Completed",#REF!="Valid"),0,DATEDIF(AR7,TODAY(),"D"))</f>
        <v>#REF!</v>
      </c>
      <c r="I7" s="16" t="s">
        <v>460</v>
      </c>
      <c r="J7" s="16" t="s">
        <v>219</v>
      </c>
      <c r="K7" s="16" t="s">
        <v>585</v>
      </c>
      <c r="L7" s="16" t="s">
        <v>17</v>
      </c>
      <c r="M7" s="16">
        <v>1</v>
      </c>
      <c r="N7" s="16" t="s">
        <v>462</v>
      </c>
      <c r="O7" s="16" t="s">
        <v>497</v>
      </c>
      <c r="P7" s="16" t="s">
        <v>586</v>
      </c>
      <c r="Q7" s="16" t="s">
        <v>465</v>
      </c>
      <c r="R7" s="16" t="s">
        <v>466</v>
      </c>
      <c r="S7" s="16" t="s">
        <v>587</v>
      </c>
      <c r="T7" s="16" t="s">
        <v>465</v>
      </c>
      <c r="U7" s="16" t="s">
        <v>588</v>
      </c>
      <c r="V7" s="16" t="s">
        <v>469</v>
      </c>
      <c r="W7" s="16" t="s">
        <v>589</v>
      </c>
      <c r="X7" s="16" t="s">
        <v>471</v>
      </c>
      <c r="Y7" s="16" t="s">
        <v>472</v>
      </c>
      <c r="Z7" s="16" t="s">
        <v>590</v>
      </c>
      <c r="AA7" s="16" t="s">
        <v>474</v>
      </c>
      <c r="AB7" s="16" t="s">
        <v>591</v>
      </c>
      <c r="AC7" s="16" t="s">
        <v>592</v>
      </c>
      <c r="AD7" s="16" t="s">
        <v>593</v>
      </c>
      <c r="AE7" s="16" t="s">
        <v>594</v>
      </c>
      <c r="AF7" s="16" t="s">
        <v>480</v>
      </c>
      <c r="AG7" s="16" t="s">
        <v>480</v>
      </c>
      <c r="AH7" s="16" t="s">
        <v>480</v>
      </c>
      <c r="AI7" s="16" t="s">
        <v>22</v>
      </c>
      <c r="AJ7" s="16" t="s">
        <v>481</v>
      </c>
      <c r="AK7" s="16" t="s">
        <v>595</v>
      </c>
      <c r="AL7" s="16" t="s">
        <v>596</v>
      </c>
      <c r="AM7" s="16" t="s">
        <v>480</v>
      </c>
      <c r="AN7" s="16" t="s">
        <v>480</v>
      </c>
      <c r="AO7" s="16" t="s">
        <v>597</v>
      </c>
      <c r="AP7" s="16" t="s">
        <v>485</v>
      </c>
      <c r="AQ7" s="16" t="s">
        <v>598</v>
      </c>
      <c r="AR7" s="3">
        <v>46215</v>
      </c>
      <c r="AS7" s="16" t="s">
        <v>22</v>
      </c>
      <c r="AT7" s="16" t="s">
        <v>599</v>
      </c>
      <c r="AU7" s="16" t="s">
        <v>480</v>
      </c>
      <c r="AV7" s="16" t="s">
        <v>600</v>
      </c>
      <c r="AW7" s="16" t="s">
        <v>480</v>
      </c>
      <c r="AX7" s="16" t="s">
        <v>480</v>
      </c>
      <c r="AY7" s="16" t="s">
        <v>480</v>
      </c>
      <c r="AZ7" s="16" t="s">
        <v>480</v>
      </c>
      <c r="BA7" s="16" t="s">
        <v>480</v>
      </c>
      <c r="BB7" s="16" t="s">
        <v>480</v>
      </c>
      <c r="BC7" s="16" t="s">
        <v>480</v>
      </c>
      <c r="BD7" s="16" t="s">
        <v>22</v>
      </c>
      <c r="BE7" s="16" t="s">
        <v>601</v>
      </c>
      <c r="BF7" s="16" t="s">
        <v>480</v>
      </c>
      <c r="BG7" s="16" t="s">
        <v>480</v>
      </c>
      <c r="BH7" s="16" t="s">
        <v>491</v>
      </c>
      <c r="BI7" s="16" t="s">
        <v>602</v>
      </c>
      <c r="BJ7" s="16" t="s">
        <v>480</v>
      </c>
      <c r="BK7" s="16" t="s">
        <v>480</v>
      </c>
      <c r="BL7" s="16" t="s">
        <v>480</v>
      </c>
      <c r="BM7" s="16" t="s">
        <v>480</v>
      </c>
      <c r="BN7" s="16" t="s">
        <v>480</v>
      </c>
      <c r="BO7" s="16" t="s">
        <v>480</v>
      </c>
      <c r="BP7" s="16" t="s">
        <v>480</v>
      </c>
      <c r="BQ7" s="16" t="s">
        <v>480</v>
      </c>
      <c r="BR7" s="16" t="s">
        <v>480</v>
      </c>
      <c r="BS7" s="16" t="s">
        <v>480</v>
      </c>
      <c r="BT7" s="16" t="s">
        <v>480</v>
      </c>
      <c r="BU7" s="16" t="s">
        <v>480</v>
      </c>
      <c r="BV7" s="16" t="s">
        <v>480</v>
      </c>
      <c r="BW7" s="16" t="s">
        <v>480</v>
      </c>
      <c r="BX7" s="16" t="s">
        <v>480</v>
      </c>
      <c r="BY7" s="16" t="s">
        <v>480</v>
      </c>
      <c r="BZ7" s="16" t="s">
        <v>480</v>
      </c>
      <c r="CA7" s="3">
        <v>46285.166666666701</v>
      </c>
      <c r="CB7" s="3"/>
      <c r="CC7" s="16"/>
      <c r="CD7" s="16"/>
      <c r="CE7" s="16"/>
      <c r="CF7" s="16"/>
      <c r="CG7" s="16"/>
      <c r="CH7" s="16"/>
      <c r="CI7" s="16" t="s">
        <v>603</v>
      </c>
    </row>
    <row r="8" spans="1:87">
      <c r="A8" s="16" t="s">
        <v>5</v>
      </c>
      <c r="B8" s="16" t="s">
        <v>604</v>
      </c>
      <c r="C8" s="3">
        <v>46224</v>
      </c>
      <c r="D8" s="16" t="s">
        <v>1</v>
      </c>
      <c r="E8" s="16" t="s">
        <v>231</v>
      </c>
      <c r="F8" s="16" t="s">
        <v>605</v>
      </c>
      <c r="G8" s="16">
        <v>40</v>
      </c>
      <c r="H8" s="16" t="e">
        <f ca="1">IF(AND(A8="Completed",#REF!="Valid"),0,DATEDIF(AR8,TODAY(),"D"))</f>
        <v>#REF!</v>
      </c>
      <c r="I8" s="16" t="s">
        <v>460</v>
      </c>
      <c r="J8" s="16" t="s">
        <v>231</v>
      </c>
      <c r="K8" s="16" t="s">
        <v>585</v>
      </c>
      <c r="L8" s="16" t="s">
        <v>17</v>
      </c>
      <c r="M8" s="16">
        <v>1</v>
      </c>
      <c r="N8" s="16" t="s">
        <v>462</v>
      </c>
      <c r="O8" s="16" t="s">
        <v>606</v>
      </c>
      <c r="P8" s="16" t="s">
        <v>607</v>
      </c>
      <c r="Q8" s="16" t="s">
        <v>465</v>
      </c>
      <c r="R8" s="16" t="s">
        <v>466</v>
      </c>
      <c r="S8" s="16" t="s">
        <v>608</v>
      </c>
      <c r="T8" s="16" t="s">
        <v>609</v>
      </c>
      <c r="U8" s="16" t="s">
        <v>610</v>
      </c>
      <c r="V8" s="16" t="s">
        <v>469</v>
      </c>
      <c r="W8" s="16" t="s">
        <v>589</v>
      </c>
      <c r="X8" s="16" t="s">
        <v>471</v>
      </c>
      <c r="Y8" s="16" t="s">
        <v>611</v>
      </c>
      <c r="Z8" s="16" t="s">
        <v>612</v>
      </c>
      <c r="AA8" s="16" t="s">
        <v>474</v>
      </c>
      <c r="AB8" s="16" t="s">
        <v>613</v>
      </c>
      <c r="AC8" s="16" t="s">
        <v>614</v>
      </c>
      <c r="AD8" s="16" t="s">
        <v>615</v>
      </c>
      <c r="AE8" s="16" t="s">
        <v>616</v>
      </c>
      <c r="AF8" s="16" t="s">
        <v>480</v>
      </c>
      <c r="AG8" s="16" t="s">
        <v>480</v>
      </c>
      <c r="AH8" s="16" t="s">
        <v>480</v>
      </c>
      <c r="AI8" s="16" t="s">
        <v>22</v>
      </c>
      <c r="AJ8" s="16" t="s">
        <v>481</v>
      </c>
      <c r="AK8" s="16" t="s">
        <v>617</v>
      </c>
      <c r="AL8" s="16" t="s">
        <v>618</v>
      </c>
      <c r="AM8" s="16" t="s">
        <v>480</v>
      </c>
      <c r="AN8" s="16" t="s">
        <v>480</v>
      </c>
      <c r="AO8" s="16" t="s">
        <v>619</v>
      </c>
      <c r="AP8" s="16" t="s">
        <v>485</v>
      </c>
      <c r="AQ8" s="16" t="s">
        <v>620</v>
      </c>
      <c r="AR8" s="3">
        <v>46222</v>
      </c>
      <c r="AS8" s="16" t="s">
        <v>22</v>
      </c>
      <c r="AT8" s="16" t="s">
        <v>621</v>
      </c>
      <c r="AU8" s="16" t="s">
        <v>480</v>
      </c>
      <c r="AV8" s="16" t="s">
        <v>622</v>
      </c>
      <c r="AW8" s="16" t="s">
        <v>480</v>
      </c>
      <c r="AX8" s="16" t="s">
        <v>480</v>
      </c>
      <c r="AY8" s="16" t="s">
        <v>480</v>
      </c>
      <c r="AZ8" s="16" t="s">
        <v>480</v>
      </c>
      <c r="BA8" s="16" t="s">
        <v>480</v>
      </c>
      <c r="BB8" s="16" t="s">
        <v>480</v>
      </c>
      <c r="BC8" s="16" t="s">
        <v>480</v>
      </c>
      <c r="BD8" s="16" t="s">
        <v>22</v>
      </c>
      <c r="BE8" s="16" t="s">
        <v>535</v>
      </c>
      <c r="BF8" s="16" t="s">
        <v>480</v>
      </c>
      <c r="BG8" s="16" t="s">
        <v>480</v>
      </c>
      <c r="BH8" s="16" t="s">
        <v>491</v>
      </c>
      <c r="BI8" s="16" t="s">
        <v>623</v>
      </c>
      <c r="BJ8" s="16" t="s">
        <v>480</v>
      </c>
      <c r="BK8" s="16" t="s">
        <v>480</v>
      </c>
      <c r="BL8" s="16" t="s">
        <v>480</v>
      </c>
      <c r="BM8" s="16" t="s">
        <v>480</v>
      </c>
      <c r="BN8" s="16" t="s">
        <v>480</v>
      </c>
      <c r="BO8" s="16" t="s">
        <v>480</v>
      </c>
      <c r="BP8" s="16" t="s">
        <v>480</v>
      </c>
      <c r="BQ8" s="16" t="s">
        <v>480</v>
      </c>
      <c r="BR8" s="16" t="s">
        <v>480</v>
      </c>
      <c r="BS8" s="16" t="s">
        <v>480</v>
      </c>
      <c r="BT8" s="16" t="s">
        <v>480</v>
      </c>
      <c r="BU8" s="16" t="s">
        <v>480</v>
      </c>
      <c r="BV8" s="16" t="s">
        <v>480</v>
      </c>
      <c r="BW8" s="16" t="s">
        <v>480</v>
      </c>
      <c r="BX8" s="16" t="s">
        <v>480</v>
      </c>
      <c r="BY8" s="16" t="s">
        <v>480</v>
      </c>
      <c r="BZ8" s="16" t="s">
        <v>480</v>
      </c>
      <c r="CA8" s="3">
        <v>46285.166666666701</v>
      </c>
      <c r="CB8" s="3"/>
      <c r="CC8" s="16"/>
      <c r="CD8" s="16"/>
      <c r="CE8" s="16"/>
      <c r="CF8" s="16"/>
      <c r="CG8" s="16"/>
      <c r="CH8" s="16"/>
      <c r="CI8" s="16" t="s">
        <v>624</v>
      </c>
    </row>
    <row r="9" spans="1:87">
      <c r="A9" s="16"/>
      <c r="B9" s="16"/>
      <c r="C9" s="3">
        <v>46241</v>
      </c>
      <c r="D9" s="16" t="s">
        <v>1</v>
      </c>
      <c r="E9" s="16" t="s">
        <v>171</v>
      </c>
      <c r="F9" s="16">
        <v>2026176600125</v>
      </c>
      <c r="G9" s="16">
        <v>40</v>
      </c>
      <c r="H9" s="16" t="e">
        <f ca="1">IF(AND(A9="Completed",#REF!="Valid"),0,DATEDIF(AR9,TODAY(),"D"))</f>
        <v>#REF!</v>
      </c>
      <c r="I9" s="16" t="s">
        <v>460</v>
      </c>
      <c r="J9" s="16" t="s">
        <v>171</v>
      </c>
      <c r="K9" s="16" t="s">
        <v>625</v>
      </c>
      <c r="L9" s="16" t="s">
        <v>17</v>
      </c>
      <c r="M9" s="16">
        <v>3</v>
      </c>
      <c r="N9" s="16" t="s">
        <v>462</v>
      </c>
      <c r="O9" s="16" t="s">
        <v>606</v>
      </c>
      <c r="P9" s="16" t="s">
        <v>626</v>
      </c>
      <c r="Q9" s="16" t="s">
        <v>465</v>
      </c>
      <c r="R9" s="16" t="s">
        <v>466</v>
      </c>
      <c r="S9" s="16" t="s">
        <v>627</v>
      </c>
      <c r="T9" s="16">
        <v>197155</v>
      </c>
      <c r="U9" s="16">
        <v>46236.844444444447</v>
      </c>
      <c r="V9" s="16" t="s">
        <v>469</v>
      </c>
      <c r="W9" s="16" t="s">
        <v>568</v>
      </c>
      <c r="X9" s="16" t="s">
        <v>471</v>
      </c>
      <c r="Y9" s="16" t="s">
        <v>628</v>
      </c>
      <c r="Z9" s="16" t="s">
        <v>590</v>
      </c>
      <c r="AA9" s="16" t="s">
        <v>474</v>
      </c>
      <c r="AB9" s="16" t="s">
        <v>629</v>
      </c>
      <c r="AC9" s="16" t="s">
        <v>592</v>
      </c>
      <c r="AD9" s="16">
        <v>475312741</v>
      </c>
      <c r="AE9" s="16">
        <v>1629858857</v>
      </c>
      <c r="AF9" s="16">
        <v>1790906261</v>
      </c>
      <c r="AG9" s="16"/>
      <c r="AH9" s="16"/>
      <c r="AI9" s="16" t="s">
        <v>70</v>
      </c>
      <c r="AJ9" s="16" t="s">
        <v>481</v>
      </c>
      <c r="AK9" s="16" t="s">
        <v>630</v>
      </c>
      <c r="AL9" s="16">
        <v>2002</v>
      </c>
      <c r="AM9" s="16"/>
      <c r="AN9" s="16"/>
      <c r="AO9" s="16">
        <v>405</v>
      </c>
      <c r="AP9" s="16" t="s">
        <v>485</v>
      </c>
      <c r="AQ9" s="16" t="s">
        <v>631</v>
      </c>
      <c r="AR9" s="3">
        <v>46237</v>
      </c>
      <c r="AS9" s="16" t="s">
        <v>70</v>
      </c>
      <c r="AT9" s="16" t="s">
        <v>632</v>
      </c>
      <c r="AU9" s="16"/>
      <c r="AV9" s="16" t="s">
        <v>633</v>
      </c>
      <c r="AW9" s="16"/>
      <c r="AX9" s="16"/>
      <c r="AY9" s="16"/>
      <c r="AZ9" s="16"/>
      <c r="BA9" s="16"/>
      <c r="BB9" s="16"/>
      <c r="BC9" s="16"/>
      <c r="BD9" s="16" t="s">
        <v>70</v>
      </c>
      <c r="BE9" s="16">
        <v>42</v>
      </c>
      <c r="BF9" s="16"/>
      <c r="BG9" s="16"/>
      <c r="BH9" s="16" t="s">
        <v>491</v>
      </c>
      <c r="BI9" s="16">
        <v>535906126</v>
      </c>
      <c r="BJ9" s="16"/>
      <c r="BK9" s="16"/>
      <c r="BL9" s="16"/>
      <c r="BM9" s="16"/>
      <c r="BN9" s="16"/>
      <c r="BO9" s="16"/>
      <c r="BP9" s="16"/>
      <c r="BQ9" s="16"/>
      <c r="BR9" s="16"/>
      <c r="BS9" s="16"/>
      <c r="BT9" s="16"/>
      <c r="BU9" s="16"/>
      <c r="BV9" s="16"/>
      <c r="BW9" s="16"/>
      <c r="BX9" s="16"/>
      <c r="BY9" s="16"/>
      <c r="BZ9" s="16"/>
      <c r="CA9" s="3"/>
      <c r="CB9" s="3">
        <v>46240</v>
      </c>
      <c r="CC9" s="16"/>
      <c r="CD9" s="16"/>
      <c r="CE9" s="16"/>
      <c r="CF9" s="16"/>
      <c r="CG9" s="16"/>
      <c r="CH9" s="16"/>
      <c r="CI9" s="16" t="s">
        <v>634</v>
      </c>
    </row>
    <row r="10" spans="1:87">
      <c r="A10" s="16"/>
      <c r="B10" s="16"/>
      <c r="C10" s="3">
        <v>46241</v>
      </c>
      <c r="D10" s="16" t="s">
        <v>1</v>
      </c>
      <c r="E10" s="16" t="s">
        <v>174</v>
      </c>
      <c r="F10" s="16">
        <v>2026183910421</v>
      </c>
      <c r="G10" s="16">
        <v>40</v>
      </c>
      <c r="H10" s="16" t="e">
        <f ca="1">IF(AND(A10="Completed",#REF!="Valid"),0,DATEDIF(AR10,TODAY(),"D"))</f>
        <v>#REF!</v>
      </c>
      <c r="I10" s="16" t="s">
        <v>460</v>
      </c>
      <c r="J10" s="16" t="s">
        <v>174</v>
      </c>
      <c r="K10" s="16" t="s">
        <v>625</v>
      </c>
      <c r="L10" s="16" t="s">
        <v>17</v>
      </c>
      <c r="M10" s="16">
        <v>3</v>
      </c>
      <c r="N10" s="16" t="s">
        <v>462</v>
      </c>
      <c r="O10" s="16" t="s">
        <v>606</v>
      </c>
      <c r="P10" s="16" t="s">
        <v>635</v>
      </c>
      <c r="Q10" s="16" t="s">
        <v>465</v>
      </c>
      <c r="R10" s="16" t="s">
        <v>466</v>
      </c>
      <c r="S10" s="16" t="s">
        <v>636</v>
      </c>
      <c r="T10" s="16">
        <v>270213</v>
      </c>
      <c r="U10" s="16">
        <v>46236.847222222219</v>
      </c>
      <c r="V10" s="16" t="s">
        <v>469</v>
      </c>
      <c r="W10" s="16" t="s">
        <v>568</v>
      </c>
      <c r="X10" s="16" t="s">
        <v>471</v>
      </c>
      <c r="Y10" s="16" t="s">
        <v>637</v>
      </c>
      <c r="Z10" s="16" t="s">
        <v>638</v>
      </c>
      <c r="AA10" s="16" t="s">
        <v>474</v>
      </c>
      <c r="AB10" s="16" t="s">
        <v>639</v>
      </c>
      <c r="AC10" s="16" t="s">
        <v>640</v>
      </c>
      <c r="AD10" s="16">
        <v>135562308</v>
      </c>
      <c r="AE10" s="16">
        <v>1285826438</v>
      </c>
      <c r="AF10" s="16">
        <v>1679729297</v>
      </c>
      <c r="AG10" s="16"/>
      <c r="AH10" s="16"/>
      <c r="AI10" s="16" t="s">
        <v>70</v>
      </c>
      <c r="AJ10" s="16" t="s">
        <v>481</v>
      </c>
      <c r="AK10" s="16" t="s">
        <v>641</v>
      </c>
      <c r="AL10" s="16">
        <v>82133</v>
      </c>
      <c r="AM10" s="16"/>
      <c r="AN10" s="16"/>
      <c r="AO10" s="16">
        <v>349</v>
      </c>
      <c r="AP10" s="16" t="s">
        <v>485</v>
      </c>
      <c r="AQ10" s="16" t="s">
        <v>642</v>
      </c>
      <c r="AR10" s="3">
        <v>46237</v>
      </c>
      <c r="AS10" s="16" t="s">
        <v>70</v>
      </c>
      <c r="AT10" s="16" t="s">
        <v>643</v>
      </c>
      <c r="AU10" s="16"/>
      <c r="AV10" s="16" t="s">
        <v>644</v>
      </c>
      <c r="AW10" s="16"/>
      <c r="AX10" s="16"/>
      <c r="AY10" s="16"/>
      <c r="AZ10" s="16"/>
      <c r="BA10" s="16"/>
      <c r="BB10" s="16"/>
      <c r="BC10" s="16"/>
      <c r="BD10" s="16" t="s">
        <v>70</v>
      </c>
      <c r="BE10" s="16">
        <v>35</v>
      </c>
      <c r="BF10" s="16"/>
      <c r="BG10" s="16"/>
      <c r="BH10" s="16" t="s">
        <v>491</v>
      </c>
      <c r="BI10" s="16">
        <v>416435186</v>
      </c>
      <c r="BJ10" s="16"/>
      <c r="BK10" s="16"/>
      <c r="BL10" s="16"/>
      <c r="BM10" s="16"/>
      <c r="BN10" s="16"/>
      <c r="BO10" s="16"/>
      <c r="BP10" s="16"/>
      <c r="BQ10" s="16"/>
      <c r="BR10" s="16"/>
      <c r="BS10" s="16"/>
      <c r="BT10" s="16"/>
      <c r="BU10" s="16"/>
      <c r="BV10" s="16"/>
      <c r="BW10" s="16"/>
      <c r="BX10" s="16"/>
      <c r="BY10" s="16"/>
      <c r="BZ10" s="16"/>
      <c r="CA10" s="3"/>
      <c r="CB10" s="3">
        <v>46240</v>
      </c>
      <c r="CC10" s="16"/>
      <c r="CD10" s="16"/>
      <c r="CE10" s="16"/>
      <c r="CF10" s="16"/>
      <c r="CG10" s="16"/>
      <c r="CH10" s="16"/>
      <c r="CI10" s="16" t="s">
        <v>645</v>
      </c>
    </row>
    <row r="11" spans="1:87">
      <c r="A11" s="16"/>
      <c r="B11" s="16"/>
      <c r="C11" s="3">
        <v>46272</v>
      </c>
      <c r="D11" s="26" t="s">
        <v>14</v>
      </c>
      <c r="E11" s="180" t="s">
        <v>646</v>
      </c>
      <c r="F11" s="181">
        <v>2026241050069</v>
      </c>
      <c r="G11" s="181">
        <v>20</v>
      </c>
      <c r="H11" s="181">
        <v>9</v>
      </c>
      <c r="I11" s="181" t="s">
        <v>647</v>
      </c>
      <c r="J11" s="181" t="s">
        <v>646</v>
      </c>
      <c r="K11" s="181" t="s">
        <v>648</v>
      </c>
      <c r="L11" s="181" t="s">
        <v>17</v>
      </c>
      <c r="M11" s="181">
        <v>8</v>
      </c>
      <c r="N11" s="181" t="s">
        <v>462</v>
      </c>
      <c r="O11" s="181" t="s">
        <v>606</v>
      </c>
      <c r="P11" s="181">
        <v>810301411</v>
      </c>
      <c r="Q11" s="181" t="s">
        <v>465</v>
      </c>
      <c r="R11" s="181" t="s">
        <v>466</v>
      </c>
      <c r="S11" s="181" t="s">
        <v>649</v>
      </c>
      <c r="T11" s="181" t="s">
        <v>650</v>
      </c>
      <c r="U11" s="182">
        <v>46264.630555555559</v>
      </c>
      <c r="V11" s="181" t="s">
        <v>469</v>
      </c>
      <c r="W11" s="181" t="s">
        <v>651</v>
      </c>
      <c r="X11" s="181" t="s">
        <v>652</v>
      </c>
      <c r="Y11" s="181" t="s">
        <v>653</v>
      </c>
      <c r="Z11" s="181" t="s">
        <v>501</v>
      </c>
      <c r="AA11" s="181" t="s">
        <v>474</v>
      </c>
      <c r="AB11" s="181" t="s">
        <v>654</v>
      </c>
      <c r="AC11" s="181" t="s">
        <v>503</v>
      </c>
      <c r="AD11" s="181">
        <v>540505979</v>
      </c>
      <c r="AE11" s="181">
        <v>1619928017</v>
      </c>
      <c r="AF11" s="181"/>
      <c r="AG11" s="181">
        <v>4.25202504317806E+16</v>
      </c>
      <c r="AH11" s="181"/>
      <c r="AI11" s="181" t="s">
        <v>201</v>
      </c>
      <c r="AJ11" s="181" t="s">
        <v>481</v>
      </c>
      <c r="AK11" s="181" t="s">
        <v>655</v>
      </c>
      <c r="AL11" s="181">
        <v>27886.03</v>
      </c>
      <c r="AM11" s="181"/>
      <c r="AN11" s="181"/>
      <c r="AO11" s="181">
        <v>810</v>
      </c>
      <c r="AP11" s="181" t="s">
        <v>485</v>
      </c>
      <c r="AQ11" s="181" t="s">
        <v>656</v>
      </c>
      <c r="AR11" s="183">
        <v>46264</v>
      </c>
      <c r="AS11" s="181" t="s">
        <v>201</v>
      </c>
      <c r="AT11" s="181" t="s">
        <v>516</v>
      </c>
      <c r="AU11" s="181"/>
      <c r="AV11" s="181" t="s">
        <v>657</v>
      </c>
      <c r="AW11" s="181"/>
      <c r="AX11" s="181"/>
      <c r="AY11" s="181"/>
      <c r="AZ11" s="181"/>
      <c r="BA11" s="181"/>
      <c r="BB11" s="181"/>
      <c r="BC11" s="181"/>
      <c r="BD11" s="181" t="s">
        <v>201</v>
      </c>
      <c r="BE11" s="181">
        <v>9</v>
      </c>
      <c r="BF11" s="181"/>
      <c r="BG11" s="181" t="s">
        <v>490</v>
      </c>
      <c r="BH11" s="181" t="s">
        <v>658</v>
      </c>
      <c r="BI11" s="181">
        <v>810301411</v>
      </c>
      <c r="BJ11" s="181"/>
      <c r="BK11" s="181"/>
      <c r="BL11" s="181"/>
      <c r="BM11" s="181"/>
      <c r="BN11" s="181"/>
      <c r="BO11" s="181"/>
      <c r="BP11" s="181"/>
      <c r="BQ11" s="181"/>
      <c r="BR11" s="181"/>
      <c r="BS11" s="181"/>
      <c r="BT11" s="181"/>
      <c r="BU11" s="181"/>
      <c r="BV11" s="181"/>
      <c r="BW11" s="181"/>
      <c r="BX11" s="181"/>
      <c r="BY11" s="181"/>
      <c r="BZ11" s="181"/>
      <c r="CA11" s="190"/>
      <c r="CB11" s="3"/>
      <c r="CC11" s="16"/>
      <c r="CD11" s="16"/>
      <c r="CE11" s="16"/>
      <c r="CF11" s="16"/>
      <c r="CG11" s="16"/>
      <c r="CH11" s="16"/>
      <c r="CI11" s="16" t="s">
        <v>659</v>
      </c>
    </row>
    <row r="12" spans="1:87">
      <c r="A12" s="16" t="s">
        <v>5</v>
      </c>
      <c r="B12" s="16" t="s">
        <v>660</v>
      </c>
      <c r="C12" s="3">
        <v>46272</v>
      </c>
      <c r="D12" s="26" t="s">
        <v>14</v>
      </c>
      <c r="E12" s="180" t="s">
        <v>661</v>
      </c>
      <c r="F12" s="181">
        <v>2026242970049</v>
      </c>
      <c r="G12" s="181">
        <v>20</v>
      </c>
      <c r="H12" s="181">
        <v>8</v>
      </c>
      <c r="I12" s="181" t="s">
        <v>647</v>
      </c>
      <c r="J12" s="181" t="s">
        <v>661</v>
      </c>
      <c r="K12" s="181" t="s">
        <v>662</v>
      </c>
      <c r="L12" s="181" t="s">
        <v>13</v>
      </c>
      <c r="M12" s="181">
        <v>7</v>
      </c>
      <c r="N12" s="181" t="s">
        <v>462</v>
      </c>
      <c r="O12" s="181" t="s">
        <v>606</v>
      </c>
      <c r="P12" s="181">
        <v>807340405</v>
      </c>
      <c r="Q12" s="181" t="s">
        <v>465</v>
      </c>
      <c r="R12" s="181" t="s">
        <v>466</v>
      </c>
      <c r="S12" s="181" t="s">
        <v>663</v>
      </c>
      <c r="T12" s="181" t="s">
        <v>664</v>
      </c>
      <c r="U12" s="182">
        <v>46265.643055555556</v>
      </c>
      <c r="V12" s="181" t="s">
        <v>469</v>
      </c>
      <c r="W12" s="181" t="s">
        <v>651</v>
      </c>
      <c r="X12" s="181" t="s">
        <v>652</v>
      </c>
      <c r="Y12" s="181" t="s">
        <v>653</v>
      </c>
      <c r="Z12" s="181" t="s">
        <v>665</v>
      </c>
      <c r="AA12" s="181" t="s">
        <v>474</v>
      </c>
      <c r="AB12" s="181" t="s">
        <v>666</v>
      </c>
      <c r="AC12" s="181" t="s">
        <v>640</v>
      </c>
      <c r="AD12" s="181">
        <v>992663798</v>
      </c>
      <c r="AE12" s="181">
        <v>1063260446</v>
      </c>
      <c r="AF12" s="181">
        <v>1114619582</v>
      </c>
      <c r="AG12" s="181">
        <v>2.54202534420463E+16</v>
      </c>
      <c r="AH12" s="181"/>
      <c r="AI12" s="181" t="s">
        <v>138</v>
      </c>
      <c r="AJ12" s="181" t="s">
        <v>481</v>
      </c>
      <c r="AK12" s="181" t="s">
        <v>667</v>
      </c>
      <c r="AL12" s="181">
        <v>13175.5</v>
      </c>
      <c r="AM12" s="181"/>
      <c r="AN12" s="181"/>
      <c r="AO12" s="181">
        <v>807</v>
      </c>
      <c r="AP12" s="181" t="s">
        <v>485</v>
      </c>
      <c r="AQ12" s="181" t="s">
        <v>668</v>
      </c>
      <c r="AR12" s="183">
        <v>46265</v>
      </c>
      <c r="AS12" s="181" t="s">
        <v>138</v>
      </c>
      <c r="AT12" s="181" t="s">
        <v>669</v>
      </c>
      <c r="AU12" s="181"/>
      <c r="AV12" s="181" t="s">
        <v>670</v>
      </c>
      <c r="AW12" s="181"/>
      <c r="AX12" s="181"/>
      <c r="AY12" s="181"/>
      <c r="AZ12" s="181"/>
      <c r="BA12" s="181"/>
      <c r="BB12" s="181"/>
      <c r="BC12" s="181"/>
      <c r="BD12" s="181" t="s">
        <v>138</v>
      </c>
      <c r="BE12" s="181">
        <v>8</v>
      </c>
      <c r="BF12" s="181"/>
      <c r="BG12" s="181"/>
      <c r="BH12" s="181" t="s">
        <v>658</v>
      </c>
      <c r="BI12" s="181">
        <v>807340405</v>
      </c>
      <c r="BJ12" s="181"/>
      <c r="BK12" s="181"/>
      <c r="BL12" s="181"/>
      <c r="BM12" s="181"/>
      <c r="BN12" s="181"/>
      <c r="BO12" s="181"/>
      <c r="BP12" s="181"/>
      <c r="BQ12" s="181"/>
      <c r="BR12" s="181"/>
      <c r="BS12" s="181"/>
      <c r="BT12" s="181"/>
      <c r="BU12" s="181"/>
      <c r="BV12" s="181"/>
      <c r="BW12" s="181"/>
      <c r="BX12" s="181"/>
      <c r="BY12" s="181"/>
      <c r="BZ12" s="181"/>
      <c r="CA12" s="190">
        <v>46281.166666666701</v>
      </c>
      <c r="CB12" s="3"/>
      <c r="CC12" s="16"/>
      <c r="CD12" s="16"/>
      <c r="CE12" s="16"/>
      <c r="CF12" s="16"/>
      <c r="CG12" s="16"/>
      <c r="CH12" s="16"/>
      <c r="CI12" s="16" t="s">
        <v>671</v>
      </c>
    </row>
    <row r="13" spans="1:87" ht="29.25">
      <c r="A13" s="16" t="s">
        <v>5</v>
      </c>
      <c r="B13" s="25" t="s">
        <v>672</v>
      </c>
      <c r="C13" s="3">
        <v>46272</v>
      </c>
      <c r="D13" s="26" t="s">
        <v>14</v>
      </c>
      <c r="E13" s="180" t="s">
        <v>673</v>
      </c>
      <c r="F13" s="181">
        <v>2026241890042</v>
      </c>
      <c r="G13" s="181">
        <v>20</v>
      </c>
      <c r="H13" s="181">
        <v>9</v>
      </c>
      <c r="I13" s="181" t="s">
        <v>647</v>
      </c>
      <c r="J13" s="181" t="s">
        <v>673</v>
      </c>
      <c r="K13" s="181" t="s">
        <v>674</v>
      </c>
      <c r="L13" s="181" t="s">
        <v>16</v>
      </c>
      <c r="M13" s="181">
        <v>7</v>
      </c>
      <c r="N13" s="181" t="s">
        <v>462</v>
      </c>
      <c r="O13" s="181" t="s">
        <v>606</v>
      </c>
      <c r="P13" s="181">
        <v>820102290</v>
      </c>
      <c r="Q13" s="181" t="s">
        <v>465</v>
      </c>
      <c r="R13" s="181" t="s">
        <v>466</v>
      </c>
      <c r="S13" s="181" t="s">
        <v>675</v>
      </c>
      <c r="T13" s="181" t="s">
        <v>664</v>
      </c>
      <c r="U13" s="182">
        <v>46263.114583333336</v>
      </c>
      <c r="V13" s="181" t="s">
        <v>469</v>
      </c>
      <c r="W13" s="181" t="s">
        <v>651</v>
      </c>
      <c r="X13" s="181" t="s">
        <v>652</v>
      </c>
      <c r="Y13" s="181" t="s">
        <v>653</v>
      </c>
      <c r="Z13" s="181" t="s">
        <v>665</v>
      </c>
      <c r="AA13" s="181" t="s">
        <v>474</v>
      </c>
      <c r="AB13" s="181" t="s">
        <v>666</v>
      </c>
      <c r="AC13" s="181" t="s">
        <v>640</v>
      </c>
      <c r="AD13" s="181">
        <v>112593061</v>
      </c>
      <c r="AE13" s="181">
        <v>1396747267</v>
      </c>
      <c r="AF13" s="181">
        <v>1396747267</v>
      </c>
      <c r="AG13" s="181">
        <v>2.54202522504614E+16</v>
      </c>
      <c r="AH13" s="181"/>
      <c r="AI13" s="181" t="s">
        <v>54</v>
      </c>
      <c r="AJ13" s="181" t="s">
        <v>481</v>
      </c>
      <c r="AK13" s="181" t="s">
        <v>676</v>
      </c>
      <c r="AL13" s="181">
        <v>71290</v>
      </c>
      <c r="AM13" s="181"/>
      <c r="AN13" s="181"/>
      <c r="AO13" s="181">
        <v>820</v>
      </c>
      <c r="AP13" s="181" t="s">
        <v>485</v>
      </c>
      <c r="AQ13" s="181" t="s">
        <v>677</v>
      </c>
      <c r="AR13" s="183">
        <v>46265</v>
      </c>
      <c r="AS13" s="181" t="s">
        <v>674</v>
      </c>
      <c r="AT13" s="181" t="s">
        <v>678</v>
      </c>
      <c r="AU13" s="181"/>
      <c r="AV13" s="181" t="s">
        <v>679</v>
      </c>
      <c r="AW13" s="181"/>
      <c r="AX13" s="181"/>
      <c r="AY13" s="181"/>
      <c r="AZ13" s="181"/>
      <c r="BA13" s="181"/>
      <c r="BB13" s="181"/>
      <c r="BC13" s="181"/>
      <c r="BD13" s="181" t="s">
        <v>54</v>
      </c>
      <c r="BE13" s="181">
        <v>9</v>
      </c>
      <c r="BF13" s="181"/>
      <c r="BG13" s="181"/>
      <c r="BH13" s="181" t="s">
        <v>658</v>
      </c>
      <c r="BI13" s="181">
        <v>820102290</v>
      </c>
      <c r="BJ13" s="181"/>
      <c r="BK13" s="181"/>
      <c r="BL13" s="181"/>
      <c r="BM13" s="181"/>
      <c r="BN13" s="181"/>
      <c r="BO13" s="181"/>
      <c r="BP13" s="181"/>
      <c r="BQ13" s="181"/>
      <c r="BR13" s="181"/>
      <c r="BS13" s="181"/>
      <c r="BT13" s="181"/>
      <c r="BU13" s="181"/>
      <c r="BV13" s="181"/>
      <c r="BW13" s="181"/>
      <c r="BX13" s="181"/>
      <c r="BY13" s="181"/>
      <c r="BZ13" s="181"/>
      <c r="CA13" s="190">
        <v>46281.666666666701</v>
      </c>
      <c r="CB13" s="3"/>
      <c r="CC13" s="16"/>
      <c r="CD13" s="16"/>
      <c r="CE13" s="16"/>
      <c r="CF13" s="16"/>
      <c r="CG13" s="16"/>
      <c r="CH13" s="16"/>
      <c r="CI13" s="16" t="s">
        <v>680</v>
      </c>
    </row>
    <row r="14" spans="1:87">
      <c r="A14" s="16"/>
      <c r="B14" s="16"/>
      <c r="C14" s="3">
        <v>46272</v>
      </c>
      <c r="D14" s="26" t="s">
        <v>14</v>
      </c>
      <c r="E14" s="180" t="s">
        <v>681</v>
      </c>
      <c r="F14" s="181">
        <v>2026239580198</v>
      </c>
      <c r="G14" s="181">
        <v>30</v>
      </c>
      <c r="H14" s="181">
        <v>11</v>
      </c>
      <c r="I14" s="181" t="s">
        <v>647</v>
      </c>
      <c r="J14" s="181" t="s">
        <v>681</v>
      </c>
      <c r="K14" s="181" t="s">
        <v>682</v>
      </c>
      <c r="L14" s="181" t="s">
        <v>18</v>
      </c>
      <c r="M14" s="181">
        <v>10</v>
      </c>
      <c r="N14" s="181" t="s">
        <v>462</v>
      </c>
      <c r="O14" s="181" t="s">
        <v>606</v>
      </c>
      <c r="P14" s="181">
        <v>813185537</v>
      </c>
      <c r="Q14" s="181" t="s">
        <v>465</v>
      </c>
      <c r="R14" s="181" t="s">
        <v>466</v>
      </c>
      <c r="S14" s="181" t="s">
        <v>683</v>
      </c>
      <c r="T14" s="181">
        <v>173326</v>
      </c>
      <c r="U14" s="182">
        <v>46262.135416666664</v>
      </c>
      <c r="V14" s="181" t="s">
        <v>469</v>
      </c>
      <c r="W14" s="181" t="s">
        <v>651</v>
      </c>
      <c r="X14" s="181" t="s">
        <v>652</v>
      </c>
      <c r="Y14" s="181" t="s">
        <v>653</v>
      </c>
      <c r="Z14" s="181" t="s">
        <v>473</v>
      </c>
      <c r="AA14" s="181" t="s">
        <v>474</v>
      </c>
      <c r="AB14" s="181" t="s">
        <v>684</v>
      </c>
      <c r="AC14" s="181" t="s">
        <v>476</v>
      </c>
      <c r="AD14" s="181">
        <v>391990012</v>
      </c>
      <c r="AE14" s="181">
        <v>1942970405</v>
      </c>
      <c r="AF14" s="181">
        <v>1003867599</v>
      </c>
      <c r="AG14" s="181">
        <v>4.58202533503082E+16</v>
      </c>
      <c r="AH14" s="181"/>
      <c r="AI14" s="181" t="s">
        <v>19</v>
      </c>
      <c r="AJ14" s="181" t="s">
        <v>481</v>
      </c>
      <c r="AK14" s="181" t="s">
        <v>685</v>
      </c>
      <c r="AL14" s="181">
        <v>30326.25</v>
      </c>
      <c r="AM14" s="181"/>
      <c r="AN14" s="181"/>
      <c r="AO14" s="181">
        <v>813</v>
      </c>
      <c r="AP14" s="181" t="s">
        <v>485</v>
      </c>
      <c r="AQ14" s="181" t="s">
        <v>686</v>
      </c>
      <c r="AR14" s="183">
        <v>46262</v>
      </c>
      <c r="AS14" s="181" t="s">
        <v>19</v>
      </c>
      <c r="AT14" s="184" t="s">
        <v>687</v>
      </c>
      <c r="AU14" s="181"/>
      <c r="AV14" s="181" t="s">
        <v>688</v>
      </c>
      <c r="AW14" s="181"/>
      <c r="AX14" s="181"/>
      <c r="AY14" s="181"/>
      <c r="AZ14" s="181"/>
      <c r="BA14" s="181"/>
      <c r="BB14" s="181"/>
      <c r="BC14" s="181"/>
      <c r="BD14" s="181" t="s">
        <v>19</v>
      </c>
      <c r="BE14" s="181">
        <v>11</v>
      </c>
      <c r="BF14" s="181"/>
      <c r="BG14" s="181"/>
      <c r="BH14" s="181" t="s">
        <v>658</v>
      </c>
      <c r="BI14" s="181">
        <v>813185537</v>
      </c>
      <c r="BJ14" s="181"/>
      <c r="BK14" s="181"/>
      <c r="BL14" s="181"/>
      <c r="BM14" s="181"/>
      <c r="BN14" s="181"/>
      <c r="BO14" s="181"/>
      <c r="BP14" s="181"/>
      <c r="BQ14" s="181"/>
      <c r="BR14" s="181"/>
      <c r="BS14" s="181"/>
      <c r="BT14" s="181"/>
      <c r="BU14" s="181"/>
      <c r="BV14" s="181"/>
      <c r="BW14" s="181"/>
      <c r="BX14" s="181"/>
      <c r="BY14" s="181"/>
      <c r="BZ14" s="181"/>
      <c r="CA14" s="190"/>
      <c r="CB14" s="3"/>
      <c r="CC14" s="16"/>
      <c r="CD14" s="16"/>
      <c r="CE14" s="16"/>
      <c r="CF14" s="16"/>
      <c r="CG14" s="16"/>
      <c r="CH14" s="16"/>
      <c r="CI14" s="16" t="s">
        <v>689</v>
      </c>
    </row>
    <row r="15" spans="1:87">
      <c r="A15" s="16"/>
      <c r="B15" s="16"/>
      <c r="C15" s="3">
        <v>46272</v>
      </c>
      <c r="D15" s="26" t="s">
        <v>14</v>
      </c>
      <c r="E15" s="180" t="s">
        <v>690</v>
      </c>
      <c r="F15" s="181">
        <v>2026238550501</v>
      </c>
      <c r="G15" s="181">
        <v>30</v>
      </c>
      <c r="H15" s="181">
        <v>12</v>
      </c>
      <c r="I15" s="181" t="s">
        <v>647</v>
      </c>
      <c r="J15" s="181" t="s">
        <v>690</v>
      </c>
      <c r="K15" s="181" t="s">
        <v>691</v>
      </c>
      <c r="L15" s="181" t="s">
        <v>13</v>
      </c>
      <c r="M15" s="181">
        <v>11</v>
      </c>
      <c r="N15" s="181" t="s">
        <v>462</v>
      </c>
      <c r="O15" s="181" t="s">
        <v>606</v>
      </c>
      <c r="P15" s="181">
        <v>128025746</v>
      </c>
      <c r="Q15" s="181" t="s">
        <v>465</v>
      </c>
      <c r="R15" s="181" t="s">
        <v>466</v>
      </c>
      <c r="S15" s="181" t="s">
        <v>692</v>
      </c>
      <c r="T15" s="181">
        <v>173326</v>
      </c>
      <c r="U15" s="182">
        <v>46261.70208333333</v>
      </c>
      <c r="V15" s="181" t="s">
        <v>469</v>
      </c>
      <c r="W15" s="181" t="s">
        <v>651</v>
      </c>
      <c r="X15" s="181" t="s">
        <v>652</v>
      </c>
      <c r="Y15" s="181" t="s">
        <v>653</v>
      </c>
      <c r="Z15" s="181" t="s">
        <v>473</v>
      </c>
      <c r="AA15" s="181" t="s">
        <v>474</v>
      </c>
      <c r="AB15" s="181" t="s">
        <v>684</v>
      </c>
      <c r="AC15" s="181" t="s">
        <v>476</v>
      </c>
      <c r="AD15" s="181">
        <v>391509362</v>
      </c>
      <c r="AE15" s="181">
        <v>1376656959</v>
      </c>
      <c r="AF15" s="181">
        <v>1033227517</v>
      </c>
      <c r="AG15" s="181">
        <v>4.58202533110122E+16</v>
      </c>
      <c r="AH15" s="181"/>
      <c r="AI15" s="181" t="s">
        <v>128</v>
      </c>
      <c r="AJ15" s="181" t="s">
        <v>481</v>
      </c>
      <c r="AK15" s="181" t="s">
        <v>693</v>
      </c>
      <c r="AL15" s="181">
        <v>10943.7</v>
      </c>
      <c r="AM15" s="181"/>
      <c r="AN15" s="181"/>
      <c r="AO15" s="181">
        <v>128</v>
      </c>
      <c r="AP15" s="181" t="s">
        <v>485</v>
      </c>
      <c r="AQ15" s="181" t="s">
        <v>694</v>
      </c>
      <c r="AR15" s="183">
        <v>46261</v>
      </c>
      <c r="AS15" s="181" t="s">
        <v>128</v>
      </c>
      <c r="AT15" s="181" t="s">
        <v>695</v>
      </c>
      <c r="AU15" s="181"/>
      <c r="AV15" s="181" t="s">
        <v>696</v>
      </c>
      <c r="AW15" s="181"/>
      <c r="AX15" s="181"/>
      <c r="AY15" s="181"/>
      <c r="AZ15" s="181"/>
      <c r="BA15" s="181"/>
      <c r="BB15" s="181"/>
      <c r="BC15" s="181"/>
      <c r="BD15" s="181" t="s">
        <v>128</v>
      </c>
      <c r="BE15" s="181">
        <v>12</v>
      </c>
      <c r="BF15" s="181"/>
      <c r="BG15" s="181"/>
      <c r="BH15" s="181" t="s">
        <v>658</v>
      </c>
      <c r="BI15" s="181">
        <v>128025746</v>
      </c>
      <c r="BJ15" s="181"/>
      <c r="BK15" s="181"/>
      <c r="BL15" s="181"/>
      <c r="BM15" s="181"/>
      <c r="BN15" s="181"/>
      <c r="BO15" s="181"/>
      <c r="BP15" s="181"/>
      <c r="BQ15" s="181"/>
      <c r="BR15" s="181"/>
      <c r="BS15" s="181"/>
      <c r="BT15" s="181"/>
      <c r="BU15" s="181"/>
      <c r="BV15" s="181"/>
      <c r="BW15" s="181"/>
      <c r="BX15" s="181"/>
      <c r="BY15" s="181"/>
      <c r="BZ15" s="181"/>
      <c r="CA15" s="190"/>
      <c r="CB15" s="3"/>
      <c r="CC15" s="16"/>
      <c r="CD15" s="16"/>
      <c r="CE15" s="16"/>
      <c r="CF15" s="16"/>
      <c r="CG15" s="16"/>
      <c r="CH15" s="16"/>
      <c r="CI15" s="16" t="s">
        <v>697</v>
      </c>
    </row>
    <row r="16" spans="1:87" ht="29.25">
      <c r="A16" s="16" t="s">
        <v>5</v>
      </c>
      <c r="B16" s="25" t="s">
        <v>698</v>
      </c>
      <c r="C16" s="3">
        <v>46272</v>
      </c>
      <c r="D16" s="26" t="s">
        <v>14</v>
      </c>
      <c r="E16" s="180" t="s">
        <v>699</v>
      </c>
      <c r="F16" s="181">
        <v>2026237710512</v>
      </c>
      <c r="G16" s="181">
        <v>30</v>
      </c>
      <c r="H16" s="181">
        <v>13</v>
      </c>
      <c r="I16" s="181" t="s">
        <v>647</v>
      </c>
      <c r="J16" s="181" t="s">
        <v>699</v>
      </c>
      <c r="K16" s="181" t="s">
        <v>700</v>
      </c>
      <c r="L16" s="181" t="s">
        <v>18</v>
      </c>
      <c r="M16" s="181">
        <v>11</v>
      </c>
      <c r="N16" s="181" t="s">
        <v>462</v>
      </c>
      <c r="O16" s="181" t="s">
        <v>606</v>
      </c>
      <c r="P16" s="181">
        <v>104731223</v>
      </c>
      <c r="Q16" s="181" t="s">
        <v>465</v>
      </c>
      <c r="R16" s="181" t="s">
        <v>466</v>
      </c>
      <c r="S16" s="181" t="s">
        <v>701</v>
      </c>
      <c r="T16" s="181">
        <v>173326</v>
      </c>
      <c r="U16" s="182">
        <v>46260.038888888892</v>
      </c>
      <c r="V16" s="181" t="s">
        <v>469</v>
      </c>
      <c r="W16" s="181" t="s">
        <v>651</v>
      </c>
      <c r="X16" s="181" t="s">
        <v>652</v>
      </c>
      <c r="Y16" s="181" t="s">
        <v>653</v>
      </c>
      <c r="Z16" s="181" t="s">
        <v>473</v>
      </c>
      <c r="AA16" s="181" t="s">
        <v>474</v>
      </c>
      <c r="AB16" s="181" t="s">
        <v>684</v>
      </c>
      <c r="AC16" s="181" t="s">
        <v>476</v>
      </c>
      <c r="AD16" s="181">
        <v>391509362</v>
      </c>
      <c r="AE16" s="181">
        <v>1376656959</v>
      </c>
      <c r="AF16" s="181">
        <v>1275202624</v>
      </c>
      <c r="AG16" s="181">
        <v>4.58202532212512E+16</v>
      </c>
      <c r="AH16" s="181"/>
      <c r="AI16" s="181" t="s">
        <v>341</v>
      </c>
      <c r="AJ16" s="181" t="s">
        <v>481</v>
      </c>
      <c r="AK16" s="181" t="s">
        <v>702</v>
      </c>
      <c r="AL16" s="181">
        <v>10953.7</v>
      </c>
      <c r="AM16" s="181"/>
      <c r="AN16" s="181"/>
      <c r="AO16" s="181">
        <v>104</v>
      </c>
      <c r="AP16" s="181" t="s">
        <v>485</v>
      </c>
      <c r="AQ16" s="181" t="s">
        <v>703</v>
      </c>
      <c r="AR16" s="183">
        <v>46261</v>
      </c>
      <c r="AS16" s="181" t="s">
        <v>700</v>
      </c>
      <c r="AT16" s="181" t="s">
        <v>516</v>
      </c>
      <c r="AU16" s="181"/>
      <c r="AV16" s="181" t="s">
        <v>704</v>
      </c>
      <c r="AW16" s="181"/>
      <c r="AX16" s="181"/>
      <c r="AY16" s="181"/>
      <c r="AZ16" s="181"/>
      <c r="BA16" s="181"/>
      <c r="BB16" s="181"/>
      <c r="BC16" s="181"/>
      <c r="BD16" s="181" t="s">
        <v>341</v>
      </c>
      <c r="BE16" s="181">
        <v>13</v>
      </c>
      <c r="BF16" s="181"/>
      <c r="BG16" s="181"/>
      <c r="BH16" s="181" t="s">
        <v>658</v>
      </c>
      <c r="BI16" s="181">
        <v>104731223</v>
      </c>
      <c r="BJ16" s="181"/>
      <c r="BK16" s="181"/>
      <c r="BL16" s="181"/>
      <c r="BM16" s="181"/>
      <c r="BN16" s="181"/>
      <c r="BO16" s="181"/>
      <c r="BP16" s="181"/>
      <c r="BQ16" s="181"/>
      <c r="BR16" s="181"/>
      <c r="BS16" s="181"/>
      <c r="BT16" s="181"/>
      <c r="BU16" s="181"/>
      <c r="BV16" s="181"/>
      <c r="BW16" s="181"/>
      <c r="BX16" s="181"/>
      <c r="BY16" s="181"/>
      <c r="BZ16" s="181"/>
      <c r="CA16" s="190">
        <v>46275.666666666701</v>
      </c>
      <c r="CB16" s="3"/>
      <c r="CC16" s="16"/>
      <c r="CD16" s="16"/>
      <c r="CE16" s="16"/>
      <c r="CF16" s="16"/>
      <c r="CG16" s="16"/>
      <c r="CH16" s="16"/>
      <c r="CI16" s="16" t="s">
        <v>705</v>
      </c>
    </row>
    <row r="17" spans="1:87">
      <c r="A17" s="16"/>
      <c r="B17" s="16"/>
      <c r="C17" s="3">
        <v>46272</v>
      </c>
      <c r="D17" s="26" t="s">
        <v>14</v>
      </c>
      <c r="E17" s="180" t="s">
        <v>706</v>
      </c>
      <c r="F17" s="181">
        <v>2026236620203</v>
      </c>
      <c r="G17" s="181">
        <v>30</v>
      </c>
      <c r="H17" s="181">
        <v>14</v>
      </c>
      <c r="I17" s="181" t="s">
        <v>647</v>
      </c>
      <c r="J17" s="181" t="s">
        <v>706</v>
      </c>
      <c r="K17" s="181" t="s">
        <v>691</v>
      </c>
      <c r="L17" s="181" t="s">
        <v>13</v>
      </c>
      <c r="M17" s="181">
        <v>12</v>
      </c>
      <c r="N17" s="181" t="s">
        <v>462</v>
      </c>
      <c r="O17" s="181" t="s">
        <v>606</v>
      </c>
      <c r="P17" s="181">
        <v>103734537</v>
      </c>
      <c r="Q17" s="181" t="s">
        <v>465</v>
      </c>
      <c r="R17" s="181" t="s">
        <v>466</v>
      </c>
      <c r="S17" s="181" t="s">
        <v>707</v>
      </c>
      <c r="T17" s="181">
        <v>173326</v>
      </c>
      <c r="U17" s="182">
        <v>46259.082638888889</v>
      </c>
      <c r="V17" s="181" t="s">
        <v>469</v>
      </c>
      <c r="W17" s="181" t="s">
        <v>651</v>
      </c>
      <c r="X17" s="181" t="s">
        <v>652</v>
      </c>
      <c r="Y17" s="181" t="s">
        <v>653</v>
      </c>
      <c r="Z17" s="181" t="s">
        <v>473</v>
      </c>
      <c r="AA17" s="181" t="s">
        <v>474</v>
      </c>
      <c r="AB17" s="181" t="s">
        <v>684</v>
      </c>
      <c r="AC17" s="181" t="s">
        <v>476</v>
      </c>
      <c r="AD17" s="181">
        <v>390806261</v>
      </c>
      <c r="AE17" s="181">
        <v>1699720086</v>
      </c>
      <c r="AF17" s="181">
        <v>1831722180</v>
      </c>
      <c r="AG17" s="181">
        <v>4.58202530701248E+16</v>
      </c>
      <c r="AH17" s="181"/>
      <c r="AI17" s="181" t="s">
        <v>128</v>
      </c>
      <c r="AJ17" s="181" t="s">
        <v>481</v>
      </c>
      <c r="AK17" s="181" t="s">
        <v>708</v>
      </c>
      <c r="AL17" s="181">
        <v>12267</v>
      </c>
      <c r="AM17" s="181"/>
      <c r="AN17" s="181"/>
      <c r="AO17" s="181">
        <v>103</v>
      </c>
      <c r="AP17" s="181" t="s">
        <v>485</v>
      </c>
      <c r="AQ17" s="181" t="s">
        <v>709</v>
      </c>
      <c r="AR17" s="183">
        <v>46260</v>
      </c>
      <c r="AS17" s="181" t="s">
        <v>691</v>
      </c>
      <c r="AT17" s="181" t="s">
        <v>695</v>
      </c>
      <c r="AU17" s="181"/>
      <c r="AV17" s="181" t="s">
        <v>710</v>
      </c>
      <c r="AW17" s="181"/>
      <c r="AX17" s="181"/>
      <c r="AY17" s="181"/>
      <c r="AZ17" s="181"/>
      <c r="BA17" s="181"/>
      <c r="BB17" s="181"/>
      <c r="BC17" s="181"/>
      <c r="BD17" s="181" t="s">
        <v>128</v>
      </c>
      <c r="BE17" s="181">
        <v>14</v>
      </c>
      <c r="BF17" s="181"/>
      <c r="BG17" s="181"/>
      <c r="BH17" s="181" t="s">
        <v>658</v>
      </c>
      <c r="BI17" s="181">
        <v>103734537</v>
      </c>
      <c r="BJ17" s="181"/>
      <c r="BK17" s="181"/>
      <c r="BL17" s="181"/>
      <c r="BM17" s="181"/>
      <c r="BN17" s="181"/>
      <c r="BO17" s="181"/>
      <c r="BP17" s="181"/>
      <c r="BQ17" s="181"/>
      <c r="BR17" s="181"/>
      <c r="BS17" s="181"/>
      <c r="BT17" s="181"/>
      <c r="BU17" s="181"/>
      <c r="BV17" s="181"/>
      <c r="BW17" s="181"/>
      <c r="BX17" s="181"/>
      <c r="BY17" s="181"/>
      <c r="BZ17" s="181"/>
      <c r="CA17" s="190"/>
      <c r="CB17" s="3"/>
      <c r="CC17" s="16"/>
      <c r="CD17" s="16"/>
      <c r="CE17" s="16"/>
      <c r="CF17" s="16"/>
      <c r="CG17" s="16"/>
      <c r="CH17" s="16"/>
      <c r="CI17" s="16" t="s">
        <v>711</v>
      </c>
    </row>
    <row r="18" spans="1:87">
      <c r="A18" s="16" t="s">
        <v>5</v>
      </c>
      <c r="B18" s="16" t="s">
        <v>516</v>
      </c>
      <c r="C18" s="3">
        <v>46272</v>
      </c>
      <c r="D18" s="26" t="s">
        <v>14</v>
      </c>
      <c r="E18" s="180" t="s">
        <v>712</v>
      </c>
      <c r="F18" s="181">
        <v>2026236290258</v>
      </c>
      <c r="G18" s="181">
        <v>30</v>
      </c>
      <c r="H18" s="181">
        <v>14</v>
      </c>
      <c r="I18" s="181" t="s">
        <v>647</v>
      </c>
      <c r="J18" s="181" t="s">
        <v>712</v>
      </c>
      <c r="K18" s="181" t="s">
        <v>700</v>
      </c>
      <c r="L18" s="181" t="s">
        <v>18</v>
      </c>
      <c r="M18" s="181">
        <v>12</v>
      </c>
      <c r="N18" s="181" t="s">
        <v>462</v>
      </c>
      <c r="O18" s="181" t="s">
        <v>606</v>
      </c>
      <c r="P18" s="181">
        <v>605041227</v>
      </c>
      <c r="Q18" s="181" t="s">
        <v>465</v>
      </c>
      <c r="R18" s="181" t="s">
        <v>466</v>
      </c>
      <c r="S18" s="181" t="s">
        <v>713</v>
      </c>
      <c r="T18" s="181">
        <v>173326</v>
      </c>
      <c r="U18" s="182">
        <v>46259.042361111111</v>
      </c>
      <c r="V18" s="181" t="s">
        <v>469</v>
      </c>
      <c r="W18" s="181" t="s">
        <v>651</v>
      </c>
      <c r="X18" s="181" t="s">
        <v>652</v>
      </c>
      <c r="Y18" s="181" t="s">
        <v>653</v>
      </c>
      <c r="Z18" s="181" t="s">
        <v>473</v>
      </c>
      <c r="AA18" s="181" t="s">
        <v>474</v>
      </c>
      <c r="AB18" s="181" t="s">
        <v>684</v>
      </c>
      <c r="AC18" s="181" t="s">
        <v>476</v>
      </c>
      <c r="AD18" s="181">
        <v>390806261</v>
      </c>
      <c r="AE18" s="181">
        <v>1699720086</v>
      </c>
      <c r="AF18" s="181">
        <v>1003344490</v>
      </c>
      <c r="AG18" s="181">
        <v>4.58202518108192E+16</v>
      </c>
      <c r="AH18" s="181"/>
      <c r="AI18" s="181" t="s">
        <v>341</v>
      </c>
      <c r="AJ18" s="181" t="s">
        <v>481</v>
      </c>
      <c r="AK18" s="181" t="s">
        <v>714</v>
      </c>
      <c r="AL18" s="181">
        <v>15147</v>
      </c>
      <c r="AM18" s="181"/>
      <c r="AN18" s="181"/>
      <c r="AO18" s="181">
        <v>605</v>
      </c>
      <c r="AP18" s="181" t="s">
        <v>485</v>
      </c>
      <c r="AQ18" s="181" t="s">
        <v>715</v>
      </c>
      <c r="AR18" s="183">
        <v>46260</v>
      </c>
      <c r="AS18" s="181" t="s">
        <v>700</v>
      </c>
      <c r="AT18" s="181" t="s">
        <v>716</v>
      </c>
      <c r="AU18" s="181"/>
      <c r="AV18" s="181" t="s">
        <v>717</v>
      </c>
      <c r="AW18" s="181"/>
      <c r="AX18" s="181"/>
      <c r="AY18" s="181"/>
      <c r="AZ18" s="181"/>
      <c r="BA18" s="181"/>
      <c r="BB18" s="181"/>
      <c r="BC18" s="181"/>
      <c r="BD18" s="181" t="s">
        <v>341</v>
      </c>
      <c r="BE18" s="181">
        <v>14</v>
      </c>
      <c r="BF18" s="181"/>
      <c r="BG18" s="181"/>
      <c r="BH18" s="181" t="s">
        <v>658</v>
      </c>
      <c r="BI18" s="181">
        <v>605041227</v>
      </c>
      <c r="BJ18" s="181"/>
      <c r="BK18" s="181"/>
      <c r="BL18" s="181"/>
      <c r="BM18" s="181"/>
      <c r="BN18" s="181"/>
      <c r="BO18" s="181"/>
      <c r="BP18" s="181"/>
      <c r="BQ18" s="181"/>
      <c r="BR18" s="181"/>
      <c r="BS18" s="181"/>
      <c r="BT18" s="181"/>
      <c r="BU18" s="181"/>
      <c r="BV18" s="181"/>
      <c r="BW18" s="181"/>
      <c r="BX18" s="181"/>
      <c r="BY18" s="181"/>
      <c r="BZ18" s="181"/>
      <c r="CA18" s="190">
        <v>46275.666666666701</v>
      </c>
      <c r="CB18" s="3"/>
      <c r="CC18" s="16"/>
      <c r="CD18" s="16"/>
      <c r="CE18" s="16"/>
      <c r="CF18" s="16"/>
      <c r="CG18" s="16"/>
      <c r="CH18" s="16"/>
      <c r="CI18" s="16" t="s">
        <v>718</v>
      </c>
    </row>
    <row r="19" spans="1:87">
      <c r="A19" s="16" t="s">
        <v>5</v>
      </c>
      <c r="B19" s="16" t="s">
        <v>719</v>
      </c>
      <c r="C19" s="3">
        <v>46272</v>
      </c>
      <c r="D19" s="26" t="s">
        <v>14</v>
      </c>
      <c r="E19" s="180" t="s">
        <v>720</v>
      </c>
      <c r="F19" s="181">
        <v>2026236640219</v>
      </c>
      <c r="G19" s="181">
        <v>30</v>
      </c>
      <c r="H19" s="181">
        <v>14</v>
      </c>
      <c r="I19" s="181" t="s">
        <v>647</v>
      </c>
      <c r="J19" s="181" t="s">
        <v>720</v>
      </c>
      <c r="K19" s="181" t="s">
        <v>721</v>
      </c>
      <c r="L19" s="181" t="s">
        <v>13</v>
      </c>
      <c r="M19" s="181">
        <v>12</v>
      </c>
      <c r="N19" s="181" t="s">
        <v>462</v>
      </c>
      <c r="O19" s="181" t="s">
        <v>606</v>
      </c>
      <c r="P19" s="181">
        <v>832294091</v>
      </c>
      <c r="Q19" s="181" t="s">
        <v>465</v>
      </c>
      <c r="R19" s="181" t="s">
        <v>466</v>
      </c>
      <c r="S19" s="181" t="s">
        <v>722</v>
      </c>
      <c r="T19" s="181">
        <v>173326</v>
      </c>
      <c r="U19" s="182">
        <v>46259.072916666664</v>
      </c>
      <c r="V19" s="181" t="s">
        <v>469</v>
      </c>
      <c r="W19" s="181" t="s">
        <v>651</v>
      </c>
      <c r="X19" s="181" t="s">
        <v>652</v>
      </c>
      <c r="Y19" s="181" t="s">
        <v>653</v>
      </c>
      <c r="Z19" s="181" t="s">
        <v>473</v>
      </c>
      <c r="AA19" s="181" t="s">
        <v>474</v>
      </c>
      <c r="AB19" s="181" t="s">
        <v>684</v>
      </c>
      <c r="AC19" s="181" t="s">
        <v>476</v>
      </c>
      <c r="AD19" s="181">
        <v>390813418</v>
      </c>
      <c r="AE19" s="181">
        <v>1235588831</v>
      </c>
      <c r="AF19" s="181">
        <v>1710313549</v>
      </c>
      <c r="AG19" s="181">
        <v>4.5820253532448304E+16</v>
      </c>
      <c r="AH19" s="181"/>
      <c r="AI19" s="181" t="s">
        <v>75</v>
      </c>
      <c r="AJ19" s="181" t="s">
        <v>481</v>
      </c>
      <c r="AK19" s="181" t="s">
        <v>723</v>
      </c>
      <c r="AL19" s="181">
        <v>77624</v>
      </c>
      <c r="AM19" s="181"/>
      <c r="AN19" s="181"/>
      <c r="AO19" s="181">
        <v>832</v>
      </c>
      <c r="AP19" s="181" t="s">
        <v>485</v>
      </c>
      <c r="AQ19" s="181" t="s">
        <v>724</v>
      </c>
      <c r="AR19" s="183">
        <v>46260</v>
      </c>
      <c r="AS19" s="181" t="s">
        <v>721</v>
      </c>
      <c r="AT19" s="181" t="s">
        <v>725</v>
      </c>
      <c r="AU19" s="181"/>
      <c r="AV19" s="181" t="s">
        <v>726</v>
      </c>
      <c r="AW19" s="181"/>
      <c r="AX19" s="181"/>
      <c r="AY19" s="181"/>
      <c r="AZ19" s="181"/>
      <c r="BA19" s="181"/>
      <c r="BB19" s="181"/>
      <c r="BC19" s="181"/>
      <c r="BD19" s="181" t="s">
        <v>75</v>
      </c>
      <c r="BE19" s="181">
        <v>14</v>
      </c>
      <c r="BF19" s="181"/>
      <c r="BG19" s="181"/>
      <c r="BH19" s="181" t="s">
        <v>658</v>
      </c>
      <c r="BI19" s="181">
        <v>832294091</v>
      </c>
      <c r="BJ19" s="181"/>
      <c r="BK19" s="181"/>
      <c r="BL19" s="181"/>
      <c r="BM19" s="181"/>
      <c r="BN19" s="181"/>
      <c r="BO19" s="181"/>
      <c r="BP19" s="181"/>
      <c r="BQ19" s="181"/>
      <c r="BR19" s="181"/>
      <c r="BS19" s="181"/>
      <c r="BT19" s="181"/>
      <c r="BU19" s="181"/>
      <c r="BV19" s="181"/>
      <c r="BW19" s="181"/>
      <c r="BX19" s="181"/>
      <c r="BY19" s="181"/>
      <c r="BZ19" s="181"/>
      <c r="CA19" s="190">
        <v>46280.666666666701</v>
      </c>
      <c r="CB19" s="3"/>
      <c r="CC19" s="16"/>
      <c r="CD19" s="16"/>
      <c r="CE19" s="16"/>
      <c r="CF19" s="16"/>
      <c r="CG19" s="16"/>
      <c r="CH19" s="16"/>
      <c r="CI19" s="16" t="s">
        <v>727</v>
      </c>
    </row>
    <row r="20" spans="1:87">
      <c r="A20" s="16"/>
      <c r="B20" s="16"/>
      <c r="C20" s="3">
        <v>46272</v>
      </c>
      <c r="D20" s="26" t="s">
        <v>14</v>
      </c>
      <c r="E20" s="180" t="s">
        <v>728</v>
      </c>
      <c r="F20" s="181">
        <v>2026239000438</v>
      </c>
      <c r="G20" s="181">
        <v>30</v>
      </c>
      <c r="H20" s="181">
        <v>11</v>
      </c>
      <c r="I20" s="181" t="s">
        <v>647</v>
      </c>
      <c r="J20" s="181" t="s">
        <v>728</v>
      </c>
      <c r="K20" s="181" t="s">
        <v>729</v>
      </c>
      <c r="L20" s="181" t="s">
        <v>13</v>
      </c>
      <c r="M20" s="181">
        <v>10</v>
      </c>
      <c r="N20" s="181" t="s">
        <v>462</v>
      </c>
      <c r="O20" s="181" t="s">
        <v>606</v>
      </c>
      <c r="P20" s="181">
        <v>909321851</v>
      </c>
      <c r="Q20" s="181" t="s">
        <v>465</v>
      </c>
      <c r="R20" s="181" t="s">
        <v>466</v>
      </c>
      <c r="S20" s="181" t="s">
        <v>730</v>
      </c>
      <c r="T20" s="181">
        <v>173325</v>
      </c>
      <c r="U20" s="182">
        <v>46261.67291666667</v>
      </c>
      <c r="V20" s="181" t="s">
        <v>469</v>
      </c>
      <c r="W20" s="181" t="s">
        <v>651</v>
      </c>
      <c r="X20" s="181" t="s">
        <v>652</v>
      </c>
      <c r="Y20" s="181" t="s">
        <v>653</v>
      </c>
      <c r="Z20" s="181" t="s">
        <v>731</v>
      </c>
      <c r="AA20" s="181" t="s">
        <v>474</v>
      </c>
      <c r="AB20" s="181" t="s">
        <v>732</v>
      </c>
      <c r="AC20" s="181" t="s">
        <v>733</v>
      </c>
      <c r="AD20" s="181">
        <v>430653493</v>
      </c>
      <c r="AE20" s="181">
        <v>1427098169</v>
      </c>
      <c r="AF20" s="181"/>
      <c r="AG20" s="181">
        <v>7.4820253021952896E+16</v>
      </c>
      <c r="AH20" s="181"/>
      <c r="AI20" s="181" t="s">
        <v>66</v>
      </c>
      <c r="AJ20" s="181" t="s">
        <v>481</v>
      </c>
      <c r="AK20" s="181" t="s">
        <v>734</v>
      </c>
      <c r="AL20" s="181">
        <v>36138.35</v>
      </c>
      <c r="AM20" s="181"/>
      <c r="AN20" s="181"/>
      <c r="AO20" s="181">
        <v>909</v>
      </c>
      <c r="AP20" s="181" t="s">
        <v>485</v>
      </c>
      <c r="AQ20" s="181" t="s">
        <v>735</v>
      </c>
      <c r="AR20" s="183">
        <v>46262</v>
      </c>
      <c r="AS20" s="181" t="s">
        <v>729</v>
      </c>
      <c r="AT20" s="181" t="s">
        <v>736</v>
      </c>
      <c r="AU20" s="181"/>
      <c r="AV20" s="181" t="s">
        <v>737</v>
      </c>
      <c r="AW20" s="181"/>
      <c r="AX20" s="181"/>
      <c r="AY20" s="181"/>
      <c r="AZ20" s="181"/>
      <c r="BA20" s="181"/>
      <c r="BB20" s="181"/>
      <c r="BC20" s="181"/>
      <c r="BD20" s="181" t="s">
        <v>66</v>
      </c>
      <c r="BE20" s="181">
        <v>11</v>
      </c>
      <c r="BF20" s="181"/>
      <c r="BG20" s="181"/>
      <c r="BH20" s="181" t="s">
        <v>658</v>
      </c>
      <c r="BI20" s="181">
        <v>909321851</v>
      </c>
      <c r="BJ20" s="181"/>
      <c r="BK20" s="181"/>
      <c r="BL20" s="181"/>
      <c r="BM20" s="181"/>
      <c r="BN20" s="181"/>
      <c r="BO20" s="181"/>
      <c r="BP20" s="181"/>
      <c r="BQ20" s="181"/>
      <c r="BR20" s="181"/>
      <c r="BS20" s="181"/>
      <c r="BT20" s="181"/>
      <c r="BU20" s="181"/>
      <c r="BV20" s="181"/>
      <c r="BW20" s="181"/>
      <c r="BX20" s="181"/>
      <c r="BY20" s="181"/>
      <c r="BZ20" s="181"/>
      <c r="CA20" s="190"/>
      <c r="CB20" s="3"/>
      <c r="CC20" s="16"/>
      <c r="CD20" s="16"/>
      <c r="CE20" s="16"/>
      <c r="CF20" s="16"/>
      <c r="CG20" s="16"/>
      <c r="CH20" s="16"/>
      <c r="CI20" s="16" t="s">
        <v>738</v>
      </c>
    </row>
    <row r="21" spans="1:87" ht="29.25">
      <c r="A21" s="16" t="s">
        <v>5</v>
      </c>
      <c r="B21" s="25" t="s">
        <v>739</v>
      </c>
      <c r="C21" s="3">
        <v>46272</v>
      </c>
      <c r="D21" s="26" t="s">
        <v>14</v>
      </c>
      <c r="E21" s="180" t="s">
        <v>740</v>
      </c>
      <c r="F21" s="181">
        <v>2026236350359</v>
      </c>
      <c r="G21" s="181">
        <v>30</v>
      </c>
      <c r="H21" s="181">
        <v>14</v>
      </c>
      <c r="I21" s="181" t="s">
        <v>647</v>
      </c>
      <c r="J21" s="181" t="s">
        <v>740</v>
      </c>
      <c r="K21" s="181" t="s">
        <v>741</v>
      </c>
      <c r="L21" s="181" t="s">
        <v>13</v>
      </c>
      <c r="M21" s="181">
        <v>12</v>
      </c>
      <c r="N21" s="181" t="s">
        <v>462</v>
      </c>
      <c r="O21" s="181" t="s">
        <v>606</v>
      </c>
      <c r="P21" s="181">
        <v>279318750</v>
      </c>
      <c r="Q21" s="181" t="s">
        <v>465</v>
      </c>
      <c r="R21" s="181" t="s">
        <v>466</v>
      </c>
      <c r="S21" s="181" t="s">
        <v>742</v>
      </c>
      <c r="T21" s="181">
        <v>173328</v>
      </c>
      <c r="U21" s="182">
        <v>46259.90625</v>
      </c>
      <c r="V21" s="181" t="s">
        <v>469</v>
      </c>
      <c r="W21" s="181" t="s">
        <v>651</v>
      </c>
      <c r="X21" s="181" t="s">
        <v>652</v>
      </c>
      <c r="Y21" s="181" t="s">
        <v>653</v>
      </c>
      <c r="Z21" s="181" t="s">
        <v>638</v>
      </c>
      <c r="AA21" s="181" t="s">
        <v>474</v>
      </c>
      <c r="AB21" s="181" t="s">
        <v>743</v>
      </c>
      <c r="AC21" s="181" t="s">
        <v>465</v>
      </c>
      <c r="AD21" s="181">
        <v>351278550</v>
      </c>
      <c r="AE21" s="181">
        <v>1275580318</v>
      </c>
      <c r="AF21" s="181">
        <v>1619294600</v>
      </c>
      <c r="AG21" s="181">
        <v>1.31202533016172E+16</v>
      </c>
      <c r="AH21" s="181"/>
      <c r="AI21" s="181" t="s">
        <v>290</v>
      </c>
      <c r="AJ21" s="181" t="s">
        <v>481</v>
      </c>
      <c r="AK21" s="181" t="s">
        <v>744</v>
      </c>
      <c r="AL21" s="181">
        <v>6333</v>
      </c>
      <c r="AM21" s="181"/>
      <c r="AN21" s="181"/>
      <c r="AO21" s="181">
        <v>279</v>
      </c>
      <c r="AP21" s="181" t="s">
        <v>485</v>
      </c>
      <c r="AQ21" s="181" t="s">
        <v>745</v>
      </c>
      <c r="AR21" s="183">
        <v>46260</v>
      </c>
      <c r="AS21" s="181" t="s">
        <v>741</v>
      </c>
      <c r="AT21" s="181" t="s">
        <v>516</v>
      </c>
      <c r="AU21" s="181"/>
      <c r="AV21" s="181" t="s">
        <v>746</v>
      </c>
      <c r="AW21" s="181"/>
      <c r="AX21" s="181"/>
      <c r="AY21" s="181"/>
      <c r="AZ21" s="181"/>
      <c r="BA21" s="181"/>
      <c r="BB21" s="181"/>
      <c r="BC21" s="181"/>
      <c r="BD21" s="181" t="s">
        <v>290</v>
      </c>
      <c r="BE21" s="181">
        <v>14</v>
      </c>
      <c r="BF21" s="181"/>
      <c r="BG21" s="181"/>
      <c r="BH21" s="181" t="s">
        <v>658</v>
      </c>
      <c r="BI21" s="181">
        <v>279318750</v>
      </c>
      <c r="BJ21" s="181"/>
      <c r="BK21" s="181"/>
      <c r="BL21" s="181"/>
      <c r="BM21" s="181"/>
      <c r="BN21" s="181"/>
      <c r="BO21" s="181"/>
      <c r="BP21" s="181"/>
      <c r="BQ21" s="181"/>
      <c r="BR21" s="181"/>
      <c r="BS21" s="181"/>
      <c r="BT21" s="181"/>
      <c r="BU21" s="181"/>
      <c r="BV21" s="181"/>
      <c r="BW21" s="181"/>
      <c r="BX21" s="181"/>
      <c r="BY21" s="181"/>
      <c r="BZ21" s="181"/>
      <c r="CA21" s="190">
        <v>46280.666666666701</v>
      </c>
      <c r="CB21" s="3"/>
      <c r="CC21" s="16"/>
      <c r="CD21" s="16"/>
      <c r="CE21" s="16"/>
      <c r="CF21" s="16"/>
      <c r="CG21" s="16"/>
      <c r="CH21" s="16"/>
      <c r="CI21" s="16" t="s">
        <v>747</v>
      </c>
    </row>
    <row r="22" spans="1:87">
      <c r="A22" s="16" t="s">
        <v>5</v>
      </c>
      <c r="B22" s="16" t="s">
        <v>606</v>
      </c>
      <c r="C22" s="3">
        <v>46272</v>
      </c>
      <c r="D22" s="26" t="s">
        <v>14</v>
      </c>
      <c r="E22" s="180" t="s">
        <v>748</v>
      </c>
      <c r="F22" s="181">
        <v>2026236270008</v>
      </c>
      <c r="G22" s="181">
        <v>30</v>
      </c>
      <c r="H22" s="181">
        <v>14</v>
      </c>
      <c r="I22" s="181" t="s">
        <v>647</v>
      </c>
      <c r="J22" s="181" t="s">
        <v>748</v>
      </c>
      <c r="K22" s="181" t="s">
        <v>741</v>
      </c>
      <c r="L22" s="181" t="s">
        <v>13</v>
      </c>
      <c r="M22" s="181">
        <v>12</v>
      </c>
      <c r="N22" s="181" t="s">
        <v>462</v>
      </c>
      <c r="O22" s="181" t="s">
        <v>606</v>
      </c>
      <c r="P22" s="181">
        <v>813880067</v>
      </c>
      <c r="Q22" s="181" t="s">
        <v>465</v>
      </c>
      <c r="R22" s="181" t="s">
        <v>466</v>
      </c>
      <c r="S22" s="181" t="s">
        <v>749</v>
      </c>
      <c r="T22" s="181">
        <v>173328</v>
      </c>
      <c r="U22" s="182">
        <v>46259.90902777778</v>
      </c>
      <c r="V22" s="181" t="s">
        <v>469</v>
      </c>
      <c r="W22" s="181" t="s">
        <v>651</v>
      </c>
      <c r="X22" s="181" t="s">
        <v>652</v>
      </c>
      <c r="Y22" s="181" t="s">
        <v>653</v>
      </c>
      <c r="Z22" s="181" t="s">
        <v>638</v>
      </c>
      <c r="AA22" s="181" t="s">
        <v>474</v>
      </c>
      <c r="AB22" s="181" t="s">
        <v>743</v>
      </c>
      <c r="AC22" s="181" t="s">
        <v>465</v>
      </c>
      <c r="AD22" s="181">
        <v>272039417</v>
      </c>
      <c r="AE22" s="181">
        <v>1144513375</v>
      </c>
      <c r="AF22" s="181">
        <v>1386886620</v>
      </c>
      <c r="AG22" s="181">
        <v>1.31202605428916E+16</v>
      </c>
      <c r="AH22" s="181"/>
      <c r="AI22" s="181" t="s">
        <v>290</v>
      </c>
      <c r="AJ22" s="181" t="s">
        <v>481</v>
      </c>
      <c r="AK22" s="181" t="s">
        <v>750</v>
      </c>
      <c r="AL22" s="181">
        <v>5759</v>
      </c>
      <c r="AM22" s="181"/>
      <c r="AN22" s="181"/>
      <c r="AO22" s="181">
        <v>813</v>
      </c>
      <c r="AP22" s="181" t="s">
        <v>485</v>
      </c>
      <c r="AQ22" s="181" t="s">
        <v>751</v>
      </c>
      <c r="AR22" s="183">
        <v>46260</v>
      </c>
      <c r="AS22" s="181" t="s">
        <v>741</v>
      </c>
      <c r="AT22" s="181" t="s">
        <v>516</v>
      </c>
      <c r="AU22" s="181"/>
      <c r="AV22" s="181" t="s">
        <v>752</v>
      </c>
      <c r="AW22" s="181"/>
      <c r="AX22" s="181"/>
      <c r="AY22" s="181"/>
      <c r="AZ22" s="181"/>
      <c r="BA22" s="181"/>
      <c r="BB22" s="181"/>
      <c r="BC22" s="181"/>
      <c r="BD22" s="181" t="s">
        <v>290</v>
      </c>
      <c r="BE22" s="181">
        <v>14</v>
      </c>
      <c r="BF22" s="181"/>
      <c r="BG22" s="181"/>
      <c r="BH22" s="181" t="s">
        <v>658</v>
      </c>
      <c r="BI22" s="181">
        <v>813880067</v>
      </c>
      <c r="BJ22" s="181"/>
      <c r="BK22" s="181"/>
      <c r="BL22" s="181"/>
      <c r="BM22" s="181"/>
      <c r="BN22" s="181"/>
      <c r="BO22" s="181"/>
      <c r="BP22" s="181"/>
      <c r="BQ22" s="181"/>
      <c r="BR22" s="181"/>
      <c r="BS22" s="181"/>
      <c r="BT22" s="181"/>
      <c r="BU22" s="181"/>
      <c r="BV22" s="181"/>
      <c r="BW22" s="181"/>
      <c r="BX22" s="181"/>
      <c r="BY22" s="181"/>
      <c r="BZ22" s="181"/>
      <c r="CA22" s="190">
        <v>46280.666666666701</v>
      </c>
      <c r="CB22" s="3"/>
      <c r="CC22" s="16"/>
      <c r="CD22" s="16"/>
      <c r="CE22" s="16"/>
      <c r="CF22" s="16"/>
      <c r="CG22" s="16"/>
      <c r="CH22" s="16"/>
      <c r="CI22" s="16" t="s">
        <v>753</v>
      </c>
    </row>
    <row r="23" spans="1:87">
      <c r="A23" s="16" t="s">
        <v>5</v>
      </c>
      <c r="B23" s="25" t="s">
        <v>754</v>
      </c>
      <c r="C23" s="3">
        <v>46272</v>
      </c>
      <c r="D23" s="26" t="s">
        <v>14</v>
      </c>
      <c r="E23" s="180" t="s">
        <v>755</v>
      </c>
      <c r="F23" s="181">
        <v>2026238980041</v>
      </c>
      <c r="G23" s="181">
        <v>30</v>
      </c>
      <c r="H23" s="181">
        <v>12</v>
      </c>
      <c r="I23" s="181" t="s">
        <v>647</v>
      </c>
      <c r="J23" s="181" t="s">
        <v>755</v>
      </c>
      <c r="K23" s="181" t="s">
        <v>461</v>
      </c>
      <c r="L23" s="181" t="s">
        <v>17</v>
      </c>
      <c r="M23" s="181">
        <v>12</v>
      </c>
      <c r="N23" s="181" t="s">
        <v>462</v>
      </c>
      <c r="O23" s="181" t="s">
        <v>606</v>
      </c>
      <c r="P23" s="181">
        <v>922326445</v>
      </c>
      <c r="Q23" s="181" t="s">
        <v>465</v>
      </c>
      <c r="R23" s="181" t="s">
        <v>466</v>
      </c>
      <c r="S23" s="181" t="s">
        <v>756</v>
      </c>
      <c r="T23" s="181">
        <v>173327</v>
      </c>
      <c r="U23" s="182">
        <v>46260.075694444444</v>
      </c>
      <c r="V23" s="181" t="s">
        <v>469</v>
      </c>
      <c r="W23" s="181" t="s">
        <v>651</v>
      </c>
      <c r="X23" s="181" t="s">
        <v>652</v>
      </c>
      <c r="Y23" s="181" t="s">
        <v>653</v>
      </c>
      <c r="Z23" s="181" t="s">
        <v>524</v>
      </c>
      <c r="AA23" s="181" t="s">
        <v>474</v>
      </c>
      <c r="AB23" s="181" t="s">
        <v>757</v>
      </c>
      <c r="AC23" s="181" t="s">
        <v>526</v>
      </c>
      <c r="AD23" s="181">
        <v>262448601</v>
      </c>
      <c r="AE23" s="181">
        <v>1689835415</v>
      </c>
      <c r="AF23" s="181">
        <v>1679836118</v>
      </c>
      <c r="AG23" s="181">
        <v>3.30202508041131E+16</v>
      </c>
      <c r="AH23" s="181"/>
      <c r="AI23" s="181" t="s">
        <v>67</v>
      </c>
      <c r="AJ23" s="181" t="s">
        <v>481</v>
      </c>
      <c r="AK23" s="181" t="s">
        <v>758</v>
      </c>
      <c r="AL23" s="181">
        <v>5608</v>
      </c>
      <c r="AM23" s="181"/>
      <c r="AN23" s="181"/>
      <c r="AO23" s="181">
        <v>922</v>
      </c>
      <c r="AP23" s="181" t="s">
        <v>485</v>
      </c>
      <c r="AQ23" s="181" t="s">
        <v>759</v>
      </c>
      <c r="AR23" s="183">
        <v>46260</v>
      </c>
      <c r="AS23" s="181" t="s">
        <v>461</v>
      </c>
      <c r="AT23" s="181" t="s">
        <v>487</v>
      </c>
      <c r="AU23" s="181"/>
      <c r="AV23" s="181" t="s">
        <v>760</v>
      </c>
      <c r="AW23" s="181"/>
      <c r="AX23" s="181"/>
      <c r="AY23" s="181"/>
      <c r="AZ23" s="181"/>
      <c r="BA23" s="181"/>
      <c r="BB23" s="181"/>
      <c r="BC23" s="181"/>
      <c r="BD23" s="181" t="s">
        <v>67</v>
      </c>
      <c r="BE23" s="181">
        <v>12</v>
      </c>
      <c r="BF23" s="181"/>
      <c r="BG23" s="181"/>
      <c r="BH23" s="181" t="s">
        <v>658</v>
      </c>
      <c r="BI23" s="181">
        <v>922326445</v>
      </c>
      <c r="BJ23" s="181"/>
      <c r="BK23" s="181"/>
      <c r="BL23" s="181"/>
      <c r="BM23" s="181"/>
      <c r="BN23" s="181"/>
      <c r="BO23" s="181"/>
      <c r="BP23" s="181"/>
      <c r="BQ23" s="181"/>
      <c r="BR23" s="181"/>
      <c r="BS23" s="181"/>
      <c r="BT23" s="181"/>
      <c r="BU23" s="181"/>
      <c r="BV23" s="181"/>
      <c r="BW23" s="181"/>
      <c r="BX23" s="181"/>
      <c r="BY23" s="181"/>
      <c r="BZ23" s="181"/>
      <c r="CA23" s="190">
        <v>46282.166666666701</v>
      </c>
      <c r="CB23" s="3"/>
      <c r="CC23" s="16"/>
      <c r="CD23" s="16"/>
      <c r="CE23" s="16"/>
      <c r="CF23" s="16"/>
      <c r="CG23" s="16"/>
      <c r="CH23" s="16"/>
      <c r="CI23" s="16" t="s">
        <v>761</v>
      </c>
    </row>
    <row r="24" spans="1:87">
      <c r="A24" s="16"/>
      <c r="B24" s="16"/>
      <c r="C24" s="3">
        <v>46272</v>
      </c>
      <c r="D24" s="26" t="s">
        <v>14</v>
      </c>
      <c r="E24" s="180" t="s">
        <v>762</v>
      </c>
      <c r="F24" s="181">
        <v>2026239290344</v>
      </c>
      <c r="G24" s="181">
        <v>30</v>
      </c>
      <c r="H24" s="181">
        <v>11</v>
      </c>
      <c r="I24" s="181" t="s">
        <v>647</v>
      </c>
      <c r="J24" s="181" t="s">
        <v>762</v>
      </c>
      <c r="K24" s="181" t="s">
        <v>691</v>
      </c>
      <c r="L24" s="181" t="s">
        <v>13</v>
      </c>
      <c r="M24" s="181">
        <v>7</v>
      </c>
      <c r="N24" s="181" t="s">
        <v>462</v>
      </c>
      <c r="O24" s="181" t="s">
        <v>606</v>
      </c>
      <c r="P24" s="181">
        <v>913207418</v>
      </c>
      <c r="Q24" s="181" t="s">
        <v>465</v>
      </c>
      <c r="R24" s="181" t="s">
        <v>466</v>
      </c>
      <c r="S24" s="181" t="s">
        <v>763</v>
      </c>
      <c r="T24" s="181">
        <v>173327</v>
      </c>
      <c r="U24" s="182">
        <v>46264.988888888889</v>
      </c>
      <c r="V24" s="181" t="s">
        <v>469</v>
      </c>
      <c r="W24" s="181" t="s">
        <v>651</v>
      </c>
      <c r="X24" s="181" t="s">
        <v>652</v>
      </c>
      <c r="Y24" s="181" t="s">
        <v>653</v>
      </c>
      <c r="Z24" s="181" t="s">
        <v>524</v>
      </c>
      <c r="AA24" s="181" t="s">
        <v>474</v>
      </c>
      <c r="AB24" s="181" t="s">
        <v>757</v>
      </c>
      <c r="AC24" s="181" t="s">
        <v>526</v>
      </c>
      <c r="AD24" s="181">
        <v>204881619</v>
      </c>
      <c r="AE24" s="181">
        <v>1669499414</v>
      </c>
      <c r="AF24" s="181">
        <v>1528290541</v>
      </c>
      <c r="AG24" s="181">
        <v>3.30202523333813E+16</v>
      </c>
      <c r="AH24" s="181"/>
      <c r="AI24" s="181" t="s">
        <v>128</v>
      </c>
      <c r="AJ24" s="181" t="s">
        <v>481</v>
      </c>
      <c r="AK24" s="181" t="s">
        <v>764</v>
      </c>
      <c r="AL24" s="181">
        <v>12603</v>
      </c>
      <c r="AM24" s="181"/>
      <c r="AN24" s="181"/>
      <c r="AO24" s="181">
        <v>913</v>
      </c>
      <c r="AP24" s="181" t="s">
        <v>485</v>
      </c>
      <c r="AQ24" s="181" t="s">
        <v>765</v>
      </c>
      <c r="AR24" s="183">
        <v>46265</v>
      </c>
      <c r="AS24" s="181" t="s">
        <v>128</v>
      </c>
      <c r="AT24" s="181" t="s">
        <v>766</v>
      </c>
      <c r="AU24" s="181"/>
      <c r="AV24" s="181" t="s">
        <v>767</v>
      </c>
      <c r="AW24" s="181"/>
      <c r="AX24" s="181"/>
      <c r="AY24" s="181"/>
      <c r="AZ24" s="181"/>
      <c r="BA24" s="181"/>
      <c r="BB24" s="181"/>
      <c r="BC24" s="181"/>
      <c r="BD24" s="181" t="s">
        <v>128</v>
      </c>
      <c r="BE24" s="181">
        <v>11</v>
      </c>
      <c r="BF24" s="181"/>
      <c r="BG24" s="181"/>
      <c r="BH24" s="181" t="s">
        <v>658</v>
      </c>
      <c r="BI24" s="181">
        <v>913207418</v>
      </c>
      <c r="BJ24" s="181"/>
      <c r="BK24" s="181"/>
      <c r="BL24" s="181"/>
      <c r="BM24" s="181"/>
      <c r="BN24" s="181"/>
      <c r="BO24" s="181"/>
      <c r="BP24" s="181"/>
      <c r="BQ24" s="181"/>
      <c r="BR24" s="181"/>
      <c r="BS24" s="181"/>
      <c r="BT24" s="181"/>
      <c r="BU24" s="181"/>
      <c r="BV24" s="181"/>
      <c r="BW24" s="181"/>
      <c r="BX24" s="181"/>
      <c r="BY24" s="181"/>
      <c r="BZ24" s="181"/>
      <c r="CA24" s="190"/>
      <c r="CB24" s="3"/>
      <c r="CC24" s="16"/>
      <c r="CD24" s="16"/>
      <c r="CE24" s="16"/>
      <c r="CF24" s="16"/>
      <c r="CG24" s="16"/>
      <c r="CH24" s="16"/>
      <c r="CI24" s="16" t="s">
        <v>768</v>
      </c>
    </row>
    <row r="25" spans="1:87">
      <c r="A25" s="16" t="s">
        <v>5</v>
      </c>
      <c r="B25" s="16" t="s">
        <v>769</v>
      </c>
      <c r="C25" s="3">
        <v>46272</v>
      </c>
      <c r="D25" s="26" t="s">
        <v>14</v>
      </c>
      <c r="E25" s="180" t="s">
        <v>770</v>
      </c>
      <c r="F25" s="181">
        <v>2026241840314</v>
      </c>
      <c r="G25" s="181">
        <v>30</v>
      </c>
      <c r="H25" s="181">
        <v>11</v>
      </c>
      <c r="I25" s="181" t="s">
        <v>647</v>
      </c>
      <c r="J25" s="181" t="s">
        <v>770</v>
      </c>
      <c r="K25" s="181" t="s">
        <v>771</v>
      </c>
      <c r="L25" s="181" t="s">
        <v>18</v>
      </c>
      <c r="M25" s="181">
        <v>7</v>
      </c>
      <c r="N25" s="181" t="s">
        <v>462</v>
      </c>
      <c r="O25" s="181" t="s">
        <v>562</v>
      </c>
      <c r="P25" s="181" t="s">
        <v>772</v>
      </c>
      <c r="Q25" s="181" t="s">
        <v>564</v>
      </c>
      <c r="R25" s="181" t="s">
        <v>466</v>
      </c>
      <c r="S25" s="181" t="s">
        <v>773</v>
      </c>
      <c r="T25" s="181">
        <v>281234</v>
      </c>
      <c r="U25" s="182">
        <v>46264.808333333334</v>
      </c>
      <c r="V25" s="181" t="s">
        <v>469</v>
      </c>
      <c r="W25" s="181" t="s">
        <v>568</v>
      </c>
      <c r="X25" s="181" t="s">
        <v>471</v>
      </c>
      <c r="Y25" s="181" t="s">
        <v>569</v>
      </c>
      <c r="Z25" s="181" t="s">
        <v>570</v>
      </c>
      <c r="AA25" s="181" t="s">
        <v>474</v>
      </c>
      <c r="AB25" s="181" t="s">
        <v>774</v>
      </c>
      <c r="AC25" s="181" t="s">
        <v>572</v>
      </c>
      <c r="AD25" s="181">
        <v>821538557</v>
      </c>
      <c r="AE25" s="181">
        <v>1336669456</v>
      </c>
      <c r="AF25" s="181"/>
      <c r="AG25" s="181"/>
      <c r="AH25" s="181"/>
      <c r="AI25" s="181" t="s">
        <v>180</v>
      </c>
      <c r="AJ25" s="181" t="s">
        <v>481</v>
      </c>
      <c r="AK25" s="181" t="s">
        <v>775</v>
      </c>
      <c r="AL25" s="181">
        <v>54266.1</v>
      </c>
      <c r="AM25" s="181"/>
      <c r="AN25" s="181"/>
      <c r="AO25" s="181">
        <v>100</v>
      </c>
      <c r="AP25" s="181" t="s">
        <v>485</v>
      </c>
      <c r="AQ25" s="181" t="s">
        <v>776</v>
      </c>
      <c r="AR25" s="183">
        <v>46265</v>
      </c>
      <c r="AS25" s="181" t="s">
        <v>180</v>
      </c>
      <c r="AT25" s="181" t="s">
        <v>777</v>
      </c>
      <c r="AU25" s="181"/>
      <c r="AV25" s="181" t="s">
        <v>778</v>
      </c>
      <c r="AW25" s="181"/>
      <c r="AX25" s="181"/>
      <c r="AY25" s="181"/>
      <c r="AZ25" s="181"/>
      <c r="BA25" s="181"/>
      <c r="BB25" s="181"/>
      <c r="BC25" s="181"/>
      <c r="BD25" s="181" t="s">
        <v>180</v>
      </c>
      <c r="BE25" s="181">
        <v>9</v>
      </c>
      <c r="BF25" s="181"/>
      <c r="BG25" s="181" t="s">
        <v>490</v>
      </c>
      <c r="BH25" s="181" t="s">
        <v>491</v>
      </c>
      <c r="BI25" s="181">
        <v>656949994</v>
      </c>
      <c r="BJ25" s="181"/>
      <c r="BK25" s="181"/>
      <c r="BL25" s="181"/>
      <c r="BM25" s="181"/>
      <c r="BN25" s="181"/>
      <c r="BO25" s="181"/>
      <c r="BP25" s="181"/>
      <c r="BQ25" s="181"/>
      <c r="BR25" s="181"/>
      <c r="BS25" s="181"/>
      <c r="BT25" s="181"/>
      <c r="BU25" s="181"/>
      <c r="BV25" s="181"/>
      <c r="BW25" s="181"/>
      <c r="BX25" s="181"/>
      <c r="BY25" s="181"/>
      <c r="BZ25" s="181"/>
      <c r="CA25" s="190">
        <v>46281.666666666701</v>
      </c>
      <c r="CB25" s="3"/>
      <c r="CC25" s="16"/>
      <c r="CD25" s="16"/>
      <c r="CE25" s="16"/>
      <c r="CF25" s="16"/>
      <c r="CG25" s="16"/>
      <c r="CH25" s="16"/>
      <c r="CI25" s="16" t="s">
        <v>779</v>
      </c>
    </row>
    <row r="26" spans="1:87">
      <c r="A26" s="16" t="s">
        <v>5</v>
      </c>
      <c r="B26" s="16" t="s">
        <v>780</v>
      </c>
      <c r="C26" s="3">
        <v>46272</v>
      </c>
      <c r="D26" s="26" t="s">
        <v>14</v>
      </c>
      <c r="E26" s="180" t="s">
        <v>781</v>
      </c>
      <c r="F26" s="181">
        <v>2026236420205</v>
      </c>
      <c r="G26" s="181">
        <v>30</v>
      </c>
      <c r="H26" s="181">
        <v>14</v>
      </c>
      <c r="I26" s="181" t="s">
        <v>647</v>
      </c>
      <c r="J26" s="181" t="s">
        <v>781</v>
      </c>
      <c r="K26" s="181" t="s">
        <v>782</v>
      </c>
      <c r="L26" s="181" t="s">
        <v>18</v>
      </c>
      <c r="M26" s="181">
        <v>13</v>
      </c>
      <c r="N26" s="181" t="s">
        <v>462</v>
      </c>
      <c r="O26" s="181" t="s">
        <v>606</v>
      </c>
      <c r="P26" s="181" t="s">
        <v>783</v>
      </c>
      <c r="Q26" s="181" t="s">
        <v>465</v>
      </c>
      <c r="R26" s="181" t="s">
        <v>466</v>
      </c>
      <c r="S26" s="181" t="s">
        <v>784</v>
      </c>
      <c r="T26" s="181">
        <v>212116</v>
      </c>
      <c r="U26" s="182">
        <v>46259.69027777778</v>
      </c>
      <c r="V26" s="181" t="s">
        <v>469</v>
      </c>
      <c r="W26" s="181" t="s">
        <v>568</v>
      </c>
      <c r="X26" s="181" t="s">
        <v>471</v>
      </c>
      <c r="Y26" s="181" t="s">
        <v>569</v>
      </c>
      <c r="Z26" s="181" t="s">
        <v>524</v>
      </c>
      <c r="AA26" s="181" t="s">
        <v>474</v>
      </c>
      <c r="AB26" s="181" t="s">
        <v>785</v>
      </c>
      <c r="AC26" s="181" t="s">
        <v>572</v>
      </c>
      <c r="AD26" s="181">
        <v>943167314</v>
      </c>
      <c r="AE26" s="181">
        <v>1093712374</v>
      </c>
      <c r="AF26" s="181"/>
      <c r="AG26" s="181"/>
      <c r="AH26" s="181"/>
      <c r="AI26" s="181" t="s">
        <v>786</v>
      </c>
      <c r="AJ26" s="181" t="s">
        <v>481</v>
      </c>
      <c r="AK26" s="181" t="s">
        <v>787</v>
      </c>
      <c r="AL26" s="181">
        <v>2803</v>
      </c>
      <c r="AM26" s="181"/>
      <c r="AN26" s="181"/>
      <c r="AO26" s="181">
        <v>605</v>
      </c>
      <c r="AP26" s="181" t="s">
        <v>485</v>
      </c>
      <c r="AQ26" s="181" t="s">
        <v>788</v>
      </c>
      <c r="AR26" s="183">
        <v>46259</v>
      </c>
      <c r="AS26" s="181" t="s">
        <v>786</v>
      </c>
      <c r="AT26" s="181" t="s">
        <v>789</v>
      </c>
      <c r="AU26" s="181"/>
      <c r="AV26" s="181" t="s">
        <v>790</v>
      </c>
      <c r="AW26" s="181"/>
      <c r="AX26" s="181"/>
      <c r="AY26" s="181"/>
      <c r="AZ26" s="181"/>
      <c r="BA26" s="181"/>
      <c r="BB26" s="181"/>
      <c r="BC26" s="181"/>
      <c r="BD26" s="181" t="s">
        <v>786</v>
      </c>
      <c r="BE26" s="181">
        <v>14</v>
      </c>
      <c r="BF26" s="181" t="s">
        <v>791</v>
      </c>
      <c r="BG26" s="181" t="s">
        <v>490</v>
      </c>
      <c r="BH26" s="181" t="s">
        <v>491</v>
      </c>
      <c r="BI26" s="181" t="s">
        <v>783</v>
      </c>
      <c r="BJ26" s="181"/>
      <c r="BK26" s="181"/>
      <c r="BL26" s="181"/>
      <c r="BM26" s="181"/>
      <c r="BN26" s="181"/>
      <c r="BO26" s="181"/>
      <c r="BP26" s="181"/>
      <c r="BQ26" s="181"/>
      <c r="BR26" s="181"/>
      <c r="BS26" s="181"/>
      <c r="BT26" s="181"/>
      <c r="BU26" s="181"/>
      <c r="BV26" s="181"/>
      <c r="BW26" s="181"/>
      <c r="BX26" s="181"/>
      <c r="BY26" s="181"/>
      <c r="BZ26" s="181"/>
      <c r="CA26" s="190" t="s">
        <v>792</v>
      </c>
      <c r="CB26" s="3"/>
      <c r="CC26" s="16"/>
      <c r="CD26" s="16"/>
      <c r="CE26" s="16"/>
      <c r="CF26" s="16"/>
      <c r="CG26" s="16"/>
      <c r="CH26" s="16"/>
      <c r="CI26" s="16" t="s">
        <v>793</v>
      </c>
    </row>
    <row r="27" spans="1:87">
      <c r="A27" s="16" t="s">
        <v>5</v>
      </c>
      <c r="B27" s="16" t="s">
        <v>794</v>
      </c>
      <c r="C27" s="3">
        <v>46272</v>
      </c>
      <c r="D27" s="26" t="s">
        <v>14</v>
      </c>
      <c r="E27" s="180" t="s">
        <v>795</v>
      </c>
      <c r="F27" s="181">
        <v>2026239170207</v>
      </c>
      <c r="G27" s="181">
        <v>30</v>
      </c>
      <c r="H27" s="181">
        <v>11</v>
      </c>
      <c r="I27" s="181" t="s">
        <v>647</v>
      </c>
      <c r="J27" s="181" t="s">
        <v>795</v>
      </c>
      <c r="K27" s="181" t="s">
        <v>796</v>
      </c>
      <c r="L27" s="181" t="s">
        <v>18</v>
      </c>
      <c r="M27" s="181">
        <v>10</v>
      </c>
      <c r="N27" s="181" t="s">
        <v>462</v>
      </c>
      <c r="O27" s="181" t="s">
        <v>606</v>
      </c>
      <c r="P27" s="181" t="s">
        <v>797</v>
      </c>
      <c r="Q27" s="181" t="s">
        <v>564</v>
      </c>
      <c r="R27" s="181" t="s">
        <v>466</v>
      </c>
      <c r="S27" s="181" t="s">
        <v>798</v>
      </c>
      <c r="T27" s="181" t="s">
        <v>799</v>
      </c>
      <c r="U27" s="182">
        <v>46261.791666666664</v>
      </c>
      <c r="V27" s="181" t="s">
        <v>469</v>
      </c>
      <c r="W27" s="181" t="s">
        <v>568</v>
      </c>
      <c r="X27" s="181" t="s">
        <v>471</v>
      </c>
      <c r="Y27" s="181" t="s">
        <v>569</v>
      </c>
      <c r="Z27" s="181" t="s">
        <v>570</v>
      </c>
      <c r="AA27" s="181" t="s">
        <v>474</v>
      </c>
      <c r="AB27" s="181" t="s">
        <v>800</v>
      </c>
      <c r="AC27" s="181" t="s">
        <v>546</v>
      </c>
      <c r="AD27" s="181">
        <v>582568787</v>
      </c>
      <c r="AE27" s="181">
        <v>1063604791</v>
      </c>
      <c r="AF27" s="181">
        <v>1669819736</v>
      </c>
      <c r="AG27" s="181"/>
      <c r="AH27" s="181"/>
      <c r="AI27" s="181" t="s">
        <v>801</v>
      </c>
      <c r="AJ27" s="181" t="s">
        <v>481</v>
      </c>
      <c r="AK27" s="181" t="s">
        <v>802</v>
      </c>
      <c r="AL27" s="181">
        <v>407139</v>
      </c>
      <c r="AM27" s="181"/>
      <c r="AN27" s="181"/>
      <c r="AO27" s="181">
        <v>536</v>
      </c>
      <c r="AP27" s="181" t="s">
        <v>485</v>
      </c>
      <c r="AQ27" s="181" t="s">
        <v>803</v>
      </c>
      <c r="AR27" s="183">
        <v>46262</v>
      </c>
      <c r="AS27" s="181" t="s">
        <v>804</v>
      </c>
      <c r="AT27" s="181" t="s">
        <v>805</v>
      </c>
      <c r="AU27" s="181"/>
      <c r="AV27" s="181" t="s">
        <v>806</v>
      </c>
      <c r="AW27" s="181"/>
      <c r="AX27" s="181"/>
      <c r="AY27" s="181"/>
      <c r="AZ27" s="181"/>
      <c r="BA27" s="181"/>
      <c r="BB27" s="181"/>
      <c r="BC27" s="181"/>
      <c r="BD27" s="181" t="s">
        <v>801</v>
      </c>
      <c r="BE27" s="181">
        <v>11</v>
      </c>
      <c r="BF27" s="181" t="s">
        <v>791</v>
      </c>
      <c r="BG27" s="181" t="s">
        <v>490</v>
      </c>
      <c r="BH27" s="181" t="s">
        <v>491</v>
      </c>
      <c r="BI27" s="181" t="s">
        <v>797</v>
      </c>
      <c r="BJ27" s="181"/>
      <c r="BK27" s="181"/>
      <c r="BL27" s="181"/>
      <c r="BM27" s="181"/>
      <c r="BN27" s="181"/>
      <c r="BO27" s="181"/>
      <c r="BP27" s="181"/>
      <c r="BQ27" s="181"/>
      <c r="BR27" s="181"/>
      <c r="BS27" s="181"/>
      <c r="BT27" s="181"/>
      <c r="BU27" s="181"/>
      <c r="BV27" s="181"/>
      <c r="BW27" s="181"/>
      <c r="BX27" s="181"/>
      <c r="BY27" s="181"/>
      <c r="BZ27" s="181"/>
      <c r="CA27" s="190">
        <v>46282.166666666701</v>
      </c>
      <c r="CB27" s="3"/>
      <c r="CC27" s="16"/>
      <c r="CD27" s="16"/>
      <c r="CE27" s="16"/>
      <c r="CF27" s="16"/>
      <c r="CG27" s="16"/>
      <c r="CH27" s="16"/>
      <c r="CI27" s="16" t="s">
        <v>807</v>
      </c>
    </row>
    <row r="28" spans="1:87">
      <c r="A28" s="16" t="s">
        <v>5</v>
      </c>
      <c r="B28" s="16" t="s">
        <v>516</v>
      </c>
      <c r="C28" s="3">
        <v>46272</v>
      </c>
      <c r="D28" s="26" t="s">
        <v>14</v>
      </c>
      <c r="E28" s="180" t="s">
        <v>808</v>
      </c>
      <c r="F28" s="181">
        <v>2026223620309</v>
      </c>
      <c r="G28" s="181">
        <v>30</v>
      </c>
      <c r="H28" s="181">
        <v>27</v>
      </c>
      <c r="I28" s="181" t="s">
        <v>809</v>
      </c>
      <c r="J28" s="181" t="s">
        <v>808</v>
      </c>
      <c r="K28" s="181" t="s">
        <v>810</v>
      </c>
      <c r="L28" s="181" t="s">
        <v>17</v>
      </c>
      <c r="M28" s="181">
        <v>26</v>
      </c>
      <c r="N28" s="181" t="s">
        <v>462</v>
      </c>
      <c r="O28" s="181" t="s">
        <v>606</v>
      </c>
      <c r="P28" s="181">
        <v>921197726</v>
      </c>
      <c r="Q28" s="181" t="s">
        <v>465</v>
      </c>
      <c r="R28" s="181" t="s">
        <v>466</v>
      </c>
      <c r="S28" s="181" t="s">
        <v>811</v>
      </c>
      <c r="T28" s="181">
        <v>173325</v>
      </c>
      <c r="U28" s="182">
        <v>46246.15902777778</v>
      </c>
      <c r="V28" s="181" t="s">
        <v>469</v>
      </c>
      <c r="W28" s="181" t="s">
        <v>651</v>
      </c>
      <c r="X28" s="181" t="s">
        <v>652</v>
      </c>
      <c r="Y28" s="181" t="s">
        <v>653</v>
      </c>
      <c r="Z28" s="181" t="s">
        <v>731</v>
      </c>
      <c r="AA28" s="181" t="s">
        <v>474</v>
      </c>
      <c r="AB28" s="181" t="s">
        <v>732</v>
      </c>
      <c r="AC28" s="181" t="s">
        <v>733</v>
      </c>
      <c r="AD28" s="181">
        <v>430653611</v>
      </c>
      <c r="AE28" s="181">
        <v>1679516033</v>
      </c>
      <c r="AF28" s="181">
        <v>1063034197</v>
      </c>
      <c r="AG28" s="181">
        <v>7.4820252691184304E+16</v>
      </c>
      <c r="AH28" s="181"/>
      <c r="AI28" s="181" t="s">
        <v>37</v>
      </c>
      <c r="AJ28" s="181" t="s">
        <v>481</v>
      </c>
      <c r="AK28" s="181" t="s">
        <v>812</v>
      </c>
      <c r="AL28" s="181">
        <v>2191.5</v>
      </c>
      <c r="AM28" s="181"/>
      <c r="AN28" s="181"/>
      <c r="AO28" s="181">
        <v>921</v>
      </c>
      <c r="AP28" s="181" t="s">
        <v>485</v>
      </c>
      <c r="AQ28" s="181" t="s">
        <v>813</v>
      </c>
      <c r="AR28" s="183">
        <v>46246</v>
      </c>
      <c r="AS28" s="181" t="s">
        <v>37</v>
      </c>
      <c r="AT28" s="181" t="s">
        <v>814</v>
      </c>
      <c r="AU28" s="181"/>
      <c r="AV28" s="181" t="s">
        <v>815</v>
      </c>
      <c r="AW28" s="181"/>
      <c r="AX28" s="181"/>
      <c r="AY28" s="181"/>
      <c r="AZ28" s="181"/>
      <c r="BA28" s="181"/>
      <c r="BB28" s="181"/>
      <c r="BC28" s="181"/>
      <c r="BD28" s="181" t="s">
        <v>37</v>
      </c>
      <c r="BE28" s="181">
        <v>27</v>
      </c>
      <c r="BF28" s="181"/>
      <c r="BG28" s="181"/>
      <c r="BH28" s="181" t="s">
        <v>658</v>
      </c>
      <c r="BI28" s="181">
        <v>921197726</v>
      </c>
      <c r="BJ28" s="181"/>
      <c r="BK28" s="181"/>
      <c r="BL28" s="181"/>
      <c r="BM28" s="181"/>
      <c r="BN28" s="181"/>
      <c r="BO28" s="181"/>
      <c r="BP28" s="181"/>
      <c r="BQ28" s="181"/>
      <c r="BR28" s="181"/>
      <c r="BS28" s="181"/>
      <c r="BT28" s="181"/>
      <c r="BU28" s="181"/>
      <c r="BV28" s="181"/>
      <c r="BW28" s="181"/>
      <c r="BX28" s="181"/>
      <c r="BY28" s="181"/>
      <c r="BZ28" s="181"/>
      <c r="CA28" s="190">
        <v>46282.666666666701</v>
      </c>
      <c r="CB28" s="3"/>
      <c r="CC28" s="16"/>
      <c r="CD28" s="16"/>
      <c r="CE28" s="16"/>
      <c r="CF28" s="16"/>
      <c r="CG28" s="16"/>
      <c r="CH28" s="16"/>
      <c r="CI28" s="16" t="s">
        <v>816</v>
      </c>
    </row>
    <row r="29" spans="1:87" ht="29.25">
      <c r="A29" s="16" t="s">
        <v>5</v>
      </c>
      <c r="B29" s="25" t="s">
        <v>672</v>
      </c>
      <c r="C29" s="3">
        <v>46272</v>
      </c>
      <c r="D29" s="26" t="s">
        <v>14</v>
      </c>
      <c r="E29" s="180" t="s">
        <v>817</v>
      </c>
      <c r="F29" s="181">
        <v>2026234620041</v>
      </c>
      <c r="G29" s="181">
        <v>30</v>
      </c>
      <c r="H29" s="181">
        <v>16</v>
      </c>
      <c r="I29" s="181" t="s">
        <v>809</v>
      </c>
      <c r="J29" s="181" t="s">
        <v>817</v>
      </c>
      <c r="K29" s="181" t="s">
        <v>674</v>
      </c>
      <c r="L29" s="181" t="s">
        <v>16</v>
      </c>
      <c r="M29" s="181">
        <v>14</v>
      </c>
      <c r="N29" s="181" t="s">
        <v>462</v>
      </c>
      <c r="O29" s="181" t="s">
        <v>606</v>
      </c>
      <c r="P29" s="181">
        <v>126570092</v>
      </c>
      <c r="Q29" s="181" t="s">
        <v>465</v>
      </c>
      <c r="R29" s="181" t="s">
        <v>466</v>
      </c>
      <c r="S29" s="181" t="s">
        <v>818</v>
      </c>
      <c r="T29" s="181">
        <v>173325</v>
      </c>
      <c r="U29" s="182">
        <v>46256.2</v>
      </c>
      <c r="V29" s="181" t="s">
        <v>469</v>
      </c>
      <c r="W29" s="181" t="s">
        <v>651</v>
      </c>
      <c r="X29" s="181" t="s">
        <v>652</v>
      </c>
      <c r="Y29" s="181" t="s">
        <v>653</v>
      </c>
      <c r="Z29" s="181" t="s">
        <v>731</v>
      </c>
      <c r="AA29" s="181" t="s">
        <v>474</v>
      </c>
      <c r="AB29" s="181" t="s">
        <v>732</v>
      </c>
      <c r="AC29" s="181" t="s">
        <v>733</v>
      </c>
      <c r="AD29" s="181">
        <v>430653611</v>
      </c>
      <c r="AE29" s="181">
        <v>1679516033</v>
      </c>
      <c r="AF29" s="181">
        <v>1659990240</v>
      </c>
      <c r="AG29" s="181">
        <v>7.4820253011118208E+16</v>
      </c>
      <c r="AH29" s="181"/>
      <c r="AI29" s="181" t="s">
        <v>54</v>
      </c>
      <c r="AJ29" s="181" t="s">
        <v>481</v>
      </c>
      <c r="AK29" s="181" t="s">
        <v>819</v>
      </c>
      <c r="AL29" s="181">
        <v>2341.1999999999998</v>
      </c>
      <c r="AM29" s="181"/>
      <c r="AN29" s="181"/>
      <c r="AO29" s="181">
        <v>126</v>
      </c>
      <c r="AP29" s="181" t="s">
        <v>485</v>
      </c>
      <c r="AQ29" s="181" t="s">
        <v>820</v>
      </c>
      <c r="AR29" s="183">
        <v>46258</v>
      </c>
      <c r="AS29" s="181" t="s">
        <v>674</v>
      </c>
      <c r="AT29" s="181" t="s">
        <v>678</v>
      </c>
      <c r="AU29" s="181"/>
      <c r="AV29" s="181" t="s">
        <v>821</v>
      </c>
      <c r="AW29" s="181"/>
      <c r="AX29" s="181"/>
      <c r="AY29" s="181"/>
      <c r="AZ29" s="181"/>
      <c r="BA29" s="181"/>
      <c r="BB29" s="181"/>
      <c r="BC29" s="181"/>
      <c r="BD29" s="181" t="s">
        <v>54</v>
      </c>
      <c r="BE29" s="181">
        <v>16</v>
      </c>
      <c r="BF29" s="181"/>
      <c r="BG29" s="181"/>
      <c r="BH29" s="181" t="s">
        <v>658</v>
      </c>
      <c r="BI29" s="181">
        <v>126570092</v>
      </c>
      <c r="BJ29" s="181"/>
      <c r="BK29" s="181"/>
      <c r="BL29" s="181"/>
      <c r="BM29" s="181"/>
      <c r="BN29" s="181"/>
      <c r="BO29" s="181"/>
      <c r="BP29" s="181"/>
      <c r="BQ29" s="181"/>
      <c r="BR29" s="181"/>
      <c r="BS29" s="181"/>
      <c r="BT29" s="181"/>
      <c r="BU29" s="181"/>
      <c r="BV29" s="181"/>
      <c r="BW29" s="181"/>
      <c r="BX29" s="181"/>
      <c r="BY29" s="181"/>
      <c r="BZ29" s="181"/>
      <c r="CA29" s="190">
        <v>46281.666666666701</v>
      </c>
      <c r="CB29" s="3"/>
      <c r="CC29" s="16"/>
      <c r="CD29" s="16"/>
      <c r="CE29" s="16"/>
      <c r="CF29" s="16"/>
      <c r="CG29" s="16"/>
      <c r="CH29" s="16"/>
      <c r="CI29" s="16" t="s">
        <v>822</v>
      </c>
    </row>
    <row r="30" spans="1:87" ht="29.25">
      <c r="A30" s="16" t="s">
        <v>5</v>
      </c>
      <c r="B30" s="25" t="s">
        <v>672</v>
      </c>
      <c r="C30" s="3">
        <v>46272</v>
      </c>
      <c r="D30" s="26" t="s">
        <v>14</v>
      </c>
      <c r="E30" s="180" t="s">
        <v>823</v>
      </c>
      <c r="F30" s="181">
        <v>2026232040143</v>
      </c>
      <c r="G30" s="181">
        <v>30</v>
      </c>
      <c r="H30" s="181">
        <v>18</v>
      </c>
      <c r="I30" s="181" t="s">
        <v>809</v>
      </c>
      <c r="J30" s="181" t="s">
        <v>823</v>
      </c>
      <c r="K30" s="181" t="s">
        <v>674</v>
      </c>
      <c r="L30" s="181" t="s">
        <v>16</v>
      </c>
      <c r="M30" s="181">
        <v>16</v>
      </c>
      <c r="N30" s="181" t="s">
        <v>462</v>
      </c>
      <c r="O30" s="181" t="s">
        <v>606</v>
      </c>
      <c r="P30" s="181" t="s">
        <v>824</v>
      </c>
      <c r="Q30" s="181" t="s">
        <v>465</v>
      </c>
      <c r="R30" s="181" t="s">
        <v>466</v>
      </c>
      <c r="S30" s="181" t="s">
        <v>825</v>
      </c>
      <c r="T30" s="181">
        <v>173325</v>
      </c>
      <c r="U30" s="182">
        <v>46254.288194444445</v>
      </c>
      <c r="V30" s="181" t="s">
        <v>469</v>
      </c>
      <c r="W30" s="181" t="s">
        <v>651</v>
      </c>
      <c r="X30" s="181" t="s">
        <v>652</v>
      </c>
      <c r="Y30" s="181" t="s">
        <v>653</v>
      </c>
      <c r="Z30" s="181" t="s">
        <v>731</v>
      </c>
      <c r="AA30" s="181" t="s">
        <v>474</v>
      </c>
      <c r="AB30" s="181" t="s">
        <v>732</v>
      </c>
      <c r="AC30" s="181" t="s">
        <v>733</v>
      </c>
      <c r="AD30" s="181">
        <v>201626706</v>
      </c>
      <c r="AE30" s="181">
        <v>1912037433</v>
      </c>
      <c r="AF30" s="181">
        <v>1922627728</v>
      </c>
      <c r="AG30" s="181">
        <v>7.4820251960208304E+16</v>
      </c>
      <c r="AH30" s="181"/>
      <c r="AI30" s="181" t="s">
        <v>54</v>
      </c>
      <c r="AJ30" s="181" t="s">
        <v>481</v>
      </c>
      <c r="AK30" s="181" t="s">
        <v>826</v>
      </c>
      <c r="AL30" s="181">
        <v>5041.8</v>
      </c>
      <c r="AM30" s="181"/>
      <c r="AN30" s="181"/>
      <c r="AO30" s="181" t="s">
        <v>827</v>
      </c>
      <c r="AP30" s="181" t="s">
        <v>485</v>
      </c>
      <c r="AQ30" s="181" t="s">
        <v>828</v>
      </c>
      <c r="AR30" s="183">
        <v>46256</v>
      </c>
      <c r="AS30" s="181" t="s">
        <v>674</v>
      </c>
      <c r="AT30" s="181" t="s">
        <v>678</v>
      </c>
      <c r="AU30" s="181"/>
      <c r="AV30" s="181" t="s">
        <v>829</v>
      </c>
      <c r="AW30" s="181"/>
      <c r="AX30" s="181"/>
      <c r="AY30" s="181"/>
      <c r="AZ30" s="181"/>
      <c r="BA30" s="181"/>
      <c r="BB30" s="181"/>
      <c r="BC30" s="181"/>
      <c r="BD30" s="181" t="s">
        <v>54</v>
      </c>
      <c r="BE30" s="181">
        <v>18</v>
      </c>
      <c r="BF30" s="181"/>
      <c r="BG30" s="181"/>
      <c r="BH30" s="181" t="s">
        <v>658</v>
      </c>
      <c r="BI30" s="181" t="s">
        <v>824</v>
      </c>
      <c r="BJ30" s="181"/>
      <c r="BK30" s="181"/>
      <c r="BL30" s="181"/>
      <c r="BM30" s="181"/>
      <c r="BN30" s="181"/>
      <c r="BO30" s="181"/>
      <c r="BP30" s="181"/>
      <c r="BQ30" s="181"/>
      <c r="BR30" s="181"/>
      <c r="BS30" s="181"/>
      <c r="BT30" s="181"/>
      <c r="BU30" s="181"/>
      <c r="BV30" s="181"/>
      <c r="BW30" s="181"/>
      <c r="BX30" s="181"/>
      <c r="BY30" s="181"/>
      <c r="BZ30" s="181"/>
      <c r="CA30" s="190">
        <v>46281.666666666701</v>
      </c>
      <c r="CB30" s="3"/>
      <c r="CC30" s="16"/>
      <c r="CD30" s="16"/>
      <c r="CE30" s="16"/>
      <c r="CF30" s="16"/>
      <c r="CG30" s="16"/>
      <c r="CH30" s="16"/>
      <c r="CI30" s="16" t="s">
        <v>830</v>
      </c>
    </row>
    <row r="31" spans="1:87">
      <c r="A31" s="16"/>
      <c r="B31" s="16"/>
      <c r="C31" s="3">
        <v>46272</v>
      </c>
      <c r="D31" s="26" t="s">
        <v>14</v>
      </c>
      <c r="E31" s="180" t="s">
        <v>831</v>
      </c>
      <c r="F31" s="181">
        <v>2026234050110</v>
      </c>
      <c r="G31" s="181">
        <v>30</v>
      </c>
      <c r="H31" s="181">
        <v>16</v>
      </c>
      <c r="I31" s="181" t="s">
        <v>809</v>
      </c>
      <c r="J31" s="181" t="s">
        <v>831</v>
      </c>
      <c r="K31" s="181" t="s">
        <v>648</v>
      </c>
      <c r="L31" s="181" t="s">
        <v>17</v>
      </c>
      <c r="M31" s="181">
        <v>14</v>
      </c>
      <c r="N31" s="181" t="s">
        <v>462</v>
      </c>
      <c r="O31" s="181" t="s">
        <v>606</v>
      </c>
      <c r="P31" s="181">
        <v>903425693</v>
      </c>
      <c r="Q31" s="181" t="s">
        <v>465</v>
      </c>
      <c r="R31" s="181" t="s">
        <v>466</v>
      </c>
      <c r="S31" s="181" t="s">
        <v>832</v>
      </c>
      <c r="T31" s="181">
        <v>173325</v>
      </c>
      <c r="U31" s="182">
        <v>46256.745833333334</v>
      </c>
      <c r="V31" s="181" t="s">
        <v>469</v>
      </c>
      <c r="W31" s="181" t="s">
        <v>651</v>
      </c>
      <c r="X31" s="181" t="s">
        <v>652</v>
      </c>
      <c r="Y31" s="181" t="s">
        <v>653</v>
      </c>
      <c r="Z31" s="181" t="s">
        <v>731</v>
      </c>
      <c r="AA31" s="181" t="s">
        <v>474</v>
      </c>
      <c r="AB31" s="181" t="s">
        <v>732</v>
      </c>
      <c r="AC31" s="181" t="s">
        <v>733</v>
      </c>
      <c r="AD31" s="181">
        <v>440577118</v>
      </c>
      <c r="AE31" s="181">
        <v>1407500994</v>
      </c>
      <c r="AF31" s="181">
        <v>1306379524</v>
      </c>
      <c r="AG31" s="181">
        <v>7.4820251951603504E+16</v>
      </c>
      <c r="AH31" s="181"/>
      <c r="AI31" s="181" t="s">
        <v>201</v>
      </c>
      <c r="AJ31" s="181" t="s">
        <v>481</v>
      </c>
      <c r="AK31" s="181" t="s">
        <v>833</v>
      </c>
      <c r="AL31" s="181">
        <v>4763.6899999999996</v>
      </c>
      <c r="AM31" s="181"/>
      <c r="AN31" s="181"/>
      <c r="AO31" s="181">
        <v>903</v>
      </c>
      <c r="AP31" s="181" t="s">
        <v>485</v>
      </c>
      <c r="AQ31" s="181" t="s">
        <v>834</v>
      </c>
      <c r="AR31" s="183">
        <v>46258</v>
      </c>
      <c r="AS31" s="181" t="s">
        <v>648</v>
      </c>
      <c r="AT31" s="181" t="s">
        <v>835</v>
      </c>
      <c r="AU31" s="181"/>
      <c r="AV31" s="181" t="s">
        <v>836</v>
      </c>
      <c r="AW31" s="181"/>
      <c r="AX31" s="181"/>
      <c r="AY31" s="181"/>
      <c r="AZ31" s="181"/>
      <c r="BA31" s="181"/>
      <c r="BB31" s="181"/>
      <c r="BC31" s="181"/>
      <c r="BD31" s="181" t="s">
        <v>201</v>
      </c>
      <c r="BE31" s="181">
        <v>16</v>
      </c>
      <c r="BF31" s="181"/>
      <c r="BG31" s="181"/>
      <c r="BH31" s="181" t="s">
        <v>658</v>
      </c>
      <c r="BI31" s="181">
        <v>903425693</v>
      </c>
      <c r="BJ31" s="181"/>
      <c r="BK31" s="181"/>
      <c r="BL31" s="181"/>
      <c r="BM31" s="181"/>
      <c r="BN31" s="181"/>
      <c r="BO31" s="181"/>
      <c r="BP31" s="181"/>
      <c r="BQ31" s="181"/>
      <c r="BR31" s="181"/>
      <c r="BS31" s="181"/>
      <c r="BT31" s="181"/>
      <c r="BU31" s="181"/>
      <c r="BV31" s="181"/>
      <c r="BW31" s="181"/>
      <c r="BX31" s="181"/>
      <c r="BY31" s="181"/>
      <c r="BZ31" s="181"/>
      <c r="CA31" s="190"/>
      <c r="CB31" s="3"/>
      <c r="CC31" s="16"/>
      <c r="CD31" s="16"/>
      <c r="CE31" s="16"/>
      <c r="CF31" s="16"/>
      <c r="CG31" s="16"/>
      <c r="CH31" s="16"/>
      <c r="CI31" s="16" t="s">
        <v>837</v>
      </c>
    </row>
    <row r="32" spans="1:87">
      <c r="A32" s="16"/>
      <c r="B32" s="16"/>
      <c r="C32" s="3">
        <v>46272</v>
      </c>
      <c r="D32" s="26" t="s">
        <v>14</v>
      </c>
      <c r="E32" s="180" t="s">
        <v>838</v>
      </c>
      <c r="F32" s="181">
        <v>2026229630561</v>
      </c>
      <c r="G32" s="181">
        <v>30</v>
      </c>
      <c r="H32" s="181">
        <v>21</v>
      </c>
      <c r="I32" s="181" t="s">
        <v>809</v>
      </c>
      <c r="J32" s="181" t="s">
        <v>838</v>
      </c>
      <c r="K32" s="181" t="s">
        <v>839</v>
      </c>
      <c r="L32" s="181" t="s">
        <v>18</v>
      </c>
      <c r="M32" s="181">
        <v>14</v>
      </c>
      <c r="N32" s="181" t="s">
        <v>462</v>
      </c>
      <c r="O32" s="181" t="s">
        <v>606</v>
      </c>
      <c r="P32" s="181">
        <v>805620434</v>
      </c>
      <c r="Q32" s="181" t="s">
        <v>465</v>
      </c>
      <c r="R32" s="181" t="s">
        <v>466</v>
      </c>
      <c r="S32" s="181" t="s">
        <v>840</v>
      </c>
      <c r="T32" s="181">
        <v>173325</v>
      </c>
      <c r="U32" s="182">
        <v>46257.953472222223</v>
      </c>
      <c r="V32" s="181" t="s">
        <v>469</v>
      </c>
      <c r="W32" s="181" t="s">
        <v>651</v>
      </c>
      <c r="X32" s="181" t="s">
        <v>652</v>
      </c>
      <c r="Y32" s="181" t="s">
        <v>653</v>
      </c>
      <c r="Z32" s="181" t="s">
        <v>731</v>
      </c>
      <c r="AA32" s="181" t="s">
        <v>474</v>
      </c>
      <c r="AB32" s="181" t="s">
        <v>732</v>
      </c>
      <c r="AC32" s="181" t="s">
        <v>733</v>
      </c>
      <c r="AD32" s="181">
        <v>474196634</v>
      </c>
      <c r="AE32" s="181">
        <v>1942685920</v>
      </c>
      <c r="AF32" s="181"/>
      <c r="AG32" s="181">
        <v>7.48202600205684E+16</v>
      </c>
      <c r="AH32" s="181"/>
      <c r="AI32" s="181" t="s">
        <v>159</v>
      </c>
      <c r="AJ32" s="181" t="s">
        <v>481</v>
      </c>
      <c r="AK32" s="181" t="s">
        <v>841</v>
      </c>
      <c r="AL32" s="181">
        <v>45095.99</v>
      </c>
      <c r="AM32" s="181"/>
      <c r="AN32" s="181"/>
      <c r="AO32" s="181">
        <v>805</v>
      </c>
      <c r="AP32" s="181" t="s">
        <v>485</v>
      </c>
      <c r="AQ32" s="181" t="s">
        <v>842</v>
      </c>
      <c r="AR32" s="183">
        <v>46258</v>
      </c>
      <c r="AS32" s="181" t="s">
        <v>159</v>
      </c>
      <c r="AT32" s="181" t="s">
        <v>843</v>
      </c>
      <c r="AU32" s="181"/>
      <c r="AV32" s="181" t="s">
        <v>844</v>
      </c>
      <c r="AW32" s="181"/>
      <c r="AX32" s="181"/>
      <c r="AY32" s="181"/>
      <c r="AZ32" s="181"/>
      <c r="BA32" s="181"/>
      <c r="BB32" s="181"/>
      <c r="BC32" s="181"/>
      <c r="BD32" s="181" t="s">
        <v>159</v>
      </c>
      <c r="BE32" s="181">
        <v>21</v>
      </c>
      <c r="BF32" s="181"/>
      <c r="BG32" s="181"/>
      <c r="BH32" s="181" t="s">
        <v>658</v>
      </c>
      <c r="BI32" s="181">
        <v>805620434</v>
      </c>
      <c r="BJ32" s="181"/>
      <c r="BK32" s="181"/>
      <c r="BL32" s="181"/>
      <c r="BM32" s="181"/>
      <c r="BN32" s="181"/>
      <c r="BO32" s="181"/>
      <c r="BP32" s="181"/>
      <c r="BQ32" s="181"/>
      <c r="BR32" s="181"/>
      <c r="BS32" s="181"/>
      <c r="BT32" s="181"/>
      <c r="BU32" s="181"/>
      <c r="BV32" s="181"/>
      <c r="BW32" s="181"/>
      <c r="BX32" s="181"/>
      <c r="BY32" s="181"/>
      <c r="BZ32" s="181"/>
      <c r="CA32" s="190"/>
      <c r="CB32" s="3"/>
      <c r="CC32" s="16"/>
      <c r="CD32" s="16"/>
      <c r="CE32" s="16"/>
      <c r="CF32" s="16"/>
      <c r="CG32" s="16"/>
      <c r="CH32" s="16"/>
      <c r="CI32" s="16" t="s">
        <v>845</v>
      </c>
    </row>
    <row r="33" spans="1:87" ht="29.25">
      <c r="A33" s="16" t="s">
        <v>5</v>
      </c>
      <c r="B33" s="25" t="s">
        <v>846</v>
      </c>
      <c r="C33" s="3">
        <v>46272</v>
      </c>
      <c r="D33" s="26" t="s">
        <v>14</v>
      </c>
      <c r="E33" s="180" t="s">
        <v>847</v>
      </c>
      <c r="F33" s="181">
        <v>2026231310064</v>
      </c>
      <c r="G33" s="181">
        <v>30</v>
      </c>
      <c r="H33" s="181">
        <v>19</v>
      </c>
      <c r="I33" s="181" t="s">
        <v>809</v>
      </c>
      <c r="J33" s="181" t="s">
        <v>847</v>
      </c>
      <c r="K33" s="181" t="s">
        <v>674</v>
      </c>
      <c r="L33" s="181" t="s">
        <v>16</v>
      </c>
      <c r="M33" s="181">
        <v>17</v>
      </c>
      <c r="N33" s="181" t="s">
        <v>462</v>
      </c>
      <c r="O33" s="181" t="s">
        <v>606</v>
      </c>
      <c r="P33" s="181">
        <v>275374950</v>
      </c>
      <c r="Q33" s="181" t="s">
        <v>465</v>
      </c>
      <c r="R33" s="181" t="s">
        <v>466</v>
      </c>
      <c r="S33" s="181" t="s">
        <v>848</v>
      </c>
      <c r="T33" s="181">
        <v>173326</v>
      </c>
      <c r="U33" s="182">
        <v>46253.288194444445</v>
      </c>
      <c r="V33" s="181" t="s">
        <v>469</v>
      </c>
      <c r="W33" s="181" t="s">
        <v>651</v>
      </c>
      <c r="X33" s="181" t="s">
        <v>652</v>
      </c>
      <c r="Y33" s="181" t="s">
        <v>653</v>
      </c>
      <c r="Z33" s="181" t="s">
        <v>473</v>
      </c>
      <c r="AA33" s="181" t="s">
        <v>474</v>
      </c>
      <c r="AB33" s="181" t="s">
        <v>684</v>
      </c>
      <c r="AC33" s="181" t="s">
        <v>476</v>
      </c>
      <c r="AD33" s="181">
        <v>391128616</v>
      </c>
      <c r="AE33" s="181">
        <v>1053358846</v>
      </c>
      <c r="AF33" s="181">
        <v>1417577024</v>
      </c>
      <c r="AG33" s="181">
        <v>4.5820253510339E+16</v>
      </c>
      <c r="AH33" s="181"/>
      <c r="AI33" s="181" t="s">
        <v>54</v>
      </c>
      <c r="AJ33" s="181" t="s">
        <v>481</v>
      </c>
      <c r="AK33" s="181" t="s">
        <v>849</v>
      </c>
      <c r="AL33" s="181">
        <v>16130</v>
      </c>
      <c r="AM33" s="181"/>
      <c r="AN33" s="181"/>
      <c r="AO33" s="181">
        <v>275</v>
      </c>
      <c r="AP33" s="181" t="s">
        <v>485</v>
      </c>
      <c r="AQ33" s="181" t="s">
        <v>850</v>
      </c>
      <c r="AR33" s="183">
        <v>46255</v>
      </c>
      <c r="AS33" s="181" t="s">
        <v>674</v>
      </c>
      <c r="AT33" s="181" t="s">
        <v>678</v>
      </c>
      <c r="AU33" s="181"/>
      <c r="AV33" s="181" t="s">
        <v>851</v>
      </c>
      <c r="AW33" s="181"/>
      <c r="AX33" s="181"/>
      <c r="AY33" s="181"/>
      <c r="AZ33" s="181"/>
      <c r="BA33" s="181"/>
      <c r="BB33" s="181"/>
      <c r="BC33" s="181"/>
      <c r="BD33" s="181" t="s">
        <v>54</v>
      </c>
      <c r="BE33" s="181">
        <v>19</v>
      </c>
      <c r="BF33" s="181"/>
      <c r="BG33" s="181"/>
      <c r="BH33" s="181" t="s">
        <v>658</v>
      </c>
      <c r="BI33" s="181">
        <v>275374950</v>
      </c>
      <c r="BJ33" s="181"/>
      <c r="BK33" s="181"/>
      <c r="BL33" s="181"/>
      <c r="BM33" s="181"/>
      <c r="BN33" s="181"/>
      <c r="BO33" s="181"/>
      <c r="BP33" s="181"/>
      <c r="BQ33" s="181"/>
      <c r="BR33" s="181"/>
      <c r="BS33" s="181"/>
      <c r="BT33" s="181"/>
      <c r="BU33" s="181"/>
      <c r="BV33" s="181"/>
      <c r="BW33" s="181"/>
      <c r="BX33" s="181"/>
      <c r="BY33" s="181"/>
      <c r="BZ33" s="181"/>
      <c r="CA33" s="190">
        <v>46281.666666666701</v>
      </c>
      <c r="CB33" s="3"/>
      <c r="CC33" s="16"/>
      <c r="CD33" s="16"/>
      <c r="CE33" s="16"/>
      <c r="CF33" s="16"/>
      <c r="CG33" s="16"/>
      <c r="CH33" s="16"/>
      <c r="CI33" s="16" t="s">
        <v>852</v>
      </c>
    </row>
    <row r="34" spans="1:87">
      <c r="A34" s="16"/>
      <c r="B34" s="16"/>
      <c r="C34" s="3">
        <v>46272</v>
      </c>
      <c r="D34" s="26" t="s">
        <v>14</v>
      </c>
      <c r="E34" s="180" t="s">
        <v>853</v>
      </c>
      <c r="F34" s="181">
        <v>2026230580353</v>
      </c>
      <c r="G34" s="181">
        <v>30</v>
      </c>
      <c r="H34" s="181">
        <v>20</v>
      </c>
      <c r="I34" s="181" t="s">
        <v>809</v>
      </c>
      <c r="J34" s="181" t="s">
        <v>853</v>
      </c>
      <c r="K34" s="181" t="s">
        <v>854</v>
      </c>
      <c r="L34" s="181" t="s">
        <v>18</v>
      </c>
      <c r="M34" s="181">
        <v>18</v>
      </c>
      <c r="N34" s="181" t="s">
        <v>462</v>
      </c>
      <c r="O34" s="181" t="s">
        <v>606</v>
      </c>
      <c r="P34" s="181">
        <v>124766864</v>
      </c>
      <c r="Q34" s="181" t="s">
        <v>465</v>
      </c>
      <c r="R34" s="181" t="s">
        <v>466</v>
      </c>
      <c r="S34" s="181" t="s">
        <v>855</v>
      </c>
      <c r="T34" s="181">
        <v>173326</v>
      </c>
      <c r="U34" s="182">
        <v>46253.227083333331</v>
      </c>
      <c r="V34" s="181" t="s">
        <v>469</v>
      </c>
      <c r="W34" s="181" t="s">
        <v>651</v>
      </c>
      <c r="X34" s="181" t="s">
        <v>652</v>
      </c>
      <c r="Y34" s="181" t="s">
        <v>653</v>
      </c>
      <c r="Z34" s="181" t="s">
        <v>473</v>
      </c>
      <c r="AA34" s="181" t="s">
        <v>474</v>
      </c>
      <c r="AB34" s="181" t="s">
        <v>856</v>
      </c>
      <c r="AC34" s="181" t="s">
        <v>476</v>
      </c>
      <c r="AD34" s="181">
        <v>390813418</v>
      </c>
      <c r="AE34" s="181">
        <v>1235588831</v>
      </c>
      <c r="AF34" s="181">
        <v>1013639558</v>
      </c>
      <c r="AG34" s="181">
        <v>4.5820253300085E+16</v>
      </c>
      <c r="AH34" s="181"/>
      <c r="AI34" s="181" t="s">
        <v>21</v>
      </c>
      <c r="AJ34" s="181" t="s">
        <v>481</v>
      </c>
      <c r="AK34" s="181" t="s">
        <v>857</v>
      </c>
      <c r="AL34" s="181">
        <v>21186</v>
      </c>
      <c r="AM34" s="181"/>
      <c r="AN34" s="181"/>
      <c r="AO34" s="181">
        <v>124</v>
      </c>
      <c r="AP34" s="181" t="s">
        <v>485</v>
      </c>
      <c r="AQ34" s="181" t="s">
        <v>858</v>
      </c>
      <c r="AR34" s="183">
        <v>46254</v>
      </c>
      <c r="AS34" s="181" t="s">
        <v>854</v>
      </c>
      <c r="AT34" s="181" t="s">
        <v>859</v>
      </c>
      <c r="AU34" s="181"/>
      <c r="AV34" s="181" t="s">
        <v>860</v>
      </c>
      <c r="AW34" s="181"/>
      <c r="AX34" s="181"/>
      <c r="AY34" s="181"/>
      <c r="AZ34" s="181"/>
      <c r="BA34" s="181"/>
      <c r="BB34" s="181"/>
      <c r="BC34" s="181"/>
      <c r="BD34" s="181" t="s">
        <v>21</v>
      </c>
      <c r="BE34" s="181">
        <v>20</v>
      </c>
      <c r="BF34" s="181"/>
      <c r="BG34" s="181"/>
      <c r="BH34" s="181" t="s">
        <v>658</v>
      </c>
      <c r="BI34" s="181">
        <v>124766864</v>
      </c>
      <c r="BJ34" s="181"/>
      <c r="BK34" s="181"/>
      <c r="BL34" s="181"/>
      <c r="BM34" s="181"/>
      <c r="BN34" s="181"/>
      <c r="BO34" s="181"/>
      <c r="BP34" s="181"/>
      <c r="BQ34" s="181"/>
      <c r="BR34" s="181"/>
      <c r="BS34" s="181"/>
      <c r="BT34" s="181"/>
      <c r="BU34" s="181"/>
      <c r="BV34" s="181"/>
      <c r="BW34" s="181"/>
      <c r="BX34" s="181"/>
      <c r="BY34" s="181"/>
      <c r="BZ34" s="181"/>
      <c r="CA34" s="190"/>
      <c r="CB34" s="3"/>
      <c r="CC34" s="16"/>
      <c r="CD34" s="16"/>
      <c r="CE34" s="16"/>
      <c r="CF34" s="16"/>
      <c r="CG34" s="16"/>
      <c r="CH34" s="16"/>
      <c r="CI34" s="16" t="s">
        <v>861</v>
      </c>
    </row>
    <row r="35" spans="1:87" ht="29.25">
      <c r="A35" s="16" t="s">
        <v>5</v>
      </c>
      <c r="B35" s="25" t="s">
        <v>846</v>
      </c>
      <c r="C35" s="3">
        <v>46272</v>
      </c>
      <c r="D35" s="26" t="s">
        <v>14</v>
      </c>
      <c r="E35" s="180" t="s">
        <v>862</v>
      </c>
      <c r="F35" s="181">
        <v>2026234510051</v>
      </c>
      <c r="G35" s="181">
        <v>30</v>
      </c>
      <c r="H35" s="181">
        <v>16</v>
      </c>
      <c r="I35" s="181" t="s">
        <v>809</v>
      </c>
      <c r="J35" s="181" t="s">
        <v>862</v>
      </c>
      <c r="K35" s="181" t="s">
        <v>674</v>
      </c>
      <c r="L35" s="181" t="s">
        <v>16</v>
      </c>
      <c r="M35" s="181">
        <v>15</v>
      </c>
      <c r="N35" s="181" t="s">
        <v>462</v>
      </c>
      <c r="O35" s="181" t="s">
        <v>606</v>
      </c>
      <c r="P35" s="181">
        <v>806438135</v>
      </c>
      <c r="Q35" s="181" t="s">
        <v>465</v>
      </c>
      <c r="R35" s="181" t="s">
        <v>466</v>
      </c>
      <c r="S35" s="181" t="s">
        <v>863</v>
      </c>
      <c r="T35" s="181">
        <v>173326</v>
      </c>
      <c r="U35" s="182">
        <v>46256.206944444442</v>
      </c>
      <c r="V35" s="181" t="s">
        <v>469</v>
      </c>
      <c r="W35" s="181" t="s">
        <v>651</v>
      </c>
      <c r="X35" s="181" t="s">
        <v>652</v>
      </c>
      <c r="Y35" s="181" t="s">
        <v>653</v>
      </c>
      <c r="Z35" s="181" t="s">
        <v>473</v>
      </c>
      <c r="AA35" s="181" t="s">
        <v>474</v>
      </c>
      <c r="AB35" s="181" t="s">
        <v>684</v>
      </c>
      <c r="AC35" s="181" t="s">
        <v>476</v>
      </c>
      <c r="AD35" s="181">
        <v>391128616</v>
      </c>
      <c r="AE35" s="181">
        <v>1053358846</v>
      </c>
      <c r="AF35" s="181">
        <v>1508815820</v>
      </c>
      <c r="AG35" s="181">
        <v>4.5820253252136896E+16</v>
      </c>
      <c r="AH35" s="181"/>
      <c r="AI35" s="181" t="s">
        <v>54</v>
      </c>
      <c r="AJ35" s="181" t="s">
        <v>481</v>
      </c>
      <c r="AK35" s="181" t="s">
        <v>864</v>
      </c>
      <c r="AL35" s="181">
        <v>13811</v>
      </c>
      <c r="AM35" s="181"/>
      <c r="AN35" s="181"/>
      <c r="AO35" s="181">
        <v>806</v>
      </c>
      <c r="AP35" s="181" t="s">
        <v>485</v>
      </c>
      <c r="AQ35" s="181" t="s">
        <v>865</v>
      </c>
      <c r="AR35" s="183">
        <v>46257</v>
      </c>
      <c r="AS35" s="181" t="s">
        <v>674</v>
      </c>
      <c r="AT35" s="181" t="s">
        <v>678</v>
      </c>
      <c r="AU35" s="181"/>
      <c r="AV35" s="181" t="s">
        <v>866</v>
      </c>
      <c r="AW35" s="181"/>
      <c r="AX35" s="181"/>
      <c r="AY35" s="181"/>
      <c r="AZ35" s="181"/>
      <c r="BA35" s="181"/>
      <c r="BB35" s="181"/>
      <c r="BC35" s="181"/>
      <c r="BD35" s="181" t="s">
        <v>54</v>
      </c>
      <c r="BE35" s="181">
        <v>16</v>
      </c>
      <c r="BF35" s="181"/>
      <c r="BG35" s="181"/>
      <c r="BH35" s="181" t="s">
        <v>658</v>
      </c>
      <c r="BI35" s="181">
        <v>806438135</v>
      </c>
      <c r="BJ35" s="181"/>
      <c r="BK35" s="181"/>
      <c r="BL35" s="181"/>
      <c r="BM35" s="181"/>
      <c r="BN35" s="181"/>
      <c r="BO35" s="181"/>
      <c r="BP35" s="181"/>
      <c r="BQ35" s="181"/>
      <c r="BR35" s="181"/>
      <c r="BS35" s="181"/>
      <c r="BT35" s="181"/>
      <c r="BU35" s="181"/>
      <c r="BV35" s="181"/>
      <c r="BW35" s="181"/>
      <c r="BX35" s="181"/>
      <c r="BY35" s="181"/>
      <c r="BZ35" s="181"/>
      <c r="CA35" s="190">
        <v>46281.666666666701</v>
      </c>
      <c r="CB35" s="3"/>
      <c r="CC35" s="16"/>
      <c r="CD35" s="16"/>
      <c r="CE35" s="16"/>
      <c r="CF35" s="16"/>
      <c r="CG35" s="16"/>
      <c r="CH35" s="16"/>
      <c r="CI35" s="16" t="s">
        <v>867</v>
      </c>
    </row>
    <row r="36" spans="1:87" ht="29.25">
      <c r="A36" s="16" t="s">
        <v>5</v>
      </c>
      <c r="B36" s="25" t="s">
        <v>868</v>
      </c>
      <c r="C36" s="3">
        <v>46272</v>
      </c>
      <c r="D36" s="26" t="s">
        <v>14</v>
      </c>
      <c r="E36" s="180" t="s">
        <v>869</v>
      </c>
      <c r="F36" s="181">
        <v>2026234200042</v>
      </c>
      <c r="G36" s="181">
        <v>30</v>
      </c>
      <c r="H36" s="181">
        <v>16</v>
      </c>
      <c r="I36" s="181" t="s">
        <v>809</v>
      </c>
      <c r="J36" s="181" t="s">
        <v>869</v>
      </c>
      <c r="K36" s="181" t="s">
        <v>674</v>
      </c>
      <c r="L36" s="181" t="s">
        <v>16</v>
      </c>
      <c r="M36" s="181">
        <v>15</v>
      </c>
      <c r="N36" s="181" t="s">
        <v>462</v>
      </c>
      <c r="O36" s="181" t="s">
        <v>606</v>
      </c>
      <c r="P36" s="181">
        <v>877693071</v>
      </c>
      <c r="Q36" s="181" t="s">
        <v>465</v>
      </c>
      <c r="R36" s="181" t="s">
        <v>466</v>
      </c>
      <c r="S36" s="181" t="s">
        <v>870</v>
      </c>
      <c r="T36" s="181">
        <v>173326</v>
      </c>
      <c r="U36" s="182">
        <v>46256.20208333333</v>
      </c>
      <c r="V36" s="181" t="s">
        <v>469</v>
      </c>
      <c r="W36" s="181" t="s">
        <v>651</v>
      </c>
      <c r="X36" s="181" t="s">
        <v>652</v>
      </c>
      <c r="Y36" s="181" t="s">
        <v>653</v>
      </c>
      <c r="Z36" s="181" t="s">
        <v>473</v>
      </c>
      <c r="AA36" s="181" t="s">
        <v>474</v>
      </c>
      <c r="AB36" s="181" t="s">
        <v>684</v>
      </c>
      <c r="AC36" s="181" t="s">
        <v>476</v>
      </c>
      <c r="AD36" s="181">
        <v>391128616</v>
      </c>
      <c r="AE36" s="181">
        <v>1053358846</v>
      </c>
      <c r="AF36" s="181">
        <v>1578573036</v>
      </c>
      <c r="AG36" s="181">
        <v>4.58202534318798E+16</v>
      </c>
      <c r="AH36" s="181"/>
      <c r="AI36" s="181" t="s">
        <v>54</v>
      </c>
      <c r="AJ36" s="181" t="s">
        <v>481</v>
      </c>
      <c r="AK36" s="181" t="s">
        <v>871</v>
      </c>
      <c r="AL36" s="181">
        <v>11524</v>
      </c>
      <c r="AM36" s="181"/>
      <c r="AN36" s="181"/>
      <c r="AO36" s="181">
        <v>877</v>
      </c>
      <c r="AP36" s="181" t="s">
        <v>485</v>
      </c>
      <c r="AQ36" s="181" t="s">
        <v>872</v>
      </c>
      <c r="AR36" s="183">
        <v>46257</v>
      </c>
      <c r="AS36" s="181" t="s">
        <v>674</v>
      </c>
      <c r="AT36" s="181" t="s">
        <v>678</v>
      </c>
      <c r="AU36" s="181"/>
      <c r="AV36" s="181" t="s">
        <v>873</v>
      </c>
      <c r="AW36" s="181"/>
      <c r="AX36" s="181"/>
      <c r="AY36" s="181"/>
      <c r="AZ36" s="181"/>
      <c r="BA36" s="181"/>
      <c r="BB36" s="181"/>
      <c r="BC36" s="181"/>
      <c r="BD36" s="181" t="s">
        <v>54</v>
      </c>
      <c r="BE36" s="181">
        <v>16</v>
      </c>
      <c r="BF36" s="181"/>
      <c r="BG36" s="181"/>
      <c r="BH36" s="181" t="s">
        <v>658</v>
      </c>
      <c r="BI36" s="181">
        <v>877693071</v>
      </c>
      <c r="BJ36" s="181"/>
      <c r="BK36" s="181"/>
      <c r="BL36" s="181"/>
      <c r="BM36" s="181"/>
      <c r="BN36" s="181"/>
      <c r="BO36" s="181"/>
      <c r="BP36" s="181"/>
      <c r="BQ36" s="181"/>
      <c r="BR36" s="181"/>
      <c r="BS36" s="181"/>
      <c r="BT36" s="181"/>
      <c r="BU36" s="181"/>
      <c r="BV36" s="181"/>
      <c r="BW36" s="181"/>
      <c r="BX36" s="181"/>
      <c r="BY36" s="181"/>
      <c r="BZ36" s="181"/>
      <c r="CA36" s="190">
        <v>46281.666666666701</v>
      </c>
      <c r="CB36" s="3"/>
      <c r="CC36" s="16"/>
      <c r="CD36" s="16"/>
      <c r="CE36" s="16"/>
      <c r="CF36" s="16"/>
      <c r="CG36" s="16"/>
      <c r="CH36" s="16"/>
      <c r="CI36" s="16" t="s">
        <v>874</v>
      </c>
    </row>
    <row r="37" spans="1:87">
      <c r="A37" s="16" t="s">
        <v>5</v>
      </c>
      <c r="B37" s="16" t="s">
        <v>516</v>
      </c>
      <c r="C37" s="3">
        <v>46272</v>
      </c>
      <c r="D37" s="26" t="s">
        <v>14</v>
      </c>
      <c r="E37" s="180" t="s">
        <v>875</v>
      </c>
      <c r="F37" s="181">
        <v>2026229340101</v>
      </c>
      <c r="G37" s="181">
        <v>30</v>
      </c>
      <c r="H37" s="181">
        <v>21</v>
      </c>
      <c r="I37" s="181" t="s">
        <v>809</v>
      </c>
      <c r="J37" s="181" t="s">
        <v>875</v>
      </c>
      <c r="K37" s="181" t="s">
        <v>700</v>
      </c>
      <c r="L37" s="181" t="s">
        <v>18</v>
      </c>
      <c r="M37" s="181">
        <v>19</v>
      </c>
      <c r="N37" s="181" t="s">
        <v>462</v>
      </c>
      <c r="O37" s="181" t="s">
        <v>606</v>
      </c>
      <c r="P37" s="181">
        <v>829603389</v>
      </c>
      <c r="Q37" s="181" t="s">
        <v>465</v>
      </c>
      <c r="R37" s="181" t="s">
        <v>466</v>
      </c>
      <c r="S37" s="181" t="s">
        <v>876</v>
      </c>
      <c r="T37" s="181">
        <v>173326</v>
      </c>
      <c r="U37" s="182">
        <v>46252.87777777778</v>
      </c>
      <c r="V37" s="181" t="s">
        <v>469</v>
      </c>
      <c r="W37" s="181" t="s">
        <v>651</v>
      </c>
      <c r="X37" s="181" t="s">
        <v>652</v>
      </c>
      <c r="Y37" s="181" t="s">
        <v>653</v>
      </c>
      <c r="Z37" s="181" t="s">
        <v>473</v>
      </c>
      <c r="AA37" s="181" t="s">
        <v>474</v>
      </c>
      <c r="AB37" s="181" t="s">
        <v>684</v>
      </c>
      <c r="AC37" s="181" t="s">
        <v>476</v>
      </c>
      <c r="AD37" s="181">
        <v>391824445</v>
      </c>
      <c r="AE37" s="181">
        <v>1598784555</v>
      </c>
      <c r="AF37" s="181">
        <v>1932166600</v>
      </c>
      <c r="AG37" s="181">
        <v>4.58202525822094E+16</v>
      </c>
      <c r="AH37" s="181"/>
      <c r="AI37" s="181" t="s">
        <v>341</v>
      </c>
      <c r="AJ37" s="181" t="s">
        <v>481</v>
      </c>
      <c r="AK37" s="181" t="s">
        <v>877</v>
      </c>
      <c r="AL37" s="181">
        <v>11935</v>
      </c>
      <c r="AM37" s="181"/>
      <c r="AN37" s="181"/>
      <c r="AO37" s="181">
        <v>829</v>
      </c>
      <c r="AP37" s="181" t="s">
        <v>485</v>
      </c>
      <c r="AQ37" s="181" t="s">
        <v>878</v>
      </c>
      <c r="AR37" s="183">
        <v>46253</v>
      </c>
      <c r="AS37" s="181" t="s">
        <v>700</v>
      </c>
      <c r="AT37" s="181" t="s">
        <v>716</v>
      </c>
      <c r="AU37" s="181"/>
      <c r="AV37" s="181" t="s">
        <v>879</v>
      </c>
      <c r="AW37" s="181"/>
      <c r="AX37" s="181"/>
      <c r="AY37" s="181"/>
      <c r="AZ37" s="181"/>
      <c r="BA37" s="181"/>
      <c r="BB37" s="181"/>
      <c r="BC37" s="181"/>
      <c r="BD37" s="181" t="s">
        <v>341</v>
      </c>
      <c r="BE37" s="181">
        <v>21</v>
      </c>
      <c r="BF37" s="181"/>
      <c r="BG37" s="181"/>
      <c r="BH37" s="181" t="s">
        <v>658</v>
      </c>
      <c r="BI37" s="181">
        <v>829603389</v>
      </c>
      <c r="BJ37" s="181"/>
      <c r="BK37" s="181"/>
      <c r="BL37" s="181"/>
      <c r="BM37" s="181"/>
      <c r="BN37" s="181"/>
      <c r="BO37" s="181"/>
      <c r="BP37" s="181"/>
      <c r="BQ37" s="181"/>
      <c r="BR37" s="181"/>
      <c r="BS37" s="181"/>
      <c r="BT37" s="181"/>
      <c r="BU37" s="181"/>
      <c r="BV37" s="181"/>
      <c r="BW37" s="181"/>
      <c r="BX37" s="181"/>
      <c r="BY37" s="181"/>
      <c r="BZ37" s="181"/>
      <c r="CA37" s="190">
        <v>46275.666666666701</v>
      </c>
      <c r="CB37" s="3"/>
      <c r="CC37" s="16"/>
      <c r="CD37" s="16"/>
      <c r="CE37" s="16"/>
      <c r="CF37" s="16"/>
      <c r="CG37" s="16"/>
      <c r="CH37" s="16"/>
      <c r="CI37" s="16" t="s">
        <v>880</v>
      </c>
    </row>
    <row r="38" spans="1:87" ht="29.25">
      <c r="A38" s="16" t="s">
        <v>5</v>
      </c>
      <c r="B38" s="25" t="s">
        <v>672</v>
      </c>
      <c r="C38" s="3">
        <v>46272</v>
      </c>
      <c r="D38" s="26" t="s">
        <v>14</v>
      </c>
      <c r="E38" s="180" t="s">
        <v>881</v>
      </c>
      <c r="F38" s="181">
        <v>2026234280057</v>
      </c>
      <c r="G38" s="181">
        <v>30</v>
      </c>
      <c r="H38" s="181">
        <v>16</v>
      </c>
      <c r="I38" s="181" t="s">
        <v>809</v>
      </c>
      <c r="J38" s="181" t="s">
        <v>881</v>
      </c>
      <c r="K38" s="181" t="s">
        <v>674</v>
      </c>
      <c r="L38" s="181" t="s">
        <v>16</v>
      </c>
      <c r="M38" s="181">
        <v>14</v>
      </c>
      <c r="N38" s="181" t="s">
        <v>462</v>
      </c>
      <c r="O38" s="181" t="s">
        <v>606</v>
      </c>
      <c r="P38" s="181"/>
      <c r="Q38" s="181" t="s">
        <v>465</v>
      </c>
      <c r="R38" s="181" t="s">
        <v>466</v>
      </c>
      <c r="S38" s="181" t="s">
        <v>882</v>
      </c>
      <c r="T38" s="181">
        <v>173325</v>
      </c>
      <c r="U38" s="182">
        <v>46257.205555555556</v>
      </c>
      <c r="V38" s="181" t="s">
        <v>469</v>
      </c>
      <c r="W38" s="181" t="s">
        <v>651</v>
      </c>
      <c r="X38" s="181" t="s">
        <v>652</v>
      </c>
      <c r="Y38" s="181" t="s">
        <v>653</v>
      </c>
      <c r="Z38" s="181" t="s">
        <v>731</v>
      </c>
      <c r="AA38" s="181" t="s">
        <v>474</v>
      </c>
      <c r="AB38" s="181" t="s">
        <v>883</v>
      </c>
      <c r="AC38" s="181" t="s">
        <v>733</v>
      </c>
      <c r="AD38" s="181">
        <v>431903482</v>
      </c>
      <c r="AE38" s="181">
        <v>1720159775</v>
      </c>
      <c r="AF38" s="181">
        <v>1356504252</v>
      </c>
      <c r="AG38" s="181">
        <v>7.4820252110751808E+16</v>
      </c>
      <c r="AH38" s="181"/>
      <c r="AI38" s="181" t="s">
        <v>54</v>
      </c>
      <c r="AJ38" s="181" t="s">
        <v>481</v>
      </c>
      <c r="AK38" s="181" t="s">
        <v>884</v>
      </c>
      <c r="AL38" s="181">
        <v>53756</v>
      </c>
      <c r="AM38" s="181"/>
      <c r="AN38" s="181"/>
      <c r="AO38" s="181"/>
      <c r="AP38" s="181" t="s">
        <v>485</v>
      </c>
      <c r="AQ38" s="181" t="s">
        <v>885</v>
      </c>
      <c r="AR38" s="183">
        <v>46258</v>
      </c>
      <c r="AS38" s="181" t="s">
        <v>674</v>
      </c>
      <c r="AT38" s="181" t="s">
        <v>678</v>
      </c>
      <c r="AU38" s="181"/>
      <c r="AV38" s="181" t="s">
        <v>886</v>
      </c>
      <c r="AW38" s="181"/>
      <c r="AX38" s="181"/>
      <c r="AY38" s="181"/>
      <c r="AZ38" s="181"/>
      <c r="BA38" s="181"/>
      <c r="BB38" s="181"/>
      <c r="BC38" s="181"/>
      <c r="BD38" s="181" t="s">
        <v>54</v>
      </c>
      <c r="BE38" s="181">
        <v>16</v>
      </c>
      <c r="BF38" s="181"/>
      <c r="BG38" s="181"/>
      <c r="BH38" s="181" t="s">
        <v>658</v>
      </c>
      <c r="BI38" s="181">
        <v>923090037</v>
      </c>
      <c r="BJ38" s="181"/>
      <c r="BK38" s="181"/>
      <c r="BL38" s="181"/>
      <c r="BM38" s="181"/>
      <c r="BN38" s="181"/>
      <c r="BO38" s="181"/>
      <c r="BP38" s="181"/>
      <c r="BQ38" s="181"/>
      <c r="BR38" s="181"/>
      <c r="BS38" s="181"/>
      <c r="BT38" s="181"/>
      <c r="BU38" s="181"/>
      <c r="BV38" s="181"/>
      <c r="BW38" s="181"/>
      <c r="BX38" s="181"/>
      <c r="BY38" s="181"/>
      <c r="BZ38" s="181"/>
      <c r="CA38" s="190">
        <v>46281.666666666701</v>
      </c>
      <c r="CB38" s="3"/>
      <c r="CC38" s="16"/>
      <c r="CD38" s="16"/>
      <c r="CE38" s="16"/>
      <c r="CF38" s="16"/>
      <c r="CG38" s="16"/>
      <c r="CH38" s="16"/>
      <c r="CI38" s="16" t="s">
        <v>887</v>
      </c>
    </row>
    <row r="39" spans="1:87">
      <c r="A39" s="16"/>
      <c r="B39" s="16"/>
      <c r="C39" s="3">
        <v>46272</v>
      </c>
      <c r="D39" s="26" t="s">
        <v>14</v>
      </c>
      <c r="E39" s="180" t="s">
        <v>888</v>
      </c>
      <c r="F39" s="181">
        <v>2026225710015</v>
      </c>
      <c r="G39" s="181">
        <v>30</v>
      </c>
      <c r="H39" s="181">
        <v>25</v>
      </c>
      <c r="I39" s="181" t="s">
        <v>809</v>
      </c>
      <c r="J39" s="181" t="s">
        <v>888</v>
      </c>
      <c r="K39" s="181" t="s">
        <v>854</v>
      </c>
      <c r="L39" s="181" t="s">
        <v>18</v>
      </c>
      <c r="M39" s="181">
        <v>22</v>
      </c>
      <c r="N39" s="181" t="s">
        <v>462</v>
      </c>
      <c r="O39" s="181" t="s">
        <v>606</v>
      </c>
      <c r="P39" s="181">
        <v>847216241</v>
      </c>
      <c r="Q39" s="181" t="s">
        <v>465</v>
      </c>
      <c r="R39" s="181" t="s">
        <v>466</v>
      </c>
      <c r="S39" s="181" t="s">
        <v>889</v>
      </c>
      <c r="T39" s="181">
        <v>173325</v>
      </c>
      <c r="U39" s="182">
        <v>46247.162499999999</v>
      </c>
      <c r="V39" s="181" t="s">
        <v>469</v>
      </c>
      <c r="W39" s="181" t="s">
        <v>651</v>
      </c>
      <c r="X39" s="181" t="s">
        <v>652</v>
      </c>
      <c r="Y39" s="181" t="s">
        <v>653</v>
      </c>
      <c r="Z39" s="181" t="s">
        <v>731</v>
      </c>
      <c r="AA39" s="181" t="s">
        <v>474</v>
      </c>
      <c r="AB39" s="181" t="s">
        <v>732</v>
      </c>
      <c r="AC39" s="181" t="s">
        <v>733</v>
      </c>
      <c r="AD39" s="181">
        <v>430653611</v>
      </c>
      <c r="AE39" s="181">
        <v>1619860913</v>
      </c>
      <c r="AF39" s="181">
        <v>1679590111</v>
      </c>
      <c r="AG39" s="181">
        <v>7.4820253170542592E+16</v>
      </c>
      <c r="AH39" s="181"/>
      <c r="AI39" s="181" t="s">
        <v>21</v>
      </c>
      <c r="AJ39" s="181" t="s">
        <v>481</v>
      </c>
      <c r="AK39" s="181" t="s">
        <v>890</v>
      </c>
      <c r="AL39" s="181">
        <v>5990</v>
      </c>
      <c r="AM39" s="181"/>
      <c r="AN39" s="181"/>
      <c r="AO39" s="181">
        <v>847</v>
      </c>
      <c r="AP39" s="181" t="s">
        <v>485</v>
      </c>
      <c r="AQ39" s="181" t="s">
        <v>891</v>
      </c>
      <c r="AR39" s="183">
        <v>46250</v>
      </c>
      <c r="AS39" s="181" t="s">
        <v>854</v>
      </c>
      <c r="AT39" s="181" t="s">
        <v>859</v>
      </c>
      <c r="AU39" s="181"/>
      <c r="AV39" s="181" t="s">
        <v>892</v>
      </c>
      <c r="AW39" s="181"/>
      <c r="AX39" s="181"/>
      <c r="AY39" s="181"/>
      <c r="AZ39" s="181"/>
      <c r="BA39" s="181"/>
      <c r="BB39" s="181"/>
      <c r="BC39" s="181"/>
      <c r="BD39" s="181" t="s">
        <v>21</v>
      </c>
      <c r="BE39" s="181">
        <v>25</v>
      </c>
      <c r="BF39" s="181"/>
      <c r="BG39" s="181"/>
      <c r="BH39" s="181" t="s">
        <v>658</v>
      </c>
      <c r="BI39" s="181">
        <v>847216241</v>
      </c>
      <c r="BJ39" s="181"/>
      <c r="BK39" s="181"/>
      <c r="BL39" s="181"/>
      <c r="BM39" s="181"/>
      <c r="BN39" s="181"/>
      <c r="BO39" s="181"/>
      <c r="BP39" s="181"/>
      <c r="BQ39" s="181"/>
      <c r="BR39" s="181"/>
      <c r="BS39" s="181"/>
      <c r="BT39" s="181"/>
      <c r="BU39" s="181"/>
      <c r="BV39" s="181"/>
      <c r="BW39" s="181"/>
      <c r="BX39" s="181"/>
      <c r="BY39" s="181"/>
      <c r="BZ39" s="181"/>
      <c r="CA39" s="190"/>
      <c r="CB39" s="3"/>
      <c r="CC39" s="16"/>
      <c r="CD39" s="16"/>
      <c r="CE39" s="16"/>
      <c r="CF39" s="16"/>
      <c r="CG39" s="16"/>
      <c r="CH39" s="16"/>
      <c r="CI39" s="16" t="s">
        <v>893</v>
      </c>
    </row>
    <row r="40" spans="1:87">
      <c r="A40" s="16"/>
      <c r="B40" s="16"/>
      <c r="C40" s="3">
        <v>46272</v>
      </c>
      <c r="D40" s="26" t="s">
        <v>14</v>
      </c>
      <c r="E40" s="180" t="s">
        <v>894</v>
      </c>
      <c r="F40" s="181">
        <v>2026231980540</v>
      </c>
      <c r="G40" s="181">
        <v>30</v>
      </c>
      <c r="H40" s="181">
        <v>19</v>
      </c>
      <c r="I40" s="181" t="s">
        <v>809</v>
      </c>
      <c r="J40" s="181" t="s">
        <v>894</v>
      </c>
      <c r="K40" s="181" t="s">
        <v>895</v>
      </c>
      <c r="L40" s="181" t="s">
        <v>18</v>
      </c>
      <c r="M40" s="181">
        <v>14</v>
      </c>
      <c r="N40" s="181" t="s">
        <v>462</v>
      </c>
      <c r="O40" s="181" t="s">
        <v>606</v>
      </c>
      <c r="P40" s="181">
        <v>603774978</v>
      </c>
      <c r="Q40" s="181" t="s">
        <v>465</v>
      </c>
      <c r="R40" s="181" t="s">
        <v>466</v>
      </c>
      <c r="S40" s="181" t="s">
        <v>896</v>
      </c>
      <c r="T40" s="181">
        <v>173326</v>
      </c>
      <c r="U40" s="182">
        <v>46257.927777777775</v>
      </c>
      <c r="V40" s="181" t="s">
        <v>469</v>
      </c>
      <c r="W40" s="181" t="s">
        <v>651</v>
      </c>
      <c r="X40" s="181" t="s">
        <v>652</v>
      </c>
      <c r="Y40" s="181" t="s">
        <v>653</v>
      </c>
      <c r="Z40" s="181" t="s">
        <v>473</v>
      </c>
      <c r="AA40" s="181" t="s">
        <v>474</v>
      </c>
      <c r="AB40" s="181" t="s">
        <v>684</v>
      </c>
      <c r="AC40" s="181" t="s">
        <v>476</v>
      </c>
      <c r="AD40" s="181">
        <v>390806261</v>
      </c>
      <c r="AE40" s="181">
        <v>1699720086</v>
      </c>
      <c r="AF40" s="181">
        <v>1619504537</v>
      </c>
      <c r="AG40" s="181">
        <v>4.58202527703884E+16</v>
      </c>
      <c r="AH40" s="181"/>
      <c r="AI40" s="181" t="s">
        <v>20</v>
      </c>
      <c r="AJ40" s="181" t="s">
        <v>481</v>
      </c>
      <c r="AK40" s="181" t="s">
        <v>897</v>
      </c>
      <c r="AL40" s="181">
        <v>17981</v>
      </c>
      <c r="AM40" s="181"/>
      <c r="AN40" s="181"/>
      <c r="AO40" s="181">
        <v>603</v>
      </c>
      <c r="AP40" s="181" t="s">
        <v>485</v>
      </c>
      <c r="AQ40" s="181" t="s">
        <v>898</v>
      </c>
      <c r="AR40" s="183">
        <v>46258</v>
      </c>
      <c r="AS40" s="181" t="s">
        <v>20</v>
      </c>
      <c r="AT40" s="181" t="s">
        <v>899</v>
      </c>
      <c r="AU40" s="181"/>
      <c r="AV40" s="181" t="s">
        <v>900</v>
      </c>
      <c r="AW40" s="181"/>
      <c r="AX40" s="181"/>
      <c r="AY40" s="181"/>
      <c r="AZ40" s="181"/>
      <c r="BA40" s="181"/>
      <c r="BB40" s="181"/>
      <c r="BC40" s="181"/>
      <c r="BD40" s="181" t="s">
        <v>20</v>
      </c>
      <c r="BE40" s="181">
        <v>19</v>
      </c>
      <c r="BF40" s="181"/>
      <c r="BG40" s="181"/>
      <c r="BH40" s="181" t="s">
        <v>658</v>
      </c>
      <c r="BI40" s="181">
        <v>603774978</v>
      </c>
      <c r="BJ40" s="181"/>
      <c r="BK40" s="181"/>
      <c r="BL40" s="181"/>
      <c r="BM40" s="181"/>
      <c r="BN40" s="181"/>
      <c r="BO40" s="181"/>
      <c r="BP40" s="181"/>
      <c r="BQ40" s="181"/>
      <c r="BR40" s="181"/>
      <c r="BS40" s="181"/>
      <c r="BT40" s="181"/>
      <c r="BU40" s="181"/>
      <c r="BV40" s="181"/>
      <c r="BW40" s="181"/>
      <c r="BX40" s="181"/>
      <c r="BY40" s="181"/>
      <c r="BZ40" s="181"/>
      <c r="CA40" s="190"/>
      <c r="CB40" s="3"/>
      <c r="CC40" s="16"/>
      <c r="CD40" s="16"/>
      <c r="CE40" s="16"/>
      <c r="CF40" s="16"/>
      <c r="CG40" s="16"/>
      <c r="CH40" s="16"/>
      <c r="CI40" s="16" t="s">
        <v>901</v>
      </c>
    </row>
    <row r="41" spans="1:87">
      <c r="A41" s="16" t="s">
        <v>5</v>
      </c>
      <c r="B41" s="16" t="s">
        <v>902</v>
      </c>
      <c r="C41" s="3">
        <v>46272</v>
      </c>
      <c r="D41" s="26" t="s">
        <v>14</v>
      </c>
      <c r="E41" s="180" t="s">
        <v>903</v>
      </c>
      <c r="F41" s="181">
        <v>2026229800360</v>
      </c>
      <c r="G41" s="181">
        <v>30</v>
      </c>
      <c r="H41" s="181">
        <v>21</v>
      </c>
      <c r="I41" s="181" t="s">
        <v>809</v>
      </c>
      <c r="J41" s="181" t="s">
        <v>903</v>
      </c>
      <c r="K41" s="181" t="s">
        <v>796</v>
      </c>
      <c r="L41" s="181" t="s">
        <v>18</v>
      </c>
      <c r="M41" s="181">
        <v>19</v>
      </c>
      <c r="N41" s="181" t="s">
        <v>462</v>
      </c>
      <c r="O41" s="181" t="s">
        <v>606</v>
      </c>
      <c r="P41" s="181" t="s">
        <v>904</v>
      </c>
      <c r="Q41" s="181" t="s">
        <v>564</v>
      </c>
      <c r="R41" s="181" t="s">
        <v>466</v>
      </c>
      <c r="S41" s="181" t="s">
        <v>905</v>
      </c>
      <c r="T41" s="181">
        <v>280525</v>
      </c>
      <c r="U41" s="182">
        <v>46252.035416666666</v>
      </c>
      <c r="V41" s="181" t="s">
        <v>469</v>
      </c>
      <c r="W41" s="181" t="s">
        <v>568</v>
      </c>
      <c r="X41" s="181" t="s">
        <v>471</v>
      </c>
      <c r="Y41" s="181" t="s">
        <v>569</v>
      </c>
      <c r="Z41" s="181" t="s">
        <v>906</v>
      </c>
      <c r="AA41" s="181" t="s">
        <v>474</v>
      </c>
      <c r="AB41" s="181" t="s">
        <v>907</v>
      </c>
      <c r="AC41" s="181" t="s">
        <v>572</v>
      </c>
      <c r="AD41" s="181">
        <v>770270539</v>
      </c>
      <c r="AE41" s="181">
        <v>1760543359</v>
      </c>
      <c r="AF41" s="181"/>
      <c r="AG41" s="181"/>
      <c r="AH41" s="181"/>
      <c r="AI41" s="181" t="s">
        <v>801</v>
      </c>
      <c r="AJ41" s="181" t="s">
        <v>481</v>
      </c>
      <c r="AK41" s="181" t="s">
        <v>908</v>
      </c>
      <c r="AL41" s="181">
        <v>1425.48</v>
      </c>
      <c r="AM41" s="181"/>
      <c r="AN41" s="181"/>
      <c r="AO41" s="181">
        <v>116</v>
      </c>
      <c r="AP41" s="181" t="s">
        <v>485</v>
      </c>
      <c r="AQ41" s="181" t="s">
        <v>909</v>
      </c>
      <c r="AR41" s="183">
        <v>46253</v>
      </c>
      <c r="AS41" s="181" t="s">
        <v>796</v>
      </c>
      <c r="AT41" s="181" t="s">
        <v>910</v>
      </c>
      <c r="AU41" s="181"/>
      <c r="AV41" s="181"/>
      <c r="AW41" s="181"/>
      <c r="AX41" s="181"/>
      <c r="AY41" s="181"/>
      <c r="AZ41" s="181"/>
      <c r="BA41" s="181"/>
      <c r="BB41" s="181"/>
      <c r="BC41" s="181"/>
      <c r="BD41" s="181" t="s">
        <v>801</v>
      </c>
      <c r="BE41" s="181">
        <v>21</v>
      </c>
      <c r="BF41" s="181" t="s">
        <v>911</v>
      </c>
      <c r="BG41" s="181" t="s">
        <v>490</v>
      </c>
      <c r="BH41" s="181" t="s">
        <v>491</v>
      </c>
      <c r="BI41" s="181">
        <v>564887602</v>
      </c>
      <c r="BJ41" s="181"/>
      <c r="BK41" s="181"/>
      <c r="BL41" s="181"/>
      <c r="BM41" s="181"/>
      <c r="BN41" s="181"/>
      <c r="BO41" s="181"/>
      <c r="BP41" s="181"/>
      <c r="BQ41" s="181"/>
      <c r="BR41" s="181"/>
      <c r="BS41" s="181"/>
      <c r="BT41" s="181"/>
      <c r="BU41" s="181"/>
      <c r="BV41" s="181"/>
      <c r="BW41" s="181"/>
      <c r="BX41" s="181"/>
      <c r="BY41" s="181"/>
      <c r="BZ41" s="181"/>
      <c r="CA41" s="190">
        <v>46282.166666666701</v>
      </c>
      <c r="CB41" s="3"/>
      <c r="CC41" s="16"/>
      <c r="CD41" s="16"/>
      <c r="CE41" s="16"/>
      <c r="CF41" s="16"/>
      <c r="CG41" s="16"/>
      <c r="CH41" s="16"/>
      <c r="CI41" s="16" t="s">
        <v>912</v>
      </c>
    </row>
    <row r="42" spans="1:87">
      <c r="A42" s="16" t="s">
        <v>5</v>
      </c>
      <c r="B42" s="16" t="s">
        <v>913</v>
      </c>
      <c r="C42" s="3">
        <v>46272</v>
      </c>
      <c r="D42" s="26" t="s">
        <v>14</v>
      </c>
      <c r="E42" s="180" t="s">
        <v>914</v>
      </c>
      <c r="F42" s="181">
        <v>2026229880381</v>
      </c>
      <c r="G42" s="181">
        <v>30</v>
      </c>
      <c r="H42" s="181">
        <v>21</v>
      </c>
      <c r="I42" s="181" t="s">
        <v>809</v>
      </c>
      <c r="J42" s="181" t="s">
        <v>914</v>
      </c>
      <c r="K42" s="181" t="s">
        <v>796</v>
      </c>
      <c r="L42" s="181" t="s">
        <v>18</v>
      </c>
      <c r="M42" s="181">
        <v>20</v>
      </c>
      <c r="N42" s="181" t="s">
        <v>462</v>
      </c>
      <c r="O42" s="181" t="s">
        <v>606</v>
      </c>
      <c r="P42" s="181" t="s">
        <v>904</v>
      </c>
      <c r="Q42" s="181" t="s">
        <v>564</v>
      </c>
      <c r="R42" s="181" t="s">
        <v>466</v>
      </c>
      <c r="S42" s="181" t="s">
        <v>915</v>
      </c>
      <c r="T42" s="181">
        <v>280525</v>
      </c>
      <c r="U42" s="182">
        <v>46252.040972222225</v>
      </c>
      <c r="V42" s="181" t="s">
        <v>469</v>
      </c>
      <c r="W42" s="181" t="s">
        <v>568</v>
      </c>
      <c r="X42" s="181" t="s">
        <v>471</v>
      </c>
      <c r="Y42" s="181" t="s">
        <v>569</v>
      </c>
      <c r="Z42" s="181" t="s">
        <v>906</v>
      </c>
      <c r="AA42" s="181" t="s">
        <v>474</v>
      </c>
      <c r="AB42" s="181" t="s">
        <v>907</v>
      </c>
      <c r="AC42" s="181" t="s">
        <v>572</v>
      </c>
      <c r="AD42" s="181">
        <v>770270539</v>
      </c>
      <c r="AE42" s="181">
        <v>1760543359</v>
      </c>
      <c r="AF42" s="181"/>
      <c r="AG42" s="181"/>
      <c r="AH42" s="181"/>
      <c r="AI42" s="181" t="s">
        <v>801</v>
      </c>
      <c r="AJ42" s="181" t="s">
        <v>481</v>
      </c>
      <c r="AK42" s="181" t="s">
        <v>916</v>
      </c>
      <c r="AL42" s="181">
        <v>1425.48</v>
      </c>
      <c r="AM42" s="181"/>
      <c r="AN42" s="181"/>
      <c r="AO42" s="181">
        <v>116</v>
      </c>
      <c r="AP42" s="181" t="s">
        <v>485</v>
      </c>
      <c r="AQ42" s="181" t="s">
        <v>917</v>
      </c>
      <c r="AR42" s="183">
        <v>46252</v>
      </c>
      <c r="AS42" s="181" t="s">
        <v>804</v>
      </c>
      <c r="AT42" s="181" t="s">
        <v>918</v>
      </c>
      <c r="AU42" s="181"/>
      <c r="AV42" s="181"/>
      <c r="AW42" s="181"/>
      <c r="AX42" s="181"/>
      <c r="AY42" s="181"/>
      <c r="AZ42" s="181"/>
      <c r="BA42" s="181"/>
      <c r="BB42" s="181"/>
      <c r="BC42" s="181"/>
      <c r="BD42" s="181" t="s">
        <v>801</v>
      </c>
      <c r="BE42" s="181">
        <v>21</v>
      </c>
      <c r="BF42" s="181" t="s">
        <v>911</v>
      </c>
      <c r="BG42" s="181" t="s">
        <v>490</v>
      </c>
      <c r="BH42" s="181" t="s">
        <v>491</v>
      </c>
      <c r="BI42" s="181">
        <v>564887602</v>
      </c>
      <c r="BJ42" s="181"/>
      <c r="BK42" s="181"/>
      <c r="BL42" s="181"/>
      <c r="BM42" s="181"/>
      <c r="BN42" s="181"/>
      <c r="BO42" s="181"/>
      <c r="BP42" s="181"/>
      <c r="BQ42" s="181"/>
      <c r="BR42" s="181"/>
      <c r="BS42" s="181"/>
      <c r="BT42" s="181"/>
      <c r="BU42" s="181"/>
      <c r="BV42" s="181"/>
      <c r="BW42" s="181"/>
      <c r="BX42" s="181"/>
      <c r="BY42" s="181"/>
      <c r="BZ42" s="181"/>
      <c r="CA42" s="190">
        <v>46282.166666666701</v>
      </c>
      <c r="CB42" s="3"/>
      <c r="CC42" s="16"/>
      <c r="CD42" s="16"/>
      <c r="CE42" s="16"/>
      <c r="CF42" s="16"/>
      <c r="CG42" s="16"/>
      <c r="CH42" s="16"/>
      <c r="CI42" s="16" t="s">
        <v>919</v>
      </c>
    </row>
    <row r="43" spans="1:87">
      <c r="A43" s="16" t="s">
        <v>5</v>
      </c>
      <c r="B43" s="16" t="s">
        <v>913</v>
      </c>
      <c r="C43" s="3">
        <v>46272</v>
      </c>
      <c r="D43" s="26" t="s">
        <v>14</v>
      </c>
      <c r="E43" s="180" t="s">
        <v>920</v>
      </c>
      <c r="F43" s="181">
        <v>2026229700400</v>
      </c>
      <c r="G43" s="181">
        <v>30</v>
      </c>
      <c r="H43" s="181">
        <v>21</v>
      </c>
      <c r="I43" s="181" t="s">
        <v>809</v>
      </c>
      <c r="J43" s="181" t="s">
        <v>920</v>
      </c>
      <c r="K43" s="181" t="s">
        <v>796</v>
      </c>
      <c r="L43" s="181" t="s">
        <v>18</v>
      </c>
      <c r="M43" s="181">
        <v>19</v>
      </c>
      <c r="N43" s="181" t="s">
        <v>462</v>
      </c>
      <c r="O43" s="181" t="s">
        <v>606</v>
      </c>
      <c r="P43" s="181" t="s">
        <v>904</v>
      </c>
      <c r="Q43" s="181" t="s">
        <v>564</v>
      </c>
      <c r="R43" s="181" t="s">
        <v>466</v>
      </c>
      <c r="S43" s="181" t="s">
        <v>921</v>
      </c>
      <c r="T43" s="181">
        <v>280525</v>
      </c>
      <c r="U43" s="182">
        <v>46252.748611111114</v>
      </c>
      <c r="V43" s="181" t="s">
        <v>469</v>
      </c>
      <c r="W43" s="181" t="s">
        <v>568</v>
      </c>
      <c r="X43" s="181" t="s">
        <v>471</v>
      </c>
      <c r="Y43" s="181" t="s">
        <v>569</v>
      </c>
      <c r="Z43" s="181" t="s">
        <v>906</v>
      </c>
      <c r="AA43" s="181" t="s">
        <v>474</v>
      </c>
      <c r="AB43" s="181" t="s">
        <v>907</v>
      </c>
      <c r="AC43" s="181" t="s">
        <v>572</v>
      </c>
      <c r="AD43" s="181">
        <v>770270539</v>
      </c>
      <c r="AE43" s="181">
        <v>1760543359</v>
      </c>
      <c r="AF43" s="181"/>
      <c r="AG43" s="181"/>
      <c r="AH43" s="181"/>
      <c r="AI43" s="181" t="s">
        <v>801</v>
      </c>
      <c r="AJ43" s="181" t="s">
        <v>481</v>
      </c>
      <c r="AK43" s="181" t="s">
        <v>922</v>
      </c>
      <c r="AL43" s="181">
        <v>1425.48</v>
      </c>
      <c r="AM43" s="181"/>
      <c r="AN43" s="181"/>
      <c r="AO43" s="181">
        <v>116</v>
      </c>
      <c r="AP43" s="181" t="s">
        <v>485</v>
      </c>
      <c r="AQ43" s="181" t="s">
        <v>923</v>
      </c>
      <c r="AR43" s="183">
        <v>46253</v>
      </c>
      <c r="AS43" s="181" t="s">
        <v>801</v>
      </c>
      <c r="AT43" s="181" t="s">
        <v>924</v>
      </c>
      <c r="AU43" s="181"/>
      <c r="AV43" s="181"/>
      <c r="AW43" s="181"/>
      <c r="AX43" s="181"/>
      <c r="AY43" s="181"/>
      <c r="AZ43" s="181"/>
      <c r="BA43" s="181"/>
      <c r="BB43" s="181"/>
      <c r="BC43" s="181"/>
      <c r="BD43" s="181" t="s">
        <v>801</v>
      </c>
      <c r="BE43" s="181">
        <v>21</v>
      </c>
      <c r="BF43" s="181" t="s">
        <v>911</v>
      </c>
      <c r="BG43" s="181" t="s">
        <v>490</v>
      </c>
      <c r="BH43" s="181" t="s">
        <v>491</v>
      </c>
      <c r="BI43" s="181">
        <v>564887602</v>
      </c>
      <c r="BJ43" s="181"/>
      <c r="BK43" s="181"/>
      <c r="BL43" s="181"/>
      <c r="BM43" s="181"/>
      <c r="BN43" s="181"/>
      <c r="BO43" s="181"/>
      <c r="BP43" s="181"/>
      <c r="BQ43" s="181"/>
      <c r="BR43" s="181"/>
      <c r="BS43" s="181"/>
      <c r="BT43" s="181"/>
      <c r="BU43" s="181"/>
      <c r="BV43" s="181"/>
      <c r="BW43" s="181"/>
      <c r="BX43" s="181"/>
      <c r="BY43" s="181"/>
      <c r="BZ43" s="181"/>
      <c r="CA43" s="190">
        <v>46282.166666666701</v>
      </c>
      <c r="CB43" s="3"/>
      <c r="CC43" s="16"/>
      <c r="CD43" s="16"/>
      <c r="CE43" s="16"/>
      <c r="CF43" s="16"/>
      <c r="CG43" s="16"/>
      <c r="CH43" s="16"/>
      <c r="CI43" s="16" t="s">
        <v>925</v>
      </c>
    </row>
    <row r="44" spans="1:87">
      <c r="A44" s="16"/>
      <c r="B44" s="16"/>
      <c r="C44" s="3">
        <v>46272</v>
      </c>
      <c r="D44" s="26" t="s">
        <v>14</v>
      </c>
      <c r="E44" s="180" t="s">
        <v>926</v>
      </c>
      <c r="F44" s="181">
        <v>2026226480025</v>
      </c>
      <c r="G44" s="181">
        <v>30</v>
      </c>
      <c r="H44" s="181">
        <v>24</v>
      </c>
      <c r="I44" s="181" t="s">
        <v>809</v>
      </c>
      <c r="J44" s="181" t="s">
        <v>926</v>
      </c>
      <c r="K44" s="181" t="s">
        <v>682</v>
      </c>
      <c r="L44" s="181" t="s">
        <v>18</v>
      </c>
      <c r="M44" s="181">
        <v>22</v>
      </c>
      <c r="N44" s="181" t="s">
        <v>462</v>
      </c>
      <c r="O44" s="181" t="s">
        <v>606</v>
      </c>
      <c r="P44" s="181">
        <v>100011518</v>
      </c>
      <c r="Q44" s="181" t="s">
        <v>465</v>
      </c>
      <c r="R44" s="181" t="s">
        <v>466</v>
      </c>
      <c r="S44" s="181" t="s">
        <v>927</v>
      </c>
      <c r="T44" s="181" t="s">
        <v>928</v>
      </c>
      <c r="U44" s="182">
        <v>46248.072916666664</v>
      </c>
      <c r="V44" s="181" t="s">
        <v>469</v>
      </c>
      <c r="W44" s="181" t="s">
        <v>651</v>
      </c>
      <c r="X44" s="181" t="s">
        <v>652</v>
      </c>
      <c r="Y44" s="181" t="s">
        <v>653</v>
      </c>
      <c r="Z44" s="181" t="s">
        <v>544</v>
      </c>
      <c r="AA44" s="181" t="s">
        <v>474</v>
      </c>
      <c r="AB44" s="181" t="s">
        <v>929</v>
      </c>
      <c r="AC44" s="181" t="s">
        <v>546</v>
      </c>
      <c r="AD44" s="181">
        <v>201842623</v>
      </c>
      <c r="AE44" s="181">
        <v>1972239440</v>
      </c>
      <c r="AF44" s="181">
        <v>1043666472</v>
      </c>
      <c r="AG44" s="181">
        <v>1.02202531600867E+16</v>
      </c>
      <c r="AH44" s="181"/>
      <c r="AI44" s="181" t="s">
        <v>19</v>
      </c>
      <c r="AJ44" s="181" t="s">
        <v>481</v>
      </c>
      <c r="AK44" s="181" t="s">
        <v>930</v>
      </c>
      <c r="AL44" s="181">
        <v>10644.69</v>
      </c>
      <c r="AM44" s="181"/>
      <c r="AN44" s="181"/>
      <c r="AO44" s="181">
        <v>100</v>
      </c>
      <c r="AP44" s="181" t="s">
        <v>485</v>
      </c>
      <c r="AQ44" s="181" t="s">
        <v>931</v>
      </c>
      <c r="AR44" s="183">
        <v>46250</v>
      </c>
      <c r="AS44" s="181" t="s">
        <v>682</v>
      </c>
      <c r="AT44" s="181" t="s">
        <v>814</v>
      </c>
      <c r="AU44" s="181"/>
      <c r="AV44" s="181" t="s">
        <v>932</v>
      </c>
      <c r="AW44" s="181"/>
      <c r="AX44" s="181"/>
      <c r="AY44" s="181"/>
      <c r="AZ44" s="181"/>
      <c r="BA44" s="181"/>
      <c r="BB44" s="181"/>
      <c r="BC44" s="181"/>
      <c r="BD44" s="181" t="s">
        <v>19</v>
      </c>
      <c r="BE44" s="181">
        <v>24</v>
      </c>
      <c r="BF44" s="181"/>
      <c r="BG44" s="181"/>
      <c r="BH44" s="181" t="s">
        <v>658</v>
      </c>
      <c r="BI44" s="181">
        <v>100011518</v>
      </c>
      <c r="BJ44" s="181"/>
      <c r="BK44" s="181"/>
      <c r="BL44" s="181"/>
      <c r="BM44" s="181"/>
      <c r="BN44" s="181"/>
      <c r="BO44" s="181"/>
      <c r="BP44" s="181"/>
      <c r="BQ44" s="181"/>
      <c r="BR44" s="181"/>
      <c r="BS44" s="181"/>
      <c r="BT44" s="181"/>
      <c r="BU44" s="181"/>
      <c r="BV44" s="181"/>
      <c r="BW44" s="181"/>
      <c r="BX44" s="181"/>
      <c r="BY44" s="181"/>
      <c r="BZ44" s="181"/>
      <c r="CA44" s="190"/>
      <c r="CB44" s="3"/>
      <c r="CC44" s="16"/>
      <c r="CD44" s="16"/>
      <c r="CE44" s="16"/>
      <c r="CF44" s="16"/>
      <c r="CG44" s="16"/>
      <c r="CH44" s="16"/>
      <c r="CI44" s="16" t="s">
        <v>933</v>
      </c>
    </row>
    <row r="45" spans="1:87">
      <c r="A45" s="16"/>
      <c r="B45" s="16"/>
      <c r="C45" s="3">
        <v>46272</v>
      </c>
      <c r="D45" s="26" t="s">
        <v>14</v>
      </c>
      <c r="E45" s="180" t="s">
        <v>934</v>
      </c>
      <c r="F45" s="181">
        <v>2026231911093</v>
      </c>
      <c r="G45" s="181">
        <v>30</v>
      </c>
      <c r="H45" s="181">
        <v>19</v>
      </c>
      <c r="I45" s="181" t="s">
        <v>809</v>
      </c>
      <c r="J45" s="181" t="s">
        <v>934</v>
      </c>
      <c r="K45" s="181" t="s">
        <v>895</v>
      </c>
      <c r="L45" s="181" t="s">
        <v>18</v>
      </c>
      <c r="M45" s="181">
        <v>14</v>
      </c>
      <c r="N45" s="181" t="s">
        <v>462</v>
      </c>
      <c r="O45" s="181" t="s">
        <v>606</v>
      </c>
      <c r="P45" s="181"/>
      <c r="Q45" s="181" t="s">
        <v>465</v>
      </c>
      <c r="R45" s="181" t="s">
        <v>466</v>
      </c>
      <c r="S45" s="181" t="s">
        <v>935</v>
      </c>
      <c r="T45" s="181" t="s">
        <v>928</v>
      </c>
      <c r="U45" s="182">
        <v>46257.929166666669</v>
      </c>
      <c r="V45" s="181" t="s">
        <v>469</v>
      </c>
      <c r="W45" s="181" t="s">
        <v>651</v>
      </c>
      <c r="X45" s="181" t="s">
        <v>652</v>
      </c>
      <c r="Y45" s="181" t="s">
        <v>653</v>
      </c>
      <c r="Z45" s="181" t="s">
        <v>544</v>
      </c>
      <c r="AA45" s="181" t="s">
        <v>474</v>
      </c>
      <c r="AB45" s="181" t="s">
        <v>929</v>
      </c>
      <c r="AC45" s="181" t="s">
        <v>546</v>
      </c>
      <c r="AD45" s="181">
        <v>823551399</v>
      </c>
      <c r="AE45" s="181">
        <v>1699290510</v>
      </c>
      <c r="AF45" s="181">
        <v>1497763015</v>
      </c>
      <c r="AG45" s="181">
        <v>1.02202534017295E+16</v>
      </c>
      <c r="AH45" s="181"/>
      <c r="AI45" s="181" t="s">
        <v>20</v>
      </c>
      <c r="AJ45" s="181" t="s">
        <v>481</v>
      </c>
      <c r="AK45" s="181" t="s">
        <v>936</v>
      </c>
      <c r="AL45" s="181">
        <v>2750.63</v>
      </c>
      <c r="AM45" s="181"/>
      <c r="AN45" s="181"/>
      <c r="AO45" s="181"/>
      <c r="AP45" s="181" t="s">
        <v>485</v>
      </c>
      <c r="AQ45" s="181" t="s">
        <v>937</v>
      </c>
      <c r="AR45" s="183">
        <v>46258</v>
      </c>
      <c r="AS45" s="181" t="s">
        <v>20</v>
      </c>
      <c r="AT45" s="181" t="s">
        <v>938</v>
      </c>
      <c r="AU45" s="181"/>
      <c r="AV45" s="181" t="s">
        <v>939</v>
      </c>
      <c r="AW45" s="181"/>
      <c r="AX45" s="181"/>
      <c r="AY45" s="181"/>
      <c r="AZ45" s="181"/>
      <c r="BA45" s="181"/>
      <c r="BB45" s="181"/>
      <c r="BC45" s="181"/>
      <c r="BD45" s="181" t="s">
        <v>20</v>
      </c>
      <c r="BE45" s="181">
        <v>19</v>
      </c>
      <c r="BF45" s="181"/>
      <c r="BG45" s="181"/>
      <c r="BH45" s="181" t="s">
        <v>658</v>
      </c>
      <c r="BI45" s="181">
        <v>815916662</v>
      </c>
      <c r="BJ45" s="181"/>
      <c r="BK45" s="181"/>
      <c r="BL45" s="181"/>
      <c r="BM45" s="181"/>
      <c r="BN45" s="181"/>
      <c r="BO45" s="181"/>
      <c r="BP45" s="181"/>
      <c r="BQ45" s="181"/>
      <c r="BR45" s="181"/>
      <c r="BS45" s="181"/>
      <c r="BT45" s="181"/>
      <c r="BU45" s="181"/>
      <c r="BV45" s="181"/>
      <c r="BW45" s="181"/>
      <c r="BX45" s="181"/>
      <c r="BY45" s="181"/>
      <c r="BZ45" s="181"/>
      <c r="CA45" s="190"/>
      <c r="CB45" s="3"/>
      <c r="CC45" s="16"/>
      <c r="CD45" s="16"/>
      <c r="CE45" s="16"/>
      <c r="CF45" s="16"/>
      <c r="CG45" s="16"/>
      <c r="CH45" s="16"/>
      <c r="CI45" s="16" t="s">
        <v>940</v>
      </c>
    </row>
    <row r="46" spans="1:87">
      <c r="A46" s="16" t="s">
        <v>5</v>
      </c>
      <c r="B46" s="16" t="s">
        <v>941</v>
      </c>
      <c r="C46" s="3">
        <v>46272</v>
      </c>
      <c r="D46" s="26" t="s">
        <v>14</v>
      </c>
      <c r="E46" s="180" t="s">
        <v>942</v>
      </c>
      <c r="F46" s="181">
        <v>2026232250394</v>
      </c>
      <c r="G46" s="181">
        <v>30</v>
      </c>
      <c r="H46" s="181">
        <v>18</v>
      </c>
      <c r="I46" s="181" t="s">
        <v>809</v>
      </c>
      <c r="J46" s="181" t="s">
        <v>942</v>
      </c>
      <c r="K46" s="181" t="s">
        <v>796</v>
      </c>
      <c r="L46" s="181" t="s">
        <v>18</v>
      </c>
      <c r="M46" s="181">
        <v>8</v>
      </c>
      <c r="N46" s="181" t="s">
        <v>462</v>
      </c>
      <c r="O46" s="181" t="s">
        <v>606</v>
      </c>
      <c r="P46" s="181" t="s">
        <v>943</v>
      </c>
      <c r="Q46" s="181" t="s">
        <v>465</v>
      </c>
      <c r="R46" s="181" t="s">
        <v>466</v>
      </c>
      <c r="S46" s="181" t="s">
        <v>944</v>
      </c>
      <c r="T46" s="181" t="s">
        <v>945</v>
      </c>
      <c r="U46" s="182">
        <v>46254.970833333333</v>
      </c>
      <c r="V46" s="181" t="s">
        <v>469</v>
      </c>
      <c r="W46" s="181" t="s">
        <v>568</v>
      </c>
      <c r="X46" s="181" t="s">
        <v>471</v>
      </c>
      <c r="Y46" s="181" t="s">
        <v>569</v>
      </c>
      <c r="Z46" s="181" t="s">
        <v>473</v>
      </c>
      <c r="AA46" s="181" t="s">
        <v>474</v>
      </c>
      <c r="AB46" s="181" t="s">
        <v>946</v>
      </c>
      <c r="AC46" s="181" t="s">
        <v>476</v>
      </c>
      <c r="AD46" s="181">
        <v>390806261</v>
      </c>
      <c r="AE46" s="181">
        <v>1699720086</v>
      </c>
      <c r="AF46" s="181">
        <v>1689970543</v>
      </c>
      <c r="AG46" s="181"/>
      <c r="AH46" s="181"/>
      <c r="AI46" s="181" t="s">
        <v>801</v>
      </c>
      <c r="AJ46" s="181" t="s">
        <v>481</v>
      </c>
      <c r="AK46" s="181" t="s">
        <v>947</v>
      </c>
      <c r="AL46" s="181">
        <v>30164</v>
      </c>
      <c r="AM46" s="181"/>
      <c r="AN46" s="181"/>
      <c r="AO46" s="181">
        <v>0</v>
      </c>
      <c r="AP46" s="181" t="s">
        <v>485</v>
      </c>
      <c r="AQ46" s="181" t="s">
        <v>948</v>
      </c>
      <c r="AR46" s="183">
        <v>46264</v>
      </c>
      <c r="AS46" s="181" t="s">
        <v>804</v>
      </c>
      <c r="AT46" s="181" t="s">
        <v>949</v>
      </c>
      <c r="AU46" s="181"/>
      <c r="AV46" s="181" t="s">
        <v>950</v>
      </c>
      <c r="AW46" s="181"/>
      <c r="AX46" s="181"/>
      <c r="AY46" s="181"/>
      <c r="AZ46" s="181"/>
      <c r="BA46" s="181"/>
      <c r="BB46" s="181"/>
      <c r="BC46" s="181"/>
      <c r="BD46" s="181" t="s">
        <v>801</v>
      </c>
      <c r="BE46" s="181">
        <v>18</v>
      </c>
      <c r="BF46" s="181" t="s">
        <v>951</v>
      </c>
      <c r="BG46" s="181"/>
      <c r="BH46" s="181" t="s">
        <v>491</v>
      </c>
      <c r="BI46" s="181" t="s">
        <v>943</v>
      </c>
      <c r="BJ46" s="181"/>
      <c r="BK46" s="181"/>
      <c r="BL46" s="181"/>
      <c r="BM46" s="181"/>
      <c r="BN46" s="181"/>
      <c r="BO46" s="181"/>
      <c r="BP46" s="181"/>
      <c r="BQ46" s="181"/>
      <c r="BR46" s="181"/>
      <c r="BS46" s="181"/>
      <c r="BT46" s="181"/>
      <c r="BU46" s="181"/>
      <c r="BV46" s="181"/>
      <c r="BW46" s="181"/>
      <c r="BX46" s="181"/>
      <c r="BY46" s="181"/>
      <c r="BZ46" s="181"/>
      <c r="CA46" s="190">
        <v>46282.166666666701</v>
      </c>
      <c r="CB46" s="3"/>
      <c r="CC46" s="16"/>
      <c r="CD46" s="16"/>
      <c r="CE46" s="16"/>
      <c r="CF46" s="16"/>
      <c r="CG46" s="16"/>
      <c r="CH46" s="16"/>
      <c r="CI46" s="16" t="s">
        <v>952</v>
      </c>
    </row>
    <row r="47" spans="1:87">
      <c r="A47" s="16"/>
      <c r="B47" s="16"/>
      <c r="C47" s="3">
        <v>46272</v>
      </c>
      <c r="D47" s="26" t="s">
        <v>14</v>
      </c>
      <c r="E47" s="180" t="s">
        <v>953</v>
      </c>
      <c r="F47" s="181">
        <v>2026210630547</v>
      </c>
      <c r="G47" s="181">
        <v>40</v>
      </c>
      <c r="H47" s="181">
        <v>40</v>
      </c>
      <c r="I47" s="181" t="s">
        <v>460</v>
      </c>
      <c r="J47" s="181" t="s">
        <v>953</v>
      </c>
      <c r="K47" s="181" t="s">
        <v>895</v>
      </c>
      <c r="L47" s="181" t="s">
        <v>18</v>
      </c>
      <c r="M47" s="181">
        <v>14</v>
      </c>
      <c r="N47" s="181" t="s">
        <v>462</v>
      </c>
      <c r="O47" s="181" t="s">
        <v>606</v>
      </c>
      <c r="P47" s="181">
        <v>826628803</v>
      </c>
      <c r="Q47" s="181" t="s">
        <v>465</v>
      </c>
      <c r="R47" s="181" t="s">
        <v>466</v>
      </c>
      <c r="S47" s="181" t="s">
        <v>954</v>
      </c>
      <c r="T47" s="181" t="s">
        <v>650</v>
      </c>
      <c r="U47" s="182">
        <v>46257.930555555555</v>
      </c>
      <c r="V47" s="181" t="s">
        <v>469</v>
      </c>
      <c r="W47" s="181" t="s">
        <v>651</v>
      </c>
      <c r="X47" s="181" t="s">
        <v>652</v>
      </c>
      <c r="Y47" s="181" t="s">
        <v>653</v>
      </c>
      <c r="Z47" s="181" t="s">
        <v>501</v>
      </c>
      <c r="AA47" s="181" t="s">
        <v>474</v>
      </c>
      <c r="AB47" s="181" t="s">
        <v>654</v>
      </c>
      <c r="AC47" s="181" t="s">
        <v>503</v>
      </c>
      <c r="AD47" s="181">
        <v>541581185</v>
      </c>
      <c r="AE47" s="181">
        <v>1710959457</v>
      </c>
      <c r="AF47" s="181">
        <v>1033140694</v>
      </c>
      <c r="AG47" s="181">
        <v>4.2520253572261696E+16</v>
      </c>
      <c r="AH47" s="181"/>
      <c r="AI47" s="181" t="s">
        <v>20</v>
      </c>
      <c r="AJ47" s="181" t="s">
        <v>481</v>
      </c>
      <c r="AK47" s="181" t="s">
        <v>955</v>
      </c>
      <c r="AL47" s="181">
        <v>6790</v>
      </c>
      <c r="AM47" s="181"/>
      <c r="AN47" s="181"/>
      <c r="AO47" s="181">
        <v>826</v>
      </c>
      <c r="AP47" s="181" t="s">
        <v>485</v>
      </c>
      <c r="AQ47" s="181" t="s">
        <v>956</v>
      </c>
      <c r="AR47" s="183">
        <v>46258</v>
      </c>
      <c r="AS47" s="181" t="s">
        <v>20</v>
      </c>
      <c r="AT47" s="181" t="s">
        <v>938</v>
      </c>
      <c r="AU47" s="181"/>
      <c r="AV47" s="181" t="s">
        <v>957</v>
      </c>
      <c r="AW47" s="181"/>
      <c r="AX47" s="181"/>
      <c r="AY47" s="181"/>
      <c r="AZ47" s="181"/>
      <c r="BA47" s="181"/>
      <c r="BB47" s="181"/>
      <c r="BC47" s="181"/>
      <c r="BD47" s="181" t="s">
        <v>20</v>
      </c>
      <c r="BE47" s="181">
        <v>40</v>
      </c>
      <c r="BF47" s="181"/>
      <c r="BG47" s="181"/>
      <c r="BH47" s="181" t="s">
        <v>658</v>
      </c>
      <c r="BI47" s="181">
        <v>826628803</v>
      </c>
      <c r="BJ47" s="181"/>
      <c r="BK47" s="181"/>
      <c r="BL47" s="181"/>
      <c r="BM47" s="181"/>
      <c r="BN47" s="181"/>
      <c r="BO47" s="181"/>
      <c r="BP47" s="181"/>
      <c r="BQ47" s="181"/>
      <c r="BR47" s="181"/>
      <c r="BS47" s="181"/>
      <c r="BT47" s="181"/>
      <c r="BU47" s="181"/>
      <c r="BV47" s="181"/>
      <c r="BW47" s="181"/>
      <c r="BX47" s="181"/>
      <c r="BY47" s="181"/>
      <c r="BZ47" s="181"/>
      <c r="CA47" s="190"/>
      <c r="CB47" s="3"/>
      <c r="CC47" s="16"/>
      <c r="CD47" s="16"/>
      <c r="CE47" s="16"/>
      <c r="CF47" s="16"/>
      <c r="CG47" s="16"/>
      <c r="CH47" s="16"/>
      <c r="CI47" s="16" t="s">
        <v>958</v>
      </c>
    </row>
    <row r="48" spans="1:87">
      <c r="A48" s="16"/>
      <c r="B48" s="16"/>
      <c r="C48" s="3">
        <v>46272</v>
      </c>
      <c r="D48" s="26" t="s">
        <v>14</v>
      </c>
      <c r="E48" s="180" t="s">
        <v>959</v>
      </c>
      <c r="F48" s="181">
        <v>2026211230300</v>
      </c>
      <c r="G48" s="181">
        <v>40</v>
      </c>
      <c r="H48" s="181">
        <v>39</v>
      </c>
      <c r="I48" s="181" t="s">
        <v>460</v>
      </c>
      <c r="J48" s="181" t="s">
        <v>959</v>
      </c>
      <c r="K48" s="181" t="s">
        <v>960</v>
      </c>
      <c r="L48" s="181" t="s">
        <v>13</v>
      </c>
      <c r="M48" s="181">
        <v>14</v>
      </c>
      <c r="N48" s="181" t="s">
        <v>462</v>
      </c>
      <c r="O48" s="181" t="s">
        <v>606</v>
      </c>
      <c r="P48" s="181">
        <v>904025939</v>
      </c>
      <c r="Q48" s="181" t="s">
        <v>961</v>
      </c>
      <c r="R48" s="181" t="s">
        <v>466</v>
      </c>
      <c r="S48" s="181" t="s">
        <v>962</v>
      </c>
      <c r="T48" s="181" t="s">
        <v>650</v>
      </c>
      <c r="U48" s="182">
        <v>46257.869444444441</v>
      </c>
      <c r="V48" s="181" t="s">
        <v>469</v>
      </c>
      <c r="W48" s="181" t="s">
        <v>651</v>
      </c>
      <c r="X48" s="181" t="s">
        <v>652</v>
      </c>
      <c r="Y48" s="181" t="s">
        <v>653</v>
      </c>
      <c r="Z48" s="181" t="s">
        <v>501</v>
      </c>
      <c r="AA48" s="181" t="s">
        <v>474</v>
      </c>
      <c r="AB48" s="181" t="s">
        <v>963</v>
      </c>
      <c r="AC48" s="181" t="s">
        <v>503</v>
      </c>
      <c r="AD48" s="181">
        <v>541988843</v>
      </c>
      <c r="AE48" s="181">
        <v>1679591440</v>
      </c>
      <c r="AF48" s="181">
        <v>1568428258</v>
      </c>
      <c r="AG48" s="181">
        <v>4.2520253260384096E+16</v>
      </c>
      <c r="AH48" s="181"/>
      <c r="AI48" s="181" t="s">
        <v>55</v>
      </c>
      <c r="AJ48" s="181" t="s">
        <v>481</v>
      </c>
      <c r="AK48" s="181" t="s">
        <v>964</v>
      </c>
      <c r="AL48" s="181">
        <v>4105</v>
      </c>
      <c r="AM48" s="181"/>
      <c r="AN48" s="181"/>
      <c r="AO48" s="181">
        <v>904</v>
      </c>
      <c r="AP48" s="181" t="s">
        <v>485</v>
      </c>
      <c r="AQ48" s="181" t="s">
        <v>965</v>
      </c>
      <c r="AR48" s="183">
        <v>46258</v>
      </c>
      <c r="AS48" s="181" t="s">
        <v>55</v>
      </c>
      <c r="AT48" s="181" t="s">
        <v>966</v>
      </c>
      <c r="AU48" s="181"/>
      <c r="AV48" s="181" t="s">
        <v>967</v>
      </c>
      <c r="AW48" s="181"/>
      <c r="AX48" s="181"/>
      <c r="AY48" s="181"/>
      <c r="AZ48" s="181"/>
      <c r="BA48" s="181"/>
      <c r="BB48" s="181"/>
      <c r="BC48" s="181"/>
      <c r="BD48" s="181" t="s">
        <v>55</v>
      </c>
      <c r="BE48" s="181">
        <v>39</v>
      </c>
      <c r="BF48" s="181"/>
      <c r="BG48" s="181"/>
      <c r="BH48" s="181" t="s">
        <v>658</v>
      </c>
      <c r="BI48" s="181">
        <v>904025939</v>
      </c>
      <c r="BJ48" s="181"/>
      <c r="BK48" s="181"/>
      <c r="BL48" s="181"/>
      <c r="BM48" s="181"/>
      <c r="BN48" s="181"/>
      <c r="BO48" s="181"/>
      <c r="BP48" s="181"/>
      <c r="BQ48" s="181"/>
      <c r="BR48" s="181"/>
      <c r="BS48" s="181"/>
      <c r="BT48" s="181"/>
      <c r="BU48" s="181"/>
      <c r="BV48" s="181"/>
      <c r="BW48" s="181"/>
      <c r="BX48" s="181"/>
      <c r="BY48" s="181"/>
      <c r="BZ48" s="181"/>
      <c r="CA48" s="190"/>
      <c r="CB48" s="3"/>
      <c r="CC48" s="16"/>
      <c r="CD48" s="16"/>
      <c r="CE48" s="16"/>
      <c r="CF48" s="16"/>
      <c r="CG48" s="16"/>
      <c r="CH48" s="16"/>
      <c r="CI48" s="16" t="s">
        <v>968</v>
      </c>
    </row>
    <row r="49" spans="1:87" ht="29.25">
      <c r="A49" s="16" t="s">
        <v>5</v>
      </c>
      <c r="B49" s="25" t="s">
        <v>969</v>
      </c>
      <c r="C49" s="3">
        <v>46272</v>
      </c>
      <c r="D49" s="26" t="s">
        <v>14</v>
      </c>
      <c r="E49" s="180" t="s">
        <v>970</v>
      </c>
      <c r="F49" s="181">
        <v>2026217340208</v>
      </c>
      <c r="G49" s="181">
        <v>40</v>
      </c>
      <c r="H49" s="181">
        <v>33</v>
      </c>
      <c r="I49" s="181" t="s">
        <v>460</v>
      </c>
      <c r="J49" s="181" t="s">
        <v>970</v>
      </c>
      <c r="K49" s="181" t="s">
        <v>585</v>
      </c>
      <c r="L49" s="181" t="s">
        <v>17</v>
      </c>
      <c r="M49" s="181">
        <v>10</v>
      </c>
      <c r="N49" s="181" t="s">
        <v>462</v>
      </c>
      <c r="O49" s="181" t="s">
        <v>606</v>
      </c>
      <c r="P49" s="181">
        <v>830102267</v>
      </c>
      <c r="Q49" s="181" t="s">
        <v>465</v>
      </c>
      <c r="R49" s="181" t="s">
        <v>466</v>
      </c>
      <c r="S49" s="181" t="s">
        <v>971</v>
      </c>
      <c r="T49" s="181" t="s">
        <v>650</v>
      </c>
      <c r="U49" s="182">
        <v>46261.708333333336</v>
      </c>
      <c r="V49" s="181" t="s">
        <v>469</v>
      </c>
      <c r="W49" s="181" t="s">
        <v>651</v>
      </c>
      <c r="X49" s="181" t="s">
        <v>652</v>
      </c>
      <c r="Y49" s="181" t="s">
        <v>653</v>
      </c>
      <c r="Z49" s="181" t="s">
        <v>501</v>
      </c>
      <c r="AA49" s="181" t="s">
        <v>474</v>
      </c>
      <c r="AB49" s="181" t="s">
        <v>654</v>
      </c>
      <c r="AC49" s="181" t="s">
        <v>503</v>
      </c>
      <c r="AD49" s="181">
        <v>540505979</v>
      </c>
      <c r="AE49" s="181">
        <v>1619928017</v>
      </c>
      <c r="AF49" s="181"/>
      <c r="AG49" s="181">
        <v>4.2520253190198E+16</v>
      </c>
      <c r="AH49" s="181"/>
      <c r="AI49" s="181" t="s">
        <v>22</v>
      </c>
      <c r="AJ49" s="181" t="s">
        <v>481</v>
      </c>
      <c r="AK49" s="181" t="s">
        <v>972</v>
      </c>
      <c r="AL49" s="181">
        <v>1872</v>
      </c>
      <c r="AM49" s="181"/>
      <c r="AN49" s="181"/>
      <c r="AO49" s="181">
        <v>830</v>
      </c>
      <c r="AP49" s="181" t="s">
        <v>485</v>
      </c>
      <c r="AQ49" s="181" t="s">
        <v>973</v>
      </c>
      <c r="AR49" s="183">
        <v>46262</v>
      </c>
      <c r="AS49" s="181" t="s">
        <v>22</v>
      </c>
      <c r="AT49" s="181" t="s">
        <v>974</v>
      </c>
      <c r="AU49" s="181"/>
      <c r="AV49" s="181" t="s">
        <v>657</v>
      </c>
      <c r="AW49" s="181"/>
      <c r="AX49" s="181"/>
      <c r="AY49" s="181"/>
      <c r="AZ49" s="181"/>
      <c r="BA49" s="181"/>
      <c r="BB49" s="181"/>
      <c r="BC49" s="181"/>
      <c r="BD49" s="181" t="s">
        <v>22</v>
      </c>
      <c r="BE49" s="181">
        <v>33</v>
      </c>
      <c r="BF49" s="181"/>
      <c r="BG49" s="181" t="s">
        <v>490</v>
      </c>
      <c r="BH49" s="181" t="s">
        <v>658</v>
      </c>
      <c r="BI49" s="181">
        <v>830102267</v>
      </c>
      <c r="BJ49" s="181"/>
      <c r="BK49" s="181"/>
      <c r="BL49" s="181"/>
      <c r="BM49" s="181"/>
      <c r="BN49" s="181"/>
      <c r="BO49" s="181"/>
      <c r="BP49" s="181"/>
      <c r="BQ49" s="181"/>
      <c r="BR49" s="181"/>
      <c r="BS49" s="181"/>
      <c r="BT49" s="181"/>
      <c r="BU49" s="181"/>
      <c r="BV49" s="181"/>
      <c r="BW49" s="181"/>
      <c r="BX49" s="181"/>
      <c r="BY49" s="181"/>
      <c r="BZ49" s="181"/>
      <c r="CA49" s="190">
        <v>46285.166666666701</v>
      </c>
      <c r="CB49" s="3"/>
      <c r="CC49" s="16"/>
      <c r="CD49" s="16"/>
      <c r="CE49" s="16"/>
      <c r="CF49" s="16"/>
      <c r="CG49" s="16"/>
      <c r="CH49" s="16"/>
      <c r="CI49" s="16" t="s">
        <v>975</v>
      </c>
    </row>
    <row r="50" spans="1:87">
      <c r="A50" s="16" t="s">
        <v>5</v>
      </c>
      <c r="B50" s="16" t="s">
        <v>976</v>
      </c>
      <c r="C50" s="3">
        <v>46272</v>
      </c>
      <c r="D50" s="26" t="s">
        <v>14</v>
      </c>
      <c r="E50" s="180" t="s">
        <v>977</v>
      </c>
      <c r="F50" s="181">
        <v>2026218110490</v>
      </c>
      <c r="G50" s="181">
        <v>40</v>
      </c>
      <c r="H50" s="181">
        <v>32</v>
      </c>
      <c r="I50" s="181" t="s">
        <v>460</v>
      </c>
      <c r="J50" s="181" t="s">
        <v>977</v>
      </c>
      <c r="K50" s="181" t="s">
        <v>461</v>
      </c>
      <c r="L50" s="181" t="s">
        <v>17</v>
      </c>
      <c r="M50" s="181">
        <v>7</v>
      </c>
      <c r="N50" s="181" t="s">
        <v>462</v>
      </c>
      <c r="O50" s="181" t="s">
        <v>606</v>
      </c>
      <c r="P50" s="181">
        <v>101213166</v>
      </c>
      <c r="Q50" s="181" t="s">
        <v>961</v>
      </c>
      <c r="R50" s="181" t="s">
        <v>466</v>
      </c>
      <c r="S50" s="181" t="s">
        <v>978</v>
      </c>
      <c r="T50" s="181" t="s">
        <v>650</v>
      </c>
      <c r="U50" s="182">
        <v>46264.828472222223</v>
      </c>
      <c r="V50" s="181" t="s">
        <v>469</v>
      </c>
      <c r="W50" s="181" t="s">
        <v>651</v>
      </c>
      <c r="X50" s="181" t="s">
        <v>652</v>
      </c>
      <c r="Y50" s="181" t="s">
        <v>653</v>
      </c>
      <c r="Z50" s="181" t="s">
        <v>501</v>
      </c>
      <c r="AA50" s="181" t="s">
        <v>474</v>
      </c>
      <c r="AB50" s="181" t="s">
        <v>654</v>
      </c>
      <c r="AC50" s="181" t="s">
        <v>503</v>
      </c>
      <c r="AD50" s="181">
        <v>541988843</v>
      </c>
      <c r="AE50" s="181">
        <v>1679591440</v>
      </c>
      <c r="AF50" s="181">
        <v>1568428258</v>
      </c>
      <c r="AG50" s="181">
        <v>4.2520253260385904E+16</v>
      </c>
      <c r="AH50" s="181"/>
      <c r="AI50" s="181" t="s">
        <v>67</v>
      </c>
      <c r="AJ50" s="181" t="s">
        <v>481</v>
      </c>
      <c r="AK50" s="181" t="s">
        <v>979</v>
      </c>
      <c r="AL50" s="181">
        <v>4995</v>
      </c>
      <c r="AM50" s="181"/>
      <c r="AN50" s="181"/>
      <c r="AO50" s="181">
        <v>101</v>
      </c>
      <c r="AP50" s="181" t="s">
        <v>485</v>
      </c>
      <c r="AQ50" s="181" t="s">
        <v>980</v>
      </c>
      <c r="AR50" s="183">
        <v>46265</v>
      </c>
      <c r="AS50" s="181" t="s">
        <v>67</v>
      </c>
      <c r="AT50" s="181" t="s">
        <v>487</v>
      </c>
      <c r="AU50" s="181"/>
      <c r="AV50" s="181" t="s">
        <v>967</v>
      </c>
      <c r="AW50" s="181"/>
      <c r="AX50" s="181"/>
      <c r="AY50" s="181"/>
      <c r="AZ50" s="181"/>
      <c r="BA50" s="181"/>
      <c r="BB50" s="181"/>
      <c r="BC50" s="181"/>
      <c r="BD50" s="181" t="s">
        <v>67</v>
      </c>
      <c r="BE50" s="181">
        <v>32</v>
      </c>
      <c r="BF50" s="181"/>
      <c r="BG50" s="181"/>
      <c r="BH50" s="181" t="s">
        <v>658</v>
      </c>
      <c r="BI50" s="181">
        <v>101213166</v>
      </c>
      <c r="BJ50" s="181"/>
      <c r="BK50" s="181"/>
      <c r="BL50" s="181"/>
      <c r="BM50" s="181"/>
      <c r="BN50" s="181"/>
      <c r="BO50" s="181"/>
      <c r="BP50" s="181"/>
      <c r="BQ50" s="181"/>
      <c r="BR50" s="181"/>
      <c r="BS50" s="181"/>
      <c r="BT50" s="181"/>
      <c r="BU50" s="181"/>
      <c r="BV50" s="181"/>
      <c r="BW50" s="181"/>
      <c r="BX50" s="181"/>
      <c r="BY50" s="181"/>
      <c r="BZ50" s="181"/>
      <c r="CA50" s="190">
        <v>46275.166666666701</v>
      </c>
      <c r="CB50" s="3"/>
      <c r="CC50" s="16"/>
      <c r="CD50" s="16"/>
      <c r="CE50" s="16"/>
      <c r="CF50" s="16"/>
      <c r="CG50" s="16"/>
      <c r="CH50" s="16"/>
      <c r="CI50" s="16" t="s">
        <v>981</v>
      </c>
    </row>
    <row r="51" spans="1:87">
      <c r="A51" s="16"/>
      <c r="B51" s="16"/>
      <c r="C51" s="3">
        <v>46272</v>
      </c>
      <c r="D51" s="26" t="s">
        <v>14</v>
      </c>
      <c r="E51" s="180" t="s">
        <v>982</v>
      </c>
      <c r="F51" s="181">
        <v>2026212980260</v>
      </c>
      <c r="G51" s="181">
        <v>40</v>
      </c>
      <c r="H51" s="181">
        <v>39</v>
      </c>
      <c r="I51" s="181" t="s">
        <v>460</v>
      </c>
      <c r="J51" s="181" t="s">
        <v>982</v>
      </c>
      <c r="K51" s="181" t="s">
        <v>983</v>
      </c>
      <c r="L51" s="181" t="s">
        <v>17</v>
      </c>
      <c r="M51" s="181">
        <v>12</v>
      </c>
      <c r="N51" s="181" t="s">
        <v>462</v>
      </c>
      <c r="O51" s="181" t="s">
        <v>606</v>
      </c>
      <c r="P51" s="181" t="s">
        <v>984</v>
      </c>
      <c r="Q51" s="181" t="s">
        <v>465</v>
      </c>
      <c r="R51" s="181" t="s">
        <v>466</v>
      </c>
      <c r="S51" s="181" t="s">
        <v>985</v>
      </c>
      <c r="T51" s="181" t="s">
        <v>986</v>
      </c>
      <c r="U51" s="182">
        <v>46260.104166666664</v>
      </c>
      <c r="V51" s="181" t="s">
        <v>469</v>
      </c>
      <c r="W51" s="181" t="s">
        <v>470</v>
      </c>
      <c r="X51" s="181" t="s">
        <v>471</v>
      </c>
      <c r="Y51" s="181" t="s">
        <v>523</v>
      </c>
      <c r="Z51" s="181" t="s">
        <v>544</v>
      </c>
      <c r="AA51" s="181" t="s">
        <v>474</v>
      </c>
      <c r="AB51" s="181" t="s">
        <v>987</v>
      </c>
      <c r="AC51" s="181" t="s">
        <v>546</v>
      </c>
      <c r="AD51" s="181">
        <v>273818647</v>
      </c>
      <c r="AE51" s="181">
        <v>1275992240</v>
      </c>
      <c r="AF51" s="181">
        <v>1194162834</v>
      </c>
      <c r="AG51" s="181"/>
      <c r="AH51" s="181"/>
      <c r="AI51" s="181" t="s">
        <v>34</v>
      </c>
      <c r="AJ51" s="181" t="s">
        <v>481</v>
      </c>
      <c r="AK51" s="181" t="s">
        <v>988</v>
      </c>
      <c r="AL51" s="181">
        <v>6110</v>
      </c>
      <c r="AM51" s="181"/>
      <c r="AN51" s="181"/>
      <c r="AO51" s="181">
        <v>772</v>
      </c>
      <c r="AP51" s="181" t="s">
        <v>485</v>
      </c>
      <c r="AQ51" s="181" t="s">
        <v>989</v>
      </c>
      <c r="AR51" s="183">
        <v>46260</v>
      </c>
      <c r="AS51" s="181" t="s">
        <v>34</v>
      </c>
      <c r="AT51" s="181" t="s">
        <v>976</v>
      </c>
      <c r="AU51" s="181"/>
      <c r="AV51" s="181" t="s">
        <v>990</v>
      </c>
      <c r="AW51" s="181"/>
      <c r="AX51" s="181"/>
      <c r="AY51" s="181"/>
      <c r="AZ51" s="181"/>
      <c r="BA51" s="181"/>
      <c r="BB51" s="181"/>
      <c r="BC51" s="181"/>
      <c r="BD51" s="181" t="s">
        <v>34</v>
      </c>
      <c r="BE51" s="181">
        <v>38</v>
      </c>
      <c r="BF51" s="181"/>
      <c r="BG51" s="181"/>
      <c r="BH51" s="181" t="s">
        <v>491</v>
      </c>
      <c r="BI51" s="181">
        <v>260435922</v>
      </c>
      <c r="BJ51" s="181"/>
      <c r="BK51" s="181"/>
      <c r="BL51" s="181"/>
      <c r="BM51" s="181"/>
      <c r="BN51" s="181"/>
      <c r="BO51" s="181"/>
      <c r="BP51" s="181"/>
      <c r="BQ51" s="181"/>
      <c r="BR51" s="181"/>
      <c r="BS51" s="181"/>
      <c r="BT51" s="181"/>
      <c r="BU51" s="181"/>
      <c r="BV51" s="181"/>
      <c r="BW51" s="181"/>
      <c r="BX51" s="181"/>
      <c r="BY51" s="181"/>
      <c r="BZ51" s="181"/>
      <c r="CA51" s="190"/>
      <c r="CB51" s="3"/>
      <c r="CC51" s="16"/>
      <c r="CD51" s="16"/>
      <c r="CE51" s="16"/>
      <c r="CF51" s="16"/>
      <c r="CG51" s="16"/>
      <c r="CH51" s="16"/>
      <c r="CI51" s="16" t="s">
        <v>991</v>
      </c>
    </row>
    <row r="52" spans="1:87">
      <c r="A52" s="16" t="s">
        <v>5</v>
      </c>
      <c r="B52" s="16" t="s">
        <v>992</v>
      </c>
      <c r="C52" s="3">
        <v>46272</v>
      </c>
      <c r="D52" s="26" t="s">
        <v>14</v>
      </c>
      <c r="E52" s="180" t="s">
        <v>993</v>
      </c>
      <c r="F52" s="181">
        <v>2026207000038</v>
      </c>
      <c r="G52" s="181">
        <v>40</v>
      </c>
      <c r="H52" s="181">
        <v>43</v>
      </c>
      <c r="I52" s="181" t="s">
        <v>460</v>
      </c>
      <c r="J52" s="181" t="s">
        <v>993</v>
      </c>
      <c r="K52" s="181" t="s">
        <v>994</v>
      </c>
      <c r="L52" s="181" t="s">
        <v>17</v>
      </c>
      <c r="M52" s="181">
        <v>19</v>
      </c>
      <c r="N52" s="181" t="s">
        <v>462</v>
      </c>
      <c r="O52" s="181" t="s">
        <v>606</v>
      </c>
      <c r="P52" s="181" t="s">
        <v>984</v>
      </c>
      <c r="Q52" s="181" t="s">
        <v>465</v>
      </c>
      <c r="R52" s="181" t="s">
        <v>466</v>
      </c>
      <c r="S52" s="181" t="s">
        <v>995</v>
      </c>
      <c r="T52" s="181" t="s">
        <v>986</v>
      </c>
      <c r="U52" s="182">
        <v>46252.895138888889</v>
      </c>
      <c r="V52" s="181" t="s">
        <v>469</v>
      </c>
      <c r="W52" s="181" t="s">
        <v>470</v>
      </c>
      <c r="X52" s="181" t="s">
        <v>471</v>
      </c>
      <c r="Y52" s="181" t="s">
        <v>523</v>
      </c>
      <c r="Z52" s="181" t="s">
        <v>544</v>
      </c>
      <c r="AA52" s="181" t="s">
        <v>474</v>
      </c>
      <c r="AB52" s="181" t="s">
        <v>987</v>
      </c>
      <c r="AC52" s="181" t="s">
        <v>546</v>
      </c>
      <c r="AD52" s="181">
        <v>273818647</v>
      </c>
      <c r="AE52" s="181">
        <v>1275992240</v>
      </c>
      <c r="AF52" s="181">
        <v>1801994884</v>
      </c>
      <c r="AG52" s="181"/>
      <c r="AH52" s="181"/>
      <c r="AI52" s="181" t="s">
        <v>107</v>
      </c>
      <c r="AJ52" s="181" t="s">
        <v>481</v>
      </c>
      <c r="AK52" s="181" t="s">
        <v>996</v>
      </c>
      <c r="AL52" s="181">
        <v>5280</v>
      </c>
      <c r="AM52" s="181"/>
      <c r="AN52" s="181"/>
      <c r="AO52" s="181">
        <v>772</v>
      </c>
      <c r="AP52" s="181" t="s">
        <v>485</v>
      </c>
      <c r="AQ52" s="181" t="s">
        <v>997</v>
      </c>
      <c r="AR52" s="183">
        <v>46253</v>
      </c>
      <c r="AS52" s="181" t="s">
        <v>107</v>
      </c>
      <c r="AT52" s="181" t="s">
        <v>998</v>
      </c>
      <c r="AU52" s="181"/>
      <c r="AV52" s="181" t="s">
        <v>999</v>
      </c>
      <c r="AW52" s="181"/>
      <c r="AX52" s="181"/>
      <c r="AY52" s="181"/>
      <c r="AZ52" s="181"/>
      <c r="BA52" s="181"/>
      <c r="BB52" s="181"/>
      <c r="BC52" s="181"/>
      <c r="BD52" s="181" t="s">
        <v>107</v>
      </c>
      <c r="BE52" s="181">
        <v>43</v>
      </c>
      <c r="BF52" s="181"/>
      <c r="BG52" s="181"/>
      <c r="BH52" s="181" t="s">
        <v>491</v>
      </c>
      <c r="BI52" s="181">
        <v>260435922</v>
      </c>
      <c r="BJ52" s="181"/>
      <c r="BK52" s="181"/>
      <c r="BL52" s="181"/>
      <c r="BM52" s="181"/>
      <c r="BN52" s="181"/>
      <c r="BO52" s="181"/>
      <c r="BP52" s="181"/>
      <c r="BQ52" s="181"/>
      <c r="BR52" s="181"/>
      <c r="BS52" s="181"/>
      <c r="BT52" s="181"/>
      <c r="BU52" s="181"/>
      <c r="BV52" s="181"/>
      <c r="BW52" s="181"/>
      <c r="BX52" s="181"/>
      <c r="BY52" s="181"/>
      <c r="BZ52" s="181"/>
      <c r="CA52" s="190">
        <v>46285.666666666701</v>
      </c>
      <c r="CB52" s="3"/>
      <c r="CC52" s="16"/>
      <c r="CD52" s="16"/>
      <c r="CE52" s="16"/>
      <c r="CF52" s="16"/>
      <c r="CG52" s="16"/>
      <c r="CH52" s="16"/>
      <c r="CI52" s="16" t="s">
        <v>1000</v>
      </c>
    </row>
    <row r="53" spans="1:87" ht="29.25">
      <c r="A53" s="16" t="s">
        <v>5</v>
      </c>
      <c r="B53" s="25" t="s">
        <v>672</v>
      </c>
      <c r="C53" s="3">
        <v>46272</v>
      </c>
      <c r="D53" s="26" t="s">
        <v>14</v>
      </c>
      <c r="E53" s="180" t="s">
        <v>1001</v>
      </c>
      <c r="F53" s="181">
        <v>2026216860024</v>
      </c>
      <c r="G53" s="181">
        <v>40</v>
      </c>
      <c r="H53" s="181">
        <v>34</v>
      </c>
      <c r="I53" s="181" t="s">
        <v>460</v>
      </c>
      <c r="J53" s="181" t="s">
        <v>1001</v>
      </c>
      <c r="K53" s="181" t="s">
        <v>674</v>
      </c>
      <c r="L53" s="181" t="s">
        <v>16</v>
      </c>
      <c r="M53" s="181">
        <v>12</v>
      </c>
      <c r="N53" s="181" t="s">
        <v>462</v>
      </c>
      <c r="O53" s="181" t="s">
        <v>606</v>
      </c>
      <c r="P53" s="181" t="s">
        <v>1002</v>
      </c>
      <c r="Q53" s="181" t="s">
        <v>465</v>
      </c>
      <c r="R53" s="181" t="s">
        <v>466</v>
      </c>
      <c r="S53" s="181" t="s">
        <v>1003</v>
      </c>
      <c r="T53" s="181" t="s">
        <v>1004</v>
      </c>
      <c r="U53" s="182">
        <v>46260.26458333333</v>
      </c>
      <c r="V53" s="181" t="s">
        <v>469</v>
      </c>
      <c r="W53" s="181" t="s">
        <v>470</v>
      </c>
      <c r="X53" s="181" t="s">
        <v>471</v>
      </c>
      <c r="Y53" s="181" t="s">
        <v>523</v>
      </c>
      <c r="Z53" s="181" t="s">
        <v>731</v>
      </c>
      <c r="AA53" s="181" t="s">
        <v>474</v>
      </c>
      <c r="AB53" s="181" t="s">
        <v>1005</v>
      </c>
      <c r="AC53" s="181" t="s">
        <v>733</v>
      </c>
      <c r="AD53" s="181">
        <v>900294051</v>
      </c>
      <c r="AE53" s="181">
        <v>1639291263</v>
      </c>
      <c r="AF53" s="181">
        <v>1326259615</v>
      </c>
      <c r="AG53" s="181"/>
      <c r="AH53" s="181"/>
      <c r="AI53" s="181" t="s">
        <v>54</v>
      </c>
      <c r="AJ53" s="181" t="s">
        <v>481</v>
      </c>
      <c r="AK53" s="181" t="s">
        <v>1006</v>
      </c>
      <c r="AL53" s="181">
        <v>3500</v>
      </c>
      <c r="AM53" s="181"/>
      <c r="AN53" s="181"/>
      <c r="AO53" s="181">
        <v>40</v>
      </c>
      <c r="AP53" s="181" t="s">
        <v>485</v>
      </c>
      <c r="AQ53" s="181" t="s">
        <v>1007</v>
      </c>
      <c r="AR53" s="183">
        <v>46260</v>
      </c>
      <c r="AS53" s="181" t="s">
        <v>54</v>
      </c>
      <c r="AT53" s="181" t="s">
        <v>606</v>
      </c>
      <c r="AU53" s="181"/>
      <c r="AV53" s="181" t="s">
        <v>1008</v>
      </c>
      <c r="AW53" s="181"/>
      <c r="AX53" s="181"/>
      <c r="AY53" s="181"/>
      <c r="AZ53" s="181"/>
      <c r="BA53" s="181"/>
      <c r="BB53" s="181"/>
      <c r="BC53" s="181"/>
      <c r="BD53" s="181" t="s">
        <v>54</v>
      </c>
      <c r="BE53" s="181">
        <v>34</v>
      </c>
      <c r="BF53" s="181"/>
      <c r="BG53" s="181"/>
      <c r="BH53" s="181" t="s">
        <v>491</v>
      </c>
      <c r="BI53" s="181">
        <v>492064570</v>
      </c>
      <c r="BJ53" s="181"/>
      <c r="BK53" s="181"/>
      <c r="BL53" s="181"/>
      <c r="BM53" s="181"/>
      <c r="BN53" s="181"/>
      <c r="BO53" s="181"/>
      <c r="BP53" s="181"/>
      <c r="BQ53" s="181"/>
      <c r="BR53" s="181"/>
      <c r="BS53" s="181"/>
      <c r="BT53" s="181"/>
      <c r="BU53" s="181"/>
      <c r="BV53" s="181"/>
      <c r="BW53" s="181"/>
      <c r="BX53" s="181"/>
      <c r="BY53" s="181"/>
      <c r="BZ53" s="181"/>
      <c r="CA53" s="190">
        <v>46281.666666666701</v>
      </c>
      <c r="CB53" s="3"/>
      <c r="CC53" s="16"/>
      <c r="CD53" s="16"/>
      <c r="CE53" s="16"/>
      <c r="CF53" s="16"/>
      <c r="CG53" s="16"/>
      <c r="CH53" s="16"/>
      <c r="CI53" s="16" t="s">
        <v>1009</v>
      </c>
    </row>
    <row r="54" spans="1:87" ht="29.25">
      <c r="A54" s="16" t="s">
        <v>5</v>
      </c>
      <c r="B54" s="25" t="s">
        <v>1010</v>
      </c>
      <c r="C54" s="3">
        <v>46272</v>
      </c>
      <c r="D54" s="26" t="s">
        <v>14</v>
      </c>
      <c r="E54" s="180" t="s">
        <v>1011</v>
      </c>
      <c r="F54" s="181">
        <v>2026213320183</v>
      </c>
      <c r="G54" s="181">
        <v>40</v>
      </c>
      <c r="H54" s="181">
        <v>37</v>
      </c>
      <c r="I54" s="181" t="s">
        <v>460</v>
      </c>
      <c r="J54" s="181" t="s">
        <v>1011</v>
      </c>
      <c r="K54" s="181" t="s">
        <v>994</v>
      </c>
      <c r="L54" s="181" t="s">
        <v>17</v>
      </c>
      <c r="M54" s="181">
        <v>13</v>
      </c>
      <c r="N54" s="181" t="s">
        <v>462</v>
      </c>
      <c r="O54" s="181" t="s">
        <v>606</v>
      </c>
      <c r="P54" s="181" t="s">
        <v>1012</v>
      </c>
      <c r="Q54" s="181" t="s">
        <v>465</v>
      </c>
      <c r="R54" s="181" t="s">
        <v>466</v>
      </c>
      <c r="S54" s="181" t="s">
        <v>1013</v>
      </c>
      <c r="T54" s="181" t="s">
        <v>1014</v>
      </c>
      <c r="U54" s="182">
        <v>46258.935416666667</v>
      </c>
      <c r="V54" s="181" t="s">
        <v>469</v>
      </c>
      <c r="W54" s="181" t="s">
        <v>470</v>
      </c>
      <c r="X54" s="181" t="s">
        <v>471</v>
      </c>
      <c r="Y54" s="181" t="s">
        <v>523</v>
      </c>
      <c r="Z54" s="181" t="s">
        <v>638</v>
      </c>
      <c r="AA54" s="181" t="s">
        <v>474</v>
      </c>
      <c r="AB54" s="181" t="s">
        <v>1015</v>
      </c>
      <c r="AC54" s="181" t="s">
        <v>465</v>
      </c>
      <c r="AD54" s="181">
        <v>992145793</v>
      </c>
      <c r="AE54" s="181">
        <v>1326893777</v>
      </c>
      <c r="AF54" s="181">
        <v>1174789564</v>
      </c>
      <c r="AG54" s="181"/>
      <c r="AH54" s="181"/>
      <c r="AI54" s="181" t="s">
        <v>107</v>
      </c>
      <c r="AJ54" s="181" t="s">
        <v>481</v>
      </c>
      <c r="AK54" s="181" t="s">
        <v>1016</v>
      </c>
      <c r="AL54" s="181">
        <v>6207</v>
      </c>
      <c r="AM54" s="181"/>
      <c r="AN54" s="181"/>
      <c r="AO54" s="181">
        <v>424</v>
      </c>
      <c r="AP54" s="181" t="s">
        <v>485</v>
      </c>
      <c r="AQ54" s="181" t="s">
        <v>1017</v>
      </c>
      <c r="AR54" s="183">
        <v>46259</v>
      </c>
      <c r="AS54" s="181" t="s">
        <v>107</v>
      </c>
      <c r="AT54" s="181" t="s">
        <v>998</v>
      </c>
      <c r="AU54" s="181"/>
      <c r="AV54" s="181" t="s">
        <v>1018</v>
      </c>
      <c r="AW54" s="181"/>
      <c r="AX54" s="181"/>
      <c r="AY54" s="181"/>
      <c r="AZ54" s="181"/>
      <c r="BA54" s="181"/>
      <c r="BB54" s="181"/>
      <c r="BC54" s="181"/>
      <c r="BD54" s="181" t="s">
        <v>107</v>
      </c>
      <c r="BE54" s="181">
        <v>37</v>
      </c>
      <c r="BF54" s="181"/>
      <c r="BG54" s="181"/>
      <c r="BH54" s="181" t="s">
        <v>491</v>
      </c>
      <c r="BI54" s="181">
        <v>521271410</v>
      </c>
      <c r="BJ54" s="181"/>
      <c r="BK54" s="181"/>
      <c r="BL54" s="181"/>
      <c r="BM54" s="181"/>
      <c r="BN54" s="181"/>
      <c r="BO54" s="181"/>
      <c r="BP54" s="181"/>
      <c r="BQ54" s="181"/>
      <c r="BR54" s="181"/>
      <c r="BS54" s="181"/>
      <c r="BT54" s="181"/>
      <c r="BU54" s="181"/>
      <c r="BV54" s="181"/>
      <c r="BW54" s="181"/>
      <c r="BX54" s="181"/>
      <c r="BY54" s="181"/>
      <c r="BZ54" s="181"/>
      <c r="CA54" s="190">
        <v>46285.666666666701</v>
      </c>
      <c r="CB54" s="3"/>
      <c r="CC54" s="16"/>
      <c r="CD54" s="16"/>
      <c r="CE54" s="16"/>
      <c r="CF54" s="16"/>
      <c r="CG54" s="16"/>
      <c r="CH54" s="16"/>
      <c r="CI54" s="16" t="s">
        <v>1019</v>
      </c>
    </row>
    <row r="55" spans="1:87">
      <c r="A55" s="16"/>
      <c r="B55" s="16"/>
      <c r="C55" s="3">
        <v>46272</v>
      </c>
      <c r="D55" s="26" t="s">
        <v>14</v>
      </c>
      <c r="E55" s="180" t="s">
        <v>1020</v>
      </c>
      <c r="F55" s="181">
        <v>2026211780118</v>
      </c>
      <c r="G55" s="181">
        <v>40</v>
      </c>
      <c r="H55" s="181">
        <v>39</v>
      </c>
      <c r="I55" s="181" t="s">
        <v>460</v>
      </c>
      <c r="J55" s="181" t="s">
        <v>1020</v>
      </c>
      <c r="K55" s="181" t="s">
        <v>691</v>
      </c>
      <c r="L55" s="181" t="s">
        <v>13</v>
      </c>
      <c r="M55" s="181">
        <v>14</v>
      </c>
      <c r="N55" s="181" t="s">
        <v>462</v>
      </c>
      <c r="O55" s="181" t="s">
        <v>562</v>
      </c>
      <c r="P55" s="181" t="s">
        <v>1021</v>
      </c>
      <c r="Q55" s="181" t="s">
        <v>465</v>
      </c>
      <c r="R55" s="181" t="s">
        <v>466</v>
      </c>
      <c r="S55" s="181" t="s">
        <v>1022</v>
      </c>
      <c r="T55" s="181" t="s">
        <v>1023</v>
      </c>
      <c r="U55" s="182">
        <v>46257.738888888889</v>
      </c>
      <c r="V55" s="181" t="s">
        <v>469</v>
      </c>
      <c r="W55" s="181" t="s">
        <v>470</v>
      </c>
      <c r="X55" s="181" t="s">
        <v>471</v>
      </c>
      <c r="Y55" s="181" t="s">
        <v>472</v>
      </c>
      <c r="Z55" s="181" t="s">
        <v>473</v>
      </c>
      <c r="AA55" s="181" t="s">
        <v>474</v>
      </c>
      <c r="AB55" s="181" t="s">
        <v>1024</v>
      </c>
      <c r="AC55" s="181" t="s">
        <v>476</v>
      </c>
      <c r="AD55" s="181">
        <v>390884478</v>
      </c>
      <c r="AE55" s="181">
        <v>1033172390</v>
      </c>
      <c r="AF55" s="181">
        <v>1417561937</v>
      </c>
      <c r="AG55" s="181"/>
      <c r="AH55" s="181"/>
      <c r="AI55" s="181" t="s">
        <v>128</v>
      </c>
      <c r="AJ55" s="181" t="s">
        <v>481</v>
      </c>
      <c r="AK55" s="181" t="s">
        <v>1025</v>
      </c>
      <c r="AL55" s="181">
        <v>12698</v>
      </c>
      <c r="AM55" s="181"/>
      <c r="AN55" s="181"/>
      <c r="AO55" s="181">
        <v>850</v>
      </c>
      <c r="AP55" s="181" t="s">
        <v>485</v>
      </c>
      <c r="AQ55" s="181" t="s">
        <v>1026</v>
      </c>
      <c r="AR55" s="183">
        <v>46258</v>
      </c>
      <c r="AS55" s="181" t="s">
        <v>128</v>
      </c>
      <c r="AT55" s="181" t="s">
        <v>695</v>
      </c>
      <c r="AU55" s="181"/>
      <c r="AV55" s="181" t="s">
        <v>1027</v>
      </c>
      <c r="AW55" s="181"/>
      <c r="AX55" s="181"/>
      <c r="AY55" s="181"/>
      <c r="AZ55" s="181"/>
      <c r="BA55" s="181"/>
      <c r="BB55" s="181"/>
      <c r="BC55" s="181"/>
      <c r="BD55" s="181" t="s">
        <v>128</v>
      </c>
      <c r="BE55" s="181">
        <v>39</v>
      </c>
      <c r="BF55" s="181"/>
      <c r="BG55" s="181"/>
      <c r="BH55" s="181" t="s">
        <v>491</v>
      </c>
      <c r="BI55" s="181">
        <v>329488470</v>
      </c>
      <c r="BJ55" s="181"/>
      <c r="BK55" s="181"/>
      <c r="BL55" s="181"/>
      <c r="BM55" s="181"/>
      <c r="BN55" s="181"/>
      <c r="BO55" s="181"/>
      <c r="BP55" s="181"/>
      <c r="BQ55" s="181"/>
      <c r="BR55" s="181"/>
      <c r="BS55" s="181"/>
      <c r="BT55" s="181"/>
      <c r="BU55" s="181"/>
      <c r="BV55" s="181"/>
      <c r="BW55" s="181"/>
      <c r="BX55" s="181"/>
      <c r="BY55" s="181"/>
      <c r="BZ55" s="181"/>
      <c r="CA55" s="190"/>
      <c r="CB55" s="3"/>
      <c r="CC55" s="16"/>
      <c r="CD55" s="16"/>
      <c r="CE55" s="16"/>
      <c r="CF55" s="16"/>
      <c r="CG55" s="16"/>
      <c r="CH55" s="16"/>
      <c r="CI55" s="16" t="s">
        <v>1028</v>
      </c>
    </row>
    <row r="56" spans="1:87" ht="29.25">
      <c r="A56" s="16" t="s">
        <v>5</v>
      </c>
      <c r="B56" s="25" t="s">
        <v>672</v>
      </c>
      <c r="C56" s="3">
        <v>46272</v>
      </c>
      <c r="D56" s="26" t="s">
        <v>14</v>
      </c>
      <c r="E56" s="180" t="s">
        <v>1029</v>
      </c>
      <c r="F56" s="181">
        <v>2026214310040</v>
      </c>
      <c r="G56" s="181">
        <v>40</v>
      </c>
      <c r="H56" s="181">
        <v>36</v>
      </c>
      <c r="I56" s="181" t="s">
        <v>460</v>
      </c>
      <c r="J56" s="181" t="s">
        <v>1029</v>
      </c>
      <c r="K56" s="181" t="s">
        <v>674</v>
      </c>
      <c r="L56" s="181" t="s">
        <v>16</v>
      </c>
      <c r="M56" s="181">
        <v>13</v>
      </c>
      <c r="N56" s="181" t="s">
        <v>462</v>
      </c>
      <c r="O56" s="181" t="s">
        <v>606</v>
      </c>
      <c r="P56" s="181" t="s">
        <v>1030</v>
      </c>
      <c r="Q56" s="181" t="s">
        <v>465</v>
      </c>
      <c r="R56" s="181" t="s">
        <v>466</v>
      </c>
      <c r="S56" s="181" t="s">
        <v>1031</v>
      </c>
      <c r="T56" s="181" t="s">
        <v>1032</v>
      </c>
      <c r="U56" s="182">
        <v>46259.423611111109</v>
      </c>
      <c r="V56" s="181" t="s">
        <v>469</v>
      </c>
      <c r="W56" s="181" t="s">
        <v>470</v>
      </c>
      <c r="X56" s="181" t="s">
        <v>471</v>
      </c>
      <c r="Y56" s="181" t="s">
        <v>472</v>
      </c>
      <c r="Z56" s="181" t="s">
        <v>473</v>
      </c>
      <c r="AA56" s="181" t="s">
        <v>474</v>
      </c>
      <c r="AB56" s="181" t="s">
        <v>1033</v>
      </c>
      <c r="AC56" s="181" t="s">
        <v>476</v>
      </c>
      <c r="AD56" s="181">
        <v>390813418</v>
      </c>
      <c r="AE56" s="181">
        <v>1235588831</v>
      </c>
      <c r="AF56" s="181">
        <v>1881427623</v>
      </c>
      <c r="AG56" s="181"/>
      <c r="AH56" s="181"/>
      <c r="AI56" s="181" t="s">
        <v>54</v>
      </c>
      <c r="AJ56" s="181" t="s">
        <v>481</v>
      </c>
      <c r="AK56" s="181" t="s">
        <v>1034</v>
      </c>
      <c r="AL56" s="181">
        <v>10936</v>
      </c>
      <c r="AM56" s="181"/>
      <c r="AN56" s="181"/>
      <c r="AO56" s="181">
        <v>393</v>
      </c>
      <c r="AP56" s="181" t="s">
        <v>485</v>
      </c>
      <c r="AQ56" s="181" t="s">
        <v>1035</v>
      </c>
      <c r="AR56" s="183">
        <v>46259</v>
      </c>
      <c r="AS56" s="181" t="s">
        <v>54</v>
      </c>
      <c r="AT56" s="181" t="s">
        <v>606</v>
      </c>
      <c r="AU56" s="181"/>
      <c r="AV56" s="181" t="s">
        <v>1036</v>
      </c>
      <c r="AW56" s="181"/>
      <c r="AX56" s="181"/>
      <c r="AY56" s="181"/>
      <c r="AZ56" s="181"/>
      <c r="BA56" s="181"/>
      <c r="BB56" s="181"/>
      <c r="BC56" s="181"/>
      <c r="BD56" s="181" t="s">
        <v>54</v>
      </c>
      <c r="BE56" s="181">
        <v>36</v>
      </c>
      <c r="BF56" s="181"/>
      <c r="BG56" s="181"/>
      <c r="BH56" s="181" t="s">
        <v>491</v>
      </c>
      <c r="BI56" s="181">
        <v>256174254</v>
      </c>
      <c r="BJ56" s="181"/>
      <c r="BK56" s="181"/>
      <c r="BL56" s="181"/>
      <c r="BM56" s="181"/>
      <c r="BN56" s="181"/>
      <c r="BO56" s="181"/>
      <c r="BP56" s="181"/>
      <c r="BQ56" s="181"/>
      <c r="BR56" s="181"/>
      <c r="BS56" s="181"/>
      <c r="BT56" s="181"/>
      <c r="BU56" s="181"/>
      <c r="BV56" s="181"/>
      <c r="BW56" s="181"/>
      <c r="BX56" s="181"/>
      <c r="BY56" s="181"/>
      <c r="BZ56" s="181"/>
      <c r="CA56" s="190">
        <v>46281.666666666701</v>
      </c>
      <c r="CB56" s="3"/>
      <c r="CC56" s="16"/>
      <c r="CD56" s="16"/>
      <c r="CE56" s="16"/>
      <c r="CF56" s="16"/>
      <c r="CG56" s="16"/>
      <c r="CH56" s="16"/>
      <c r="CI56" s="16" t="s">
        <v>1037</v>
      </c>
    </row>
    <row r="57" spans="1:87">
      <c r="A57" s="16" t="s">
        <v>5</v>
      </c>
      <c r="B57" s="16" t="s">
        <v>1038</v>
      </c>
      <c r="C57" s="3">
        <v>46272</v>
      </c>
      <c r="D57" s="26" t="s">
        <v>14</v>
      </c>
      <c r="E57" s="180" t="s">
        <v>1039</v>
      </c>
      <c r="F57" s="181">
        <v>2026211830440</v>
      </c>
      <c r="G57" s="181">
        <v>40</v>
      </c>
      <c r="H57" s="181">
        <v>39</v>
      </c>
      <c r="I57" s="181" t="s">
        <v>460</v>
      </c>
      <c r="J57" s="181" t="s">
        <v>1039</v>
      </c>
      <c r="K57" s="181" t="s">
        <v>1040</v>
      </c>
      <c r="L57" s="181" t="s">
        <v>17</v>
      </c>
      <c r="M57" s="181">
        <v>11</v>
      </c>
      <c r="N57" s="181" t="s">
        <v>462</v>
      </c>
      <c r="O57" s="181" t="s">
        <v>606</v>
      </c>
      <c r="P57" s="181" t="s">
        <v>1041</v>
      </c>
      <c r="Q57" s="181" t="s">
        <v>465</v>
      </c>
      <c r="R57" s="181" t="s">
        <v>466</v>
      </c>
      <c r="S57" s="181" t="s">
        <v>1042</v>
      </c>
      <c r="T57" s="181" t="s">
        <v>1043</v>
      </c>
      <c r="U57" s="182">
        <v>46260.765972222223</v>
      </c>
      <c r="V57" s="181" t="s">
        <v>469</v>
      </c>
      <c r="W57" s="181" t="s">
        <v>470</v>
      </c>
      <c r="X57" s="181" t="s">
        <v>471</v>
      </c>
      <c r="Y57" s="181" t="s">
        <v>472</v>
      </c>
      <c r="Z57" s="181" t="s">
        <v>501</v>
      </c>
      <c r="AA57" s="181" t="s">
        <v>474</v>
      </c>
      <c r="AB57" s="181" t="s">
        <v>1044</v>
      </c>
      <c r="AC57" s="181" t="s">
        <v>503</v>
      </c>
      <c r="AD57" s="181">
        <v>541988843</v>
      </c>
      <c r="AE57" s="181">
        <v>1679591440</v>
      </c>
      <c r="AF57" s="181">
        <v>1568428258</v>
      </c>
      <c r="AG57" s="181"/>
      <c r="AH57" s="181"/>
      <c r="AI57" s="181" t="s">
        <v>173</v>
      </c>
      <c r="AJ57" s="181" t="s">
        <v>481</v>
      </c>
      <c r="AK57" s="181" t="s">
        <v>1045</v>
      </c>
      <c r="AL57" s="181">
        <v>4995</v>
      </c>
      <c r="AM57" s="181"/>
      <c r="AN57" s="181"/>
      <c r="AO57" s="181">
        <v>394</v>
      </c>
      <c r="AP57" s="181" t="s">
        <v>485</v>
      </c>
      <c r="AQ57" s="181" t="s">
        <v>1046</v>
      </c>
      <c r="AR57" s="183">
        <v>46261</v>
      </c>
      <c r="AS57" s="181" t="s">
        <v>173</v>
      </c>
      <c r="AT57" s="181" t="s">
        <v>1047</v>
      </c>
      <c r="AU57" s="181"/>
      <c r="AV57" s="181" t="s">
        <v>1048</v>
      </c>
      <c r="AW57" s="181"/>
      <c r="AX57" s="181"/>
      <c r="AY57" s="181"/>
      <c r="AZ57" s="181"/>
      <c r="BA57" s="181"/>
      <c r="BB57" s="181"/>
      <c r="BC57" s="181"/>
      <c r="BD57" s="181" t="s">
        <v>173</v>
      </c>
      <c r="BE57" s="181">
        <v>39</v>
      </c>
      <c r="BF57" s="181"/>
      <c r="BG57" s="181"/>
      <c r="BH57" s="181" t="s">
        <v>491</v>
      </c>
      <c r="BI57" s="181">
        <v>92642449</v>
      </c>
      <c r="BJ57" s="181"/>
      <c r="BK57" s="181"/>
      <c r="BL57" s="181"/>
      <c r="BM57" s="181"/>
      <c r="BN57" s="181"/>
      <c r="BO57" s="181"/>
      <c r="BP57" s="181"/>
      <c r="BQ57" s="181"/>
      <c r="BR57" s="181"/>
      <c r="BS57" s="181"/>
      <c r="BT57" s="181"/>
      <c r="BU57" s="181"/>
      <c r="BV57" s="181"/>
      <c r="BW57" s="181"/>
      <c r="BX57" s="181"/>
      <c r="BY57" s="181"/>
      <c r="BZ57" s="181"/>
      <c r="CA57" s="190">
        <v>46282.666666666701</v>
      </c>
      <c r="CB57" s="3"/>
      <c r="CC57" s="16"/>
      <c r="CD57" s="16"/>
      <c r="CE57" s="16"/>
      <c r="CF57" s="16"/>
      <c r="CG57" s="16"/>
      <c r="CH57" s="16"/>
      <c r="CI57" s="16" t="s">
        <v>1049</v>
      </c>
    </row>
    <row r="58" spans="1:87">
      <c r="A58" s="16" t="s">
        <v>5</v>
      </c>
      <c r="B58" s="16" t="s">
        <v>1050</v>
      </c>
      <c r="C58" s="3">
        <v>46272</v>
      </c>
      <c r="D58" s="26" t="s">
        <v>14</v>
      </c>
      <c r="E58" s="180" t="s">
        <v>1051</v>
      </c>
      <c r="F58" s="181" t="s">
        <v>1052</v>
      </c>
      <c r="G58" s="181">
        <v>40</v>
      </c>
      <c r="H58" s="181">
        <v>34</v>
      </c>
      <c r="I58" s="181" t="s">
        <v>460</v>
      </c>
      <c r="J58" s="181" t="s">
        <v>1051</v>
      </c>
      <c r="K58" s="181" t="s">
        <v>1053</v>
      </c>
      <c r="L58" s="181" t="s">
        <v>13</v>
      </c>
      <c r="M58" s="181">
        <v>12</v>
      </c>
      <c r="N58" s="181" t="s">
        <v>462</v>
      </c>
      <c r="O58" s="181" t="s">
        <v>606</v>
      </c>
      <c r="P58" s="181" t="s">
        <v>1054</v>
      </c>
      <c r="Q58" s="181" t="s">
        <v>1055</v>
      </c>
      <c r="R58" s="181" t="s">
        <v>1056</v>
      </c>
      <c r="S58" s="181" t="s">
        <v>1057</v>
      </c>
      <c r="T58" s="181" t="s">
        <v>1058</v>
      </c>
      <c r="U58" s="182">
        <v>46260.695833333331</v>
      </c>
      <c r="V58" s="181" t="s">
        <v>469</v>
      </c>
      <c r="W58" s="181" t="s">
        <v>470</v>
      </c>
      <c r="X58" s="181" t="s">
        <v>471</v>
      </c>
      <c r="Y58" s="181" t="s">
        <v>472</v>
      </c>
      <c r="Z58" s="181" t="s">
        <v>590</v>
      </c>
      <c r="AA58" s="181" t="s">
        <v>1059</v>
      </c>
      <c r="AB58" s="181" t="s">
        <v>1060</v>
      </c>
      <c r="AC58" s="181" t="s">
        <v>592</v>
      </c>
      <c r="AD58" s="181">
        <v>742161737</v>
      </c>
      <c r="AE58" s="181">
        <v>1962461889</v>
      </c>
      <c r="AF58" s="181">
        <v>1306933452</v>
      </c>
      <c r="AG58" s="181"/>
      <c r="AH58" s="181"/>
      <c r="AI58" s="181" t="s">
        <v>49</v>
      </c>
      <c r="AJ58" s="181" t="s">
        <v>481</v>
      </c>
      <c r="AK58" s="181" t="s">
        <v>1061</v>
      </c>
      <c r="AL58" s="181">
        <v>17157.25</v>
      </c>
      <c r="AM58" s="181"/>
      <c r="AN58" s="181"/>
      <c r="AO58" s="181" t="s">
        <v>1062</v>
      </c>
      <c r="AP58" s="181" t="s">
        <v>1063</v>
      </c>
      <c r="AQ58" s="181" t="s">
        <v>1064</v>
      </c>
      <c r="AR58" s="183">
        <v>46260</v>
      </c>
      <c r="AS58" s="181" t="s">
        <v>49</v>
      </c>
      <c r="AT58" s="181" t="s">
        <v>516</v>
      </c>
      <c r="AU58" s="181"/>
      <c r="AV58" s="181" t="s">
        <v>1065</v>
      </c>
      <c r="AW58" s="181"/>
      <c r="AX58" s="181"/>
      <c r="AY58" s="181"/>
      <c r="AZ58" s="181"/>
      <c r="BA58" s="181"/>
      <c r="BB58" s="181" t="s">
        <v>1066</v>
      </c>
      <c r="BC58" s="181"/>
      <c r="BD58" s="181" t="s">
        <v>49</v>
      </c>
      <c r="BE58" s="181">
        <v>34</v>
      </c>
      <c r="BF58" s="181"/>
      <c r="BG58" s="181" t="s">
        <v>1067</v>
      </c>
      <c r="BH58" s="181" t="s">
        <v>491</v>
      </c>
      <c r="BI58" s="181">
        <v>622098131</v>
      </c>
      <c r="BJ58" s="181"/>
      <c r="BK58" s="181"/>
      <c r="BL58" s="181"/>
      <c r="BM58" s="181"/>
      <c r="BN58" s="181"/>
      <c r="BO58" s="181"/>
      <c r="BP58" s="181"/>
      <c r="BQ58" s="181"/>
      <c r="BR58" s="181"/>
      <c r="BS58" s="181"/>
      <c r="BT58" s="181"/>
      <c r="BU58" s="181"/>
      <c r="BV58" s="181"/>
      <c r="BW58" s="181"/>
      <c r="BX58" s="181"/>
      <c r="BY58" s="181"/>
      <c r="BZ58" s="181"/>
      <c r="CA58" s="190">
        <v>46281.666666666701</v>
      </c>
      <c r="CB58" s="3"/>
      <c r="CC58" s="16"/>
      <c r="CD58" s="16"/>
      <c r="CE58" s="16"/>
      <c r="CF58" s="16"/>
      <c r="CG58" s="16"/>
      <c r="CH58" s="16"/>
      <c r="CI58" s="16" t="s">
        <v>1068</v>
      </c>
    </row>
    <row r="59" spans="1:87">
      <c r="A59" s="16"/>
      <c r="B59" s="16"/>
      <c r="C59" s="3">
        <v>46272</v>
      </c>
      <c r="D59" s="26" t="s">
        <v>14</v>
      </c>
      <c r="E59" s="180" t="s">
        <v>1069</v>
      </c>
      <c r="F59" s="181">
        <v>2026205390445</v>
      </c>
      <c r="G59" s="181">
        <v>40</v>
      </c>
      <c r="H59" s="181">
        <v>45</v>
      </c>
      <c r="I59" s="181" t="s">
        <v>460</v>
      </c>
      <c r="J59" s="181" t="s">
        <v>1069</v>
      </c>
      <c r="K59" s="181" t="s">
        <v>1070</v>
      </c>
      <c r="L59" s="181" t="s">
        <v>16</v>
      </c>
      <c r="M59" s="181">
        <v>8</v>
      </c>
      <c r="N59" s="181" t="s">
        <v>462</v>
      </c>
      <c r="O59" s="181" t="s">
        <v>606</v>
      </c>
      <c r="P59" s="181" t="s">
        <v>1071</v>
      </c>
      <c r="Q59" s="181" t="s">
        <v>465</v>
      </c>
      <c r="R59" s="181" t="s">
        <v>466</v>
      </c>
      <c r="S59" s="181" t="s">
        <v>1072</v>
      </c>
      <c r="T59" s="181" t="s">
        <v>1073</v>
      </c>
      <c r="U59" s="182">
        <v>46257.668055555558</v>
      </c>
      <c r="V59" s="181" t="s">
        <v>469</v>
      </c>
      <c r="W59" s="181" t="s">
        <v>568</v>
      </c>
      <c r="X59" s="181" t="s">
        <v>471</v>
      </c>
      <c r="Y59" s="181" t="s">
        <v>1074</v>
      </c>
      <c r="Z59" s="181" t="s">
        <v>590</v>
      </c>
      <c r="AA59" s="181" t="s">
        <v>474</v>
      </c>
      <c r="AB59" s="181" t="s">
        <v>1075</v>
      </c>
      <c r="AC59" s="181" t="s">
        <v>592</v>
      </c>
      <c r="AD59" s="181">
        <v>264149359</v>
      </c>
      <c r="AE59" s="181">
        <v>1215179304</v>
      </c>
      <c r="AF59" s="181">
        <v>1477596849</v>
      </c>
      <c r="AG59" s="181"/>
      <c r="AH59" s="181" t="s">
        <v>1076</v>
      </c>
      <c r="AI59" s="181" t="s">
        <v>366</v>
      </c>
      <c r="AJ59" s="181" t="s">
        <v>481</v>
      </c>
      <c r="AK59" s="181" t="s">
        <v>1077</v>
      </c>
      <c r="AL59" s="181">
        <v>376</v>
      </c>
      <c r="AM59" s="181"/>
      <c r="AN59" s="181"/>
      <c r="AO59" s="181">
        <v>875</v>
      </c>
      <c r="AP59" s="181" t="s">
        <v>485</v>
      </c>
      <c r="AQ59" s="181" t="s">
        <v>1078</v>
      </c>
      <c r="AR59" s="183">
        <v>46264</v>
      </c>
      <c r="AS59" s="181" t="s">
        <v>366</v>
      </c>
      <c r="AT59" s="181" t="s">
        <v>1079</v>
      </c>
      <c r="AU59" s="181"/>
      <c r="AV59" s="181" t="s">
        <v>1080</v>
      </c>
      <c r="AW59" s="181"/>
      <c r="AX59" s="181"/>
      <c r="AY59" s="181"/>
      <c r="AZ59" s="181"/>
      <c r="BA59" s="181"/>
      <c r="BB59" s="181"/>
      <c r="BC59" s="181"/>
      <c r="BD59" s="181" t="s">
        <v>366</v>
      </c>
      <c r="BE59" s="181">
        <v>45</v>
      </c>
      <c r="BF59" s="181"/>
      <c r="BG59" s="181" t="s">
        <v>490</v>
      </c>
      <c r="BH59" s="181" t="s">
        <v>491</v>
      </c>
      <c r="BI59" s="181">
        <v>652480168</v>
      </c>
      <c r="BJ59" s="181"/>
      <c r="BK59" s="181"/>
      <c r="BL59" s="181"/>
      <c r="BM59" s="181"/>
      <c r="BN59" s="181"/>
      <c r="BO59" s="181"/>
      <c r="BP59" s="181"/>
      <c r="BQ59" s="181"/>
      <c r="BR59" s="181"/>
      <c r="BS59" s="181"/>
      <c r="BT59" s="181"/>
      <c r="BU59" s="181"/>
      <c r="BV59" s="181"/>
      <c r="BW59" s="181"/>
      <c r="BX59" s="181"/>
      <c r="BY59" s="181"/>
      <c r="BZ59" s="181"/>
      <c r="CA59" s="190"/>
      <c r="CB59" s="3"/>
      <c r="CC59" s="16"/>
      <c r="CD59" s="16"/>
      <c r="CE59" s="16"/>
      <c r="CF59" s="16"/>
      <c r="CG59" s="16"/>
      <c r="CH59" s="16"/>
      <c r="CI59" s="16" t="s">
        <v>1081</v>
      </c>
    </row>
    <row r="60" spans="1:87">
      <c r="A60" s="16"/>
      <c r="B60" s="16"/>
      <c r="C60" s="3">
        <v>46272</v>
      </c>
      <c r="D60" s="26" t="s">
        <v>14</v>
      </c>
      <c r="E60" s="180" t="s">
        <v>1082</v>
      </c>
      <c r="F60" s="181">
        <v>2026212090118</v>
      </c>
      <c r="G60" s="181">
        <v>40</v>
      </c>
      <c r="H60" s="181">
        <v>38</v>
      </c>
      <c r="I60" s="181" t="s">
        <v>460</v>
      </c>
      <c r="J60" s="181" t="s">
        <v>1082</v>
      </c>
      <c r="K60" s="181" t="s">
        <v>1083</v>
      </c>
      <c r="L60" s="181" t="s">
        <v>17</v>
      </c>
      <c r="M60" s="181">
        <v>13</v>
      </c>
      <c r="N60" s="181" t="s">
        <v>462</v>
      </c>
      <c r="O60" s="181" t="s">
        <v>606</v>
      </c>
      <c r="P60" s="181" t="s">
        <v>1084</v>
      </c>
      <c r="Q60" s="181" t="s">
        <v>465</v>
      </c>
      <c r="R60" s="181" t="s">
        <v>466</v>
      </c>
      <c r="S60" s="181" t="s">
        <v>1085</v>
      </c>
      <c r="T60" s="181" t="s">
        <v>1086</v>
      </c>
      <c r="U60" s="182">
        <v>46258.759722222225</v>
      </c>
      <c r="V60" s="181" t="s">
        <v>469</v>
      </c>
      <c r="W60" s="181" t="s">
        <v>568</v>
      </c>
      <c r="X60" s="181" t="s">
        <v>471</v>
      </c>
      <c r="Y60" s="181" t="s">
        <v>1074</v>
      </c>
      <c r="Z60" s="181" t="s">
        <v>590</v>
      </c>
      <c r="AA60" s="181" t="s">
        <v>474</v>
      </c>
      <c r="AB60" s="181" t="s">
        <v>1087</v>
      </c>
      <c r="AC60" s="181" t="s">
        <v>592</v>
      </c>
      <c r="AD60" s="181">
        <v>742161737</v>
      </c>
      <c r="AE60" s="181">
        <v>1962461889</v>
      </c>
      <c r="AF60" s="181">
        <v>1306933452</v>
      </c>
      <c r="AG60" s="181"/>
      <c r="AH60" s="181"/>
      <c r="AI60" s="181" t="s">
        <v>48</v>
      </c>
      <c r="AJ60" s="181" t="s">
        <v>481</v>
      </c>
      <c r="AK60" s="181" t="s">
        <v>1088</v>
      </c>
      <c r="AL60" s="181">
        <v>20087.25</v>
      </c>
      <c r="AM60" s="181"/>
      <c r="AN60" s="181"/>
      <c r="AO60" s="181">
        <v>804</v>
      </c>
      <c r="AP60" s="181" t="s">
        <v>485</v>
      </c>
      <c r="AQ60" s="181" t="s">
        <v>1089</v>
      </c>
      <c r="AR60" s="183">
        <v>46259</v>
      </c>
      <c r="AS60" s="181" t="s">
        <v>48</v>
      </c>
      <c r="AT60" s="181" t="s">
        <v>1090</v>
      </c>
      <c r="AU60" s="181"/>
      <c r="AV60" s="181" t="s">
        <v>1065</v>
      </c>
      <c r="AW60" s="181"/>
      <c r="AX60" s="181"/>
      <c r="AY60" s="181"/>
      <c r="AZ60" s="181"/>
      <c r="BA60" s="181"/>
      <c r="BB60" s="181"/>
      <c r="BC60" s="181"/>
      <c r="BD60" s="181" t="s">
        <v>48</v>
      </c>
      <c r="BE60" s="181">
        <v>38</v>
      </c>
      <c r="BF60" s="181"/>
      <c r="BG60" s="181"/>
      <c r="BH60" s="181" t="s">
        <v>491</v>
      </c>
      <c r="BI60" s="181">
        <v>520540395</v>
      </c>
      <c r="BJ60" s="181"/>
      <c r="BK60" s="181"/>
      <c r="BL60" s="181"/>
      <c r="BM60" s="181"/>
      <c r="BN60" s="181"/>
      <c r="BO60" s="181"/>
      <c r="BP60" s="181"/>
      <c r="BQ60" s="181"/>
      <c r="BR60" s="181"/>
      <c r="BS60" s="181"/>
      <c r="BT60" s="181"/>
      <c r="BU60" s="181"/>
      <c r="BV60" s="181"/>
      <c r="BW60" s="181"/>
      <c r="BX60" s="181"/>
      <c r="BY60" s="181"/>
      <c r="BZ60" s="181"/>
      <c r="CA60" s="190"/>
      <c r="CB60" s="3"/>
      <c r="CC60" s="16"/>
      <c r="CD60" s="16"/>
      <c r="CE60" s="16"/>
      <c r="CF60" s="16"/>
      <c r="CG60" s="16"/>
      <c r="CH60" s="16"/>
      <c r="CI60" s="16" t="s">
        <v>1091</v>
      </c>
    </row>
    <row r="61" spans="1:87">
      <c r="A61" s="16" t="s">
        <v>5</v>
      </c>
      <c r="B61" s="16" t="s">
        <v>516</v>
      </c>
      <c r="C61" s="3">
        <v>46272</v>
      </c>
      <c r="D61" s="26" t="s">
        <v>14</v>
      </c>
      <c r="E61" s="180" t="s">
        <v>1092</v>
      </c>
      <c r="F61" s="181">
        <v>2026212280353</v>
      </c>
      <c r="G61" s="181">
        <v>40</v>
      </c>
      <c r="H61" s="181">
        <v>39</v>
      </c>
      <c r="I61" s="181" t="s">
        <v>460</v>
      </c>
      <c r="J61" s="181" t="s">
        <v>1092</v>
      </c>
      <c r="K61" s="181" t="s">
        <v>810</v>
      </c>
      <c r="L61" s="181" t="s">
        <v>17</v>
      </c>
      <c r="M61" s="181">
        <v>14</v>
      </c>
      <c r="N61" s="181" t="s">
        <v>462</v>
      </c>
      <c r="O61" s="181" t="s">
        <v>606</v>
      </c>
      <c r="P61" s="181" t="s">
        <v>1093</v>
      </c>
      <c r="Q61" s="181" t="s">
        <v>465</v>
      </c>
      <c r="R61" s="181" t="s">
        <v>466</v>
      </c>
      <c r="S61" s="181" t="s">
        <v>1094</v>
      </c>
      <c r="T61" s="181" t="s">
        <v>1095</v>
      </c>
      <c r="U61" s="182">
        <v>46258.020138888889</v>
      </c>
      <c r="V61" s="181" t="s">
        <v>469</v>
      </c>
      <c r="W61" s="181" t="s">
        <v>470</v>
      </c>
      <c r="X61" s="181" t="s">
        <v>471</v>
      </c>
      <c r="Y61" s="181" t="s">
        <v>628</v>
      </c>
      <c r="Z61" s="181" t="s">
        <v>524</v>
      </c>
      <c r="AA61" s="181" t="s">
        <v>474</v>
      </c>
      <c r="AB61" s="181" t="s">
        <v>1096</v>
      </c>
      <c r="AC61" s="181" t="s">
        <v>526</v>
      </c>
      <c r="AD61" s="181">
        <v>311405915</v>
      </c>
      <c r="AE61" s="181">
        <v>1801840434</v>
      </c>
      <c r="AF61" s="181">
        <v>1154380970</v>
      </c>
      <c r="AG61" s="181"/>
      <c r="AH61" s="181"/>
      <c r="AI61" s="181" t="s">
        <v>37</v>
      </c>
      <c r="AJ61" s="181" t="s">
        <v>481</v>
      </c>
      <c r="AK61" s="181" t="s">
        <v>1097</v>
      </c>
      <c r="AL61" s="181">
        <v>2329</v>
      </c>
      <c r="AM61" s="181"/>
      <c r="AN61" s="181"/>
      <c r="AO61" s="181">
        <v>607</v>
      </c>
      <c r="AP61" s="181" t="s">
        <v>485</v>
      </c>
      <c r="AQ61" s="181" t="s">
        <v>1098</v>
      </c>
      <c r="AR61" s="183">
        <v>46258</v>
      </c>
      <c r="AS61" s="181" t="s">
        <v>37</v>
      </c>
      <c r="AT61" s="181" t="s">
        <v>814</v>
      </c>
      <c r="AU61" s="181"/>
      <c r="AV61" s="181" t="s">
        <v>1099</v>
      </c>
      <c r="AW61" s="181"/>
      <c r="AX61" s="181"/>
      <c r="AY61" s="181"/>
      <c r="AZ61" s="181"/>
      <c r="BA61" s="181"/>
      <c r="BB61" s="181"/>
      <c r="BC61" s="181"/>
      <c r="BD61" s="181" t="s">
        <v>37</v>
      </c>
      <c r="BE61" s="181">
        <v>38</v>
      </c>
      <c r="BF61" s="181"/>
      <c r="BG61" s="181"/>
      <c r="BH61" s="181" t="s">
        <v>491</v>
      </c>
      <c r="BI61" s="181">
        <v>273449240</v>
      </c>
      <c r="BJ61" s="181"/>
      <c r="BK61" s="181"/>
      <c r="BL61" s="181"/>
      <c r="BM61" s="181"/>
      <c r="BN61" s="181"/>
      <c r="BO61" s="181"/>
      <c r="BP61" s="181"/>
      <c r="BQ61" s="181"/>
      <c r="BR61" s="181"/>
      <c r="BS61" s="181"/>
      <c r="BT61" s="181"/>
      <c r="BU61" s="181"/>
      <c r="BV61" s="181"/>
      <c r="BW61" s="181"/>
      <c r="BX61" s="181"/>
      <c r="BY61" s="181"/>
      <c r="BZ61" s="181"/>
      <c r="CA61" s="190">
        <v>46282.666666666701</v>
      </c>
      <c r="CB61" s="3"/>
      <c r="CC61" s="16"/>
      <c r="CD61" s="16"/>
      <c r="CE61" s="16"/>
      <c r="CF61" s="16"/>
      <c r="CG61" s="16"/>
      <c r="CH61" s="16"/>
      <c r="CI61" s="16" t="s">
        <v>1100</v>
      </c>
    </row>
    <row r="62" spans="1:87">
      <c r="A62" s="16" t="s">
        <v>5</v>
      </c>
      <c r="B62" s="16" t="s">
        <v>1038</v>
      </c>
      <c r="C62" s="3">
        <v>46272</v>
      </c>
      <c r="D62" s="26" t="s">
        <v>14</v>
      </c>
      <c r="E62" s="180" t="s">
        <v>1101</v>
      </c>
      <c r="F62" s="181">
        <v>2026205720355</v>
      </c>
      <c r="G62" s="181">
        <v>40</v>
      </c>
      <c r="H62" s="181">
        <v>45</v>
      </c>
      <c r="I62" s="181" t="s">
        <v>460</v>
      </c>
      <c r="J62" s="181" t="s">
        <v>1101</v>
      </c>
      <c r="K62" s="181" t="s">
        <v>1040</v>
      </c>
      <c r="L62" s="181" t="s">
        <v>17</v>
      </c>
      <c r="M62" s="181">
        <v>20</v>
      </c>
      <c r="N62" s="181" t="s">
        <v>462</v>
      </c>
      <c r="O62" s="181" t="s">
        <v>606</v>
      </c>
      <c r="P62" s="181">
        <v>915029208</v>
      </c>
      <c r="Q62" s="181" t="s">
        <v>465</v>
      </c>
      <c r="R62" s="181" t="s">
        <v>466</v>
      </c>
      <c r="S62" s="181" t="s">
        <v>1102</v>
      </c>
      <c r="T62" s="181" t="s">
        <v>664</v>
      </c>
      <c r="U62" s="182">
        <v>46252.681250000001</v>
      </c>
      <c r="V62" s="181" t="s">
        <v>469</v>
      </c>
      <c r="W62" s="181" t="s">
        <v>651</v>
      </c>
      <c r="X62" s="181" t="s">
        <v>652</v>
      </c>
      <c r="Y62" s="181" t="s">
        <v>653</v>
      </c>
      <c r="Z62" s="181" t="s">
        <v>665</v>
      </c>
      <c r="AA62" s="181" t="s">
        <v>474</v>
      </c>
      <c r="AB62" s="181" t="s">
        <v>666</v>
      </c>
      <c r="AC62" s="181" t="s">
        <v>640</v>
      </c>
      <c r="AD62" s="181">
        <v>131623978</v>
      </c>
      <c r="AE62" s="181">
        <v>1346242476</v>
      </c>
      <c r="AF62" s="181">
        <v>1346242476</v>
      </c>
      <c r="AG62" s="181">
        <v>2.54202505911135E+16</v>
      </c>
      <c r="AH62" s="181"/>
      <c r="AI62" s="181" t="s">
        <v>173</v>
      </c>
      <c r="AJ62" s="181" t="s">
        <v>481</v>
      </c>
      <c r="AK62" s="181" t="s">
        <v>1103</v>
      </c>
      <c r="AL62" s="181">
        <v>77400</v>
      </c>
      <c r="AM62" s="181"/>
      <c r="AN62" s="181"/>
      <c r="AO62" s="181">
        <v>915</v>
      </c>
      <c r="AP62" s="181" t="s">
        <v>485</v>
      </c>
      <c r="AQ62" s="181" t="s">
        <v>1104</v>
      </c>
      <c r="AR62" s="183">
        <v>46252</v>
      </c>
      <c r="AS62" s="181" t="s">
        <v>173</v>
      </c>
      <c r="AT62" s="181" t="s">
        <v>1047</v>
      </c>
      <c r="AU62" s="181"/>
      <c r="AV62" s="181" t="s">
        <v>1105</v>
      </c>
      <c r="AW62" s="181"/>
      <c r="AX62" s="181"/>
      <c r="AY62" s="181"/>
      <c r="AZ62" s="181"/>
      <c r="BA62" s="181"/>
      <c r="BB62" s="181"/>
      <c r="BC62" s="181"/>
      <c r="BD62" s="181" t="s">
        <v>173</v>
      </c>
      <c r="BE62" s="181">
        <v>45</v>
      </c>
      <c r="BF62" s="181"/>
      <c r="BG62" s="181" t="s">
        <v>490</v>
      </c>
      <c r="BH62" s="181" t="s">
        <v>658</v>
      </c>
      <c r="BI62" s="181">
        <v>915029208</v>
      </c>
      <c r="BJ62" s="181"/>
      <c r="BK62" s="181"/>
      <c r="BL62" s="181"/>
      <c r="BM62" s="181"/>
      <c r="BN62" s="181"/>
      <c r="BO62" s="181"/>
      <c r="BP62" s="181"/>
      <c r="BQ62" s="181"/>
      <c r="BR62" s="181"/>
      <c r="BS62" s="181"/>
      <c r="BT62" s="181"/>
      <c r="BU62" s="181"/>
      <c r="BV62" s="181"/>
      <c r="BW62" s="181"/>
      <c r="BX62" s="181"/>
      <c r="BY62" s="181"/>
      <c r="BZ62" s="181"/>
      <c r="CA62" s="190">
        <v>46282.666666666701</v>
      </c>
      <c r="CB62" s="3"/>
      <c r="CC62" s="16"/>
      <c r="CD62" s="16"/>
      <c r="CE62" s="16"/>
      <c r="CF62" s="16"/>
      <c r="CG62" s="16"/>
      <c r="CH62" s="16"/>
      <c r="CI62" s="16" t="s">
        <v>1106</v>
      </c>
    </row>
    <row r="63" spans="1:87">
      <c r="A63" s="16" t="s">
        <v>5</v>
      </c>
      <c r="B63" s="16" t="s">
        <v>1107</v>
      </c>
      <c r="C63" s="3">
        <v>46272</v>
      </c>
      <c r="D63" s="26" t="s">
        <v>14</v>
      </c>
      <c r="E63" s="180" t="s">
        <v>1108</v>
      </c>
      <c r="F63" s="181">
        <v>2026218340160</v>
      </c>
      <c r="G63" s="181">
        <v>40</v>
      </c>
      <c r="H63" s="181">
        <v>32</v>
      </c>
      <c r="I63" s="181" t="s">
        <v>460</v>
      </c>
      <c r="J63" s="181" t="s">
        <v>1108</v>
      </c>
      <c r="K63" s="181" t="s">
        <v>1109</v>
      </c>
      <c r="L63" s="181" t="s">
        <v>17</v>
      </c>
      <c r="M63" s="181">
        <v>8</v>
      </c>
      <c r="N63" s="181" t="s">
        <v>462</v>
      </c>
      <c r="O63" s="181" t="s">
        <v>606</v>
      </c>
      <c r="P63" s="181">
        <v>116973577</v>
      </c>
      <c r="Q63" s="181" t="s">
        <v>465</v>
      </c>
      <c r="R63" s="181" t="s">
        <v>466</v>
      </c>
      <c r="S63" s="181" t="s">
        <v>1110</v>
      </c>
      <c r="T63" s="181" t="s">
        <v>664</v>
      </c>
      <c r="U63" s="182">
        <v>46264.693749999999</v>
      </c>
      <c r="V63" s="181" t="s">
        <v>469</v>
      </c>
      <c r="W63" s="181" t="s">
        <v>651</v>
      </c>
      <c r="X63" s="181" t="s">
        <v>652</v>
      </c>
      <c r="Y63" s="181" t="s">
        <v>653</v>
      </c>
      <c r="Z63" s="181" t="s">
        <v>665</v>
      </c>
      <c r="AA63" s="181" t="s">
        <v>474</v>
      </c>
      <c r="AB63" s="181" t="s">
        <v>666</v>
      </c>
      <c r="AC63" s="181" t="s">
        <v>640</v>
      </c>
      <c r="AD63" s="181">
        <v>135562308</v>
      </c>
      <c r="AE63" s="181">
        <v>1285826438</v>
      </c>
      <c r="AF63" s="181">
        <v>1629059076</v>
      </c>
      <c r="AG63" s="181">
        <v>2.54202526124733E+16</v>
      </c>
      <c r="AH63" s="181"/>
      <c r="AI63" s="181" t="s">
        <v>25</v>
      </c>
      <c r="AJ63" s="181" t="s">
        <v>481</v>
      </c>
      <c r="AK63" s="181" t="s">
        <v>1111</v>
      </c>
      <c r="AL63" s="181">
        <v>28800</v>
      </c>
      <c r="AM63" s="181"/>
      <c r="AN63" s="181"/>
      <c r="AO63" s="181">
        <v>116</v>
      </c>
      <c r="AP63" s="181" t="s">
        <v>485</v>
      </c>
      <c r="AQ63" s="181" t="s">
        <v>1112</v>
      </c>
      <c r="AR63" s="183">
        <v>46264</v>
      </c>
      <c r="AS63" s="181" t="s">
        <v>25</v>
      </c>
      <c r="AT63" s="181" t="s">
        <v>516</v>
      </c>
      <c r="AU63" s="181"/>
      <c r="AV63" s="181" t="s">
        <v>1113</v>
      </c>
      <c r="AW63" s="181"/>
      <c r="AX63" s="181"/>
      <c r="AY63" s="181"/>
      <c r="AZ63" s="181"/>
      <c r="BA63" s="181"/>
      <c r="BB63" s="181"/>
      <c r="BC63" s="181"/>
      <c r="BD63" s="181" t="s">
        <v>25</v>
      </c>
      <c r="BE63" s="181">
        <v>32</v>
      </c>
      <c r="BF63" s="181"/>
      <c r="BG63" s="181" t="s">
        <v>490</v>
      </c>
      <c r="BH63" s="181" t="s">
        <v>658</v>
      </c>
      <c r="BI63" s="181">
        <v>116973577</v>
      </c>
      <c r="BJ63" s="181"/>
      <c r="BK63" s="181"/>
      <c r="BL63" s="181"/>
      <c r="BM63" s="181"/>
      <c r="BN63" s="181"/>
      <c r="BO63" s="181"/>
      <c r="BP63" s="181"/>
      <c r="BQ63" s="181"/>
      <c r="BR63" s="181"/>
      <c r="BS63" s="181"/>
      <c r="BT63" s="181"/>
      <c r="BU63" s="181"/>
      <c r="BV63" s="181"/>
      <c r="BW63" s="181"/>
      <c r="BX63" s="181"/>
      <c r="BY63" s="181"/>
      <c r="BZ63" s="181"/>
      <c r="CA63" s="190">
        <v>46274.666666666701</v>
      </c>
      <c r="CB63" s="3"/>
      <c r="CC63" s="16"/>
      <c r="CD63" s="16"/>
      <c r="CE63" s="16"/>
      <c r="CF63" s="16"/>
      <c r="CG63" s="16"/>
      <c r="CH63" s="16"/>
      <c r="CI63" s="16" t="s">
        <v>1114</v>
      </c>
    </row>
    <row r="64" spans="1:87">
      <c r="A64" s="16" t="s">
        <v>5</v>
      </c>
      <c r="B64" s="16" t="s">
        <v>719</v>
      </c>
      <c r="C64" s="3">
        <v>46272</v>
      </c>
      <c r="D64" s="26" t="s">
        <v>14</v>
      </c>
      <c r="E64" s="180" t="s">
        <v>1115</v>
      </c>
      <c r="F64" s="181">
        <v>2026217070150</v>
      </c>
      <c r="G64" s="181">
        <v>40</v>
      </c>
      <c r="H64" s="181">
        <v>33</v>
      </c>
      <c r="I64" s="181" t="s">
        <v>460</v>
      </c>
      <c r="J64" s="181" t="s">
        <v>1115</v>
      </c>
      <c r="K64" s="181" t="s">
        <v>496</v>
      </c>
      <c r="L64" s="181" t="s">
        <v>17</v>
      </c>
      <c r="M64" s="181">
        <v>11</v>
      </c>
      <c r="N64" s="181" t="s">
        <v>462</v>
      </c>
      <c r="O64" s="181" t="s">
        <v>606</v>
      </c>
      <c r="P64" s="181">
        <v>831037737</v>
      </c>
      <c r="Q64" s="181" t="s">
        <v>465</v>
      </c>
      <c r="R64" s="181" t="s">
        <v>466</v>
      </c>
      <c r="S64" s="181" t="s">
        <v>1116</v>
      </c>
      <c r="T64" s="181" t="s">
        <v>664</v>
      </c>
      <c r="U64" s="182">
        <v>46261.654861111114</v>
      </c>
      <c r="V64" s="181" t="s">
        <v>469</v>
      </c>
      <c r="W64" s="181" t="s">
        <v>651</v>
      </c>
      <c r="X64" s="181" t="s">
        <v>652</v>
      </c>
      <c r="Y64" s="181" t="s">
        <v>653</v>
      </c>
      <c r="Z64" s="181" t="s">
        <v>665</v>
      </c>
      <c r="AA64" s="181" t="s">
        <v>474</v>
      </c>
      <c r="AB64" s="181" t="s">
        <v>666</v>
      </c>
      <c r="AC64" s="181" t="s">
        <v>640</v>
      </c>
      <c r="AD64" s="181">
        <v>135562308</v>
      </c>
      <c r="AE64" s="181">
        <v>1285826438</v>
      </c>
      <c r="AF64" s="181">
        <v>1902867393</v>
      </c>
      <c r="AG64" s="181">
        <v>2.54202533009698E+16</v>
      </c>
      <c r="AH64" s="181"/>
      <c r="AI64" s="181" t="s">
        <v>91</v>
      </c>
      <c r="AJ64" s="181" t="s">
        <v>481</v>
      </c>
      <c r="AK64" s="181" t="s">
        <v>1117</v>
      </c>
      <c r="AL64" s="181">
        <v>159395</v>
      </c>
      <c r="AM64" s="181"/>
      <c r="AN64" s="181"/>
      <c r="AO64" s="181">
        <v>831</v>
      </c>
      <c r="AP64" s="181" t="s">
        <v>485</v>
      </c>
      <c r="AQ64" s="181" t="s">
        <v>1118</v>
      </c>
      <c r="AR64" s="183">
        <v>46261</v>
      </c>
      <c r="AS64" s="181" t="s">
        <v>91</v>
      </c>
      <c r="AT64" s="181" t="s">
        <v>1119</v>
      </c>
      <c r="AU64" s="181"/>
      <c r="AV64" s="181" t="s">
        <v>1120</v>
      </c>
      <c r="AW64" s="181"/>
      <c r="AX64" s="181"/>
      <c r="AY64" s="181"/>
      <c r="AZ64" s="181"/>
      <c r="BA64" s="181"/>
      <c r="BB64" s="181"/>
      <c r="BC64" s="181"/>
      <c r="BD64" s="181" t="s">
        <v>91</v>
      </c>
      <c r="BE64" s="181">
        <v>33</v>
      </c>
      <c r="BF64" s="181"/>
      <c r="BG64" s="181" t="s">
        <v>490</v>
      </c>
      <c r="BH64" s="181" t="s">
        <v>658</v>
      </c>
      <c r="BI64" s="181">
        <v>831037737</v>
      </c>
      <c r="BJ64" s="181"/>
      <c r="BK64" s="181"/>
      <c r="BL64" s="181"/>
      <c r="BM64" s="181"/>
      <c r="BN64" s="181"/>
      <c r="BO64" s="181"/>
      <c r="BP64" s="181"/>
      <c r="BQ64" s="181"/>
      <c r="BR64" s="181"/>
      <c r="BS64" s="181"/>
      <c r="BT64" s="181"/>
      <c r="BU64" s="181"/>
      <c r="BV64" s="181"/>
      <c r="BW64" s="181"/>
      <c r="BX64" s="181"/>
      <c r="BY64" s="181"/>
      <c r="BZ64" s="181"/>
      <c r="CA64" s="190" t="s">
        <v>514</v>
      </c>
      <c r="CB64" s="3"/>
      <c r="CC64" s="16"/>
      <c r="CD64" s="16"/>
      <c r="CE64" s="16"/>
      <c r="CF64" s="16"/>
      <c r="CG64" s="16"/>
      <c r="CH64" s="16"/>
      <c r="CI64" s="16" t="s">
        <v>1121</v>
      </c>
    </row>
    <row r="65" spans="1:87">
      <c r="A65" s="16"/>
      <c r="B65" s="16"/>
      <c r="C65" s="3">
        <v>46272</v>
      </c>
      <c r="D65" s="26" t="s">
        <v>14</v>
      </c>
      <c r="E65" s="180" t="s">
        <v>1122</v>
      </c>
      <c r="F65" s="181">
        <v>2026217710163</v>
      </c>
      <c r="G65" s="181">
        <v>40</v>
      </c>
      <c r="H65" s="181">
        <v>33</v>
      </c>
      <c r="I65" s="181" t="s">
        <v>460</v>
      </c>
      <c r="J65" s="181" t="s">
        <v>1122</v>
      </c>
      <c r="K65" s="181" t="s">
        <v>960</v>
      </c>
      <c r="L65" s="181" t="s">
        <v>13</v>
      </c>
      <c r="M65" s="181">
        <v>11</v>
      </c>
      <c r="N65" s="181" t="s">
        <v>462</v>
      </c>
      <c r="O65" s="181" t="s">
        <v>606</v>
      </c>
      <c r="P65" s="181">
        <v>208081460</v>
      </c>
      <c r="Q65" s="181" t="s">
        <v>465</v>
      </c>
      <c r="R65" s="181" t="s">
        <v>466</v>
      </c>
      <c r="S65" s="181" t="s">
        <v>1123</v>
      </c>
      <c r="T65" s="181" t="s">
        <v>664</v>
      </c>
      <c r="U65" s="182">
        <v>46261.666666666664</v>
      </c>
      <c r="V65" s="181" t="s">
        <v>469</v>
      </c>
      <c r="W65" s="181" t="s">
        <v>651</v>
      </c>
      <c r="X65" s="181" t="s">
        <v>652</v>
      </c>
      <c r="Y65" s="181" t="s">
        <v>653</v>
      </c>
      <c r="Z65" s="181" t="s">
        <v>665</v>
      </c>
      <c r="AA65" s="181" t="s">
        <v>474</v>
      </c>
      <c r="AB65" s="181" t="s">
        <v>1124</v>
      </c>
      <c r="AC65" s="181" t="s">
        <v>640</v>
      </c>
      <c r="AD65" s="181">
        <v>135562308</v>
      </c>
      <c r="AE65" s="181">
        <v>1285826438</v>
      </c>
      <c r="AF65" s="181">
        <v>1356495782</v>
      </c>
      <c r="AG65" s="181">
        <v>2.5420252732506E+16</v>
      </c>
      <c r="AH65" s="181"/>
      <c r="AI65" s="181" t="s">
        <v>55</v>
      </c>
      <c r="AJ65" s="181" t="s">
        <v>481</v>
      </c>
      <c r="AK65" s="181" t="s">
        <v>1125</v>
      </c>
      <c r="AL65" s="181">
        <v>84616</v>
      </c>
      <c r="AM65" s="181"/>
      <c r="AN65" s="181"/>
      <c r="AO65" s="181">
        <v>208</v>
      </c>
      <c r="AP65" s="181" t="s">
        <v>485</v>
      </c>
      <c r="AQ65" s="181" t="s">
        <v>1126</v>
      </c>
      <c r="AR65" s="183">
        <v>46261</v>
      </c>
      <c r="AS65" s="181" t="s">
        <v>55</v>
      </c>
      <c r="AT65" s="181" t="s">
        <v>516</v>
      </c>
      <c r="AU65" s="181"/>
      <c r="AV65" s="181" t="s">
        <v>1127</v>
      </c>
      <c r="AW65" s="181"/>
      <c r="AX65" s="181"/>
      <c r="AY65" s="181"/>
      <c r="AZ65" s="181"/>
      <c r="BA65" s="181"/>
      <c r="BB65" s="181"/>
      <c r="BC65" s="181"/>
      <c r="BD65" s="181" t="s">
        <v>55</v>
      </c>
      <c r="BE65" s="181">
        <v>33</v>
      </c>
      <c r="BF65" s="181"/>
      <c r="BG65" s="181" t="s">
        <v>490</v>
      </c>
      <c r="BH65" s="181" t="s">
        <v>658</v>
      </c>
      <c r="BI65" s="181">
        <v>208081460</v>
      </c>
      <c r="BJ65" s="181"/>
      <c r="BK65" s="181"/>
      <c r="BL65" s="181"/>
      <c r="BM65" s="181"/>
      <c r="BN65" s="181"/>
      <c r="BO65" s="181"/>
      <c r="BP65" s="181"/>
      <c r="BQ65" s="181"/>
      <c r="BR65" s="181"/>
      <c r="BS65" s="181"/>
      <c r="BT65" s="181"/>
      <c r="BU65" s="181"/>
      <c r="BV65" s="181"/>
      <c r="BW65" s="181"/>
      <c r="BX65" s="181"/>
      <c r="BY65" s="181"/>
      <c r="BZ65" s="181"/>
      <c r="CA65" s="190"/>
      <c r="CB65" s="3"/>
      <c r="CC65" s="16"/>
      <c r="CD65" s="16"/>
      <c r="CE65" s="16"/>
      <c r="CF65" s="16"/>
      <c r="CG65" s="16"/>
      <c r="CH65" s="16"/>
      <c r="CI65" s="16" t="s">
        <v>1128</v>
      </c>
    </row>
    <row r="66" spans="1:87">
      <c r="A66" s="16"/>
      <c r="B66" s="16"/>
      <c r="C66" s="3">
        <v>46272</v>
      </c>
      <c r="D66" s="26" t="s">
        <v>14</v>
      </c>
      <c r="E66" s="180" t="s">
        <v>1129</v>
      </c>
      <c r="F66" s="181">
        <v>2026216920593</v>
      </c>
      <c r="G66" s="181">
        <v>40</v>
      </c>
      <c r="H66" s="181">
        <v>34</v>
      </c>
      <c r="I66" s="181" t="s">
        <v>460</v>
      </c>
      <c r="J66" s="181" t="s">
        <v>1129</v>
      </c>
      <c r="K66" s="181" t="s">
        <v>729</v>
      </c>
      <c r="L66" s="181" t="s">
        <v>13</v>
      </c>
      <c r="M66" s="181">
        <v>11</v>
      </c>
      <c r="N66" s="181" t="s">
        <v>462</v>
      </c>
      <c r="O66" s="181" t="s">
        <v>562</v>
      </c>
      <c r="P66" s="181" t="s">
        <v>1130</v>
      </c>
      <c r="Q66" s="181" t="s">
        <v>465</v>
      </c>
      <c r="R66" s="181" t="s">
        <v>466</v>
      </c>
      <c r="S66" s="181" t="s">
        <v>1131</v>
      </c>
      <c r="T66" s="181" t="s">
        <v>664</v>
      </c>
      <c r="U66" s="182">
        <v>46260.931250000001</v>
      </c>
      <c r="V66" s="181" t="s">
        <v>469</v>
      </c>
      <c r="W66" s="181" t="s">
        <v>651</v>
      </c>
      <c r="X66" s="181" t="s">
        <v>652</v>
      </c>
      <c r="Y66" s="181" t="s">
        <v>653</v>
      </c>
      <c r="Z66" s="181" t="s">
        <v>665</v>
      </c>
      <c r="AA66" s="181" t="s">
        <v>474</v>
      </c>
      <c r="AB66" s="181" t="s">
        <v>666</v>
      </c>
      <c r="AC66" s="181" t="s">
        <v>640</v>
      </c>
      <c r="AD66" s="181">
        <v>134010372</v>
      </c>
      <c r="AE66" s="181">
        <v>1699766261</v>
      </c>
      <c r="AF66" s="181">
        <v>1023797982</v>
      </c>
      <c r="AG66" s="181">
        <v>2.54202523102802E+16</v>
      </c>
      <c r="AH66" s="181"/>
      <c r="AI66" s="181" t="s">
        <v>66</v>
      </c>
      <c r="AJ66" s="181" t="s">
        <v>481</v>
      </c>
      <c r="AK66" s="181" t="s">
        <v>1132</v>
      </c>
      <c r="AL66" s="181">
        <v>2107.1999999999998</v>
      </c>
      <c r="AM66" s="181"/>
      <c r="AN66" s="181"/>
      <c r="AO66" s="181" t="s">
        <v>1133</v>
      </c>
      <c r="AP66" s="181" t="s">
        <v>485</v>
      </c>
      <c r="AQ66" s="181" t="s">
        <v>1134</v>
      </c>
      <c r="AR66" s="183">
        <v>46261</v>
      </c>
      <c r="AS66" s="181" t="s">
        <v>66</v>
      </c>
      <c r="AT66" s="181" t="s">
        <v>1135</v>
      </c>
      <c r="AU66" s="181"/>
      <c r="AV66" s="181" t="s">
        <v>1136</v>
      </c>
      <c r="AW66" s="181"/>
      <c r="AX66" s="181"/>
      <c r="AY66" s="181"/>
      <c r="AZ66" s="181"/>
      <c r="BA66" s="181"/>
      <c r="BB66" s="181"/>
      <c r="BC66" s="181"/>
      <c r="BD66" s="181" t="s">
        <v>66</v>
      </c>
      <c r="BE66" s="181">
        <v>34</v>
      </c>
      <c r="BF66" s="181"/>
      <c r="BG66" s="181"/>
      <c r="BH66" s="181" t="s">
        <v>658</v>
      </c>
      <c r="BI66" s="181" t="s">
        <v>1130</v>
      </c>
      <c r="BJ66" s="181"/>
      <c r="BK66" s="181"/>
      <c r="BL66" s="181"/>
      <c r="BM66" s="181"/>
      <c r="BN66" s="181"/>
      <c r="BO66" s="181"/>
      <c r="BP66" s="181"/>
      <c r="BQ66" s="181"/>
      <c r="BR66" s="181"/>
      <c r="BS66" s="181"/>
      <c r="BT66" s="181"/>
      <c r="BU66" s="181"/>
      <c r="BV66" s="181"/>
      <c r="BW66" s="181"/>
      <c r="BX66" s="181"/>
      <c r="BY66" s="181"/>
      <c r="BZ66" s="181"/>
      <c r="CA66" s="190"/>
      <c r="CB66" s="3"/>
      <c r="CC66" s="16"/>
      <c r="CD66" s="16"/>
      <c r="CE66" s="16"/>
      <c r="CF66" s="16"/>
      <c r="CG66" s="16"/>
      <c r="CH66" s="16"/>
      <c r="CI66" s="16" t="s">
        <v>1137</v>
      </c>
    </row>
    <row r="67" spans="1:87">
      <c r="A67" s="16"/>
      <c r="B67" s="16"/>
      <c r="C67" s="3">
        <v>46272</v>
      </c>
      <c r="D67" s="26" t="s">
        <v>14</v>
      </c>
      <c r="E67" s="180" t="s">
        <v>1138</v>
      </c>
      <c r="F67" s="181">
        <v>2026211620537</v>
      </c>
      <c r="G67" s="181">
        <v>40</v>
      </c>
      <c r="H67" s="181">
        <v>39</v>
      </c>
      <c r="I67" s="181" t="s">
        <v>460</v>
      </c>
      <c r="J67" s="181" t="s">
        <v>1138</v>
      </c>
      <c r="K67" s="181" t="s">
        <v>625</v>
      </c>
      <c r="L67" s="181" t="s">
        <v>17</v>
      </c>
      <c r="M67" s="181">
        <v>14</v>
      </c>
      <c r="N67" s="181" t="s">
        <v>462</v>
      </c>
      <c r="O67" s="181" t="s">
        <v>606</v>
      </c>
      <c r="P67" s="181">
        <v>202705312</v>
      </c>
      <c r="Q67" s="181" t="s">
        <v>465</v>
      </c>
      <c r="R67" s="181" t="s">
        <v>466</v>
      </c>
      <c r="S67" s="181" t="s">
        <v>1139</v>
      </c>
      <c r="T67" s="181" t="s">
        <v>664</v>
      </c>
      <c r="U67" s="182">
        <v>46257.984722222223</v>
      </c>
      <c r="V67" s="181" t="s">
        <v>469</v>
      </c>
      <c r="W67" s="181" t="s">
        <v>651</v>
      </c>
      <c r="X67" s="181" t="s">
        <v>652</v>
      </c>
      <c r="Y67" s="181" t="s">
        <v>653</v>
      </c>
      <c r="Z67" s="181" t="s">
        <v>665</v>
      </c>
      <c r="AA67" s="181" t="s">
        <v>474</v>
      </c>
      <c r="AB67" s="181" t="s">
        <v>666</v>
      </c>
      <c r="AC67" s="181" t="s">
        <v>640</v>
      </c>
      <c r="AD67" s="181">
        <v>834437296</v>
      </c>
      <c r="AE67" s="181">
        <v>1679174841</v>
      </c>
      <c r="AF67" s="181"/>
      <c r="AG67" s="181">
        <v>2.5420242481423E+16</v>
      </c>
      <c r="AH67" s="181"/>
      <c r="AI67" s="181" t="s">
        <v>70</v>
      </c>
      <c r="AJ67" s="181" t="s">
        <v>481</v>
      </c>
      <c r="AK67" s="181" t="s">
        <v>1140</v>
      </c>
      <c r="AL67" s="181">
        <v>30027.5</v>
      </c>
      <c r="AM67" s="181"/>
      <c r="AN67" s="181"/>
      <c r="AO67" s="181">
        <v>202</v>
      </c>
      <c r="AP67" s="181" t="s">
        <v>485</v>
      </c>
      <c r="AQ67" s="181" t="s">
        <v>1141</v>
      </c>
      <c r="AR67" s="183">
        <v>46258</v>
      </c>
      <c r="AS67" s="181" t="s">
        <v>70</v>
      </c>
      <c r="AT67" s="181" t="s">
        <v>1142</v>
      </c>
      <c r="AU67" s="181"/>
      <c r="AV67" s="181" t="s">
        <v>1143</v>
      </c>
      <c r="AW67" s="181"/>
      <c r="AX67" s="181"/>
      <c r="AY67" s="181"/>
      <c r="AZ67" s="181"/>
      <c r="BA67" s="181"/>
      <c r="BB67" s="181"/>
      <c r="BC67" s="181"/>
      <c r="BD67" s="181" t="s">
        <v>70</v>
      </c>
      <c r="BE67" s="181">
        <v>39</v>
      </c>
      <c r="BF67" s="181"/>
      <c r="BG67" s="181" t="s">
        <v>490</v>
      </c>
      <c r="BH67" s="181" t="s">
        <v>658</v>
      </c>
      <c r="BI67" s="181">
        <v>202705312</v>
      </c>
      <c r="BJ67" s="181"/>
      <c r="BK67" s="181"/>
      <c r="BL67" s="181"/>
      <c r="BM67" s="181"/>
      <c r="BN67" s="181"/>
      <c r="BO67" s="181"/>
      <c r="BP67" s="181"/>
      <c r="BQ67" s="181"/>
      <c r="BR67" s="181"/>
      <c r="BS67" s="181"/>
      <c r="BT67" s="181"/>
      <c r="BU67" s="181"/>
      <c r="BV67" s="181"/>
      <c r="BW67" s="181"/>
      <c r="BX67" s="181"/>
      <c r="BY67" s="181"/>
      <c r="BZ67" s="181"/>
      <c r="CA67" s="190"/>
      <c r="CB67" s="3"/>
      <c r="CC67" s="16"/>
      <c r="CD67" s="16"/>
      <c r="CE67" s="16"/>
      <c r="CF67" s="16"/>
      <c r="CG67" s="16"/>
      <c r="CH67" s="16"/>
      <c r="CI67" s="16" t="s">
        <v>1144</v>
      </c>
    </row>
    <row r="68" spans="1:87">
      <c r="A68" s="16" t="s">
        <v>5</v>
      </c>
      <c r="B68" s="16" t="s">
        <v>719</v>
      </c>
      <c r="C68" s="3">
        <v>46272</v>
      </c>
      <c r="D68" s="26" t="s">
        <v>14</v>
      </c>
      <c r="E68" s="180" t="s">
        <v>1145</v>
      </c>
      <c r="F68" s="181">
        <v>2026211720545</v>
      </c>
      <c r="G68" s="181">
        <v>40</v>
      </c>
      <c r="H68" s="181">
        <v>39</v>
      </c>
      <c r="I68" s="181" t="s">
        <v>460</v>
      </c>
      <c r="J68" s="181" t="s">
        <v>1145</v>
      </c>
      <c r="K68" s="181" t="s">
        <v>721</v>
      </c>
      <c r="L68" s="181" t="s">
        <v>13</v>
      </c>
      <c r="M68" s="181">
        <v>14</v>
      </c>
      <c r="N68" s="181" t="s">
        <v>462</v>
      </c>
      <c r="O68" s="181" t="s">
        <v>606</v>
      </c>
      <c r="P68" s="181" t="s">
        <v>1146</v>
      </c>
      <c r="Q68" s="181" t="s">
        <v>465</v>
      </c>
      <c r="R68" s="181" t="s">
        <v>466</v>
      </c>
      <c r="S68" s="181" t="s">
        <v>1147</v>
      </c>
      <c r="T68" s="181" t="s">
        <v>664</v>
      </c>
      <c r="U68" s="182">
        <v>46257.987500000003</v>
      </c>
      <c r="V68" s="181" t="s">
        <v>469</v>
      </c>
      <c r="W68" s="181" t="s">
        <v>651</v>
      </c>
      <c r="X68" s="181" t="s">
        <v>652</v>
      </c>
      <c r="Y68" s="181" t="s">
        <v>653</v>
      </c>
      <c r="Z68" s="181" t="s">
        <v>665</v>
      </c>
      <c r="AA68" s="181" t="s">
        <v>474</v>
      </c>
      <c r="AB68" s="181" t="s">
        <v>666</v>
      </c>
      <c r="AC68" s="181" t="s">
        <v>640</v>
      </c>
      <c r="AD68" s="181">
        <v>135562308</v>
      </c>
      <c r="AE68" s="181">
        <v>1285826438</v>
      </c>
      <c r="AF68" s="181">
        <v>1831403237</v>
      </c>
      <c r="AG68" s="181">
        <v>2.54202530700464E+16</v>
      </c>
      <c r="AH68" s="181"/>
      <c r="AI68" s="181" t="s">
        <v>75</v>
      </c>
      <c r="AJ68" s="181" t="s">
        <v>481</v>
      </c>
      <c r="AK68" s="181" t="s">
        <v>1148</v>
      </c>
      <c r="AL68" s="181">
        <v>52469</v>
      </c>
      <c r="AM68" s="181"/>
      <c r="AN68" s="181"/>
      <c r="AO68" s="181" t="s">
        <v>1133</v>
      </c>
      <c r="AP68" s="181" t="s">
        <v>485</v>
      </c>
      <c r="AQ68" s="181" t="s">
        <v>1149</v>
      </c>
      <c r="AR68" s="183">
        <v>46258</v>
      </c>
      <c r="AS68" s="181" t="s">
        <v>75</v>
      </c>
      <c r="AT68" s="181" t="s">
        <v>725</v>
      </c>
      <c r="AU68" s="181"/>
      <c r="AV68" s="181" t="s">
        <v>1150</v>
      </c>
      <c r="AW68" s="181"/>
      <c r="AX68" s="181"/>
      <c r="AY68" s="181"/>
      <c r="AZ68" s="181"/>
      <c r="BA68" s="181"/>
      <c r="BB68" s="181"/>
      <c r="BC68" s="181"/>
      <c r="BD68" s="181" t="s">
        <v>75</v>
      </c>
      <c r="BE68" s="181">
        <v>39</v>
      </c>
      <c r="BF68" s="181"/>
      <c r="BG68" s="181" t="s">
        <v>490</v>
      </c>
      <c r="BH68" s="181" t="s">
        <v>658</v>
      </c>
      <c r="BI68" s="181" t="s">
        <v>1146</v>
      </c>
      <c r="BJ68" s="181"/>
      <c r="BK68" s="181"/>
      <c r="BL68" s="181" t="s">
        <v>1151</v>
      </c>
      <c r="BM68" s="181"/>
      <c r="BN68" s="181"/>
      <c r="BO68" s="181"/>
      <c r="BP68" s="181"/>
      <c r="BQ68" s="181"/>
      <c r="BR68" s="181"/>
      <c r="BS68" s="181"/>
      <c r="BT68" s="181"/>
      <c r="BU68" s="181"/>
      <c r="BV68" s="181"/>
      <c r="BW68" s="181"/>
      <c r="BX68" s="181"/>
      <c r="BY68" s="181"/>
      <c r="BZ68" s="181"/>
      <c r="CA68" s="190">
        <v>46280.666666666701</v>
      </c>
      <c r="CB68" s="3"/>
      <c r="CC68" s="16"/>
      <c r="CD68" s="16"/>
      <c r="CE68" s="16"/>
      <c r="CF68" s="16"/>
      <c r="CG68" s="16"/>
      <c r="CH68" s="16"/>
      <c r="CI68" s="16" t="s">
        <v>1152</v>
      </c>
    </row>
    <row r="69" spans="1:87">
      <c r="A69" s="16" t="s">
        <v>5</v>
      </c>
      <c r="B69" s="16" t="s">
        <v>1153</v>
      </c>
      <c r="C69" s="3">
        <v>46272</v>
      </c>
      <c r="D69" s="26" t="s">
        <v>14</v>
      </c>
      <c r="E69" s="180" t="s">
        <v>1154</v>
      </c>
      <c r="F69" s="181">
        <v>2026216920463</v>
      </c>
      <c r="G69" s="181">
        <v>40</v>
      </c>
      <c r="H69" s="181">
        <v>34</v>
      </c>
      <c r="I69" s="181" t="s">
        <v>460</v>
      </c>
      <c r="J69" s="181" t="s">
        <v>1154</v>
      </c>
      <c r="K69" s="181" t="s">
        <v>461</v>
      </c>
      <c r="L69" s="181" t="s">
        <v>17</v>
      </c>
      <c r="M69" s="181">
        <v>11</v>
      </c>
      <c r="N69" s="181" t="s">
        <v>462</v>
      </c>
      <c r="O69" s="181" t="s">
        <v>606</v>
      </c>
      <c r="P69" s="181">
        <v>981428694</v>
      </c>
      <c r="Q69" s="181" t="s">
        <v>465</v>
      </c>
      <c r="R69" s="181" t="s">
        <v>466</v>
      </c>
      <c r="S69" s="181" t="s">
        <v>1155</v>
      </c>
      <c r="T69" s="181" t="s">
        <v>664</v>
      </c>
      <c r="U69" s="182">
        <v>46260.830555555556</v>
      </c>
      <c r="V69" s="181" t="s">
        <v>469</v>
      </c>
      <c r="W69" s="181" t="s">
        <v>651</v>
      </c>
      <c r="X69" s="181" t="s">
        <v>652</v>
      </c>
      <c r="Y69" s="181" t="s">
        <v>653</v>
      </c>
      <c r="Z69" s="181" t="s">
        <v>665</v>
      </c>
      <c r="AA69" s="181" t="s">
        <v>474</v>
      </c>
      <c r="AB69" s="181" t="s">
        <v>1124</v>
      </c>
      <c r="AC69" s="181" t="s">
        <v>640</v>
      </c>
      <c r="AD69" s="181">
        <v>135562308</v>
      </c>
      <c r="AE69" s="181">
        <v>1285826438</v>
      </c>
      <c r="AF69" s="181">
        <v>1902867393</v>
      </c>
      <c r="AG69" s="181">
        <v>2.54202522316248E+16</v>
      </c>
      <c r="AH69" s="181"/>
      <c r="AI69" s="181" t="s">
        <v>67</v>
      </c>
      <c r="AJ69" s="181" t="s">
        <v>481</v>
      </c>
      <c r="AK69" s="181" t="s">
        <v>1156</v>
      </c>
      <c r="AL69" s="181">
        <v>42845</v>
      </c>
      <c r="AM69" s="181"/>
      <c r="AN69" s="181"/>
      <c r="AO69" s="181">
        <v>981</v>
      </c>
      <c r="AP69" s="181" t="s">
        <v>485</v>
      </c>
      <c r="AQ69" s="181" t="s">
        <v>1157</v>
      </c>
      <c r="AR69" s="183">
        <v>46261</v>
      </c>
      <c r="AS69" s="181" t="s">
        <v>67</v>
      </c>
      <c r="AT69" s="181" t="s">
        <v>487</v>
      </c>
      <c r="AU69" s="181"/>
      <c r="AV69" s="181" t="s">
        <v>1120</v>
      </c>
      <c r="AW69" s="181"/>
      <c r="AX69" s="181"/>
      <c r="AY69" s="181"/>
      <c r="AZ69" s="181"/>
      <c r="BA69" s="181"/>
      <c r="BB69" s="181"/>
      <c r="BC69" s="181"/>
      <c r="BD69" s="181" t="s">
        <v>67</v>
      </c>
      <c r="BE69" s="181">
        <v>34</v>
      </c>
      <c r="BF69" s="181"/>
      <c r="BG69" s="181" t="s">
        <v>490</v>
      </c>
      <c r="BH69" s="181" t="s">
        <v>658</v>
      </c>
      <c r="BI69" s="181">
        <v>981428694</v>
      </c>
      <c r="BJ69" s="181"/>
      <c r="BK69" s="181"/>
      <c r="BL69" s="181"/>
      <c r="BM69" s="181"/>
      <c r="BN69" s="181"/>
      <c r="BO69" s="181"/>
      <c r="BP69" s="181"/>
      <c r="BQ69" s="181"/>
      <c r="BR69" s="181"/>
      <c r="BS69" s="181"/>
      <c r="BT69" s="181"/>
      <c r="BU69" s="181"/>
      <c r="BV69" s="181"/>
      <c r="BW69" s="181"/>
      <c r="BX69" s="181"/>
      <c r="BY69" s="181"/>
      <c r="BZ69" s="181"/>
      <c r="CA69" s="190">
        <v>46282.166666666701</v>
      </c>
      <c r="CB69" s="3"/>
      <c r="CC69" s="16"/>
      <c r="CD69" s="16"/>
      <c r="CE69" s="16"/>
      <c r="CF69" s="16"/>
      <c r="CG69" s="16"/>
      <c r="CH69" s="16"/>
      <c r="CI69" s="16" t="s">
        <v>1158</v>
      </c>
    </row>
    <row r="70" spans="1:87">
      <c r="A70" s="16"/>
      <c r="B70" s="16"/>
      <c r="C70" s="3">
        <v>46272</v>
      </c>
      <c r="D70" s="26" t="s">
        <v>14</v>
      </c>
      <c r="E70" s="180" t="s">
        <v>1159</v>
      </c>
      <c r="F70" s="181">
        <v>2026212360028</v>
      </c>
      <c r="G70" s="181">
        <v>40</v>
      </c>
      <c r="H70" s="181">
        <v>38</v>
      </c>
      <c r="I70" s="181" t="s">
        <v>460</v>
      </c>
      <c r="J70" s="181" t="s">
        <v>1159</v>
      </c>
      <c r="K70" s="181" t="s">
        <v>854</v>
      </c>
      <c r="L70" s="181" t="s">
        <v>18</v>
      </c>
      <c r="M70" s="181">
        <v>14</v>
      </c>
      <c r="N70" s="181" t="s">
        <v>462</v>
      </c>
      <c r="O70" s="181" t="s">
        <v>606</v>
      </c>
      <c r="P70" s="181">
        <v>134571932</v>
      </c>
      <c r="Q70" s="181" t="s">
        <v>465</v>
      </c>
      <c r="R70" s="181" t="s">
        <v>466</v>
      </c>
      <c r="S70" s="181" t="s">
        <v>1160</v>
      </c>
      <c r="T70" s="181" t="s">
        <v>664</v>
      </c>
      <c r="U70" s="182">
        <v>46258.03402777778</v>
      </c>
      <c r="V70" s="181" t="s">
        <v>469</v>
      </c>
      <c r="W70" s="181" t="s">
        <v>651</v>
      </c>
      <c r="X70" s="181" t="s">
        <v>652</v>
      </c>
      <c r="Y70" s="181" t="s">
        <v>653</v>
      </c>
      <c r="Z70" s="181" t="s">
        <v>665</v>
      </c>
      <c r="AA70" s="181" t="s">
        <v>474</v>
      </c>
      <c r="AB70" s="181" t="s">
        <v>666</v>
      </c>
      <c r="AC70" s="181" t="s">
        <v>640</v>
      </c>
      <c r="AD70" s="181">
        <v>135598093</v>
      </c>
      <c r="AE70" s="181">
        <v>1508266347</v>
      </c>
      <c r="AF70" s="181">
        <v>1265938773</v>
      </c>
      <c r="AG70" s="181">
        <v>2.54202534422524E+16</v>
      </c>
      <c r="AH70" s="181"/>
      <c r="AI70" s="181" t="s">
        <v>21</v>
      </c>
      <c r="AJ70" s="181" t="s">
        <v>481</v>
      </c>
      <c r="AK70" s="181" t="s">
        <v>1161</v>
      </c>
      <c r="AL70" s="181">
        <v>12788</v>
      </c>
      <c r="AM70" s="181"/>
      <c r="AN70" s="181"/>
      <c r="AO70" s="181">
        <v>134</v>
      </c>
      <c r="AP70" s="181" t="s">
        <v>485</v>
      </c>
      <c r="AQ70" s="181" t="s">
        <v>1162</v>
      </c>
      <c r="AR70" s="183">
        <v>46258</v>
      </c>
      <c r="AS70" s="181" t="s">
        <v>21</v>
      </c>
      <c r="AT70" s="181" t="s">
        <v>859</v>
      </c>
      <c r="AU70" s="181"/>
      <c r="AV70" s="181" t="s">
        <v>1163</v>
      </c>
      <c r="AW70" s="181"/>
      <c r="AX70" s="181"/>
      <c r="AY70" s="181"/>
      <c r="AZ70" s="181"/>
      <c r="BA70" s="181"/>
      <c r="BB70" s="181"/>
      <c r="BC70" s="181"/>
      <c r="BD70" s="181" t="s">
        <v>21</v>
      </c>
      <c r="BE70" s="181">
        <v>38</v>
      </c>
      <c r="BF70" s="181"/>
      <c r="BG70" s="181"/>
      <c r="BH70" s="181" t="s">
        <v>658</v>
      </c>
      <c r="BI70" s="181">
        <v>134571932</v>
      </c>
      <c r="BJ70" s="181"/>
      <c r="BK70" s="181"/>
      <c r="BL70" s="181"/>
      <c r="BM70" s="181"/>
      <c r="BN70" s="181"/>
      <c r="BO70" s="181"/>
      <c r="BP70" s="181"/>
      <c r="BQ70" s="181"/>
      <c r="BR70" s="181"/>
      <c r="BS70" s="181"/>
      <c r="BT70" s="181"/>
      <c r="BU70" s="181"/>
      <c r="BV70" s="181"/>
      <c r="BW70" s="181"/>
      <c r="BX70" s="181"/>
      <c r="BY70" s="181"/>
      <c r="BZ70" s="181"/>
      <c r="CA70" s="190"/>
      <c r="CB70" s="3"/>
      <c r="CC70" s="16"/>
      <c r="CD70" s="16"/>
      <c r="CE70" s="16"/>
      <c r="CF70" s="16"/>
      <c r="CG70" s="16"/>
      <c r="CH70" s="16"/>
      <c r="CI70" s="16" t="s">
        <v>1164</v>
      </c>
    </row>
    <row r="71" spans="1:87">
      <c r="A71" s="16" t="s">
        <v>5</v>
      </c>
      <c r="B71" s="16" t="s">
        <v>606</v>
      </c>
      <c r="C71" s="3">
        <v>46272</v>
      </c>
      <c r="D71" s="26" t="s">
        <v>14</v>
      </c>
      <c r="E71" s="180" t="s">
        <v>1165</v>
      </c>
      <c r="F71" s="181">
        <v>2026212710386</v>
      </c>
      <c r="G71" s="181">
        <v>40</v>
      </c>
      <c r="H71" s="181">
        <v>38</v>
      </c>
      <c r="I71" s="181" t="s">
        <v>460</v>
      </c>
      <c r="J71" s="181" t="s">
        <v>1165</v>
      </c>
      <c r="K71" s="181" t="s">
        <v>741</v>
      </c>
      <c r="L71" s="181" t="s">
        <v>13</v>
      </c>
      <c r="M71" s="181">
        <v>13</v>
      </c>
      <c r="N71" s="181" t="s">
        <v>462</v>
      </c>
      <c r="O71" s="181" t="s">
        <v>606</v>
      </c>
      <c r="P71" s="181">
        <v>136168538</v>
      </c>
      <c r="Q71" s="181" t="s">
        <v>465</v>
      </c>
      <c r="R71" s="181" t="s">
        <v>466</v>
      </c>
      <c r="S71" s="181" t="s">
        <v>1166</v>
      </c>
      <c r="T71" s="181" t="s">
        <v>664</v>
      </c>
      <c r="U71" s="182">
        <v>46258.776388888888</v>
      </c>
      <c r="V71" s="181" t="s">
        <v>469</v>
      </c>
      <c r="W71" s="181" t="s">
        <v>651</v>
      </c>
      <c r="X71" s="181" t="s">
        <v>652</v>
      </c>
      <c r="Y71" s="181" t="s">
        <v>653</v>
      </c>
      <c r="Z71" s="181" t="s">
        <v>665</v>
      </c>
      <c r="AA71" s="181" t="s">
        <v>474</v>
      </c>
      <c r="AB71" s="181" t="s">
        <v>666</v>
      </c>
      <c r="AC71" s="181" t="s">
        <v>640</v>
      </c>
      <c r="AD71" s="181">
        <v>850546226</v>
      </c>
      <c r="AE71" s="181">
        <v>1518384957</v>
      </c>
      <c r="AF71" s="181">
        <v>1518384957</v>
      </c>
      <c r="AG71" s="181">
        <v>2.54202533028451E+16</v>
      </c>
      <c r="AH71" s="181"/>
      <c r="AI71" s="181" t="s">
        <v>290</v>
      </c>
      <c r="AJ71" s="181" t="s">
        <v>481</v>
      </c>
      <c r="AK71" s="181" t="s">
        <v>1167</v>
      </c>
      <c r="AL71" s="181">
        <v>53721</v>
      </c>
      <c r="AM71" s="181"/>
      <c r="AN71" s="181"/>
      <c r="AO71" s="181">
        <v>136</v>
      </c>
      <c r="AP71" s="181" t="s">
        <v>485</v>
      </c>
      <c r="AQ71" s="181" t="s">
        <v>1168</v>
      </c>
      <c r="AR71" s="183">
        <v>46259</v>
      </c>
      <c r="AS71" s="181" t="s">
        <v>290</v>
      </c>
      <c r="AT71" s="181" t="s">
        <v>1169</v>
      </c>
      <c r="AU71" s="181"/>
      <c r="AV71" s="181" t="s">
        <v>1170</v>
      </c>
      <c r="AW71" s="181"/>
      <c r="AX71" s="181"/>
      <c r="AY71" s="181"/>
      <c r="AZ71" s="181"/>
      <c r="BA71" s="181"/>
      <c r="BB71" s="181"/>
      <c r="BC71" s="181"/>
      <c r="BD71" s="181" t="s">
        <v>290</v>
      </c>
      <c r="BE71" s="181">
        <v>38</v>
      </c>
      <c r="BF71" s="181"/>
      <c r="BG71" s="181" t="s">
        <v>490</v>
      </c>
      <c r="BH71" s="181" t="s">
        <v>658</v>
      </c>
      <c r="BI71" s="181">
        <v>136168538</v>
      </c>
      <c r="BJ71" s="181"/>
      <c r="BK71" s="181"/>
      <c r="BL71" s="181"/>
      <c r="BM71" s="181"/>
      <c r="BN71" s="181"/>
      <c r="BO71" s="181"/>
      <c r="BP71" s="181"/>
      <c r="BQ71" s="181"/>
      <c r="BR71" s="181"/>
      <c r="BS71" s="181"/>
      <c r="BT71" s="181"/>
      <c r="BU71" s="181"/>
      <c r="BV71" s="181"/>
      <c r="BW71" s="181"/>
      <c r="BX71" s="181"/>
      <c r="BY71" s="181"/>
      <c r="BZ71" s="181"/>
      <c r="CA71" s="190">
        <v>46280.666666666701</v>
      </c>
      <c r="CB71" s="3"/>
      <c r="CC71" s="16"/>
      <c r="CD71" s="16"/>
      <c r="CE71" s="16"/>
      <c r="CF71" s="16"/>
      <c r="CG71" s="16"/>
      <c r="CH71" s="16"/>
      <c r="CI71" s="16" t="s">
        <v>1171</v>
      </c>
    </row>
    <row r="72" spans="1:87">
      <c r="A72" s="16"/>
      <c r="B72" s="16"/>
      <c r="C72" s="3">
        <v>46272</v>
      </c>
      <c r="D72" s="26" t="s">
        <v>14</v>
      </c>
      <c r="E72" s="180" t="s">
        <v>1172</v>
      </c>
      <c r="F72" s="181">
        <v>2026211810406</v>
      </c>
      <c r="G72" s="181">
        <v>40</v>
      </c>
      <c r="H72" s="181">
        <v>39</v>
      </c>
      <c r="I72" s="181" t="s">
        <v>460</v>
      </c>
      <c r="J72" s="181" t="s">
        <v>1172</v>
      </c>
      <c r="K72" s="181" t="s">
        <v>983</v>
      </c>
      <c r="L72" s="181" t="s">
        <v>17</v>
      </c>
      <c r="M72" s="181">
        <v>12</v>
      </c>
      <c r="N72" s="181" t="s">
        <v>462</v>
      </c>
      <c r="O72" s="181" t="s">
        <v>606</v>
      </c>
      <c r="P72" s="181">
        <v>100011248</v>
      </c>
      <c r="Q72" s="181" t="s">
        <v>465</v>
      </c>
      <c r="R72" s="181" t="s">
        <v>466</v>
      </c>
      <c r="S72" s="181" t="s">
        <v>1173</v>
      </c>
      <c r="T72" s="181" t="s">
        <v>664</v>
      </c>
      <c r="U72" s="182">
        <v>46260.078472222223</v>
      </c>
      <c r="V72" s="181" t="s">
        <v>469</v>
      </c>
      <c r="W72" s="181" t="s">
        <v>651</v>
      </c>
      <c r="X72" s="181" t="s">
        <v>652</v>
      </c>
      <c r="Y72" s="181" t="s">
        <v>653</v>
      </c>
      <c r="Z72" s="181" t="s">
        <v>665</v>
      </c>
      <c r="AA72" s="181" t="s">
        <v>474</v>
      </c>
      <c r="AB72" s="181" t="s">
        <v>1174</v>
      </c>
      <c r="AC72" s="181" t="s">
        <v>640</v>
      </c>
      <c r="AD72" s="181">
        <v>455459639</v>
      </c>
      <c r="AE72" s="181">
        <v>1285982512</v>
      </c>
      <c r="AF72" s="181">
        <v>1285152918</v>
      </c>
      <c r="AG72" s="181">
        <v>2.5420252761739E+16</v>
      </c>
      <c r="AH72" s="181"/>
      <c r="AI72" s="181" t="s">
        <v>34</v>
      </c>
      <c r="AJ72" s="181" t="s">
        <v>481</v>
      </c>
      <c r="AK72" s="181" t="s">
        <v>1175</v>
      </c>
      <c r="AL72" s="181">
        <v>43400</v>
      </c>
      <c r="AM72" s="181"/>
      <c r="AN72" s="181"/>
      <c r="AO72" s="181">
        <v>100</v>
      </c>
      <c r="AP72" s="181" t="s">
        <v>485</v>
      </c>
      <c r="AQ72" s="181" t="s">
        <v>1176</v>
      </c>
      <c r="AR72" s="183">
        <v>46260</v>
      </c>
      <c r="AS72" s="181" t="s">
        <v>34</v>
      </c>
      <c r="AT72" s="181" t="s">
        <v>976</v>
      </c>
      <c r="AU72" s="181"/>
      <c r="AV72" s="181" t="s">
        <v>1177</v>
      </c>
      <c r="AW72" s="181"/>
      <c r="AX72" s="181"/>
      <c r="AY72" s="181"/>
      <c r="AZ72" s="181"/>
      <c r="BA72" s="181"/>
      <c r="BB72" s="181"/>
      <c r="BC72" s="181"/>
      <c r="BD72" s="181" t="s">
        <v>34</v>
      </c>
      <c r="BE72" s="181">
        <v>39</v>
      </c>
      <c r="BF72" s="181"/>
      <c r="BG72" s="181"/>
      <c r="BH72" s="181" t="s">
        <v>658</v>
      </c>
      <c r="BI72" s="181">
        <v>100011248</v>
      </c>
      <c r="BJ72" s="181"/>
      <c r="BK72" s="181"/>
      <c r="BL72" s="181"/>
      <c r="BM72" s="181"/>
      <c r="BN72" s="181"/>
      <c r="BO72" s="181"/>
      <c r="BP72" s="181"/>
      <c r="BQ72" s="181"/>
      <c r="BR72" s="181"/>
      <c r="BS72" s="181"/>
      <c r="BT72" s="181"/>
      <c r="BU72" s="181"/>
      <c r="BV72" s="181"/>
      <c r="BW72" s="181"/>
      <c r="BX72" s="181"/>
      <c r="BY72" s="181"/>
      <c r="BZ72" s="181"/>
      <c r="CA72" s="190"/>
      <c r="CB72" s="3"/>
      <c r="CC72" s="16"/>
      <c r="CD72" s="16"/>
      <c r="CE72" s="16"/>
      <c r="CF72" s="16"/>
      <c r="CG72" s="16"/>
      <c r="CH72" s="16"/>
      <c r="CI72" s="16" t="s">
        <v>1178</v>
      </c>
    </row>
    <row r="73" spans="1:87" ht="29.25">
      <c r="A73" s="16" t="s">
        <v>5</v>
      </c>
      <c r="B73" s="25" t="s">
        <v>1179</v>
      </c>
      <c r="C73" s="3">
        <v>46272</v>
      </c>
      <c r="D73" s="26" t="s">
        <v>14</v>
      </c>
      <c r="E73" s="180" t="s">
        <v>1180</v>
      </c>
      <c r="F73" s="181">
        <v>2026207860022</v>
      </c>
      <c r="G73" s="181">
        <v>40</v>
      </c>
      <c r="H73" s="181">
        <v>43</v>
      </c>
      <c r="I73" s="181" t="s">
        <v>460</v>
      </c>
      <c r="J73" s="181" t="s">
        <v>1180</v>
      </c>
      <c r="K73" s="181" t="s">
        <v>1040</v>
      </c>
      <c r="L73" s="181" t="s">
        <v>17</v>
      </c>
      <c r="M73" s="181">
        <v>11</v>
      </c>
      <c r="N73" s="181" t="s">
        <v>462</v>
      </c>
      <c r="O73" s="181" t="s">
        <v>606</v>
      </c>
      <c r="P73" s="181">
        <v>125429747</v>
      </c>
      <c r="Q73" s="181" t="s">
        <v>465</v>
      </c>
      <c r="R73" s="181" t="s">
        <v>466</v>
      </c>
      <c r="S73" s="181" t="s">
        <v>1181</v>
      </c>
      <c r="T73" s="181" t="s">
        <v>664</v>
      </c>
      <c r="U73" s="182">
        <v>46260.740972222222</v>
      </c>
      <c r="V73" s="181" t="s">
        <v>469</v>
      </c>
      <c r="W73" s="181" t="s">
        <v>651</v>
      </c>
      <c r="X73" s="181" t="s">
        <v>652</v>
      </c>
      <c r="Y73" s="181" t="s">
        <v>653</v>
      </c>
      <c r="Z73" s="181" t="s">
        <v>665</v>
      </c>
      <c r="AA73" s="181" t="s">
        <v>474</v>
      </c>
      <c r="AB73" s="181" t="s">
        <v>666</v>
      </c>
      <c r="AC73" s="181" t="s">
        <v>640</v>
      </c>
      <c r="AD73" s="181">
        <v>334534090</v>
      </c>
      <c r="AE73" s="181">
        <v>1275329492</v>
      </c>
      <c r="AF73" s="181">
        <v>1528773397</v>
      </c>
      <c r="AG73" s="181">
        <v>2.54202534419645E+16</v>
      </c>
      <c r="AH73" s="181"/>
      <c r="AI73" s="181" t="s">
        <v>173</v>
      </c>
      <c r="AJ73" s="181" t="s">
        <v>481</v>
      </c>
      <c r="AK73" s="181" t="s">
        <v>1182</v>
      </c>
      <c r="AL73" s="181">
        <v>13175.5</v>
      </c>
      <c r="AM73" s="181"/>
      <c r="AN73" s="181"/>
      <c r="AO73" s="181">
        <v>125</v>
      </c>
      <c r="AP73" s="181" t="s">
        <v>485</v>
      </c>
      <c r="AQ73" s="181" t="s">
        <v>1183</v>
      </c>
      <c r="AR73" s="183">
        <v>46261</v>
      </c>
      <c r="AS73" s="181" t="s">
        <v>173</v>
      </c>
      <c r="AT73" s="181" t="s">
        <v>1047</v>
      </c>
      <c r="AU73" s="181"/>
      <c r="AV73" s="181" t="s">
        <v>1184</v>
      </c>
      <c r="AW73" s="181"/>
      <c r="AX73" s="181"/>
      <c r="AY73" s="181"/>
      <c r="AZ73" s="181"/>
      <c r="BA73" s="181"/>
      <c r="BB73" s="181"/>
      <c r="BC73" s="181"/>
      <c r="BD73" s="181" t="s">
        <v>173</v>
      </c>
      <c r="BE73" s="181">
        <v>43</v>
      </c>
      <c r="BF73" s="181"/>
      <c r="BG73" s="181"/>
      <c r="BH73" s="181" t="s">
        <v>658</v>
      </c>
      <c r="BI73" s="181">
        <v>125429747</v>
      </c>
      <c r="BJ73" s="181"/>
      <c r="BK73" s="181"/>
      <c r="BL73" s="181"/>
      <c r="BM73" s="181"/>
      <c r="BN73" s="181"/>
      <c r="BO73" s="181"/>
      <c r="BP73" s="181"/>
      <c r="BQ73" s="181"/>
      <c r="BR73" s="181"/>
      <c r="BS73" s="181"/>
      <c r="BT73" s="181"/>
      <c r="BU73" s="181"/>
      <c r="BV73" s="181"/>
      <c r="BW73" s="181"/>
      <c r="BX73" s="181"/>
      <c r="BY73" s="181"/>
      <c r="BZ73" s="181"/>
      <c r="CA73" s="190">
        <v>46282.666666666701</v>
      </c>
      <c r="CB73" s="3"/>
      <c r="CC73" s="16"/>
      <c r="CD73" s="16"/>
      <c r="CE73" s="16"/>
      <c r="CF73" s="16"/>
      <c r="CG73" s="16"/>
      <c r="CH73" s="16"/>
      <c r="CI73" s="16" t="s">
        <v>1185</v>
      </c>
    </row>
    <row r="74" spans="1:87">
      <c r="A74" s="16" t="s">
        <v>5</v>
      </c>
      <c r="B74" s="16" t="s">
        <v>719</v>
      </c>
      <c r="C74" s="3">
        <v>46272</v>
      </c>
      <c r="D74" s="26" t="s">
        <v>14</v>
      </c>
      <c r="E74" s="180" t="s">
        <v>1186</v>
      </c>
      <c r="F74" s="181">
        <v>2026216270435</v>
      </c>
      <c r="G74" s="181">
        <v>40</v>
      </c>
      <c r="H74" s="181">
        <v>34</v>
      </c>
      <c r="I74" s="181" t="s">
        <v>460</v>
      </c>
      <c r="J74" s="181" t="s">
        <v>1186</v>
      </c>
      <c r="K74" s="181" t="s">
        <v>496</v>
      </c>
      <c r="L74" s="181" t="s">
        <v>17</v>
      </c>
      <c r="M74" s="181">
        <v>11</v>
      </c>
      <c r="N74" s="181" t="s">
        <v>462</v>
      </c>
      <c r="O74" s="181" t="s">
        <v>606</v>
      </c>
      <c r="P74" s="181">
        <v>838133918</v>
      </c>
      <c r="Q74" s="181" t="s">
        <v>465</v>
      </c>
      <c r="R74" s="181" t="s">
        <v>466</v>
      </c>
      <c r="S74" s="181" t="s">
        <v>1187</v>
      </c>
      <c r="T74" s="181" t="s">
        <v>664</v>
      </c>
      <c r="U74" s="182">
        <v>46260.843055555553</v>
      </c>
      <c r="V74" s="181" t="s">
        <v>469</v>
      </c>
      <c r="W74" s="181" t="s">
        <v>651</v>
      </c>
      <c r="X74" s="181" t="s">
        <v>652</v>
      </c>
      <c r="Y74" s="181" t="s">
        <v>653</v>
      </c>
      <c r="Z74" s="181" t="s">
        <v>665</v>
      </c>
      <c r="AA74" s="181" t="s">
        <v>474</v>
      </c>
      <c r="AB74" s="181" t="s">
        <v>666</v>
      </c>
      <c r="AC74" s="181" t="s">
        <v>640</v>
      </c>
      <c r="AD74" s="181">
        <v>135562308</v>
      </c>
      <c r="AE74" s="181">
        <v>1285826438</v>
      </c>
      <c r="AF74" s="181">
        <v>1932253044</v>
      </c>
      <c r="AG74" s="181">
        <v>2.54202528720982E+16</v>
      </c>
      <c r="AH74" s="181"/>
      <c r="AI74" s="181" t="s">
        <v>91</v>
      </c>
      <c r="AJ74" s="181" t="s">
        <v>481</v>
      </c>
      <c r="AK74" s="181" t="s">
        <v>1188</v>
      </c>
      <c r="AL74" s="181">
        <v>78155</v>
      </c>
      <c r="AM74" s="181"/>
      <c r="AN74" s="181"/>
      <c r="AO74" s="181">
        <v>838</v>
      </c>
      <c r="AP74" s="181" t="s">
        <v>485</v>
      </c>
      <c r="AQ74" s="181" t="s">
        <v>1189</v>
      </c>
      <c r="AR74" s="183">
        <v>46261</v>
      </c>
      <c r="AS74" s="181" t="s">
        <v>91</v>
      </c>
      <c r="AT74" s="181" t="s">
        <v>1119</v>
      </c>
      <c r="AU74" s="181"/>
      <c r="AV74" s="181" t="s">
        <v>1190</v>
      </c>
      <c r="AW74" s="181"/>
      <c r="AX74" s="181"/>
      <c r="AY74" s="181"/>
      <c r="AZ74" s="181"/>
      <c r="BA74" s="181"/>
      <c r="BB74" s="181"/>
      <c r="BC74" s="181"/>
      <c r="BD74" s="181" t="s">
        <v>91</v>
      </c>
      <c r="BE74" s="181">
        <v>34</v>
      </c>
      <c r="BF74" s="181"/>
      <c r="BG74" s="181" t="s">
        <v>490</v>
      </c>
      <c r="BH74" s="181" t="s">
        <v>658</v>
      </c>
      <c r="BI74" s="181">
        <v>838133918</v>
      </c>
      <c r="BJ74" s="181"/>
      <c r="BK74" s="181"/>
      <c r="BL74" s="181"/>
      <c r="BM74" s="181"/>
      <c r="BN74" s="181"/>
      <c r="BO74" s="181"/>
      <c r="BP74" s="181"/>
      <c r="BQ74" s="181"/>
      <c r="BR74" s="181"/>
      <c r="BS74" s="181"/>
      <c r="BT74" s="181"/>
      <c r="BU74" s="181"/>
      <c r="BV74" s="181"/>
      <c r="BW74" s="181"/>
      <c r="BX74" s="181"/>
      <c r="BY74" s="181"/>
      <c r="BZ74" s="181"/>
      <c r="CA74" s="190" t="s">
        <v>514</v>
      </c>
      <c r="CB74" s="3"/>
      <c r="CC74" s="16"/>
      <c r="CD74" s="16"/>
      <c r="CE74" s="16"/>
      <c r="CF74" s="16"/>
      <c r="CG74" s="16"/>
      <c r="CH74" s="16"/>
      <c r="CI74" s="16" t="s">
        <v>1191</v>
      </c>
    </row>
    <row r="75" spans="1:87" ht="29.25">
      <c r="A75" s="16" t="s">
        <v>5</v>
      </c>
      <c r="B75" s="25" t="s">
        <v>739</v>
      </c>
      <c r="C75" s="3">
        <v>46272</v>
      </c>
      <c r="D75" s="26" t="s">
        <v>14</v>
      </c>
      <c r="E75" s="180" t="s">
        <v>1192</v>
      </c>
      <c r="F75" s="181">
        <v>2026209120019</v>
      </c>
      <c r="G75" s="181">
        <v>40</v>
      </c>
      <c r="H75" s="181">
        <v>42</v>
      </c>
      <c r="I75" s="181" t="s">
        <v>460</v>
      </c>
      <c r="J75" s="181" t="s">
        <v>1192</v>
      </c>
      <c r="K75" s="181" t="s">
        <v>741</v>
      </c>
      <c r="L75" s="181" t="s">
        <v>13</v>
      </c>
      <c r="M75" s="181">
        <v>8</v>
      </c>
      <c r="N75" s="181" t="s">
        <v>462</v>
      </c>
      <c r="O75" s="181" t="s">
        <v>606</v>
      </c>
      <c r="P75" s="181">
        <v>901291463</v>
      </c>
      <c r="Q75" s="181" t="s">
        <v>465</v>
      </c>
      <c r="R75" s="181" t="s">
        <v>1193</v>
      </c>
      <c r="S75" s="181" t="s">
        <v>1194</v>
      </c>
      <c r="T75" s="181" t="s">
        <v>664</v>
      </c>
      <c r="U75" s="182">
        <v>46264.644444444442</v>
      </c>
      <c r="V75" s="181" t="s">
        <v>469</v>
      </c>
      <c r="W75" s="181" t="s">
        <v>651</v>
      </c>
      <c r="X75" s="181" t="s">
        <v>652</v>
      </c>
      <c r="Y75" s="181" t="s">
        <v>653</v>
      </c>
      <c r="Z75" s="181" t="s">
        <v>665</v>
      </c>
      <c r="AA75" s="181" t="s">
        <v>474</v>
      </c>
      <c r="AB75" s="181" t="s">
        <v>666</v>
      </c>
      <c r="AC75" s="181" t="s">
        <v>640</v>
      </c>
      <c r="AD75" s="181">
        <v>135562308</v>
      </c>
      <c r="AE75" s="181">
        <v>1285826438</v>
      </c>
      <c r="AF75" s="181">
        <v>1396837522</v>
      </c>
      <c r="AG75" s="181">
        <v>2.54202526222726E+16</v>
      </c>
      <c r="AH75" s="181"/>
      <c r="AI75" s="181" t="s">
        <v>290</v>
      </c>
      <c r="AJ75" s="181" t="s">
        <v>481</v>
      </c>
      <c r="AK75" s="181" t="s">
        <v>1195</v>
      </c>
      <c r="AL75" s="181">
        <v>58676</v>
      </c>
      <c r="AM75" s="181"/>
      <c r="AN75" s="181"/>
      <c r="AO75" s="181">
        <v>901</v>
      </c>
      <c r="AP75" s="181" t="s">
        <v>485</v>
      </c>
      <c r="AQ75" s="181" t="s">
        <v>1196</v>
      </c>
      <c r="AR75" s="183">
        <v>46264</v>
      </c>
      <c r="AS75" s="181" t="s">
        <v>290</v>
      </c>
      <c r="AT75" s="181" t="s">
        <v>516</v>
      </c>
      <c r="AU75" s="181"/>
      <c r="AV75" s="181" t="s">
        <v>1197</v>
      </c>
      <c r="AW75" s="181"/>
      <c r="AX75" s="181"/>
      <c r="AY75" s="181"/>
      <c r="AZ75" s="181"/>
      <c r="BA75" s="181"/>
      <c r="BB75" s="181"/>
      <c r="BC75" s="181"/>
      <c r="BD75" s="181" t="s">
        <v>290</v>
      </c>
      <c r="BE75" s="181">
        <v>41</v>
      </c>
      <c r="BF75" s="181"/>
      <c r="BG75" s="181" t="s">
        <v>490</v>
      </c>
      <c r="BH75" s="181" t="s">
        <v>658</v>
      </c>
      <c r="BI75" s="181">
        <v>901291463</v>
      </c>
      <c r="BJ75" s="181"/>
      <c r="BK75" s="181"/>
      <c r="BL75" s="181"/>
      <c r="BM75" s="181"/>
      <c r="BN75" s="181"/>
      <c r="BO75" s="181"/>
      <c r="BP75" s="181"/>
      <c r="BQ75" s="181"/>
      <c r="BR75" s="181"/>
      <c r="BS75" s="181"/>
      <c r="BT75" s="181"/>
      <c r="BU75" s="181"/>
      <c r="BV75" s="181"/>
      <c r="BW75" s="181"/>
      <c r="BX75" s="181"/>
      <c r="BY75" s="181"/>
      <c r="BZ75" s="181"/>
      <c r="CA75" s="190">
        <v>46280.666666666701</v>
      </c>
      <c r="CB75" s="3"/>
      <c r="CC75" s="16"/>
      <c r="CD75" s="16"/>
      <c r="CE75" s="16"/>
      <c r="CF75" s="16"/>
      <c r="CG75" s="16"/>
      <c r="CH75" s="16"/>
      <c r="CI75" s="16" t="s">
        <v>1198</v>
      </c>
    </row>
    <row r="76" spans="1:87">
      <c r="A76" s="16" t="s">
        <v>5</v>
      </c>
      <c r="B76" s="16" t="s">
        <v>1199</v>
      </c>
      <c r="C76" s="3">
        <v>46272</v>
      </c>
      <c r="D76" s="26" t="s">
        <v>14</v>
      </c>
      <c r="E76" s="180" t="s">
        <v>1200</v>
      </c>
      <c r="F76" s="181">
        <v>2026216720415</v>
      </c>
      <c r="G76" s="181">
        <v>40</v>
      </c>
      <c r="H76" s="181">
        <v>34</v>
      </c>
      <c r="I76" s="181" t="s">
        <v>460</v>
      </c>
      <c r="J76" s="181" t="s">
        <v>1200</v>
      </c>
      <c r="K76" s="181" t="s">
        <v>1201</v>
      </c>
      <c r="L76" s="181" t="s">
        <v>17</v>
      </c>
      <c r="M76" s="181">
        <v>11</v>
      </c>
      <c r="N76" s="181" t="s">
        <v>462</v>
      </c>
      <c r="O76" s="181" t="s">
        <v>606</v>
      </c>
      <c r="P76" s="181" t="s">
        <v>1202</v>
      </c>
      <c r="Q76" s="181" t="s">
        <v>465</v>
      </c>
      <c r="R76" s="181" t="s">
        <v>466</v>
      </c>
      <c r="S76" s="181" t="s">
        <v>1203</v>
      </c>
      <c r="T76" s="181" t="s">
        <v>664</v>
      </c>
      <c r="U76" s="182">
        <v>46260.919444444444</v>
      </c>
      <c r="V76" s="181" t="s">
        <v>469</v>
      </c>
      <c r="W76" s="181" t="s">
        <v>651</v>
      </c>
      <c r="X76" s="181" t="s">
        <v>652</v>
      </c>
      <c r="Y76" s="181" t="s">
        <v>653</v>
      </c>
      <c r="Z76" s="181" t="s">
        <v>665</v>
      </c>
      <c r="AA76" s="181" t="s">
        <v>474</v>
      </c>
      <c r="AB76" s="181" t="s">
        <v>666</v>
      </c>
      <c r="AC76" s="181" t="s">
        <v>640</v>
      </c>
      <c r="AD76" s="181">
        <v>134010372</v>
      </c>
      <c r="AE76" s="181">
        <v>1699766261</v>
      </c>
      <c r="AF76" s="181">
        <v>1861657074</v>
      </c>
      <c r="AG76" s="181">
        <v>2.54202523515538E+16</v>
      </c>
      <c r="AH76" s="181"/>
      <c r="AI76" s="181" t="s">
        <v>150</v>
      </c>
      <c r="AJ76" s="181" t="s">
        <v>481</v>
      </c>
      <c r="AK76" s="181" t="s">
        <v>1204</v>
      </c>
      <c r="AL76" s="181">
        <v>3690.4</v>
      </c>
      <c r="AM76" s="181"/>
      <c r="AN76" s="181"/>
      <c r="AO76" s="181" t="s">
        <v>1133</v>
      </c>
      <c r="AP76" s="181" t="s">
        <v>485</v>
      </c>
      <c r="AQ76" s="181" t="s">
        <v>1205</v>
      </c>
      <c r="AR76" s="183">
        <v>46261</v>
      </c>
      <c r="AS76" s="181" t="s">
        <v>150</v>
      </c>
      <c r="AT76" s="181" t="s">
        <v>1206</v>
      </c>
      <c r="AU76" s="181"/>
      <c r="AV76" s="181" t="s">
        <v>1207</v>
      </c>
      <c r="AW76" s="181"/>
      <c r="AX76" s="181"/>
      <c r="AY76" s="181"/>
      <c r="AZ76" s="181"/>
      <c r="BA76" s="181"/>
      <c r="BB76" s="181"/>
      <c r="BC76" s="181"/>
      <c r="BD76" s="181" t="s">
        <v>150</v>
      </c>
      <c r="BE76" s="181">
        <v>34</v>
      </c>
      <c r="BF76" s="181"/>
      <c r="BG76" s="181" t="s">
        <v>490</v>
      </c>
      <c r="BH76" s="181" t="s">
        <v>658</v>
      </c>
      <c r="BI76" s="181" t="s">
        <v>1202</v>
      </c>
      <c r="BJ76" s="181"/>
      <c r="BK76" s="181"/>
      <c r="BL76" s="181"/>
      <c r="BM76" s="181"/>
      <c r="BN76" s="181"/>
      <c r="BO76" s="181"/>
      <c r="BP76" s="181"/>
      <c r="BQ76" s="181"/>
      <c r="BR76" s="181"/>
      <c r="BS76" s="181"/>
      <c r="BT76" s="181"/>
      <c r="BU76" s="181"/>
      <c r="BV76" s="181"/>
      <c r="BW76" s="181"/>
      <c r="BX76" s="181"/>
      <c r="BY76" s="181"/>
      <c r="BZ76" s="181"/>
      <c r="CA76" s="190">
        <v>46281.166666666701</v>
      </c>
      <c r="CB76" s="3"/>
      <c r="CC76" s="16"/>
      <c r="CD76" s="16"/>
      <c r="CE76" s="16"/>
      <c r="CF76" s="16"/>
      <c r="CG76" s="16"/>
      <c r="CH76" s="16"/>
      <c r="CI76" s="16" t="s">
        <v>1208</v>
      </c>
    </row>
    <row r="77" spans="1:87">
      <c r="A77" s="16"/>
      <c r="B77" s="16"/>
      <c r="C77" s="3">
        <v>46272</v>
      </c>
      <c r="D77" s="26" t="s">
        <v>14</v>
      </c>
      <c r="E77" s="180" t="s">
        <v>1209</v>
      </c>
      <c r="F77" s="181">
        <v>2026211200172</v>
      </c>
      <c r="G77" s="181">
        <v>40</v>
      </c>
      <c r="H77" s="181">
        <v>39</v>
      </c>
      <c r="I77" s="181" t="s">
        <v>460</v>
      </c>
      <c r="J77" s="181" t="s">
        <v>1209</v>
      </c>
      <c r="K77" s="181" t="s">
        <v>1083</v>
      </c>
      <c r="L77" s="181" t="s">
        <v>17</v>
      </c>
      <c r="M77" s="181">
        <v>14</v>
      </c>
      <c r="N77" s="181" t="s">
        <v>462</v>
      </c>
      <c r="O77" s="181" t="s">
        <v>606</v>
      </c>
      <c r="P77" s="181" t="s">
        <v>1210</v>
      </c>
      <c r="Q77" s="181" t="s">
        <v>465</v>
      </c>
      <c r="R77" s="181" t="s">
        <v>466</v>
      </c>
      <c r="S77" s="181" t="s">
        <v>1211</v>
      </c>
      <c r="T77" s="181" t="s">
        <v>664</v>
      </c>
      <c r="U77" s="182">
        <v>46257.79583333333</v>
      </c>
      <c r="V77" s="181" t="s">
        <v>469</v>
      </c>
      <c r="W77" s="181" t="s">
        <v>651</v>
      </c>
      <c r="X77" s="181" t="s">
        <v>652</v>
      </c>
      <c r="Y77" s="181" t="s">
        <v>653</v>
      </c>
      <c r="Z77" s="181" t="s">
        <v>665</v>
      </c>
      <c r="AA77" s="181" t="s">
        <v>474</v>
      </c>
      <c r="AB77" s="181" t="s">
        <v>666</v>
      </c>
      <c r="AC77" s="181" t="s">
        <v>640</v>
      </c>
      <c r="AD77" s="181">
        <v>135598093</v>
      </c>
      <c r="AE77" s="181">
        <v>1508266347</v>
      </c>
      <c r="AF77" s="181">
        <v>1730364373</v>
      </c>
      <c r="AG77" s="181">
        <v>2.54202532808687E+16</v>
      </c>
      <c r="AH77" s="181"/>
      <c r="AI77" s="181" t="s">
        <v>48</v>
      </c>
      <c r="AJ77" s="181" t="s">
        <v>481</v>
      </c>
      <c r="AK77" s="181" t="s">
        <v>1212</v>
      </c>
      <c r="AL77" s="181">
        <v>25390</v>
      </c>
      <c r="AM77" s="181"/>
      <c r="AN77" s="181"/>
      <c r="AO77" s="181" t="s">
        <v>1133</v>
      </c>
      <c r="AP77" s="181" t="s">
        <v>485</v>
      </c>
      <c r="AQ77" s="181" t="s">
        <v>1213</v>
      </c>
      <c r="AR77" s="183">
        <v>46258</v>
      </c>
      <c r="AS77" s="181" t="s">
        <v>48</v>
      </c>
      <c r="AT77" s="181" t="s">
        <v>1214</v>
      </c>
      <c r="AU77" s="181"/>
      <c r="AV77" s="181" t="s">
        <v>1215</v>
      </c>
      <c r="AW77" s="181"/>
      <c r="AX77" s="181"/>
      <c r="AY77" s="181"/>
      <c r="AZ77" s="181"/>
      <c r="BA77" s="181"/>
      <c r="BB77" s="181"/>
      <c r="BC77" s="181"/>
      <c r="BD77" s="181" t="s">
        <v>48</v>
      </c>
      <c r="BE77" s="181">
        <v>39</v>
      </c>
      <c r="BF77" s="181"/>
      <c r="BG77" s="181"/>
      <c r="BH77" s="181" t="s">
        <v>658</v>
      </c>
      <c r="BI77" s="181" t="s">
        <v>1210</v>
      </c>
      <c r="BJ77" s="181"/>
      <c r="BK77" s="181"/>
      <c r="BL77" s="181"/>
      <c r="BM77" s="181"/>
      <c r="BN77" s="181"/>
      <c r="BO77" s="181"/>
      <c r="BP77" s="181"/>
      <c r="BQ77" s="181"/>
      <c r="BR77" s="181"/>
      <c r="BS77" s="181"/>
      <c r="BT77" s="181"/>
      <c r="BU77" s="181"/>
      <c r="BV77" s="181"/>
      <c r="BW77" s="181"/>
      <c r="BX77" s="181"/>
      <c r="BY77" s="181"/>
      <c r="BZ77" s="181"/>
      <c r="CA77" s="190"/>
      <c r="CB77" s="3"/>
      <c r="CC77" s="16"/>
      <c r="CD77" s="16"/>
      <c r="CE77" s="16"/>
      <c r="CF77" s="16"/>
      <c r="CG77" s="16"/>
      <c r="CH77" s="16"/>
      <c r="CI77" s="16" t="s">
        <v>1216</v>
      </c>
    </row>
    <row r="78" spans="1:87">
      <c r="A78" s="16"/>
      <c r="B78" s="16"/>
      <c r="C78" s="3">
        <v>46272</v>
      </c>
      <c r="D78" s="26" t="s">
        <v>14</v>
      </c>
      <c r="E78" s="180" t="s">
        <v>1217</v>
      </c>
      <c r="F78" s="181">
        <v>2026216080401</v>
      </c>
      <c r="G78" s="181">
        <v>40</v>
      </c>
      <c r="H78" s="181">
        <v>34</v>
      </c>
      <c r="I78" s="181" t="s">
        <v>460</v>
      </c>
      <c r="J78" s="181" t="s">
        <v>1217</v>
      </c>
      <c r="K78" s="181" t="s">
        <v>691</v>
      </c>
      <c r="L78" s="181" t="s">
        <v>13</v>
      </c>
      <c r="M78" s="181">
        <v>11</v>
      </c>
      <c r="N78" s="181" t="s">
        <v>462</v>
      </c>
      <c r="O78" s="181" t="s">
        <v>606</v>
      </c>
      <c r="P78" s="181">
        <v>34348</v>
      </c>
      <c r="Q78" s="181" t="s">
        <v>465</v>
      </c>
      <c r="R78" s="181" t="s">
        <v>466</v>
      </c>
      <c r="S78" s="181" t="s">
        <v>1218</v>
      </c>
      <c r="T78" s="181" t="s">
        <v>664</v>
      </c>
      <c r="U78" s="182">
        <v>46260.772222222222</v>
      </c>
      <c r="V78" s="181" t="s">
        <v>469</v>
      </c>
      <c r="W78" s="181" t="s">
        <v>651</v>
      </c>
      <c r="X78" s="181" t="s">
        <v>652</v>
      </c>
      <c r="Y78" s="181" t="s">
        <v>653</v>
      </c>
      <c r="Z78" s="181" t="s">
        <v>665</v>
      </c>
      <c r="AA78" s="181" t="s">
        <v>474</v>
      </c>
      <c r="AB78" s="181" t="s">
        <v>666</v>
      </c>
      <c r="AC78" s="181" t="s">
        <v>640</v>
      </c>
      <c r="AD78" s="181">
        <v>134010372</v>
      </c>
      <c r="AE78" s="181">
        <v>1699766261</v>
      </c>
      <c r="AF78" s="181">
        <v>1366082216</v>
      </c>
      <c r="AG78" s="181">
        <v>2.54202527906234E+16</v>
      </c>
      <c r="AH78" s="181"/>
      <c r="AI78" s="181" t="s">
        <v>128</v>
      </c>
      <c r="AJ78" s="181" t="s">
        <v>481</v>
      </c>
      <c r="AK78" s="181" t="s">
        <v>1219</v>
      </c>
      <c r="AL78" s="181">
        <v>3876.4</v>
      </c>
      <c r="AM78" s="181"/>
      <c r="AN78" s="181"/>
      <c r="AO78" s="181">
        <v>0</v>
      </c>
      <c r="AP78" s="181" t="s">
        <v>485</v>
      </c>
      <c r="AQ78" s="181" t="s">
        <v>1220</v>
      </c>
      <c r="AR78" s="183">
        <v>46261</v>
      </c>
      <c r="AS78" s="181" t="s">
        <v>128</v>
      </c>
      <c r="AT78" s="181" t="s">
        <v>766</v>
      </c>
      <c r="AU78" s="181"/>
      <c r="AV78" s="181" t="s">
        <v>1221</v>
      </c>
      <c r="AW78" s="181"/>
      <c r="AX78" s="181"/>
      <c r="AY78" s="181"/>
      <c r="AZ78" s="181"/>
      <c r="BA78" s="181"/>
      <c r="BB78" s="181"/>
      <c r="BC78" s="181"/>
      <c r="BD78" s="181" t="s">
        <v>128</v>
      </c>
      <c r="BE78" s="181">
        <v>34</v>
      </c>
      <c r="BF78" s="181"/>
      <c r="BG78" s="181" t="s">
        <v>490</v>
      </c>
      <c r="BH78" s="181" t="s">
        <v>658</v>
      </c>
      <c r="BI78" s="181">
        <v>34348</v>
      </c>
      <c r="BJ78" s="181"/>
      <c r="BK78" s="181"/>
      <c r="BL78" s="181"/>
      <c r="BM78" s="181"/>
      <c r="BN78" s="181"/>
      <c r="BO78" s="181"/>
      <c r="BP78" s="181"/>
      <c r="BQ78" s="181"/>
      <c r="BR78" s="181"/>
      <c r="BS78" s="181"/>
      <c r="BT78" s="181"/>
      <c r="BU78" s="181"/>
      <c r="BV78" s="181"/>
      <c r="BW78" s="181"/>
      <c r="BX78" s="181"/>
      <c r="BY78" s="181"/>
      <c r="BZ78" s="181"/>
      <c r="CA78" s="190"/>
      <c r="CB78" s="3"/>
      <c r="CC78" s="16"/>
      <c r="CD78" s="16"/>
      <c r="CE78" s="16"/>
      <c r="CF78" s="16"/>
      <c r="CG78" s="16"/>
      <c r="CH78" s="16"/>
      <c r="CI78" s="16" t="s">
        <v>1222</v>
      </c>
    </row>
    <row r="79" spans="1:87">
      <c r="A79" s="16" t="s">
        <v>5</v>
      </c>
      <c r="B79" s="16" t="s">
        <v>516</v>
      </c>
      <c r="C79" s="3">
        <v>46272</v>
      </c>
      <c r="D79" s="26" t="s">
        <v>14</v>
      </c>
      <c r="E79" s="180" t="s">
        <v>1223</v>
      </c>
      <c r="F79" s="181">
        <v>2026218780270</v>
      </c>
      <c r="G79" s="181">
        <v>40</v>
      </c>
      <c r="H79" s="181">
        <v>32</v>
      </c>
      <c r="I79" s="181" t="s">
        <v>460</v>
      </c>
      <c r="J79" s="181" t="s">
        <v>1223</v>
      </c>
      <c r="K79" s="181" t="s">
        <v>518</v>
      </c>
      <c r="L79" s="181" t="s">
        <v>17</v>
      </c>
      <c r="M79" s="181">
        <v>7</v>
      </c>
      <c r="N79" s="181" t="s">
        <v>462</v>
      </c>
      <c r="O79" s="181" t="s">
        <v>606</v>
      </c>
      <c r="P79" s="181" t="s">
        <v>1224</v>
      </c>
      <c r="Q79" s="181" t="s">
        <v>465</v>
      </c>
      <c r="R79" s="181" t="s">
        <v>466</v>
      </c>
      <c r="S79" s="181" t="s">
        <v>1225</v>
      </c>
      <c r="T79" s="181" t="s">
        <v>664</v>
      </c>
      <c r="U79" s="182">
        <v>46264.731944444444</v>
      </c>
      <c r="V79" s="181" t="s">
        <v>469</v>
      </c>
      <c r="W79" s="181" t="s">
        <v>651</v>
      </c>
      <c r="X79" s="181" t="s">
        <v>652</v>
      </c>
      <c r="Y79" s="181" t="s">
        <v>653</v>
      </c>
      <c r="Z79" s="181" t="s">
        <v>665</v>
      </c>
      <c r="AA79" s="181" t="s">
        <v>474</v>
      </c>
      <c r="AB79" s="181" t="s">
        <v>666</v>
      </c>
      <c r="AC79" s="181" t="s">
        <v>640</v>
      </c>
      <c r="AD79" s="181">
        <v>134010372</v>
      </c>
      <c r="AE79" s="181">
        <v>1699766261</v>
      </c>
      <c r="AF79" s="181">
        <v>1861237570</v>
      </c>
      <c r="AG79" s="181">
        <v>2.54202532503353E+16</v>
      </c>
      <c r="AH79" s="181"/>
      <c r="AI79" s="181" t="s">
        <v>87</v>
      </c>
      <c r="AJ79" s="181" t="s">
        <v>481</v>
      </c>
      <c r="AK79" s="181" t="s">
        <v>1226</v>
      </c>
      <c r="AL79" s="181">
        <v>2847.6</v>
      </c>
      <c r="AM79" s="181"/>
      <c r="AN79" s="181"/>
      <c r="AO79" s="181" t="s">
        <v>1227</v>
      </c>
      <c r="AP79" s="181" t="s">
        <v>485</v>
      </c>
      <c r="AQ79" s="181" t="s">
        <v>1228</v>
      </c>
      <c r="AR79" s="183">
        <v>46265</v>
      </c>
      <c r="AS79" s="181" t="s">
        <v>87</v>
      </c>
      <c r="AT79" s="181" t="s">
        <v>516</v>
      </c>
      <c r="AU79" s="181"/>
      <c r="AV79" s="181" t="s">
        <v>1229</v>
      </c>
      <c r="AW79" s="181"/>
      <c r="AX79" s="181"/>
      <c r="AY79" s="181"/>
      <c r="AZ79" s="181"/>
      <c r="BA79" s="181"/>
      <c r="BB79" s="181"/>
      <c r="BC79" s="181"/>
      <c r="BD79" s="181" t="s">
        <v>87</v>
      </c>
      <c r="BE79" s="181">
        <v>32</v>
      </c>
      <c r="BF79" s="181"/>
      <c r="BG79" s="181" t="s">
        <v>490</v>
      </c>
      <c r="BH79" s="181" t="s">
        <v>658</v>
      </c>
      <c r="BI79" s="181" t="s">
        <v>1224</v>
      </c>
      <c r="BJ79" s="181"/>
      <c r="BK79" s="181"/>
      <c r="BL79" s="181"/>
      <c r="BM79" s="181"/>
      <c r="BN79" s="181"/>
      <c r="BO79" s="181"/>
      <c r="BP79" s="181"/>
      <c r="BQ79" s="181"/>
      <c r="BR79" s="181"/>
      <c r="BS79" s="181"/>
      <c r="BT79" s="181"/>
      <c r="BU79" s="181"/>
      <c r="BV79" s="181"/>
      <c r="BW79" s="181"/>
      <c r="BX79" s="181"/>
      <c r="BY79" s="181"/>
      <c r="BZ79" s="181"/>
      <c r="CA79" s="190">
        <v>46274.666666666701</v>
      </c>
      <c r="CB79" s="3"/>
      <c r="CC79" s="16"/>
      <c r="CD79" s="16"/>
      <c r="CE79" s="16"/>
      <c r="CF79" s="16"/>
      <c r="CG79" s="16"/>
      <c r="CH79" s="16"/>
      <c r="CI79" s="16" t="s">
        <v>1230</v>
      </c>
    </row>
    <row r="80" spans="1:87">
      <c r="A80" s="16" t="s">
        <v>5</v>
      </c>
      <c r="B80" s="16" t="s">
        <v>516</v>
      </c>
      <c r="C80" s="3">
        <v>46272</v>
      </c>
      <c r="D80" s="26" t="s">
        <v>14</v>
      </c>
      <c r="E80" s="180" t="s">
        <v>1231</v>
      </c>
      <c r="F80" s="181">
        <v>2026213140351</v>
      </c>
      <c r="G80" s="181">
        <v>40</v>
      </c>
      <c r="H80" s="181">
        <v>37</v>
      </c>
      <c r="I80" s="181" t="s">
        <v>460</v>
      </c>
      <c r="J80" s="181" t="s">
        <v>1231</v>
      </c>
      <c r="K80" s="181" t="s">
        <v>700</v>
      </c>
      <c r="L80" s="181" t="s">
        <v>18</v>
      </c>
      <c r="M80" s="181">
        <v>13</v>
      </c>
      <c r="N80" s="181" t="s">
        <v>462</v>
      </c>
      <c r="O80" s="181" t="s">
        <v>606</v>
      </c>
      <c r="P80" s="181">
        <v>983969273</v>
      </c>
      <c r="Q80" s="181" t="s">
        <v>465</v>
      </c>
      <c r="R80" s="181" t="s">
        <v>466</v>
      </c>
      <c r="S80" s="181" t="s">
        <v>1232</v>
      </c>
      <c r="T80" s="181" t="s">
        <v>664</v>
      </c>
      <c r="U80" s="182">
        <v>46259.03125</v>
      </c>
      <c r="V80" s="181" t="s">
        <v>469</v>
      </c>
      <c r="W80" s="181" t="s">
        <v>651</v>
      </c>
      <c r="X80" s="181" t="s">
        <v>652</v>
      </c>
      <c r="Y80" s="181" t="s">
        <v>653</v>
      </c>
      <c r="Z80" s="181" t="s">
        <v>665</v>
      </c>
      <c r="AA80" s="181" t="s">
        <v>474</v>
      </c>
      <c r="AB80" s="181" t="s">
        <v>666</v>
      </c>
      <c r="AC80" s="181" t="s">
        <v>640</v>
      </c>
      <c r="AD80" s="181">
        <v>135598093</v>
      </c>
      <c r="AE80" s="181">
        <v>1508266347</v>
      </c>
      <c r="AF80" s="181">
        <v>1962480319</v>
      </c>
      <c r="AG80" s="181">
        <v>2.54202532112116E+16</v>
      </c>
      <c r="AH80" s="181"/>
      <c r="AI80" s="181" t="s">
        <v>341</v>
      </c>
      <c r="AJ80" s="181" t="s">
        <v>481</v>
      </c>
      <c r="AK80" s="181" t="s">
        <v>1233</v>
      </c>
      <c r="AL80" s="181">
        <v>3825</v>
      </c>
      <c r="AM80" s="181"/>
      <c r="AN80" s="181"/>
      <c r="AO80" s="181">
        <v>983</v>
      </c>
      <c r="AP80" s="181" t="s">
        <v>485</v>
      </c>
      <c r="AQ80" s="181" t="s">
        <v>1234</v>
      </c>
      <c r="AR80" s="183">
        <v>46259</v>
      </c>
      <c r="AS80" s="181" t="s">
        <v>341</v>
      </c>
      <c r="AT80" s="181" t="s">
        <v>716</v>
      </c>
      <c r="AU80" s="181"/>
      <c r="AV80" s="181" t="s">
        <v>1235</v>
      </c>
      <c r="AW80" s="181"/>
      <c r="AX80" s="181"/>
      <c r="AY80" s="181"/>
      <c r="AZ80" s="181"/>
      <c r="BA80" s="181"/>
      <c r="BB80" s="181"/>
      <c r="BC80" s="181"/>
      <c r="BD80" s="181" t="s">
        <v>341</v>
      </c>
      <c r="BE80" s="181">
        <v>37</v>
      </c>
      <c r="BF80" s="181"/>
      <c r="BG80" s="181"/>
      <c r="BH80" s="181" t="s">
        <v>658</v>
      </c>
      <c r="BI80" s="181">
        <v>983969273</v>
      </c>
      <c r="BJ80" s="181"/>
      <c r="BK80" s="181"/>
      <c r="BL80" s="181"/>
      <c r="BM80" s="181"/>
      <c r="BN80" s="181"/>
      <c r="BO80" s="181"/>
      <c r="BP80" s="181"/>
      <c r="BQ80" s="181"/>
      <c r="BR80" s="181"/>
      <c r="BS80" s="181"/>
      <c r="BT80" s="181"/>
      <c r="BU80" s="181"/>
      <c r="BV80" s="181"/>
      <c r="BW80" s="181"/>
      <c r="BX80" s="181"/>
      <c r="BY80" s="181"/>
      <c r="BZ80" s="181"/>
      <c r="CA80" s="190">
        <v>46275.666666666701</v>
      </c>
      <c r="CB80" s="3"/>
      <c r="CC80" s="16"/>
      <c r="CD80" s="16"/>
      <c r="CE80" s="16"/>
      <c r="CF80" s="16"/>
      <c r="CG80" s="16"/>
      <c r="CH80" s="16"/>
      <c r="CI80" s="16" t="s">
        <v>1236</v>
      </c>
    </row>
    <row r="81" spans="1:87">
      <c r="A81" s="16"/>
      <c r="B81" s="16"/>
      <c r="C81" s="3">
        <v>46272</v>
      </c>
      <c r="D81" s="26" t="s">
        <v>14</v>
      </c>
      <c r="E81" s="180" t="s">
        <v>1237</v>
      </c>
      <c r="F81" s="181">
        <v>2026209210559</v>
      </c>
      <c r="G81" s="181">
        <v>40</v>
      </c>
      <c r="H81" s="181">
        <v>41</v>
      </c>
      <c r="I81" s="181" t="s">
        <v>460</v>
      </c>
      <c r="J81" s="181" t="s">
        <v>1237</v>
      </c>
      <c r="K81" s="181" t="s">
        <v>729</v>
      </c>
      <c r="L81" s="181" t="s">
        <v>13</v>
      </c>
      <c r="M81" s="181">
        <v>18</v>
      </c>
      <c r="N81" s="181" t="s">
        <v>462</v>
      </c>
      <c r="O81" s="181" t="s">
        <v>606</v>
      </c>
      <c r="P81" s="181">
        <v>134802350</v>
      </c>
      <c r="Q81" s="181" t="s">
        <v>465</v>
      </c>
      <c r="R81" s="181" t="s">
        <v>466</v>
      </c>
      <c r="S81" s="181" t="s">
        <v>1238</v>
      </c>
      <c r="T81" s="181" t="s">
        <v>664</v>
      </c>
      <c r="U81" s="182">
        <v>46254.673611111109</v>
      </c>
      <c r="V81" s="181" t="s">
        <v>469</v>
      </c>
      <c r="W81" s="181" t="s">
        <v>651</v>
      </c>
      <c r="X81" s="181" t="s">
        <v>652</v>
      </c>
      <c r="Y81" s="181" t="s">
        <v>653</v>
      </c>
      <c r="Z81" s="181" t="s">
        <v>665</v>
      </c>
      <c r="AA81" s="181" t="s">
        <v>474</v>
      </c>
      <c r="AB81" s="181" t="s">
        <v>666</v>
      </c>
      <c r="AC81" s="181" t="s">
        <v>640</v>
      </c>
      <c r="AD81" s="181">
        <v>134010372</v>
      </c>
      <c r="AE81" s="181">
        <v>1699766261</v>
      </c>
      <c r="AF81" s="181">
        <v>1902429731</v>
      </c>
      <c r="AG81" s="181">
        <v>2.54202532113628E+16</v>
      </c>
      <c r="AH81" s="181"/>
      <c r="AI81" s="181" t="s">
        <v>66</v>
      </c>
      <c r="AJ81" s="181" t="s">
        <v>481</v>
      </c>
      <c r="AK81" s="181" t="s">
        <v>1239</v>
      </c>
      <c r="AL81" s="181">
        <v>1898.4</v>
      </c>
      <c r="AM81" s="181"/>
      <c r="AN81" s="181"/>
      <c r="AO81" s="181">
        <v>134</v>
      </c>
      <c r="AP81" s="181" t="s">
        <v>485</v>
      </c>
      <c r="AQ81" s="181" t="s">
        <v>1240</v>
      </c>
      <c r="AR81" s="183">
        <v>46254</v>
      </c>
      <c r="AS81" s="181" t="s">
        <v>66</v>
      </c>
      <c r="AT81" s="181" t="s">
        <v>1241</v>
      </c>
      <c r="AU81" s="181"/>
      <c r="AV81" s="181" t="s">
        <v>1242</v>
      </c>
      <c r="AW81" s="181"/>
      <c r="AX81" s="181"/>
      <c r="AY81" s="181"/>
      <c r="AZ81" s="181"/>
      <c r="BA81" s="181"/>
      <c r="BB81" s="181"/>
      <c r="BC81" s="181"/>
      <c r="BD81" s="181" t="s">
        <v>66</v>
      </c>
      <c r="BE81" s="181">
        <v>41</v>
      </c>
      <c r="BF81" s="181"/>
      <c r="BG81" s="181"/>
      <c r="BH81" s="181" t="s">
        <v>658</v>
      </c>
      <c r="BI81" s="181">
        <v>134802350</v>
      </c>
      <c r="BJ81" s="181"/>
      <c r="BK81" s="181"/>
      <c r="BL81" s="181"/>
      <c r="BM81" s="181"/>
      <c r="BN81" s="181"/>
      <c r="BO81" s="181"/>
      <c r="BP81" s="181"/>
      <c r="BQ81" s="181"/>
      <c r="BR81" s="181"/>
      <c r="BS81" s="181"/>
      <c r="BT81" s="181"/>
      <c r="BU81" s="181"/>
      <c r="BV81" s="181"/>
      <c r="BW81" s="181"/>
      <c r="BX81" s="181"/>
      <c r="BY81" s="181"/>
      <c r="BZ81" s="181"/>
      <c r="CA81" s="190"/>
      <c r="CB81" s="3"/>
      <c r="CC81" s="16"/>
      <c r="CD81" s="16"/>
      <c r="CE81" s="16"/>
      <c r="CF81" s="16"/>
      <c r="CG81" s="16"/>
      <c r="CH81" s="16"/>
      <c r="CI81" s="16" t="s">
        <v>1243</v>
      </c>
    </row>
    <row r="82" spans="1:87">
      <c r="A82" s="16" t="s">
        <v>5</v>
      </c>
      <c r="B82" s="16" t="s">
        <v>516</v>
      </c>
      <c r="C82" s="3">
        <v>46272</v>
      </c>
      <c r="D82" s="26" t="s">
        <v>14</v>
      </c>
      <c r="E82" s="180" t="s">
        <v>1244</v>
      </c>
      <c r="F82" s="181">
        <v>2026205990360</v>
      </c>
      <c r="G82" s="181">
        <v>40</v>
      </c>
      <c r="H82" s="181">
        <v>45</v>
      </c>
      <c r="I82" s="181" t="s">
        <v>460</v>
      </c>
      <c r="J82" s="181" t="s">
        <v>1244</v>
      </c>
      <c r="K82" s="181" t="s">
        <v>518</v>
      </c>
      <c r="L82" s="181" t="s">
        <v>17</v>
      </c>
      <c r="M82" s="181">
        <v>20</v>
      </c>
      <c r="N82" s="181" t="s">
        <v>462</v>
      </c>
      <c r="O82" s="181" t="s">
        <v>606</v>
      </c>
      <c r="P82" s="181">
        <v>967703477</v>
      </c>
      <c r="Q82" s="181" t="s">
        <v>465</v>
      </c>
      <c r="R82" s="181" t="s">
        <v>466</v>
      </c>
      <c r="S82" s="181" t="s">
        <v>1245</v>
      </c>
      <c r="T82" s="181" t="s">
        <v>664</v>
      </c>
      <c r="U82" s="182">
        <v>46252.67083333333</v>
      </c>
      <c r="V82" s="181" t="s">
        <v>469</v>
      </c>
      <c r="W82" s="181" t="s">
        <v>651</v>
      </c>
      <c r="X82" s="181" t="s">
        <v>652</v>
      </c>
      <c r="Y82" s="181" t="s">
        <v>653</v>
      </c>
      <c r="Z82" s="181" t="s">
        <v>665</v>
      </c>
      <c r="AA82" s="181" t="s">
        <v>474</v>
      </c>
      <c r="AB82" s="181" t="s">
        <v>666</v>
      </c>
      <c r="AC82" s="181" t="s">
        <v>640</v>
      </c>
      <c r="AD82" s="181">
        <v>135562308</v>
      </c>
      <c r="AE82" s="181">
        <v>1285826438</v>
      </c>
      <c r="AF82" s="181">
        <v>1396837522</v>
      </c>
      <c r="AG82" s="181">
        <v>2.54202427631238E+16</v>
      </c>
      <c r="AH82" s="181"/>
      <c r="AI82" s="181" t="s">
        <v>87</v>
      </c>
      <c r="AJ82" s="181" t="s">
        <v>481</v>
      </c>
      <c r="AK82" s="181" t="s">
        <v>1246</v>
      </c>
      <c r="AL82" s="181">
        <v>99664</v>
      </c>
      <c r="AM82" s="181"/>
      <c r="AN82" s="181"/>
      <c r="AO82" s="181">
        <v>967</v>
      </c>
      <c r="AP82" s="181" t="s">
        <v>485</v>
      </c>
      <c r="AQ82" s="181" t="s">
        <v>1247</v>
      </c>
      <c r="AR82" s="183">
        <v>46252</v>
      </c>
      <c r="AS82" s="181" t="s">
        <v>87</v>
      </c>
      <c r="AT82" s="181" t="s">
        <v>1248</v>
      </c>
      <c r="AU82" s="181"/>
      <c r="AV82" s="181" t="s">
        <v>1197</v>
      </c>
      <c r="AW82" s="181"/>
      <c r="AX82" s="181"/>
      <c r="AY82" s="181"/>
      <c r="AZ82" s="181"/>
      <c r="BA82" s="181"/>
      <c r="BB82" s="181"/>
      <c r="BC82" s="181"/>
      <c r="BD82" s="181" t="s">
        <v>87</v>
      </c>
      <c r="BE82" s="181">
        <v>45</v>
      </c>
      <c r="BF82" s="181"/>
      <c r="BG82" s="181"/>
      <c r="BH82" s="181" t="s">
        <v>658</v>
      </c>
      <c r="BI82" s="181">
        <v>967703477</v>
      </c>
      <c r="BJ82" s="181"/>
      <c r="BK82" s="181"/>
      <c r="BL82" s="181"/>
      <c r="BM82" s="181"/>
      <c r="BN82" s="181"/>
      <c r="BO82" s="181"/>
      <c r="BP82" s="181"/>
      <c r="BQ82" s="181"/>
      <c r="BR82" s="181"/>
      <c r="BS82" s="181"/>
      <c r="BT82" s="181"/>
      <c r="BU82" s="181"/>
      <c r="BV82" s="181"/>
      <c r="BW82" s="181"/>
      <c r="BX82" s="181"/>
      <c r="BY82" s="181"/>
      <c r="BZ82" s="181"/>
      <c r="CA82" s="190">
        <v>46274.666666666701</v>
      </c>
      <c r="CB82" s="3"/>
      <c r="CC82" s="16"/>
      <c r="CD82" s="16"/>
      <c r="CE82" s="16"/>
      <c r="CF82" s="16"/>
      <c r="CG82" s="16"/>
      <c r="CH82" s="16"/>
      <c r="CI82" s="16" t="s">
        <v>1249</v>
      </c>
    </row>
    <row r="83" spans="1:87">
      <c r="A83" s="16" t="s">
        <v>5</v>
      </c>
      <c r="B83" s="16" t="s">
        <v>1250</v>
      </c>
      <c r="C83" s="3">
        <v>46272</v>
      </c>
      <c r="D83" s="26" t="s">
        <v>14</v>
      </c>
      <c r="E83" s="180" t="s">
        <v>1251</v>
      </c>
      <c r="F83" s="181">
        <v>2026218320249</v>
      </c>
      <c r="G83" s="181">
        <v>40</v>
      </c>
      <c r="H83" s="181">
        <v>32</v>
      </c>
      <c r="I83" s="181" t="s">
        <v>460</v>
      </c>
      <c r="J83" s="181" t="s">
        <v>1251</v>
      </c>
      <c r="K83" s="181" t="s">
        <v>1252</v>
      </c>
      <c r="L83" s="181" t="s">
        <v>17</v>
      </c>
      <c r="M83" s="181">
        <v>7</v>
      </c>
      <c r="N83" s="181" t="s">
        <v>462</v>
      </c>
      <c r="O83" s="181" t="s">
        <v>606</v>
      </c>
      <c r="P83" s="181">
        <v>128512501</v>
      </c>
      <c r="Q83" s="181" t="s">
        <v>465</v>
      </c>
      <c r="R83" s="181" t="s">
        <v>466</v>
      </c>
      <c r="S83" s="181" t="s">
        <v>1253</v>
      </c>
      <c r="T83" s="181" t="s">
        <v>664</v>
      </c>
      <c r="U83" s="182">
        <v>46264.731944444444</v>
      </c>
      <c r="V83" s="181" t="s">
        <v>469</v>
      </c>
      <c r="W83" s="181" t="s">
        <v>651</v>
      </c>
      <c r="X83" s="181" t="s">
        <v>652</v>
      </c>
      <c r="Y83" s="181" t="s">
        <v>653</v>
      </c>
      <c r="Z83" s="181" t="s">
        <v>665</v>
      </c>
      <c r="AA83" s="181" t="s">
        <v>474</v>
      </c>
      <c r="AB83" s="181" t="s">
        <v>666</v>
      </c>
      <c r="AC83" s="181" t="s">
        <v>640</v>
      </c>
      <c r="AD83" s="181">
        <v>134010372</v>
      </c>
      <c r="AE83" s="181">
        <v>1699766261</v>
      </c>
      <c r="AF83" s="181">
        <v>1790314573</v>
      </c>
      <c r="AG83" s="181">
        <v>2.54202519724993E+16</v>
      </c>
      <c r="AH83" s="181"/>
      <c r="AI83" s="181" t="s">
        <v>154</v>
      </c>
      <c r="AJ83" s="181" t="s">
        <v>481</v>
      </c>
      <c r="AK83" s="181" t="s">
        <v>1254</v>
      </c>
      <c r="AL83" s="181">
        <v>5376.8</v>
      </c>
      <c r="AM83" s="181"/>
      <c r="AN83" s="181"/>
      <c r="AO83" s="181">
        <v>128</v>
      </c>
      <c r="AP83" s="181" t="s">
        <v>485</v>
      </c>
      <c r="AQ83" s="181" t="s">
        <v>1255</v>
      </c>
      <c r="AR83" s="183">
        <v>46265</v>
      </c>
      <c r="AS83" s="181" t="s">
        <v>154</v>
      </c>
      <c r="AT83" s="181" t="s">
        <v>516</v>
      </c>
      <c r="AU83" s="181"/>
      <c r="AV83" s="181" t="s">
        <v>1256</v>
      </c>
      <c r="AW83" s="181"/>
      <c r="AX83" s="181"/>
      <c r="AY83" s="181"/>
      <c r="AZ83" s="181"/>
      <c r="BA83" s="181"/>
      <c r="BB83" s="181"/>
      <c r="BC83" s="181"/>
      <c r="BD83" s="181" t="s">
        <v>154</v>
      </c>
      <c r="BE83" s="181">
        <v>32</v>
      </c>
      <c r="BF83" s="181"/>
      <c r="BG83" s="181"/>
      <c r="BH83" s="181" t="s">
        <v>658</v>
      </c>
      <c r="BI83" s="181">
        <v>128512501</v>
      </c>
      <c r="BJ83" s="181"/>
      <c r="BK83" s="181"/>
      <c r="BL83" s="181"/>
      <c r="BM83" s="181"/>
      <c r="BN83" s="181"/>
      <c r="BO83" s="181"/>
      <c r="BP83" s="181"/>
      <c r="BQ83" s="181"/>
      <c r="BR83" s="181"/>
      <c r="BS83" s="181"/>
      <c r="BT83" s="181"/>
      <c r="BU83" s="181"/>
      <c r="BV83" s="181"/>
      <c r="BW83" s="181"/>
      <c r="BX83" s="181"/>
      <c r="BY83" s="181"/>
      <c r="BZ83" s="181"/>
      <c r="CA83" s="190" t="s">
        <v>514</v>
      </c>
      <c r="CB83" s="3"/>
      <c r="CC83" s="16"/>
      <c r="CD83" s="16"/>
      <c r="CE83" s="16"/>
      <c r="CF83" s="16"/>
      <c r="CG83" s="16"/>
      <c r="CH83" s="16"/>
      <c r="CI83" s="16" t="s">
        <v>1257</v>
      </c>
    </row>
    <row r="84" spans="1:87">
      <c r="A84" s="16" t="s">
        <v>5</v>
      </c>
      <c r="B84" s="16" t="s">
        <v>1258</v>
      </c>
      <c r="C84" s="3">
        <v>46272</v>
      </c>
      <c r="D84" s="26" t="s">
        <v>14</v>
      </c>
      <c r="E84" s="180" t="s">
        <v>1259</v>
      </c>
      <c r="F84" s="181">
        <v>2026217780281</v>
      </c>
      <c r="G84" s="181">
        <v>40</v>
      </c>
      <c r="H84" s="181">
        <v>33</v>
      </c>
      <c r="I84" s="181" t="s">
        <v>460</v>
      </c>
      <c r="J84" s="181" t="s">
        <v>1259</v>
      </c>
      <c r="K84" s="181" t="s">
        <v>1260</v>
      </c>
      <c r="L84" s="181" t="s">
        <v>13</v>
      </c>
      <c r="M84" s="181">
        <v>10</v>
      </c>
      <c r="N84" s="181" t="s">
        <v>462</v>
      </c>
      <c r="O84" s="181" t="s">
        <v>606</v>
      </c>
      <c r="P84" s="181">
        <v>981417474</v>
      </c>
      <c r="Q84" s="181" t="s">
        <v>465</v>
      </c>
      <c r="R84" s="181" t="s">
        <v>466</v>
      </c>
      <c r="S84" s="181" t="s">
        <v>1261</v>
      </c>
      <c r="T84" s="181" t="s">
        <v>1262</v>
      </c>
      <c r="U84" s="182">
        <v>46261.942361111112</v>
      </c>
      <c r="V84" s="181" t="s">
        <v>469</v>
      </c>
      <c r="W84" s="181" t="s">
        <v>651</v>
      </c>
      <c r="X84" s="181" t="s">
        <v>652</v>
      </c>
      <c r="Y84" s="181" t="s">
        <v>1263</v>
      </c>
      <c r="Z84" s="181" t="s">
        <v>612</v>
      </c>
      <c r="AA84" s="181" t="s">
        <v>474</v>
      </c>
      <c r="AB84" s="181" t="s">
        <v>1264</v>
      </c>
      <c r="AC84" s="181" t="s">
        <v>614</v>
      </c>
      <c r="AD84" s="181">
        <v>222519596</v>
      </c>
      <c r="AE84" s="181">
        <v>1548210198</v>
      </c>
      <c r="AF84" s="181">
        <v>1598848699</v>
      </c>
      <c r="AG84" s="181">
        <v>2.71202507107475E+16</v>
      </c>
      <c r="AH84" s="181"/>
      <c r="AI84" s="181" t="s">
        <v>30</v>
      </c>
      <c r="AJ84" s="181" t="s">
        <v>481</v>
      </c>
      <c r="AK84" s="181" t="s">
        <v>1265</v>
      </c>
      <c r="AL84" s="181">
        <v>20410.5</v>
      </c>
      <c r="AM84" s="181"/>
      <c r="AN84" s="181"/>
      <c r="AO84" s="181">
        <v>981</v>
      </c>
      <c r="AP84" s="181" t="s">
        <v>485</v>
      </c>
      <c r="AQ84" s="181" t="s">
        <v>1266</v>
      </c>
      <c r="AR84" s="183">
        <v>46262</v>
      </c>
      <c r="AS84" s="181" t="s">
        <v>30</v>
      </c>
      <c r="AT84" s="181" t="s">
        <v>516</v>
      </c>
      <c r="AU84" s="181"/>
      <c r="AV84" s="181" t="s">
        <v>1267</v>
      </c>
      <c r="AW84" s="181"/>
      <c r="AX84" s="181"/>
      <c r="AY84" s="181"/>
      <c r="AZ84" s="181"/>
      <c r="BA84" s="181"/>
      <c r="BB84" s="181"/>
      <c r="BC84" s="181"/>
      <c r="BD84" s="181" t="s">
        <v>30</v>
      </c>
      <c r="BE84" s="181">
        <v>33</v>
      </c>
      <c r="BF84" s="181"/>
      <c r="BG84" s="181" t="s">
        <v>490</v>
      </c>
      <c r="BH84" s="181" t="s">
        <v>658</v>
      </c>
      <c r="BI84" s="181">
        <v>981417474</v>
      </c>
      <c r="BJ84" s="181"/>
      <c r="BK84" s="181"/>
      <c r="BL84" s="181"/>
      <c r="BM84" s="181"/>
      <c r="BN84" s="181"/>
      <c r="BO84" s="181"/>
      <c r="BP84" s="181"/>
      <c r="BQ84" s="181"/>
      <c r="BR84" s="181"/>
      <c r="BS84" s="181"/>
      <c r="BT84" s="181"/>
      <c r="BU84" s="181"/>
      <c r="BV84" s="181"/>
      <c r="BW84" s="181"/>
      <c r="BX84" s="181"/>
      <c r="BY84" s="181"/>
      <c r="BZ84" s="181"/>
      <c r="CA84" s="190">
        <v>46282.666666666701</v>
      </c>
      <c r="CB84" s="3"/>
      <c r="CC84" s="16"/>
      <c r="CD84" s="16"/>
      <c r="CE84" s="16"/>
      <c r="CF84" s="16"/>
      <c r="CG84" s="16"/>
      <c r="CH84" s="16"/>
      <c r="CI84" s="16" t="s">
        <v>1268</v>
      </c>
    </row>
    <row r="85" spans="1:87">
      <c r="A85" s="16"/>
      <c r="B85" s="16"/>
      <c r="C85" s="3">
        <v>46272</v>
      </c>
      <c r="D85" s="26" t="s">
        <v>14</v>
      </c>
      <c r="E85" s="180" t="s">
        <v>1269</v>
      </c>
      <c r="F85" s="181">
        <v>2026212590127</v>
      </c>
      <c r="G85" s="181">
        <v>40</v>
      </c>
      <c r="H85" s="181">
        <v>39</v>
      </c>
      <c r="I85" s="181" t="s">
        <v>460</v>
      </c>
      <c r="J85" s="181" t="s">
        <v>1269</v>
      </c>
      <c r="K85" s="181" t="s">
        <v>839</v>
      </c>
      <c r="L85" s="181" t="s">
        <v>18</v>
      </c>
      <c r="M85" s="181">
        <v>11</v>
      </c>
      <c r="N85" s="181" t="s">
        <v>462</v>
      </c>
      <c r="O85" s="181" t="s">
        <v>606</v>
      </c>
      <c r="P85" s="181" t="s">
        <v>1270</v>
      </c>
      <c r="Q85" s="181" t="s">
        <v>465</v>
      </c>
      <c r="R85" s="181" t="s">
        <v>466</v>
      </c>
      <c r="S85" s="181" t="s">
        <v>1271</v>
      </c>
      <c r="T85" s="181" t="s">
        <v>1272</v>
      </c>
      <c r="U85" s="182">
        <v>46260.763888888891</v>
      </c>
      <c r="V85" s="181" t="s">
        <v>469</v>
      </c>
      <c r="W85" s="181" t="s">
        <v>470</v>
      </c>
      <c r="X85" s="181" t="s">
        <v>471</v>
      </c>
      <c r="Y85" s="181" t="s">
        <v>523</v>
      </c>
      <c r="Z85" s="181" t="s">
        <v>544</v>
      </c>
      <c r="AA85" s="181" t="s">
        <v>474</v>
      </c>
      <c r="AB85" s="181" t="s">
        <v>1273</v>
      </c>
      <c r="AC85" s="181" t="s">
        <v>546</v>
      </c>
      <c r="AD85" s="181">
        <v>472863935</v>
      </c>
      <c r="AE85" s="181">
        <v>1114317062</v>
      </c>
      <c r="AF85" s="181">
        <v>1134295165</v>
      </c>
      <c r="AG85" s="181"/>
      <c r="AH85" s="181"/>
      <c r="AI85" s="181" t="s">
        <v>159</v>
      </c>
      <c r="AJ85" s="181" t="s">
        <v>481</v>
      </c>
      <c r="AK85" s="181" t="s">
        <v>1274</v>
      </c>
      <c r="AL85" s="181">
        <v>6932.38</v>
      </c>
      <c r="AM85" s="181"/>
      <c r="AN85" s="181"/>
      <c r="AO85" s="181">
        <v>709</v>
      </c>
      <c r="AP85" s="181" t="s">
        <v>485</v>
      </c>
      <c r="AQ85" s="181" t="s">
        <v>1275</v>
      </c>
      <c r="AR85" s="183">
        <v>46261</v>
      </c>
      <c r="AS85" s="181" t="s">
        <v>159</v>
      </c>
      <c r="AT85" s="181" t="s">
        <v>1276</v>
      </c>
      <c r="AU85" s="181"/>
      <c r="AV85" s="181" t="s">
        <v>1277</v>
      </c>
      <c r="AW85" s="181"/>
      <c r="AX85" s="181"/>
      <c r="AY85" s="181"/>
      <c r="AZ85" s="181"/>
      <c r="BA85" s="181"/>
      <c r="BB85" s="181"/>
      <c r="BC85" s="181"/>
      <c r="BD85" s="181" t="s">
        <v>159</v>
      </c>
      <c r="BE85" s="181">
        <v>38</v>
      </c>
      <c r="BF85" s="181"/>
      <c r="BG85" s="181"/>
      <c r="BH85" s="181" t="s">
        <v>491</v>
      </c>
      <c r="BI85" s="181">
        <v>480842576</v>
      </c>
      <c r="BJ85" s="181"/>
      <c r="BK85" s="181"/>
      <c r="BL85" s="181"/>
      <c r="BM85" s="181"/>
      <c r="BN85" s="181"/>
      <c r="BO85" s="181"/>
      <c r="BP85" s="181"/>
      <c r="BQ85" s="181"/>
      <c r="BR85" s="181"/>
      <c r="BS85" s="181"/>
      <c r="BT85" s="181"/>
      <c r="BU85" s="181"/>
      <c r="BV85" s="181"/>
      <c r="BW85" s="181"/>
      <c r="BX85" s="181"/>
      <c r="BY85" s="181"/>
      <c r="BZ85" s="181"/>
      <c r="CA85" s="190"/>
      <c r="CB85" s="3"/>
      <c r="CC85" s="16"/>
      <c r="CD85" s="16"/>
      <c r="CE85" s="16"/>
      <c r="CF85" s="16"/>
      <c r="CG85" s="16"/>
      <c r="CH85" s="16"/>
      <c r="CI85" s="16" t="s">
        <v>1278</v>
      </c>
    </row>
    <row r="86" spans="1:87" ht="29.25">
      <c r="A86" s="16" t="s">
        <v>5</v>
      </c>
      <c r="B86" s="25" t="s">
        <v>739</v>
      </c>
      <c r="C86" s="3">
        <v>46272</v>
      </c>
      <c r="D86" s="26" t="s">
        <v>14</v>
      </c>
      <c r="E86" s="180" t="s">
        <v>1279</v>
      </c>
      <c r="F86" s="181">
        <v>2026208730284</v>
      </c>
      <c r="G86" s="181">
        <v>40</v>
      </c>
      <c r="H86" s="181">
        <v>42</v>
      </c>
      <c r="I86" s="181" t="s">
        <v>460</v>
      </c>
      <c r="J86" s="181" t="s">
        <v>1279</v>
      </c>
      <c r="K86" s="181" t="s">
        <v>741</v>
      </c>
      <c r="L86" s="181" t="s">
        <v>13</v>
      </c>
      <c r="M86" s="181">
        <v>19</v>
      </c>
      <c r="N86" s="181" t="s">
        <v>462</v>
      </c>
      <c r="O86" s="181" t="s">
        <v>606</v>
      </c>
      <c r="P86" s="181" t="s">
        <v>1280</v>
      </c>
      <c r="Q86" s="181" t="s">
        <v>465</v>
      </c>
      <c r="R86" s="181" t="s">
        <v>466</v>
      </c>
      <c r="S86" s="181" t="s">
        <v>1281</v>
      </c>
      <c r="T86" s="181" t="s">
        <v>1282</v>
      </c>
      <c r="U86" s="182">
        <v>46253.647222222222</v>
      </c>
      <c r="V86" s="181" t="s">
        <v>469</v>
      </c>
      <c r="W86" s="181" t="s">
        <v>470</v>
      </c>
      <c r="X86" s="181" t="s">
        <v>471</v>
      </c>
      <c r="Y86" s="181" t="s">
        <v>628</v>
      </c>
      <c r="Z86" s="181" t="s">
        <v>473</v>
      </c>
      <c r="AA86" s="181" t="s">
        <v>474</v>
      </c>
      <c r="AB86" s="181" t="s">
        <v>1283</v>
      </c>
      <c r="AC86" s="181" t="s">
        <v>476</v>
      </c>
      <c r="AD86" s="181">
        <v>391127163</v>
      </c>
      <c r="AE86" s="181">
        <v>1730126392</v>
      </c>
      <c r="AF86" s="181">
        <v>1457766982</v>
      </c>
      <c r="AG86" s="181"/>
      <c r="AH86" s="181"/>
      <c r="AI86" s="181" t="s">
        <v>290</v>
      </c>
      <c r="AJ86" s="181" t="s">
        <v>481</v>
      </c>
      <c r="AK86" s="181" t="s">
        <v>1284</v>
      </c>
      <c r="AL86" s="181">
        <v>11797.2</v>
      </c>
      <c r="AM86" s="181"/>
      <c r="AN86" s="181"/>
      <c r="AO86" s="181">
        <v>977</v>
      </c>
      <c r="AP86" s="181" t="s">
        <v>485</v>
      </c>
      <c r="AQ86" s="181" t="s">
        <v>1285</v>
      </c>
      <c r="AR86" s="183">
        <v>46253</v>
      </c>
      <c r="AS86" s="181" t="s">
        <v>290</v>
      </c>
      <c r="AT86" s="181" t="s">
        <v>1169</v>
      </c>
      <c r="AU86" s="181"/>
      <c r="AV86" s="181" t="s">
        <v>1286</v>
      </c>
      <c r="AW86" s="181"/>
      <c r="AX86" s="181"/>
      <c r="AY86" s="181"/>
      <c r="AZ86" s="181"/>
      <c r="BA86" s="181"/>
      <c r="BB86" s="181"/>
      <c r="BC86" s="181"/>
      <c r="BD86" s="181" t="s">
        <v>290</v>
      </c>
      <c r="BE86" s="181">
        <v>42</v>
      </c>
      <c r="BF86" s="181"/>
      <c r="BG86" s="181"/>
      <c r="BH86" s="181" t="s">
        <v>491</v>
      </c>
      <c r="BI86" s="181">
        <v>396064019</v>
      </c>
      <c r="BJ86" s="181"/>
      <c r="BK86" s="181"/>
      <c r="BL86" s="181"/>
      <c r="BM86" s="181"/>
      <c r="BN86" s="181"/>
      <c r="BO86" s="181"/>
      <c r="BP86" s="181"/>
      <c r="BQ86" s="181"/>
      <c r="BR86" s="181"/>
      <c r="BS86" s="181"/>
      <c r="BT86" s="181"/>
      <c r="BU86" s="181"/>
      <c r="BV86" s="181"/>
      <c r="BW86" s="181"/>
      <c r="BX86" s="181"/>
      <c r="BY86" s="181"/>
      <c r="BZ86" s="181"/>
      <c r="CA86" s="190">
        <v>46280.666666666701</v>
      </c>
      <c r="CB86" s="3"/>
      <c r="CC86" s="16"/>
      <c r="CD86" s="16"/>
      <c r="CE86" s="16"/>
      <c r="CF86" s="16"/>
      <c r="CG86" s="16"/>
      <c r="CH86" s="16"/>
      <c r="CI86" s="16" t="s">
        <v>1287</v>
      </c>
    </row>
    <row r="87" spans="1:87">
      <c r="A87" s="16"/>
      <c r="B87" s="16"/>
      <c r="C87" s="3">
        <v>46272</v>
      </c>
      <c r="D87" s="26" t="s">
        <v>14</v>
      </c>
      <c r="E87" s="180" t="s">
        <v>1288</v>
      </c>
      <c r="F87" s="181">
        <v>2026216510069</v>
      </c>
      <c r="G87" s="181">
        <v>40</v>
      </c>
      <c r="H87" s="181">
        <v>34</v>
      </c>
      <c r="I87" s="181" t="s">
        <v>460</v>
      </c>
      <c r="J87" s="181" t="s">
        <v>1288</v>
      </c>
      <c r="K87" s="181" t="s">
        <v>839</v>
      </c>
      <c r="L87" s="181" t="s">
        <v>18</v>
      </c>
      <c r="M87" s="181">
        <v>12</v>
      </c>
      <c r="N87" s="181" t="s">
        <v>462</v>
      </c>
      <c r="O87" s="181" t="s">
        <v>606</v>
      </c>
      <c r="P87" s="181" t="s">
        <v>1289</v>
      </c>
      <c r="Q87" s="181" t="s">
        <v>465</v>
      </c>
      <c r="R87" s="181" t="s">
        <v>466</v>
      </c>
      <c r="S87" s="181" t="s">
        <v>1290</v>
      </c>
      <c r="T87" s="181" t="s">
        <v>1291</v>
      </c>
      <c r="U87" s="182">
        <v>46260.425694444442</v>
      </c>
      <c r="V87" s="181" t="s">
        <v>469</v>
      </c>
      <c r="W87" s="181" t="s">
        <v>470</v>
      </c>
      <c r="X87" s="181" t="s">
        <v>471</v>
      </c>
      <c r="Y87" s="181" t="s">
        <v>628</v>
      </c>
      <c r="Z87" s="181" t="s">
        <v>1292</v>
      </c>
      <c r="AA87" s="181" t="s">
        <v>474</v>
      </c>
      <c r="AB87" s="181" t="s">
        <v>1293</v>
      </c>
      <c r="AC87" s="181" t="s">
        <v>1294</v>
      </c>
      <c r="AD87" s="181">
        <v>611300608</v>
      </c>
      <c r="AE87" s="181">
        <v>1750343216</v>
      </c>
      <c r="AF87" s="181">
        <v>1386665040</v>
      </c>
      <c r="AG87" s="181"/>
      <c r="AH87" s="181"/>
      <c r="AI87" s="181" t="s">
        <v>159</v>
      </c>
      <c r="AJ87" s="181" t="s">
        <v>481</v>
      </c>
      <c r="AK87" s="181" t="s">
        <v>1295</v>
      </c>
      <c r="AL87" s="181">
        <v>2944</v>
      </c>
      <c r="AM87" s="181"/>
      <c r="AN87" s="181"/>
      <c r="AO87" s="181">
        <v>319</v>
      </c>
      <c r="AP87" s="181" t="s">
        <v>485</v>
      </c>
      <c r="AQ87" s="181" t="s">
        <v>1296</v>
      </c>
      <c r="AR87" s="183">
        <v>46260</v>
      </c>
      <c r="AS87" s="181" t="s">
        <v>159</v>
      </c>
      <c r="AT87" s="181" t="s">
        <v>1276</v>
      </c>
      <c r="AU87" s="181"/>
      <c r="AV87" s="181" t="s">
        <v>1297</v>
      </c>
      <c r="AW87" s="181"/>
      <c r="AX87" s="181"/>
      <c r="AY87" s="181"/>
      <c r="AZ87" s="181"/>
      <c r="BA87" s="181"/>
      <c r="BB87" s="181"/>
      <c r="BC87" s="181"/>
      <c r="BD87" s="181" t="s">
        <v>159</v>
      </c>
      <c r="BE87" s="181">
        <v>34</v>
      </c>
      <c r="BF87" s="181"/>
      <c r="BG87" s="181" t="s">
        <v>490</v>
      </c>
      <c r="BH87" s="181" t="s">
        <v>491</v>
      </c>
      <c r="BI87" s="181">
        <v>407081511</v>
      </c>
      <c r="BJ87" s="181"/>
      <c r="BK87" s="181"/>
      <c r="BL87" s="181"/>
      <c r="BM87" s="181"/>
      <c r="BN87" s="181"/>
      <c r="BO87" s="181"/>
      <c r="BP87" s="181"/>
      <c r="BQ87" s="181"/>
      <c r="BR87" s="181"/>
      <c r="BS87" s="181"/>
      <c r="BT87" s="181"/>
      <c r="BU87" s="181"/>
      <c r="BV87" s="181"/>
      <c r="BW87" s="181"/>
      <c r="BX87" s="181"/>
      <c r="BY87" s="181"/>
      <c r="BZ87" s="181"/>
      <c r="CA87" s="190"/>
      <c r="CB87" s="3"/>
      <c r="CC87" s="16"/>
      <c r="CD87" s="16"/>
      <c r="CE87" s="16"/>
      <c r="CF87" s="16"/>
      <c r="CG87" s="16"/>
      <c r="CH87" s="16"/>
      <c r="CI87" s="16" t="s">
        <v>1298</v>
      </c>
    </row>
    <row r="88" spans="1:87">
      <c r="A88" s="16" t="s">
        <v>5</v>
      </c>
      <c r="B88" s="16" t="s">
        <v>719</v>
      </c>
      <c r="C88" s="3">
        <v>46272</v>
      </c>
      <c r="D88" s="26" t="s">
        <v>14</v>
      </c>
      <c r="E88" s="180" t="s">
        <v>1299</v>
      </c>
      <c r="F88" s="181">
        <v>2026205280437</v>
      </c>
      <c r="G88" s="181">
        <v>40</v>
      </c>
      <c r="H88" s="181">
        <v>45</v>
      </c>
      <c r="I88" s="181" t="s">
        <v>460</v>
      </c>
      <c r="J88" s="181" t="s">
        <v>1299</v>
      </c>
      <c r="K88" s="181" t="s">
        <v>496</v>
      </c>
      <c r="L88" s="181" t="s">
        <v>17</v>
      </c>
      <c r="M88" s="181">
        <v>19</v>
      </c>
      <c r="N88" s="181" t="s">
        <v>462</v>
      </c>
      <c r="O88" s="181" t="s">
        <v>606</v>
      </c>
      <c r="P88" s="181" t="s">
        <v>1289</v>
      </c>
      <c r="Q88" s="181" t="s">
        <v>465</v>
      </c>
      <c r="R88" s="181" t="s">
        <v>466</v>
      </c>
      <c r="S88" s="181" t="s">
        <v>1300</v>
      </c>
      <c r="T88" s="181" t="s">
        <v>1291</v>
      </c>
      <c r="U88" s="182">
        <v>46252.729861111111</v>
      </c>
      <c r="V88" s="181" t="s">
        <v>469</v>
      </c>
      <c r="W88" s="181" t="s">
        <v>470</v>
      </c>
      <c r="X88" s="181" t="s">
        <v>471</v>
      </c>
      <c r="Y88" s="181" t="s">
        <v>628</v>
      </c>
      <c r="Z88" s="181" t="s">
        <v>1292</v>
      </c>
      <c r="AA88" s="181" t="s">
        <v>474</v>
      </c>
      <c r="AB88" s="181" t="s">
        <v>1293</v>
      </c>
      <c r="AC88" s="181" t="s">
        <v>1294</v>
      </c>
      <c r="AD88" s="181">
        <v>610445850</v>
      </c>
      <c r="AE88" s="181">
        <v>1588620868</v>
      </c>
      <c r="AF88" s="181">
        <v>1760748164</v>
      </c>
      <c r="AG88" s="181"/>
      <c r="AH88" s="181"/>
      <c r="AI88" s="181" t="s">
        <v>91</v>
      </c>
      <c r="AJ88" s="181" t="s">
        <v>481</v>
      </c>
      <c r="AK88" s="181" t="s">
        <v>1301</v>
      </c>
      <c r="AL88" s="181">
        <v>2944</v>
      </c>
      <c r="AM88" s="181"/>
      <c r="AN88" s="181"/>
      <c r="AO88" s="181">
        <v>319</v>
      </c>
      <c r="AP88" s="181" t="s">
        <v>485</v>
      </c>
      <c r="AQ88" s="181" t="s">
        <v>1302</v>
      </c>
      <c r="AR88" s="183">
        <v>46253</v>
      </c>
      <c r="AS88" s="181" t="s">
        <v>91</v>
      </c>
      <c r="AT88" s="181" t="s">
        <v>1119</v>
      </c>
      <c r="AU88" s="181"/>
      <c r="AV88" s="181" t="s">
        <v>1303</v>
      </c>
      <c r="AW88" s="181"/>
      <c r="AX88" s="181"/>
      <c r="AY88" s="181"/>
      <c r="AZ88" s="181"/>
      <c r="BA88" s="181"/>
      <c r="BB88" s="181"/>
      <c r="BC88" s="181"/>
      <c r="BD88" s="181" t="s">
        <v>91</v>
      </c>
      <c r="BE88" s="181">
        <v>45</v>
      </c>
      <c r="BF88" s="181"/>
      <c r="BG88" s="181"/>
      <c r="BH88" s="181" t="s">
        <v>491</v>
      </c>
      <c r="BI88" s="181">
        <v>407081511</v>
      </c>
      <c r="BJ88" s="181"/>
      <c r="BK88" s="181"/>
      <c r="BL88" s="181"/>
      <c r="BM88" s="181"/>
      <c r="BN88" s="181"/>
      <c r="BO88" s="181"/>
      <c r="BP88" s="181"/>
      <c r="BQ88" s="181"/>
      <c r="BR88" s="181"/>
      <c r="BS88" s="181"/>
      <c r="BT88" s="181"/>
      <c r="BU88" s="181"/>
      <c r="BV88" s="181"/>
      <c r="BW88" s="181"/>
      <c r="BX88" s="181"/>
      <c r="BY88" s="181"/>
      <c r="BZ88" s="181"/>
      <c r="CA88" s="190">
        <v>46281.666666666701</v>
      </c>
      <c r="CB88" s="3"/>
      <c r="CC88" s="16"/>
      <c r="CD88" s="16"/>
      <c r="CE88" s="16"/>
      <c r="CF88" s="16"/>
      <c r="CG88" s="16"/>
      <c r="CH88" s="16"/>
      <c r="CI88" s="16" t="s">
        <v>1304</v>
      </c>
    </row>
    <row r="89" spans="1:87">
      <c r="A89" s="16"/>
      <c r="B89" s="16"/>
      <c r="C89" s="3">
        <v>46272</v>
      </c>
      <c r="D89" s="26" t="s">
        <v>14</v>
      </c>
      <c r="E89" s="180" t="s">
        <v>1305</v>
      </c>
      <c r="F89" s="181">
        <v>2026206730279</v>
      </c>
      <c r="G89" s="181">
        <v>40</v>
      </c>
      <c r="H89" s="181">
        <v>44</v>
      </c>
      <c r="I89" s="181" t="s">
        <v>460</v>
      </c>
      <c r="J89" s="181" t="s">
        <v>1305</v>
      </c>
      <c r="K89" s="181" t="s">
        <v>983</v>
      </c>
      <c r="L89" s="181" t="s">
        <v>17</v>
      </c>
      <c r="M89" s="181">
        <v>18</v>
      </c>
      <c r="N89" s="181" t="s">
        <v>462</v>
      </c>
      <c r="O89" s="181" t="s">
        <v>606</v>
      </c>
      <c r="P89" s="181" t="s">
        <v>1306</v>
      </c>
      <c r="Q89" s="181" t="s">
        <v>465</v>
      </c>
      <c r="R89" s="181" t="s">
        <v>466</v>
      </c>
      <c r="S89" s="181" t="s">
        <v>1307</v>
      </c>
      <c r="T89" s="181" t="s">
        <v>1308</v>
      </c>
      <c r="U89" s="182">
        <v>46254.004166666666</v>
      </c>
      <c r="V89" s="181" t="s">
        <v>469</v>
      </c>
      <c r="W89" s="181" t="s">
        <v>568</v>
      </c>
      <c r="X89" s="181" t="s">
        <v>471</v>
      </c>
      <c r="Y89" s="181" t="s">
        <v>628</v>
      </c>
      <c r="Z89" s="181" t="s">
        <v>473</v>
      </c>
      <c r="AA89" s="181" t="s">
        <v>474</v>
      </c>
      <c r="AB89" s="181" t="s">
        <v>1309</v>
      </c>
      <c r="AC89" s="181" t="s">
        <v>476</v>
      </c>
      <c r="AD89" s="181">
        <v>391130341</v>
      </c>
      <c r="AE89" s="181">
        <v>1902850696</v>
      </c>
      <c r="AF89" s="181">
        <v>1568793479</v>
      </c>
      <c r="AG89" s="181"/>
      <c r="AH89" s="181"/>
      <c r="AI89" s="181" t="s">
        <v>34</v>
      </c>
      <c r="AJ89" s="181" t="s">
        <v>481</v>
      </c>
      <c r="AK89" s="181" t="s">
        <v>1310</v>
      </c>
      <c r="AL89" s="181">
        <v>25376</v>
      </c>
      <c r="AM89" s="181"/>
      <c r="AN89" s="181"/>
      <c r="AO89" s="181">
        <v>984</v>
      </c>
      <c r="AP89" s="181" t="s">
        <v>485</v>
      </c>
      <c r="AQ89" s="181" t="s">
        <v>1311</v>
      </c>
      <c r="AR89" s="183">
        <v>46254</v>
      </c>
      <c r="AS89" s="181" t="s">
        <v>34</v>
      </c>
      <c r="AT89" s="181" t="s">
        <v>794</v>
      </c>
      <c r="AU89" s="181"/>
      <c r="AV89" s="181" t="s">
        <v>1312</v>
      </c>
      <c r="AW89" s="181"/>
      <c r="AX89" s="181"/>
      <c r="AY89" s="181"/>
      <c r="AZ89" s="181"/>
      <c r="BA89" s="181"/>
      <c r="BB89" s="181"/>
      <c r="BC89" s="181"/>
      <c r="BD89" s="181" t="s">
        <v>34</v>
      </c>
      <c r="BE89" s="181">
        <v>44</v>
      </c>
      <c r="BF89" s="181"/>
      <c r="BG89" s="181" t="s">
        <v>490</v>
      </c>
      <c r="BH89" s="181" t="s">
        <v>491</v>
      </c>
      <c r="BI89" s="181">
        <v>395905816</v>
      </c>
      <c r="BJ89" s="181"/>
      <c r="BK89" s="181"/>
      <c r="BL89" s="181"/>
      <c r="BM89" s="181"/>
      <c r="BN89" s="181"/>
      <c r="BO89" s="181"/>
      <c r="BP89" s="181"/>
      <c r="BQ89" s="181"/>
      <c r="BR89" s="181"/>
      <c r="BS89" s="181"/>
      <c r="BT89" s="181"/>
      <c r="BU89" s="181"/>
      <c r="BV89" s="181"/>
      <c r="BW89" s="181"/>
      <c r="BX89" s="181"/>
      <c r="BY89" s="181"/>
      <c r="BZ89" s="181"/>
      <c r="CA89" s="190"/>
      <c r="CB89" s="3"/>
      <c r="CC89" s="16"/>
      <c r="CD89" s="16"/>
      <c r="CE89" s="16"/>
      <c r="CF89" s="16"/>
      <c r="CG89" s="16"/>
      <c r="CH89" s="16"/>
      <c r="CI89" s="16" t="s">
        <v>1313</v>
      </c>
    </row>
    <row r="90" spans="1:87">
      <c r="A90" s="16" t="s">
        <v>5</v>
      </c>
      <c r="B90" s="16" t="s">
        <v>719</v>
      </c>
      <c r="C90" s="3">
        <v>46272</v>
      </c>
      <c r="D90" s="26" t="s">
        <v>14</v>
      </c>
      <c r="E90" s="180" t="s">
        <v>1314</v>
      </c>
      <c r="F90" s="181">
        <v>2026218440047</v>
      </c>
      <c r="G90" s="181">
        <v>40</v>
      </c>
      <c r="H90" s="181">
        <v>32</v>
      </c>
      <c r="I90" s="181" t="s">
        <v>460</v>
      </c>
      <c r="J90" s="181" t="s">
        <v>1314</v>
      </c>
      <c r="K90" s="181" t="s">
        <v>721</v>
      </c>
      <c r="L90" s="181" t="s">
        <v>13</v>
      </c>
      <c r="M90" s="181">
        <v>8</v>
      </c>
      <c r="N90" s="181" t="s">
        <v>462</v>
      </c>
      <c r="O90" s="181" t="s">
        <v>606</v>
      </c>
      <c r="P90" s="181" t="s">
        <v>1315</v>
      </c>
      <c r="Q90" s="181" t="s">
        <v>465</v>
      </c>
      <c r="R90" s="181" t="s">
        <v>466</v>
      </c>
      <c r="S90" s="181" t="s">
        <v>1316</v>
      </c>
      <c r="T90" s="181" t="s">
        <v>1317</v>
      </c>
      <c r="U90" s="182">
        <v>46264.538194444445</v>
      </c>
      <c r="V90" s="181" t="s">
        <v>469</v>
      </c>
      <c r="W90" s="181" t="s">
        <v>470</v>
      </c>
      <c r="X90" s="181" t="s">
        <v>471</v>
      </c>
      <c r="Y90" s="181" t="s">
        <v>523</v>
      </c>
      <c r="Z90" s="181" t="s">
        <v>731</v>
      </c>
      <c r="AA90" s="181" t="s">
        <v>474</v>
      </c>
      <c r="AB90" s="181" t="s">
        <v>1318</v>
      </c>
      <c r="AC90" s="181" t="s">
        <v>733</v>
      </c>
      <c r="AD90" s="181">
        <v>430653611</v>
      </c>
      <c r="AE90" s="181">
        <v>1679516033</v>
      </c>
      <c r="AF90" s="181">
        <v>1184240970</v>
      </c>
      <c r="AG90" s="181"/>
      <c r="AH90" s="181"/>
      <c r="AI90" s="181" t="s">
        <v>75</v>
      </c>
      <c r="AJ90" s="181" t="s">
        <v>481</v>
      </c>
      <c r="AK90" s="181" t="s">
        <v>1319</v>
      </c>
      <c r="AL90" s="181">
        <v>2191.5</v>
      </c>
      <c r="AM90" s="181"/>
      <c r="AN90" s="181"/>
      <c r="AO90" s="181">
        <v>505</v>
      </c>
      <c r="AP90" s="181" t="s">
        <v>485</v>
      </c>
      <c r="AQ90" s="181" t="s">
        <v>1320</v>
      </c>
      <c r="AR90" s="183">
        <v>46264</v>
      </c>
      <c r="AS90" s="181" t="s">
        <v>75</v>
      </c>
      <c r="AT90" s="181" t="s">
        <v>516</v>
      </c>
      <c r="AU90" s="181"/>
      <c r="AV90" s="181" t="s">
        <v>1321</v>
      </c>
      <c r="AW90" s="181"/>
      <c r="AX90" s="181"/>
      <c r="AY90" s="181"/>
      <c r="AZ90" s="181"/>
      <c r="BA90" s="181"/>
      <c r="BB90" s="181"/>
      <c r="BC90" s="181"/>
      <c r="BD90" s="181" t="s">
        <v>75</v>
      </c>
      <c r="BE90" s="181">
        <v>32</v>
      </c>
      <c r="BF90" s="181"/>
      <c r="BG90" s="181" t="s">
        <v>490</v>
      </c>
      <c r="BH90" s="181" t="s">
        <v>491</v>
      </c>
      <c r="BI90" s="181">
        <v>547713968</v>
      </c>
      <c r="BJ90" s="181"/>
      <c r="BK90" s="181"/>
      <c r="BL90" s="181"/>
      <c r="BM90" s="181"/>
      <c r="BN90" s="181"/>
      <c r="BO90" s="181"/>
      <c r="BP90" s="181"/>
      <c r="BQ90" s="181"/>
      <c r="BR90" s="181"/>
      <c r="BS90" s="181"/>
      <c r="BT90" s="181"/>
      <c r="BU90" s="181"/>
      <c r="BV90" s="181"/>
      <c r="BW90" s="181"/>
      <c r="BX90" s="181"/>
      <c r="BY90" s="181"/>
      <c r="BZ90" s="181"/>
      <c r="CA90" s="190">
        <v>46280.666666666701</v>
      </c>
      <c r="CB90" s="3"/>
      <c r="CC90" s="16"/>
      <c r="CD90" s="16"/>
      <c r="CE90" s="16"/>
      <c r="CF90" s="16"/>
      <c r="CG90" s="16"/>
      <c r="CH90" s="16"/>
      <c r="CI90" s="16" t="s">
        <v>1322</v>
      </c>
    </row>
    <row r="91" spans="1:87">
      <c r="A91" s="16"/>
      <c r="B91" s="16"/>
      <c r="C91" s="3">
        <v>46272</v>
      </c>
      <c r="D91" s="26" t="s">
        <v>14</v>
      </c>
      <c r="E91" s="180" t="s">
        <v>1323</v>
      </c>
      <c r="F91" s="181">
        <v>2026213890141</v>
      </c>
      <c r="G91" s="181">
        <v>40</v>
      </c>
      <c r="H91" s="181">
        <v>37</v>
      </c>
      <c r="I91" s="181" t="s">
        <v>460</v>
      </c>
      <c r="J91" s="181" t="s">
        <v>1323</v>
      </c>
      <c r="K91" s="181" t="s">
        <v>1083</v>
      </c>
      <c r="L91" s="181" t="s">
        <v>17</v>
      </c>
      <c r="M91" s="181">
        <v>13</v>
      </c>
      <c r="N91" s="181" t="s">
        <v>462</v>
      </c>
      <c r="O91" s="181" t="s">
        <v>606</v>
      </c>
      <c r="P91" s="181" t="s">
        <v>1324</v>
      </c>
      <c r="Q91" s="181" t="s">
        <v>465</v>
      </c>
      <c r="R91" s="181" t="s">
        <v>466</v>
      </c>
      <c r="S91" s="181" t="s">
        <v>1325</v>
      </c>
      <c r="T91" s="181" t="s">
        <v>1326</v>
      </c>
      <c r="U91" s="182">
        <v>46258.927083333336</v>
      </c>
      <c r="V91" s="181" t="s">
        <v>469</v>
      </c>
      <c r="W91" s="181" t="s">
        <v>568</v>
      </c>
      <c r="X91" s="181" t="s">
        <v>471</v>
      </c>
      <c r="Y91" s="181" t="s">
        <v>1327</v>
      </c>
      <c r="Z91" s="181" t="s">
        <v>665</v>
      </c>
      <c r="AA91" s="181" t="s">
        <v>474</v>
      </c>
      <c r="AB91" s="181" t="s">
        <v>1328</v>
      </c>
      <c r="AC91" s="181" t="s">
        <v>640</v>
      </c>
      <c r="AD91" s="181">
        <v>462333282</v>
      </c>
      <c r="AE91" s="181">
        <v>1083045090</v>
      </c>
      <c r="AF91" s="181">
        <v>1740467950</v>
      </c>
      <c r="AG91" s="181"/>
      <c r="AH91" s="181"/>
      <c r="AI91" s="181" t="s">
        <v>48</v>
      </c>
      <c r="AJ91" s="181" t="s">
        <v>481</v>
      </c>
      <c r="AK91" s="181" t="s">
        <v>1329</v>
      </c>
      <c r="AL91" s="181">
        <v>5780</v>
      </c>
      <c r="AM91" s="181"/>
      <c r="AN91" s="181"/>
      <c r="AO91" s="181">
        <v>194</v>
      </c>
      <c r="AP91" s="181" t="s">
        <v>485</v>
      </c>
      <c r="AQ91" s="181" t="s">
        <v>1330</v>
      </c>
      <c r="AR91" s="183">
        <v>46259</v>
      </c>
      <c r="AS91" s="181" t="s">
        <v>48</v>
      </c>
      <c r="AT91" s="181" t="s">
        <v>1214</v>
      </c>
      <c r="AU91" s="181"/>
      <c r="AV91" s="181" t="s">
        <v>1331</v>
      </c>
      <c r="AW91" s="181"/>
      <c r="AX91" s="181"/>
      <c r="AY91" s="181"/>
      <c r="AZ91" s="181"/>
      <c r="BA91" s="181"/>
      <c r="BB91" s="181"/>
      <c r="BC91" s="181"/>
      <c r="BD91" s="181" t="s">
        <v>48</v>
      </c>
      <c r="BE91" s="181">
        <v>37</v>
      </c>
      <c r="BF91" s="181"/>
      <c r="BG91" s="181"/>
      <c r="BH91" s="181" t="s">
        <v>491</v>
      </c>
      <c r="BI91" s="181" t="s">
        <v>1324</v>
      </c>
      <c r="BJ91" s="181"/>
      <c r="BK91" s="181"/>
      <c r="BL91" s="181"/>
      <c r="BM91" s="181"/>
      <c r="BN91" s="181"/>
      <c r="BO91" s="181"/>
      <c r="BP91" s="181"/>
      <c r="BQ91" s="181"/>
      <c r="BR91" s="181"/>
      <c r="BS91" s="181"/>
      <c r="BT91" s="181"/>
      <c r="BU91" s="181"/>
      <c r="BV91" s="181"/>
      <c r="BW91" s="181"/>
      <c r="BX91" s="181"/>
      <c r="BY91" s="181"/>
      <c r="BZ91" s="181"/>
      <c r="CA91" s="190"/>
      <c r="CB91" s="3"/>
      <c r="CC91" s="16"/>
      <c r="CD91" s="16"/>
      <c r="CE91" s="16"/>
      <c r="CF91" s="16"/>
      <c r="CG91" s="16"/>
      <c r="CH91" s="16"/>
      <c r="CI91" s="16" t="s">
        <v>1332</v>
      </c>
    </row>
    <row r="92" spans="1:87" ht="29.25">
      <c r="A92" s="16" t="s">
        <v>5</v>
      </c>
      <c r="B92" s="25" t="s">
        <v>672</v>
      </c>
      <c r="C92" s="3">
        <v>46272</v>
      </c>
      <c r="D92" s="26" t="s">
        <v>14</v>
      </c>
      <c r="E92" s="180" t="s">
        <v>1333</v>
      </c>
      <c r="F92" s="181" t="s">
        <v>1334</v>
      </c>
      <c r="G92" s="181">
        <v>40</v>
      </c>
      <c r="H92" s="181">
        <v>33</v>
      </c>
      <c r="I92" s="181" t="s">
        <v>460</v>
      </c>
      <c r="J92" s="181" t="s">
        <v>1333</v>
      </c>
      <c r="K92" s="181" t="s">
        <v>674</v>
      </c>
      <c r="L92" s="181" t="s">
        <v>16</v>
      </c>
      <c r="M92" s="181">
        <v>8</v>
      </c>
      <c r="N92" s="181" t="s">
        <v>462</v>
      </c>
      <c r="O92" s="181" t="s">
        <v>606</v>
      </c>
      <c r="P92" s="181" t="s">
        <v>1335</v>
      </c>
      <c r="Q92" s="181" t="s">
        <v>1055</v>
      </c>
      <c r="R92" s="181" t="s">
        <v>1056</v>
      </c>
      <c r="S92" s="181" t="s">
        <v>1336</v>
      </c>
      <c r="T92" s="181" t="s">
        <v>1337</v>
      </c>
      <c r="U92" s="182">
        <v>46264.396527777775</v>
      </c>
      <c r="V92" s="181" t="s">
        <v>469</v>
      </c>
      <c r="W92" s="181" t="s">
        <v>470</v>
      </c>
      <c r="X92" s="181" t="s">
        <v>471</v>
      </c>
      <c r="Y92" s="181" t="s">
        <v>523</v>
      </c>
      <c r="Z92" s="181" t="s">
        <v>1338</v>
      </c>
      <c r="AA92" s="181" t="s">
        <v>1059</v>
      </c>
      <c r="AB92" s="181" t="s">
        <v>1339</v>
      </c>
      <c r="AC92" s="181" t="s">
        <v>640</v>
      </c>
      <c r="AD92" s="181">
        <v>135562308</v>
      </c>
      <c r="AE92" s="181">
        <v>1285826438</v>
      </c>
      <c r="AF92" s="181">
        <v>1366458499</v>
      </c>
      <c r="AG92" s="181"/>
      <c r="AH92" s="181"/>
      <c r="AI92" s="181" t="s">
        <v>54</v>
      </c>
      <c r="AJ92" s="181" t="s">
        <v>481</v>
      </c>
      <c r="AK92" s="181" t="s">
        <v>1340</v>
      </c>
      <c r="AL92" s="181">
        <v>76925</v>
      </c>
      <c r="AM92" s="181"/>
      <c r="AN92" s="181"/>
      <c r="AO92" s="181" t="s">
        <v>1341</v>
      </c>
      <c r="AP92" s="181" t="s">
        <v>485</v>
      </c>
      <c r="AQ92" s="181" t="s">
        <v>1342</v>
      </c>
      <c r="AR92" s="183">
        <v>46264</v>
      </c>
      <c r="AS92" s="181" t="s">
        <v>54</v>
      </c>
      <c r="AT92" s="181" t="s">
        <v>606</v>
      </c>
      <c r="AU92" s="181"/>
      <c r="AV92" s="181" t="s">
        <v>1343</v>
      </c>
      <c r="AW92" s="181"/>
      <c r="AX92" s="181"/>
      <c r="AY92" s="181"/>
      <c r="AZ92" s="181"/>
      <c r="BA92" s="181"/>
      <c r="BB92" s="181" t="s">
        <v>1344</v>
      </c>
      <c r="BC92" s="181"/>
      <c r="BD92" s="181" t="s">
        <v>54</v>
      </c>
      <c r="BE92" s="181">
        <v>28</v>
      </c>
      <c r="BF92" s="181"/>
      <c r="BG92" s="181" t="s">
        <v>1067</v>
      </c>
      <c r="BH92" s="181" t="s">
        <v>491</v>
      </c>
      <c r="BI92" s="181">
        <v>49783301</v>
      </c>
      <c r="BJ92" s="181"/>
      <c r="BK92" s="181"/>
      <c r="BL92" s="181"/>
      <c r="BM92" s="181"/>
      <c r="BN92" s="181"/>
      <c r="BO92" s="181"/>
      <c r="BP92" s="181"/>
      <c r="BQ92" s="181"/>
      <c r="BR92" s="181"/>
      <c r="BS92" s="181"/>
      <c r="BT92" s="181"/>
      <c r="BU92" s="181"/>
      <c r="BV92" s="181"/>
      <c r="BW92" s="181"/>
      <c r="BX92" s="181"/>
      <c r="BY92" s="181"/>
      <c r="BZ92" s="181"/>
      <c r="CA92" s="190">
        <v>46281.666666666701</v>
      </c>
      <c r="CB92" s="3"/>
      <c r="CC92" s="16"/>
      <c r="CD92" s="16"/>
      <c r="CE92" s="16"/>
      <c r="CF92" s="16"/>
      <c r="CG92" s="16"/>
      <c r="CH92" s="16"/>
      <c r="CI92" s="16" t="s">
        <v>1345</v>
      </c>
    </row>
    <row r="93" spans="1:87">
      <c r="A93" s="16" t="s">
        <v>5</v>
      </c>
      <c r="B93" s="16" t="s">
        <v>1346</v>
      </c>
      <c r="C93" s="3">
        <v>46272</v>
      </c>
      <c r="D93" s="26" t="s">
        <v>14</v>
      </c>
      <c r="E93" s="180" t="s">
        <v>1347</v>
      </c>
      <c r="F93" s="181"/>
      <c r="G93" s="181">
        <v>40</v>
      </c>
      <c r="H93" s="181">
        <v>32</v>
      </c>
      <c r="I93" s="181" t="s">
        <v>460</v>
      </c>
      <c r="J93" s="181" t="s">
        <v>1347</v>
      </c>
      <c r="K93" s="181" t="s">
        <v>1348</v>
      </c>
      <c r="L93" s="181" t="s">
        <v>17</v>
      </c>
      <c r="M93" s="181">
        <v>7</v>
      </c>
      <c r="N93" s="181" t="s">
        <v>462</v>
      </c>
      <c r="O93" s="181" t="s">
        <v>606</v>
      </c>
      <c r="P93" s="181" t="s">
        <v>1349</v>
      </c>
      <c r="Q93" s="181" t="s">
        <v>1055</v>
      </c>
      <c r="R93" s="181" t="s">
        <v>1350</v>
      </c>
      <c r="S93" s="181" t="s">
        <v>1351</v>
      </c>
      <c r="T93" s="181" t="s">
        <v>1352</v>
      </c>
      <c r="U93" s="182">
        <v>46264.813194444447</v>
      </c>
      <c r="V93" s="181" t="s">
        <v>469</v>
      </c>
      <c r="W93" s="181" t="s">
        <v>470</v>
      </c>
      <c r="X93" s="181" t="s">
        <v>471</v>
      </c>
      <c r="Y93" s="181" t="s">
        <v>1353</v>
      </c>
      <c r="Z93" s="181" t="s">
        <v>731</v>
      </c>
      <c r="AA93" s="181" t="s">
        <v>1354</v>
      </c>
      <c r="AB93" s="181" t="s">
        <v>1355</v>
      </c>
      <c r="AC93" s="181" t="s">
        <v>546</v>
      </c>
      <c r="AD93" s="181">
        <v>800863895</v>
      </c>
      <c r="AE93" s="181">
        <v>1457695488</v>
      </c>
      <c r="AF93" s="181">
        <v>1457970832</v>
      </c>
      <c r="AG93" s="181"/>
      <c r="AH93" s="181" t="s">
        <v>1076</v>
      </c>
      <c r="AI93" s="181" t="s">
        <v>267</v>
      </c>
      <c r="AJ93" s="181" t="s">
        <v>481</v>
      </c>
      <c r="AK93" s="181" t="s">
        <v>1356</v>
      </c>
      <c r="AL93" s="181">
        <v>14751.24</v>
      </c>
      <c r="AM93" s="181"/>
      <c r="AN93" s="181"/>
      <c r="AO93" s="181">
        <v>498</v>
      </c>
      <c r="AP93" s="181" t="s">
        <v>485</v>
      </c>
      <c r="AQ93" s="181" t="s">
        <v>1357</v>
      </c>
      <c r="AR93" s="183">
        <v>46265</v>
      </c>
      <c r="AS93" s="181" t="s">
        <v>267</v>
      </c>
      <c r="AT93" s="181" t="s">
        <v>516</v>
      </c>
      <c r="AU93" s="181"/>
      <c r="AV93" s="181" t="s">
        <v>1358</v>
      </c>
      <c r="AW93" s="181"/>
      <c r="AX93" s="181"/>
      <c r="AY93" s="181"/>
      <c r="AZ93" s="181"/>
      <c r="BA93" s="181"/>
      <c r="BB93" s="181"/>
      <c r="BC93" s="181"/>
      <c r="BD93" s="181" t="s">
        <v>267</v>
      </c>
      <c r="BE93" s="181">
        <v>32</v>
      </c>
      <c r="BF93" s="181"/>
      <c r="BG93" s="181"/>
      <c r="BH93" s="181" t="s">
        <v>491</v>
      </c>
      <c r="BI93" s="181">
        <v>372840173</v>
      </c>
      <c r="BJ93" s="181"/>
      <c r="BK93" s="181"/>
      <c r="BL93" s="181"/>
      <c r="BM93" s="181"/>
      <c r="BN93" s="181"/>
      <c r="BO93" s="181"/>
      <c r="BP93" s="181"/>
      <c r="BQ93" s="181"/>
      <c r="BR93" s="181"/>
      <c r="BS93" s="181"/>
      <c r="BT93" s="181"/>
      <c r="BU93" s="181"/>
      <c r="BV93" s="181"/>
      <c r="BW93" s="181"/>
      <c r="BX93" s="181"/>
      <c r="BY93" s="181"/>
      <c r="BZ93" s="181"/>
      <c r="CA93" s="190">
        <v>46285.666666666701</v>
      </c>
      <c r="CB93" s="3"/>
      <c r="CC93" s="16"/>
      <c r="CD93" s="16"/>
      <c r="CE93" s="16"/>
      <c r="CF93" s="16"/>
      <c r="CG93" s="16"/>
      <c r="CH93" s="16"/>
      <c r="CI93" s="16" t="s">
        <v>1359</v>
      </c>
    </row>
    <row r="94" spans="1:87">
      <c r="A94" s="16" t="s">
        <v>5</v>
      </c>
      <c r="B94" s="25" t="s">
        <v>1153</v>
      </c>
      <c r="C94" s="3">
        <v>46272</v>
      </c>
      <c r="D94" s="26" t="s">
        <v>14</v>
      </c>
      <c r="E94" s="180" t="s">
        <v>1360</v>
      </c>
      <c r="F94" s="181">
        <v>2026216380017</v>
      </c>
      <c r="G94" s="181">
        <v>40</v>
      </c>
      <c r="H94" s="181">
        <v>34</v>
      </c>
      <c r="I94" s="181" t="s">
        <v>460</v>
      </c>
      <c r="J94" s="181" t="s">
        <v>1360</v>
      </c>
      <c r="K94" s="181" t="s">
        <v>461</v>
      </c>
      <c r="L94" s="181" t="s">
        <v>17</v>
      </c>
      <c r="M94" s="181">
        <v>12</v>
      </c>
      <c r="N94" s="181" t="s">
        <v>462</v>
      </c>
      <c r="O94" s="181" t="s">
        <v>606</v>
      </c>
      <c r="P94" s="181" t="s">
        <v>1361</v>
      </c>
      <c r="Q94" s="181" t="s">
        <v>465</v>
      </c>
      <c r="R94" s="181" t="s">
        <v>466</v>
      </c>
      <c r="S94" s="181" t="s">
        <v>1362</v>
      </c>
      <c r="T94" s="181" t="s">
        <v>1363</v>
      </c>
      <c r="U94" s="182">
        <v>46260.069444444445</v>
      </c>
      <c r="V94" s="181" t="s">
        <v>469</v>
      </c>
      <c r="W94" s="181" t="s">
        <v>470</v>
      </c>
      <c r="X94" s="181" t="s">
        <v>471</v>
      </c>
      <c r="Y94" s="181" t="s">
        <v>523</v>
      </c>
      <c r="Z94" s="181" t="s">
        <v>544</v>
      </c>
      <c r="AA94" s="181" t="s">
        <v>474</v>
      </c>
      <c r="AB94" s="181" t="s">
        <v>1364</v>
      </c>
      <c r="AC94" s="181" t="s">
        <v>546</v>
      </c>
      <c r="AD94" s="181">
        <v>582078064</v>
      </c>
      <c r="AE94" s="181">
        <v>1891745212</v>
      </c>
      <c r="AF94" s="181">
        <v>1881089050</v>
      </c>
      <c r="AG94" s="181"/>
      <c r="AH94" s="181"/>
      <c r="AI94" s="181" t="s">
        <v>67</v>
      </c>
      <c r="AJ94" s="181" t="s">
        <v>481</v>
      </c>
      <c r="AK94" s="181" t="s">
        <v>1365</v>
      </c>
      <c r="AL94" s="181">
        <v>9777.5</v>
      </c>
      <c r="AM94" s="181"/>
      <c r="AN94" s="181"/>
      <c r="AO94" s="181">
        <v>410</v>
      </c>
      <c r="AP94" s="181" t="s">
        <v>485</v>
      </c>
      <c r="AQ94" s="181" t="s">
        <v>1366</v>
      </c>
      <c r="AR94" s="183">
        <v>46260</v>
      </c>
      <c r="AS94" s="181" t="s">
        <v>67</v>
      </c>
      <c r="AT94" s="181" t="s">
        <v>487</v>
      </c>
      <c r="AU94" s="181"/>
      <c r="AV94" s="181" t="s">
        <v>1367</v>
      </c>
      <c r="AW94" s="181"/>
      <c r="AX94" s="181"/>
      <c r="AY94" s="181"/>
      <c r="AZ94" s="181"/>
      <c r="BA94" s="181"/>
      <c r="BB94" s="181"/>
      <c r="BC94" s="181"/>
      <c r="BD94" s="181" t="s">
        <v>67</v>
      </c>
      <c r="BE94" s="181">
        <v>34</v>
      </c>
      <c r="BF94" s="181"/>
      <c r="BG94" s="181"/>
      <c r="BH94" s="181" t="s">
        <v>491</v>
      </c>
      <c r="BI94" s="181">
        <v>375788349</v>
      </c>
      <c r="BJ94" s="181"/>
      <c r="BK94" s="181"/>
      <c r="BL94" s="181"/>
      <c r="BM94" s="181"/>
      <c r="BN94" s="181"/>
      <c r="BO94" s="181"/>
      <c r="BP94" s="181"/>
      <c r="BQ94" s="181"/>
      <c r="BR94" s="181"/>
      <c r="BS94" s="181"/>
      <c r="BT94" s="181"/>
      <c r="BU94" s="181"/>
      <c r="BV94" s="181"/>
      <c r="BW94" s="181"/>
      <c r="BX94" s="181"/>
      <c r="BY94" s="181"/>
      <c r="BZ94" s="181"/>
      <c r="CA94" s="190">
        <v>46282.166666666701</v>
      </c>
      <c r="CB94" s="3"/>
      <c r="CC94" s="16"/>
      <c r="CD94" s="16"/>
      <c r="CE94" s="16"/>
      <c r="CF94" s="16"/>
      <c r="CG94" s="16"/>
      <c r="CH94" s="16"/>
      <c r="CI94" s="16" t="s">
        <v>1368</v>
      </c>
    </row>
    <row r="95" spans="1:87">
      <c r="A95" s="16" t="s">
        <v>5</v>
      </c>
      <c r="B95" s="16" t="s">
        <v>1369</v>
      </c>
      <c r="C95" s="3">
        <v>46272</v>
      </c>
      <c r="D95" s="26" t="s">
        <v>14</v>
      </c>
      <c r="E95" s="180" t="s">
        <v>1370</v>
      </c>
      <c r="F95" s="181">
        <v>2026216380095</v>
      </c>
      <c r="G95" s="181">
        <v>40</v>
      </c>
      <c r="H95" s="181">
        <v>35</v>
      </c>
      <c r="I95" s="181" t="s">
        <v>460</v>
      </c>
      <c r="J95" s="181" t="s">
        <v>1370</v>
      </c>
      <c r="K95" s="181" t="s">
        <v>1371</v>
      </c>
      <c r="L95" s="181" t="s">
        <v>17</v>
      </c>
      <c r="M95" s="181">
        <v>12</v>
      </c>
      <c r="N95" s="181" t="s">
        <v>462</v>
      </c>
      <c r="O95" s="181" t="s">
        <v>606</v>
      </c>
      <c r="P95" s="181" t="s">
        <v>1372</v>
      </c>
      <c r="Q95" s="181" t="s">
        <v>465</v>
      </c>
      <c r="R95" s="181" t="s">
        <v>466</v>
      </c>
      <c r="S95" s="181" t="s">
        <v>1373</v>
      </c>
      <c r="T95" s="181" t="s">
        <v>1374</v>
      </c>
      <c r="U95" s="182">
        <v>46259.951388888891</v>
      </c>
      <c r="V95" s="181" t="s">
        <v>469</v>
      </c>
      <c r="W95" s="181" t="s">
        <v>568</v>
      </c>
      <c r="X95" s="181" t="s">
        <v>471</v>
      </c>
      <c r="Y95" s="181" t="s">
        <v>628</v>
      </c>
      <c r="Z95" s="181" t="s">
        <v>524</v>
      </c>
      <c r="AA95" s="181" t="s">
        <v>474</v>
      </c>
      <c r="AB95" s="181" t="s">
        <v>1375</v>
      </c>
      <c r="AC95" s="181" t="s">
        <v>526</v>
      </c>
      <c r="AD95" s="181">
        <v>310588183</v>
      </c>
      <c r="AE95" s="181">
        <v>1013942101</v>
      </c>
      <c r="AF95" s="181">
        <v>1104040732</v>
      </c>
      <c r="AG95" s="181"/>
      <c r="AH95" s="181"/>
      <c r="AI95" s="181" t="s">
        <v>164</v>
      </c>
      <c r="AJ95" s="181" t="s">
        <v>481</v>
      </c>
      <c r="AK95" s="181" t="s">
        <v>1376</v>
      </c>
      <c r="AL95" s="181">
        <v>27938</v>
      </c>
      <c r="AM95" s="181"/>
      <c r="AN95" s="181"/>
      <c r="AO95" s="181">
        <v>417</v>
      </c>
      <c r="AP95" s="181" t="s">
        <v>485</v>
      </c>
      <c r="AQ95" s="181" t="s">
        <v>1377</v>
      </c>
      <c r="AR95" s="183">
        <v>46260</v>
      </c>
      <c r="AS95" s="181" t="s">
        <v>164</v>
      </c>
      <c r="AT95" s="181" t="s">
        <v>516</v>
      </c>
      <c r="AU95" s="181"/>
      <c r="AV95" s="181" t="s">
        <v>1378</v>
      </c>
      <c r="AW95" s="181"/>
      <c r="AX95" s="181"/>
      <c r="AY95" s="181"/>
      <c r="AZ95" s="181"/>
      <c r="BA95" s="181"/>
      <c r="BB95" s="181"/>
      <c r="BC95" s="181"/>
      <c r="BD95" s="181" t="s">
        <v>164</v>
      </c>
      <c r="BE95" s="181">
        <v>34</v>
      </c>
      <c r="BF95" s="181"/>
      <c r="BG95" s="181"/>
      <c r="BH95" s="181" t="s">
        <v>491</v>
      </c>
      <c r="BI95" s="181">
        <v>286803138</v>
      </c>
      <c r="BJ95" s="181"/>
      <c r="BK95" s="181"/>
      <c r="BL95" s="181"/>
      <c r="BM95" s="181"/>
      <c r="BN95" s="181"/>
      <c r="BO95" s="181"/>
      <c r="BP95" s="181"/>
      <c r="BQ95" s="181"/>
      <c r="BR95" s="181"/>
      <c r="BS95" s="181"/>
      <c r="BT95" s="181"/>
      <c r="BU95" s="181"/>
      <c r="BV95" s="181"/>
      <c r="BW95" s="181"/>
      <c r="BX95" s="181"/>
      <c r="BY95" s="181"/>
      <c r="BZ95" s="181"/>
      <c r="CA95" s="190">
        <v>46280.666666666701</v>
      </c>
      <c r="CB95" s="3"/>
      <c r="CC95" s="16"/>
      <c r="CD95" s="16"/>
      <c r="CE95" s="16"/>
      <c r="CF95" s="16"/>
      <c r="CG95" s="16"/>
      <c r="CH95" s="16"/>
      <c r="CI95" s="16" t="s">
        <v>1379</v>
      </c>
    </row>
    <row r="96" spans="1:87">
      <c r="A96" s="16" t="s">
        <v>5</v>
      </c>
      <c r="B96" s="16"/>
      <c r="C96" s="3">
        <v>46272</v>
      </c>
      <c r="D96" s="26" t="s">
        <v>14</v>
      </c>
      <c r="E96" s="180" t="s">
        <v>1380</v>
      </c>
      <c r="F96" s="181">
        <v>2026211170223</v>
      </c>
      <c r="G96" s="181">
        <v>40</v>
      </c>
      <c r="H96" s="181">
        <v>39</v>
      </c>
      <c r="I96" s="181" t="s">
        <v>460</v>
      </c>
      <c r="J96" s="181" t="s">
        <v>1380</v>
      </c>
      <c r="K96" s="181" t="s">
        <v>1252</v>
      </c>
      <c r="L96" s="181" t="s">
        <v>17</v>
      </c>
      <c r="M96" s="181">
        <v>14</v>
      </c>
      <c r="N96" s="181" t="s">
        <v>462</v>
      </c>
      <c r="O96" s="181" t="s">
        <v>606</v>
      </c>
      <c r="P96" s="181" t="s">
        <v>1381</v>
      </c>
      <c r="Q96" s="181" t="s">
        <v>465</v>
      </c>
      <c r="R96" s="181" t="s">
        <v>466</v>
      </c>
      <c r="S96" s="181" t="s">
        <v>1382</v>
      </c>
      <c r="T96" s="181" t="s">
        <v>1374</v>
      </c>
      <c r="U96" s="182">
        <v>46257.814583333333</v>
      </c>
      <c r="V96" s="181" t="s">
        <v>469</v>
      </c>
      <c r="W96" s="181" t="s">
        <v>568</v>
      </c>
      <c r="X96" s="181" t="s">
        <v>471</v>
      </c>
      <c r="Y96" s="181" t="s">
        <v>628</v>
      </c>
      <c r="Z96" s="181" t="s">
        <v>524</v>
      </c>
      <c r="AA96" s="181" t="s">
        <v>474</v>
      </c>
      <c r="AB96" s="181" t="s">
        <v>1383</v>
      </c>
      <c r="AC96" s="181" t="s">
        <v>526</v>
      </c>
      <c r="AD96" s="181">
        <v>272649285</v>
      </c>
      <c r="AE96" s="181">
        <v>1629387865</v>
      </c>
      <c r="AF96" s="181">
        <v>1730187469</v>
      </c>
      <c r="AG96" s="181"/>
      <c r="AH96" s="181"/>
      <c r="AI96" s="181" t="s">
        <v>154</v>
      </c>
      <c r="AJ96" s="181" t="s">
        <v>481</v>
      </c>
      <c r="AK96" s="181" t="s">
        <v>1384</v>
      </c>
      <c r="AL96" s="181">
        <v>15917</v>
      </c>
      <c r="AM96" s="181"/>
      <c r="AN96" s="181"/>
      <c r="AO96" s="181">
        <v>743</v>
      </c>
      <c r="AP96" s="181" t="s">
        <v>485</v>
      </c>
      <c r="AQ96" s="181" t="s">
        <v>1385</v>
      </c>
      <c r="AR96" s="183">
        <v>46258</v>
      </c>
      <c r="AS96" s="181" t="s">
        <v>154</v>
      </c>
      <c r="AT96" s="181" t="s">
        <v>1386</v>
      </c>
      <c r="AU96" s="181"/>
      <c r="AV96" s="181" t="s">
        <v>1387</v>
      </c>
      <c r="AW96" s="181"/>
      <c r="AX96" s="181"/>
      <c r="AY96" s="181"/>
      <c r="AZ96" s="181"/>
      <c r="BA96" s="181"/>
      <c r="BB96" s="181"/>
      <c r="BC96" s="181"/>
      <c r="BD96" s="181" t="s">
        <v>154</v>
      </c>
      <c r="BE96" s="181">
        <v>39</v>
      </c>
      <c r="BF96" s="181"/>
      <c r="BG96" s="181"/>
      <c r="BH96" s="181" t="s">
        <v>491</v>
      </c>
      <c r="BI96" s="181">
        <v>275645205</v>
      </c>
      <c r="BJ96" s="181"/>
      <c r="BK96" s="181"/>
      <c r="BL96" s="181"/>
      <c r="BM96" s="181"/>
      <c r="BN96" s="181"/>
      <c r="BO96" s="181"/>
      <c r="BP96" s="181"/>
      <c r="BQ96" s="181"/>
      <c r="BR96" s="181"/>
      <c r="BS96" s="181"/>
      <c r="BT96" s="181"/>
      <c r="BU96" s="181"/>
      <c r="BV96" s="181"/>
      <c r="BW96" s="181"/>
      <c r="BX96" s="181"/>
      <c r="BY96" s="181"/>
      <c r="BZ96" s="181"/>
      <c r="CA96" s="190" t="s">
        <v>514</v>
      </c>
      <c r="CB96" s="3"/>
      <c r="CC96" s="16"/>
      <c r="CD96" s="16"/>
      <c r="CE96" s="16"/>
      <c r="CF96" s="16"/>
      <c r="CG96" s="16"/>
      <c r="CH96" s="16"/>
      <c r="CI96" s="193" t="s">
        <v>1388</v>
      </c>
    </row>
    <row r="97" spans="1:87">
      <c r="A97" s="16" t="s">
        <v>5</v>
      </c>
      <c r="B97" s="16"/>
      <c r="C97" s="3">
        <v>46272</v>
      </c>
      <c r="D97" s="26" t="s">
        <v>14</v>
      </c>
      <c r="E97" s="180" t="s">
        <v>1389</v>
      </c>
      <c r="F97" s="181">
        <v>2026218400496</v>
      </c>
      <c r="G97" s="181">
        <v>40</v>
      </c>
      <c r="H97" s="181">
        <v>32</v>
      </c>
      <c r="I97" s="181" t="s">
        <v>460</v>
      </c>
      <c r="J97" s="181" t="s">
        <v>1389</v>
      </c>
      <c r="K97" s="181" t="s">
        <v>1252</v>
      </c>
      <c r="L97" s="181" t="s">
        <v>17</v>
      </c>
      <c r="M97" s="181">
        <v>7</v>
      </c>
      <c r="N97" s="181" t="s">
        <v>462</v>
      </c>
      <c r="O97" s="181" t="s">
        <v>606</v>
      </c>
      <c r="P97" s="181" t="s">
        <v>1390</v>
      </c>
      <c r="Q97" s="181" t="s">
        <v>465</v>
      </c>
      <c r="R97" s="181" t="s">
        <v>466</v>
      </c>
      <c r="S97" s="181" t="s">
        <v>1391</v>
      </c>
      <c r="T97" s="181" t="s">
        <v>1392</v>
      </c>
      <c r="U97" s="182">
        <v>46264.827777777777</v>
      </c>
      <c r="V97" s="181" t="s">
        <v>469</v>
      </c>
      <c r="W97" s="181" t="s">
        <v>470</v>
      </c>
      <c r="X97" s="181" t="s">
        <v>471</v>
      </c>
      <c r="Y97" s="181" t="s">
        <v>628</v>
      </c>
      <c r="Z97" s="181" t="s">
        <v>473</v>
      </c>
      <c r="AA97" s="181" t="s">
        <v>474</v>
      </c>
      <c r="AB97" s="181" t="s">
        <v>1393</v>
      </c>
      <c r="AC97" s="181" t="s">
        <v>476</v>
      </c>
      <c r="AD97" s="181">
        <v>390806261</v>
      </c>
      <c r="AE97" s="181">
        <v>1699720086</v>
      </c>
      <c r="AF97" s="181">
        <v>1548453939</v>
      </c>
      <c r="AG97" s="181"/>
      <c r="AH97" s="181"/>
      <c r="AI97" s="181" t="s">
        <v>154</v>
      </c>
      <c r="AJ97" s="181" t="s">
        <v>481</v>
      </c>
      <c r="AK97" s="181" t="s">
        <v>1394</v>
      </c>
      <c r="AL97" s="181">
        <v>11418</v>
      </c>
      <c r="AM97" s="181"/>
      <c r="AN97" s="181"/>
      <c r="AO97" s="181">
        <v>575</v>
      </c>
      <c r="AP97" s="181" t="s">
        <v>485</v>
      </c>
      <c r="AQ97" s="181" t="s">
        <v>1395</v>
      </c>
      <c r="AR97" s="183">
        <v>46265</v>
      </c>
      <c r="AS97" s="181" t="s">
        <v>154</v>
      </c>
      <c r="AT97" s="181" t="s">
        <v>516</v>
      </c>
      <c r="AU97" s="181"/>
      <c r="AV97" s="181" t="s">
        <v>1396</v>
      </c>
      <c r="AW97" s="181"/>
      <c r="AX97" s="181"/>
      <c r="AY97" s="181"/>
      <c r="AZ97" s="181"/>
      <c r="BA97" s="181"/>
      <c r="BB97" s="181"/>
      <c r="BC97" s="181"/>
      <c r="BD97" s="181" t="s">
        <v>154</v>
      </c>
      <c r="BE97" s="181">
        <v>32</v>
      </c>
      <c r="BF97" s="181"/>
      <c r="BG97" s="181"/>
      <c r="BH97" s="181" t="s">
        <v>491</v>
      </c>
      <c r="BI97" s="181">
        <v>381441512</v>
      </c>
      <c r="BJ97" s="181"/>
      <c r="BK97" s="181"/>
      <c r="BL97" s="181"/>
      <c r="BM97" s="181"/>
      <c r="BN97" s="181"/>
      <c r="BO97" s="181"/>
      <c r="BP97" s="181"/>
      <c r="BQ97" s="181"/>
      <c r="BR97" s="181"/>
      <c r="BS97" s="181"/>
      <c r="BT97" s="181"/>
      <c r="BU97" s="181"/>
      <c r="BV97" s="181"/>
      <c r="BW97" s="181"/>
      <c r="BX97" s="181"/>
      <c r="BY97" s="181"/>
      <c r="BZ97" s="181"/>
      <c r="CA97" s="190" t="s">
        <v>514</v>
      </c>
      <c r="CB97" s="3"/>
      <c r="CC97" s="16"/>
      <c r="CD97" s="16"/>
      <c r="CE97" s="16"/>
      <c r="CF97" s="16"/>
      <c r="CG97" s="16"/>
      <c r="CH97" s="16"/>
      <c r="CI97" s="16" t="s">
        <v>1397</v>
      </c>
    </row>
    <row r="98" spans="1:87">
      <c r="A98" s="16"/>
      <c r="B98" s="16"/>
      <c r="C98" s="3">
        <v>46272</v>
      </c>
      <c r="D98" s="26" t="s">
        <v>14</v>
      </c>
      <c r="E98" s="180" t="s">
        <v>1398</v>
      </c>
      <c r="F98" s="181">
        <v>2026205970326</v>
      </c>
      <c r="G98" s="181">
        <v>40</v>
      </c>
      <c r="H98" s="181">
        <v>45</v>
      </c>
      <c r="I98" s="181" t="s">
        <v>460</v>
      </c>
      <c r="J98" s="181" t="s">
        <v>1398</v>
      </c>
      <c r="K98" s="181" t="s">
        <v>1083</v>
      </c>
      <c r="L98" s="181" t="s">
        <v>17</v>
      </c>
      <c r="M98" s="181">
        <v>19</v>
      </c>
      <c r="N98" s="181" t="s">
        <v>462</v>
      </c>
      <c r="O98" s="181" t="s">
        <v>606</v>
      </c>
      <c r="P98" s="181" t="s">
        <v>1399</v>
      </c>
      <c r="Q98" s="181" t="s">
        <v>465</v>
      </c>
      <c r="R98" s="181" t="s">
        <v>466</v>
      </c>
      <c r="S98" s="181" t="s">
        <v>1400</v>
      </c>
      <c r="T98" s="181" t="s">
        <v>1401</v>
      </c>
      <c r="U98" s="182">
        <v>46252.749305555553</v>
      </c>
      <c r="V98" s="181" t="s">
        <v>469</v>
      </c>
      <c r="W98" s="181" t="s">
        <v>470</v>
      </c>
      <c r="X98" s="181" t="s">
        <v>471</v>
      </c>
      <c r="Y98" s="181" t="s">
        <v>628</v>
      </c>
      <c r="Z98" s="181" t="s">
        <v>473</v>
      </c>
      <c r="AA98" s="181" t="s">
        <v>474</v>
      </c>
      <c r="AB98" s="181" t="s">
        <v>1402</v>
      </c>
      <c r="AC98" s="181" t="s">
        <v>476</v>
      </c>
      <c r="AD98" s="181">
        <v>390816848</v>
      </c>
      <c r="AE98" s="181">
        <v>1598718603</v>
      </c>
      <c r="AF98" s="181">
        <v>1841758109</v>
      </c>
      <c r="AG98" s="181"/>
      <c r="AH98" s="181"/>
      <c r="AI98" s="181" t="s">
        <v>48</v>
      </c>
      <c r="AJ98" s="181" t="s">
        <v>481</v>
      </c>
      <c r="AK98" s="181" t="s">
        <v>1403</v>
      </c>
      <c r="AL98" s="181">
        <v>17200.66</v>
      </c>
      <c r="AM98" s="181"/>
      <c r="AN98" s="181"/>
      <c r="AO98" s="181">
        <v>833</v>
      </c>
      <c r="AP98" s="181" t="s">
        <v>485</v>
      </c>
      <c r="AQ98" s="181" t="s">
        <v>1404</v>
      </c>
      <c r="AR98" s="183">
        <v>46253</v>
      </c>
      <c r="AS98" s="181" t="s">
        <v>48</v>
      </c>
      <c r="AT98" s="181" t="s">
        <v>1214</v>
      </c>
      <c r="AU98" s="181"/>
      <c r="AV98" s="181" t="s">
        <v>1405</v>
      </c>
      <c r="AW98" s="181"/>
      <c r="AX98" s="181"/>
      <c r="AY98" s="181"/>
      <c r="AZ98" s="181"/>
      <c r="BA98" s="181"/>
      <c r="BB98" s="181"/>
      <c r="BC98" s="181"/>
      <c r="BD98" s="181" t="s">
        <v>48</v>
      </c>
      <c r="BE98" s="181">
        <v>40</v>
      </c>
      <c r="BF98" s="181"/>
      <c r="BG98" s="181"/>
      <c r="BH98" s="181" t="s">
        <v>491</v>
      </c>
      <c r="BI98" s="181">
        <v>635323143</v>
      </c>
      <c r="BJ98" s="181"/>
      <c r="BK98" s="181"/>
      <c r="BL98" s="181"/>
      <c r="BM98" s="181"/>
      <c r="BN98" s="181"/>
      <c r="BO98" s="181"/>
      <c r="BP98" s="181"/>
      <c r="BQ98" s="181"/>
      <c r="BR98" s="181"/>
      <c r="BS98" s="181"/>
      <c r="BT98" s="181"/>
      <c r="BU98" s="181"/>
      <c r="BV98" s="181"/>
      <c r="BW98" s="181"/>
      <c r="BX98" s="181"/>
      <c r="BY98" s="181"/>
      <c r="BZ98" s="181"/>
      <c r="CA98" s="190"/>
      <c r="CB98" s="3"/>
      <c r="CC98" s="16"/>
      <c r="CD98" s="16"/>
      <c r="CE98" s="16"/>
      <c r="CF98" s="16"/>
      <c r="CG98" s="16"/>
      <c r="CH98" s="16"/>
      <c r="CI98" s="16" t="s">
        <v>1406</v>
      </c>
    </row>
    <row r="99" spans="1:87">
      <c r="A99" s="16"/>
      <c r="B99" s="16"/>
      <c r="C99" s="3">
        <v>46272</v>
      </c>
      <c r="D99" s="26" t="s">
        <v>14</v>
      </c>
      <c r="E99" s="180" t="s">
        <v>1407</v>
      </c>
      <c r="F99" s="181">
        <v>2026215770573</v>
      </c>
      <c r="G99" s="181">
        <v>40</v>
      </c>
      <c r="H99" s="181">
        <v>35</v>
      </c>
      <c r="I99" s="181" t="s">
        <v>460</v>
      </c>
      <c r="J99" s="181" t="s">
        <v>1407</v>
      </c>
      <c r="K99" s="181" t="s">
        <v>1040</v>
      </c>
      <c r="L99" s="181" t="s">
        <v>17</v>
      </c>
      <c r="M99" s="181">
        <v>12</v>
      </c>
      <c r="N99" s="181" t="s">
        <v>462</v>
      </c>
      <c r="O99" s="181" t="s">
        <v>606</v>
      </c>
      <c r="P99" s="181" t="s">
        <v>1408</v>
      </c>
      <c r="Q99" s="181" t="s">
        <v>465</v>
      </c>
      <c r="R99" s="181" t="s">
        <v>466</v>
      </c>
      <c r="S99" s="181" t="s">
        <v>1409</v>
      </c>
      <c r="T99" s="181" t="s">
        <v>1410</v>
      </c>
      <c r="U99" s="182">
        <v>46259.902083333334</v>
      </c>
      <c r="V99" s="181" t="s">
        <v>469</v>
      </c>
      <c r="W99" s="181" t="s">
        <v>568</v>
      </c>
      <c r="X99" s="181" t="s">
        <v>471</v>
      </c>
      <c r="Y99" s="181" t="s">
        <v>628</v>
      </c>
      <c r="Z99" s="181" t="s">
        <v>1292</v>
      </c>
      <c r="AA99" s="181" t="s">
        <v>474</v>
      </c>
      <c r="AB99" s="181" t="s">
        <v>1411</v>
      </c>
      <c r="AC99" s="181" t="s">
        <v>1294</v>
      </c>
      <c r="AD99" s="181">
        <v>610703799</v>
      </c>
      <c r="AE99" s="181">
        <v>1831195908</v>
      </c>
      <c r="AF99" s="181"/>
      <c r="AG99" s="181"/>
      <c r="AH99" s="181"/>
      <c r="AI99" s="181" t="s">
        <v>173</v>
      </c>
      <c r="AJ99" s="181" t="s">
        <v>481</v>
      </c>
      <c r="AK99" s="181" t="s">
        <v>1412</v>
      </c>
      <c r="AL99" s="181">
        <v>124047.14</v>
      </c>
      <c r="AM99" s="181"/>
      <c r="AN99" s="181"/>
      <c r="AO99" s="181">
        <v>300</v>
      </c>
      <c r="AP99" s="181" t="s">
        <v>485</v>
      </c>
      <c r="AQ99" s="181" t="s">
        <v>1413</v>
      </c>
      <c r="AR99" s="183">
        <v>46260</v>
      </c>
      <c r="AS99" s="181" t="s">
        <v>173</v>
      </c>
      <c r="AT99" s="181" t="s">
        <v>1047</v>
      </c>
      <c r="AU99" s="181"/>
      <c r="AV99" s="181" t="s">
        <v>1414</v>
      </c>
      <c r="AW99" s="181"/>
      <c r="AX99" s="181"/>
      <c r="AY99" s="181"/>
      <c r="AZ99" s="181"/>
      <c r="BA99" s="181"/>
      <c r="BB99" s="181"/>
      <c r="BC99" s="181"/>
      <c r="BD99" s="181" t="s">
        <v>173</v>
      </c>
      <c r="BE99" s="181">
        <v>35</v>
      </c>
      <c r="BF99" s="181"/>
      <c r="BG99" s="181"/>
      <c r="BH99" s="181" t="s">
        <v>491</v>
      </c>
      <c r="BI99" s="181">
        <v>405024345</v>
      </c>
      <c r="BJ99" s="181"/>
      <c r="BK99" s="181"/>
      <c r="BL99" s="181"/>
      <c r="BM99" s="181"/>
      <c r="BN99" s="181"/>
      <c r="BO99" s="181"/>
      <c r="BP99" s="181"/>
      <c r="BQ99" s="181"/>
      <c r="BR99" s="181"/>
      <c r="BS99" s="181"/>
      <c r="BT99" s="181"/>
      <c r="BU99" s="181"/>
      <c r="BV99" s="181"/>
      <c r="BW99" s="181"/>
      <c r="BX99" s="181"/>
      <c r="BY99" s="181"/>
      <c r="BZ99" s="181"/>
      <c r="CA99" s="190"/>
      <c r="CB99" s="3"/>
      <c r="CC99" s="16"/>
      <c r="CD99" s="16"/>
      <c r="CE99" s="16"/>
      <c r="CF99" s="16"/>
      <c r="CG99" s="16"/>
      <c r="CH99" s="16"/>
      <c r="CI99" s="16" t="s">
        <v>1415</v>
      </c>
    </row>
    <row r="100" spans="1:87">
      <c r="A100" s="16" t="s">
        <v>5</v>
      </c>
      <c r="B100" s="16" t="s">
        <v>516</v>
      </c>
      <c r="C100" s="3">
        <v>46272</v>
      </c>
      <c r="D100" s="26" t="s">
        <v>14</v>
      </c>
      <c r="E100" s="180" t="s">
        <v>1416</v>
      </c>
      <c r="F100" s="181">
        <v>2026210860174</v>
      </c>
      <c r="G100" s="181">
        <v>40</v>
      </c>
      <c r="H100" s="181">
        <v>40</v>
      </c>
      <c r="I100" s="181" t="s">
        <v>460</v>
      </c>
      <c r="J100" s="181" t="s">
        <v>1416</v>
      </c>
      <c r="K100" s="181" t="s">
        <v>518</v>
      </c>
      <c r="L100" s="181" t="s">
        <v>17</v>
      </c>
      <c r="M100" s="181">
        <v>17</v>
      </c>
      <c r="N100" s="181" t="s">
        <v>462</v>
      </c>
      <c r="O100" s="181" t="s">
        <v>606</v>
      </c>
      <c r="P100" s="181">
        <v>972186360</v>
      </c>
      <c r="Q100" s="181" t="s">
        <v>465</v>
      </c>
      <c r="R100" s="181" t="s">
        <v>466</v>
      </c>
      <c r="S100" s="181" t="s">
        <v>1417</v>
      </c>
      <c r="T100" s="181" t="s">
        <v>1418</v>
      </c>
      <c r="U100" s="182">
        <v>46254.768750000003</v>
      </c>
      <c r="V100" s="181" t="s">
        <v>469</v>
      </c>
      <c r="W100" s="181" t="s">
        <v>589</v>
      </c>
      <c r="X100" s="181" t="s">
        <v>471</v>
      </c>
      <c r="Y100" s="181" t="s">
        <v>523</v>
      </c>
      <c r="Z100" s="181" t="s">
        <v>612</v>
      </c>
      <c r="AA100" s="181" t="s">
        <v>474</v>
      </c>
      <c r="AB100" s="181" t="s">
        <v>1419</v>
      </c>
      <c r="AC100" s="181" t="s">
        <v>614</v>
      </c>
      <c r="AD100" s="181">
        <v>222519596</v>
      </c>
      <c r="AE100" s="181">
        <v>1548210198</v>
      </c>
      <c r="AF100" s="181">
        <v>1457525701</v>
      </c>
      <c r="AG100" s="181"/>
      <c r="AH100" s="181"/>
      <c r="AI100" s="181" t="s">
        <v>87</v>
      </c>
      <c r="AJ100" s="181" t="s">
        <v>481</v>
      </c>
      <c r="AK100" s="181" t="s">
        <v>1420</v>
      </c>
      <c r="AL100" s="181">
        <v>19365</v>
      </c>
      <c r="AM100" s="181"/>
      <c r="AN100" s="181"/>
      <c r="AO100" s="181">
        <v>972</v>
      </c>
      <c r="AP100" s="181" t="s">
        <v>485</v>
      </c>
      <c r="AQ100" s="181" t="s">
        <v>1421</v>
      </c>
      <c r="AR100" s="183">
        <v>46255</v>
      </c>
      <c r="AS100" s="181" t="s">
        <v>87</v>
      </c>
      <c r="AT100" s="181" t="s">
        <v>1248</v>
      </c>
      <c r="AU100" s="181"/>
      <c r="AV100" s="181" t="s">
        <v>1422</v>
      </c>
      <c r="AW100" s="181"/>
      <c r="AX100" s="181"/>
      <c r="AY100" s="181"/>
      <c r="AZ100" s="181"/>
      <c r="BA100" s="181"/>
      <c r="BB100" s="181"/>
      <c r="BC100" s="181"/>
      <c r="BD100" s="181" t="s">
        <v>87</v>
      </c>
      <c r="BE100" s="181">
        <v>40</v>
      </c>
      <c r="BF100" s="181"/>
      <c r="BG100" s="181" t="s">
        <v>490</v>
      </c>
      <c r="BH100" s="181" t="s">
        <v>491</v>
      </c>
      <c r="BI100" s="181">
        <v>2645886</v>
      </c>
      <c r="BJ100" s="181"/>
      <c r="BK100" s="181"/>
      <c r="BL100" s="181"/>
      <c r="BM100" s="181"/>
      <c r="BN100" s="181"/>
      <c r="BO100" s="181"/>
      <c r="BP100" s="181"/>
      <c r="BQ100" s="181"/>
      <c r="BR100" s="181"/>
      <c r="BS100" s="181"/>
      <c r="BT100" s="181"/>
      <c r="BU100" s="181"/>
      <c r="BV100" s="181"/>
      <c r="BW100" s="181"/>
      <c r="BX100" s="181"/>
      <c r="BY100" s="181"/>
      <c r="BZ100" s="181"/>
      <c r="CA100" s="190">
        <v>46274.666666666701</v>
      </c>
      <c r="CB100" s="3"/>
      <c r="CC100" s="16"/>
      <c r="CD100" s="16"/>
      <c r="CE100" s="16"/>
      <c r="CF100" s="16"/>
      <c r="CG100" s="16"/>
      <c r="CH100" s="16"/>
      <c r="CI100" s="16" t="s">
        <v>1423</v>
      </c>
    </row>
    <row r="101" spans="1:87">
      <c r="A101" s="16" t="s">
        <v>5</v>
      </c>
      <c r="B101" s="16" t="s">
        <v>606</v>
      </c>
      <c r="C101" s="3">
        <v>46272</v>
      </c>
      <c r="D101" s="26" t="s">
        <v>14</v>
      </c>
      <c r="E101" s="180" t="s">
        <v>1424</v>
      </c>
      <c r="F101" s="181">
        <v>2026216340385</v>
      </c>
      <c r="G101" s="181">
        <v>40</v>
      </c>
      <c r="H101" s="181">
        <v>34</v>
      </c>
      <c r="I101" s="181" t="s">
        <v>460</v>
      </c>
      <c r="J101" s="181" t="s">
        <v>1424</v>
      </c>
      <c r="K101" s="181" t="s">
        <v>741</v>
      </c>
      <c r="L101" s="181" t="s">
        <v>13</v>
      </c>
      <c r="M101" s="181">
        <v>8</v>
      </c>
      <c r="N101" s="181" t="s">
        <v>462</v>
      </c>
      <c r="O101" s="181" t="s">
        <v>606</v>
      </c>
      <c r="P101" s="181" t="s">
        <v>1425</v>
      </c>
      <c r="Q101" s="181" t="s">
        <v>465</v>
      </c>
      <c r="R101" s="181" t="s">
        <v>466</v>
      </c>
      <c r="S101" s="181" t="s">
        <v>1426</v>
      </c>
      <c r="T101" s="181" t="s">
        <v>1427</v>
      </c>
      <c r="U101" s="182">
        <v>46264.64166666667</v>
      </c>
      <c r="V101" s="181" t="s">
        <v>469</v>
      </c>
      <c r="W101" s="181" t="s">
        <v>470</v>
      </c>
      <c r="X101" s="181" t="s">
        <v>471</v>
      </c>
      <c r="Y101" s="181" t="s">
        <v>628</v>
      </c>
      <c r="Z101" s="181" t="s">
        <v>1338</v>
      </c>
      <c r="AA101" s="181" t="s">
        <v>474</v>
      </c>
      <c r="AB101" s="181" t="s">
        <v>1428</v>
      </c>
      <c r="AC101" s="181" t="s">
        <v>1429</v>
      </c>
      <c r="AD101" s="181">
        <v>371911194</v>
      </c>
      <c r="AE101" s="181">
        <v>1023584216</v>
      </c>
      <c r="AF101" s="181">
        <v>1366591778</v>
      </c>
      <c r="AG101" s="181"/>
      <c r="AH101" s="181"/>
      <c r="AI101" s="181" t="s">
        <v>290</v>
      </c>
      <c r="AJ101" s="181" t="s">
        <v>481</v>
      </c>
      <c r="AK101" s="181" t="s">
        <v>1430</v>
      </c>
      <c r="AL101" s="181">
        <v>5805</v>
      </c>
      <c r="AM101" s="181"/>
      <c r="AN101" s="181"/>
      <c r="AO101" s="181" t="s">
        <v>1431</v>
      </c>
      <c r="AP101" s="181" t="s">
        <v>485</v>
      </c>
      <c r="AQ101" s="181" t="s">
        <v>1432</v>
      </c>
      <c r="AR101" s="183">
        <v>46264</v>
      </c>
      <c r="AS101" s="181" t="s">
        <v>290</v>
      </c>
      <c r="AT101" s="181" t="s">
        <v>516</v>
      </c>
      <c r="AU101" s="181"/>
      <c r="AV101" s="181" t="s">
        <v>1433</v>
      </c>
      <c r="AW101" s="181"/>
      <c r="AX101" s="181"/>
      <c r="AY101" s="181"/>
      <c r="AZ101" s="181"/>
      <c r="BA101" s="181"/>
      <c r="BB101" s="181"/>
      <c r="BC101" s="181"/>
      <c r="BD101" s="181" t="s">
        <v>290</v>
      </c>
      <c r="BE101" s="181">
        <v>34</v>
      </c>
      <c r="BF101" s="181"/>
      <c r="BG101" s="181"/>
      <c r="BH101" s="181" t="s">
        <v>491</v>
      </c>
      <c r="BI101" s="181" t="s">
        <v>1425</v>
      </c>
      <c r="BJ101" s="181"/>
      <c r="BK101" s="181"/>
      <c r="BL101" s="181"/>
      <c r="BM101" s="181"/>
      <c r="BN101" s="181"/>
      <c r="BO101" s="181"/>
      <c r="BP101" s="181"/>
      <c r="BQ101" s="181"/>
      <c r="BR101" s="181"/>
      <c r="BS101" s="181"/>
      <c r="BT101" s="181"/>
      <c r="BU101" s="181"/>
      <c r="BV101" s="181"/>
      <c r="BW101" s="181"/>
      <c r="BX101" s="181"/>
      <c r="BY101" s="181"/>
      <c r="BZ101" s="181"/>
      <c r="CA101" s="190">
        <v>46280.666666666701</v>
      </c>
      <c r="CB101" s="3"/>
      <c r="CC101" s="16"/>
      <c r="CD101" s="16"/>
      <c r="CE101" s="16"/>
      <c r="CF101" s="16"/>
      <c r="CG101" s="16"/>
      <c r="CH101" s="16"/>
      <c r="CI101" s="16" t="s">
        <v>1434</v>
      </c>
    </row>
    <row r="102" spans="1:87">
      <c r="A102" s="16" t="s">
        <v>5</v>
      </c>
      <c r="B102" s="16" t="s">
        <v>516</v>
      </c>
      <c r="C102" s="3">
        <v>46272</v>
      </c>
      <c r="D102" s="26" t="s">
        <v>14</v>
      </c>
      <c r="E102" s="180" t="s">
        <v>1435</v>
      </c>
      <c r="F102" s="181">
        <v>2026216080407</v>
      </c>
      <c r="G102" s="181">
        <v>40</v>
      </c>
      <c r="H102" s="181">
        <v>34</v>
      </c>
      <c r="I102" s="181" t="s">
        <v>460</v>
      </c>
      <c r="J102" s="181" t="s">
        <v>1435</v>
      </c>
      <c r="K102" s="181" t="s">
        <v>1436</v>
      </c>
      <c r="L102" s="181" t="s">
        <v>18</v>
      </c>
      <c r="M102" s="181">
        <v>11</v>
      </c>
      <c r="N102" s="181" t="s">
        <v>462</v>
      </c>
      <c r="O102" s="181" t="s">
        <v>606</v>
      </c>
      <c r="P102" s="181" t="s">
        <v>1425</v>
      </c>
      <c r="Q102" s="181" t="s">
        <v>465</v>
      </c>
      <c r="R102" s="181" t="s">
        <v>466</v>
      </c>
      <c r="S102" s="181" t="s">
        <v>1437</v>
      </c>
      <c r="T102" s="181" t="s">
        <v>1427</v>
      </c>
      <c r="U102" s="182">
        <v>46260.77847222222</v>
      </c>
      <c r="V102" s="181" t="s">
        <v>469</v>
      </c>
      <c r="W102" s="181" t="s">
        <v>470</v>
      </c>
      <c r="X102" s="181" t="s">
        <v>471</v>
      </c>
      <c r="Y102" s="181" t="s">
        <v>628</v>
      </c>
      <c r="Z102" s="181" t="s">
        <v>1338</v>
      </c>
      <c r="AA102" s="181" t="s">
        <v>474</v>
      </c>
      <c r="AB102" s="181" t="s">
        <v>1428</v>
      </c>
      <c r="AC102" s="181" t="s">
        <v>1429</v>
      </c>
      <c r="AD102" s="181">
        <v>371911194</v>
      </c>
      <c r="AE102" s="181">
        <v>1023584216</v>
      </c>
      <c r="AF102" s="181">
        <v>1225224017</v>
      </c>
      <c r="AG102" s="181"/>
      <c r="AH102" s="181"/>
      <c r="AI102" s="181" t="s">
        <v>238</v>
      </c>
      <c r="AJ102" s="181" t="s">
        <v>481</v>
      </c>
      <c r="AK102" s="181" t="s">
        <v>1438</v>
      </c>
      <c r="AL102" s="181">
        <v>5805</v>
      </c>
      <c r="AM102" s="181"/>
      <c r="AN102" s="181"/>
      <c r="AO102" s="181" t="s">
        <v>1431</v>
      </c>
      <c r="AP102" s="181" t="s">
        <v>485</v>
      </c>
      <c r="AQ102" s="181" t="s">
        <v>1439</v>
      </c>
      <c r="AR102" s="183">
        <v>46261</v>
      </c>
      <c r="AS102" s="181" t="s">
        <v>238</v>
      </c>
      <c r="AT102" s="181" t="s">
        <v>516</v>
      </c>
      <c r="AU102" s="181"/>
      <c r="AV102" s="181" t="s">
        <v>1440</v>
      </c>
      <c r="AW102" s="181"/>
      <c r="AX102" s="181"/>
      <c r="AY102" s="181"/>
      <c r="AZ102" s="181"/>
      <c r="BA102" s="181"/>
      <c r="BB102" s="181"/>
      <c r="BC102" s="181"/>
      <c r="BD102" s="181" t="s">
        <v>238</v>
      </c>
      <c r="BE102" s="181">
        <v>34</v>
      </c>
      <c r="BF102" s="181"/>
      <c r="BG102" s="181"/>
      <c r="BH102" s="181" t="s">
        <v>491</v>
      </c>
      <c r="BI102" s="181" t="s">
        <v>1425</v>
      </c>
      <c r="BJ102" s="181"/>
      <c r="BK102" s="181"/>
      <c r="BL102" s="181"/>
      <c r="BM102" s="181"/>
      <c r="BN102" s="181"/>
      <c r="BO102" s="181"/>
      <c r="BP102" s="181"/>
      <c r="BQ102" s="181"/>
      <c r="BR102" s="181"/>
      <c r="BS102" s="181"/>
      <c r="BT102" s="181"/>
      <c r="BU102" s="181"/>
      <c r="BV102" s="181"/>
      <c r="BW102" s="181"/>
      <c r="BX102" s="181"/>
      <c r="BY102" s="181"/>
      <c r="BZ102" s="181"/>
      <c r="CA102" s="190">
        <v>46280.666666666701</v>
      </c>
      <c r="CB102" s="3"/>
      <c r="CC102" s="16"/>
      <c r="CD102" s="16"/>
      <c r="CE102" s="16"/>
      <c r="CF102" s="16"/>
      <c r="CG102" s="16"/>
      <c r="CH102" s="16"/>
      <c r="CI102" s="16" t="s">
        <v>1441</v>
      </c>
    </row>
    <row r="103" spans="1:87">
      <c r="A103" s="16" t="s">
        <v>5</v>
      </c>
      <c r="B103" s="16" t="s">
        <v>1442</v>
      </c>
      <c r="C103" s="3">
        <v>46272</v>
      </c>
      <c r="D103" s="26" t="s">
        <v>14</v>
      </c>
      <c r="E103" s="180" t="s">
        <v>1443</v>
      </c>
      <c r="F103" s="181">
        <v>2026217250121</v>
      </c>
      <c r="G103" s="181">
        <v>40</v>
      </c>
      <c r="H103" s="181">
        <v>34</v>
      </c>
      <c r="I103" s="181" t="s">
        <v>460</v>
      </c>
      <c r="J103" s="181" t="s">
        <v>1443</v>
      </c>
      <c r="K103" s="181" t="s">
        <v>1348</v>
      </c>
      <c r="L103" s="181" t="s">
        <v>17</v>
      </c>
      <c r="M103" s="181">
        <v>10</v>
      </c>
      <c r="N103" s="181" t="s">
        <v>462</v>
      </c>
      <c r="O103" s="181" t="s">
        <v>606</v>
      </c>
      <c r="P103" s="181" t="s">
        <v>1444</v>
      </c>
      <c r="Q103" s="181" t="s">
        <v>465</v>
      </c>
      <c r="R103" s="181" t="s">
        <v>466</v>
      </c>
      <c r="S103" s="181" t="s">
        <v>1445</v>
      </c>
      <c r="T103" s="181" t="s">
        <v>1446</v>
      </c>
      <c r="U103" s="182">
        <v>46262.129861111112</v>
      </c>
      <c r="V103" s="181" t="s">
        <v>469</v>
      </c>
      <c r="W103" s="181" t="s">
        <v>470</v>
      </c>
      <c r="X103" s="181" t="s">
        <v>471</v>
      </c>
      <c r="Y103" s="181" t="s">
        <v>628</v>
      </c>
      <c r="Z103" s="181" t="s">
        <v>1292</v>
      </c>
      <c r="AA103" s="181" t="s">
        <v>474</v>
      </c>
      <c r="AB103" s="181" t="s">
        <v>1447</v>
      </c>
      <c r="AC103" s="181" t="s">
        <v>526</v>
      </c>
      <c r="AD103" s="181">
        <v>204881619</v>
      </c>
      <c r="AE103" s="181">
        <v>1669499414</v>
      </c>
      <c r="AF103" s="181">
        <v>1144549031</v>
      </c>
      <c r="AG103" s="181"/>
      <c r="AH103" s="181" t="s">
        <v>1076</v>
      </c>
      <c r="AI103" s="181" t="s">
        <v>267</v>
      </c>
      <c r="AJ103" s="181" t="s">
        <v>481</v>
      </c>
      <c r="AK103" s="181" t="s">
        <v>1448</v>
      </c>
      <c r="AL103" s="181">
        <v>17158</v>
      </c>
      <c r="AM103" s="181"/>
      <c r="AN103" s="181"/>
      <c r="AO103" s="181">
        <v>330</v>
      </c>
      <c r="AP103" s="181" t="s">
        <v>485</v>
      </c>
      <c r="AQ103" s="181" t="s">
        <v>1449</v>
      </c>
      <c r="AR103" s="183">
        <v>46262</v>
      </c>
      <c r="AS103" s="181" t="s">
        <v>267</v>
      </c>
      <c r="AT103" s="181" t="s">
        <v>516</v>
      </c>
      <c r="AU103" s="181"/>
      <c r="AV103" s="181" t="s">
        <v>1450</v>
      </c>
      <c r="AW103" s="181"/>
      <c r="AX103" s="181"/>
      <c r="AY103" s="181"/>
      <c r="AZ103" s="181"/>
      <c r="BA103" s="181"/>
      <c r="BB103" s="181"/>
      <c r="BC103" s="181"/>
      <c r="BD103" s="181" t="s">
        <v>267</v>
      </c>
      <c r="BE103" s="181">
        <v>33</v>
      </c>
      <c r="BF103" s="181"/>
      <c r="BG103" s="181"/>
      <c r="BH103" s="181" t="s">
        <v>491</v>
      </c>
      <c r="BI103" s="181">
        <v>278827552</v>
      </c>
      <c r="BJ103" s="181"/>
      <c r="BK103" s="181"/>
      <c r="BL103" s="181"/>
      <c r="BM103" s="181"/>
      <c r="BN103" s="181"/>
      <c r="BO103" s="181"/>
      <c r="BP103" s="181"/>
      <c r="BQ103" s="181"/>
      <c r="BR103" s="181"/>
      <c r="BS103" s="181"/>
      <c r="BT103" s="181"/>
      <c r="BU103" s="181"/>
      <c r="BV103" s="181"/>
      <c r="BW103" s="181"/>
      <c r="BX103" s="181"/>
      <c r="BY103" s="181"/>
      <c r="BZ103" s="181"/>
      <c r="CA103" s="190">
        <v>46285.666666666701</v>
      </c>
      <c r="CB103" s="3"/>
      <c r="CC103" s="16"/>
      <c r="CD103" s="16"/>
      <c r="CE103" s="16"/>
      <c r="CF103" s="16"/>
      <c r="CG103" s="16"/>
      <c r="CH103" s="16"/>
      <c r="CI103" s="16" t="s">
        <v>1451</v>
      </c>
    </row>
    <row r="104" spans="1:87" ht="29.25">
      <c r="A104" s="16" t="s">
        <v>5</v>
      </c>
      <c r="B104" s="25" t="s">
        <v>1179</v>
      </c>
      <c r="C104" s="3">
        <v>46272</v>
      </c>
      <c r="D104" s="26" t="s">
        <v>14</v>
      </c>
      <c r="E104" s="180" t="s">
        <v>1452</v>
      </c>
      <c r="F104" s="181">
        <v>2026215350440</v>
      </c>
      <c r="G104" s="181">
        <v>40</v>
      </c>
      <c r="H104" s="181">
        <v>35</v>
      </c>
      <c r="I104" s="181" t="s">
        <v>460</v>
      </c>
      <c r="J104" s="181" t="s">
        <v>1452</v>
      </c>
      <c r="K104" s="181" t="s">
        <v>1040</v>
      </c>
      <c r="L104" s="181" t="s">
        <v>17</v>
      </c>
      <c r="M104" s="181">
        <v>12</v>
      </c>
      <c r="N104" s="181" t="s">
        <v>462</v>
      </c>
      <c r="O104" s="181" t="s">
        <v>606</v>
      </c>
      <c r="P104" s="181" t="s">
        <v>1453</v>
      </c>
      <c r="Q104" s="181" t="s">
        <v>465</v>
      </c>
      <c r="R104" s="181" t="s">
        <v>466</v>
      </c>
      <c r="S104" s="181" t="s">
        <v>1454</v>
      </c>
      <c r="T104" s="181" t="s">
        <v>1455</v>
      </c>
      <c r="U104" s="182">
        <v>46259.84097222222</v>
      </c>
      <c r="V104" s="181" t="s">
        <v>469</v>
      </c>
      <c r="W104" s="181" t="s">
        <v>470</v>
      </c>
      <c r="X104" s="181" t="s">
        <v>471</v>
      </c>
      <c r="Y104" s="181" t="s">
        <v>472</v>
      </c>
      <c r="Z104" s="181" t="s">
        <v>590</v>
      </c>
      <c r="AA104" s="181" t="s">
        <v>474</v>
      </c>
      <c r="AB104" s="181" t="s">
        <v>1456</v>
      </c>
      <c r="AC104" s="181" t="s">
        <v>592</v>
      </c>
      <c r="AD104" s="181">
        <v>840563230</v>
      </c>
      <c r="AE104" s="181">
        <v>1992812333</v>
      </c>
      <c r="AF104" s="181"/>
      <c r="AG104" s="181"/>
      <c r="AH104" s="181"/>
      <c r="AI104" s="181" t="s">
        <v>173</v>
      </c>
      <c r="AJ104" s="181" t="s">
        <v>481</v>
      </c>
      <c r="AK104" s="181" t="s">
        <v>1457</v>
      </c>
      <c r="AL104" s="181">
        <v>62488.93</v>
      </c>
      <c r="AM104" s="181"/>
      <c r="AN104" s="181"/>
      <c r="AO104" s="181">
        <v>388</v>
      </c>
      <c r="AP104" s="181" t="s">
        <v>485</v>
      </c>
      <c r="AQ104" s="181" t="s">
        <v>1458</v>
      </c>
      <c r="AR104" s="183">
        <v>46260</v>
      </c>
      <c r="AS104" s="181" t="s">
        <v>173</v>
      </c>
      <c r="AT104" s="181" t="s">
        <v>1047</v>
      </c>
      <c r="AU104" s="181"/>
      <c r="AV104" s="181" t="s">
        <v>1459</v>
      </c>
      <c r="AW104" s="181"/>
      <c r="AX104" s="181"/>
      <c r="AY104" s="181"/>
      <c r="AZ104" s="181"/>
      <c r="BA104" s="181"/>
      <c r="BB104" s="181"/>
      <c r="BC104" s="181"/>
      <c r="BD104" s="181" t="s">
        <v>173</v>
      </c>
      <c r="BE104" s="181">
        <v>35</v>
      </c>
      <c r="BF104" s="181"/>
      <c r="BG104" s="181"/>
      <c r="BH104" s="181" t="s">
        <v>491</v>
      </c>
      <c r="BI104" s="181">
        <v>523154786</v>
      </c>
      <c r="BJ104" s="181"/>
      <c r="BK104" s="181"/>
      <c r="BL104" s="181"/>
      <c r="BM104" s="181"/>
      <c r="BN104" s="181"/>
      <c r="BO104" s="181"/>
      <c r="BP104" s="181"/>
      <c r="BQ104" s="181"/>
      <c r="BR104" s="181"/>
      <c r="BS104" s="181"/>
      <c r="BT104" s="181"/>
      <c r="BU104" s="181"/>
      <c r="BV104" s="181"/>
      <c r="BW104" s="181"/>
      <c r="BX104" s="181"/>
      <c r="BY104" s="181"/>
      <c r="BZ104" s="181"/>
      <c r="CA104" s="190">
        <v>46282.666666666701</v>
      </c>
      <c r="CB104" s="3"/>
      <c r="CC104" s="16"/>
      <c r="CD104" s="16"/>
      <c r="CE104" s="16"/>
      <c r="CF104" s="16"/>
      <c r="CG104" s="16"/>
      <c r="CH104" s="16"/>
      <c r="CI104" s="16" t="s">
        <v>1460</v>
      </c>
    </row>
    <row r="105" spans="1:87">
      <c r="A105" s="16"/>
      <c r="B105" s="16"/>
      <c r="C105" s="3">
        <v>46272</v>
      </c>
      <c r="D105" s="26" t="s">
        <v>14</v>
      </c>
      <c r="E105" s="180" t="s">
        <v>1461</v>
      </c>
      <c r="F105" s="181"/>
      <c r="G105" s="181">
        <v>40</v>
      </c>
      <c r="H105" s="181">
        <v>39</v>
      </c>
      <c r="I105" s="181" t="s">
        <v>460</v>
      </c>
      <c r="J105" s="181" t="s">
        <v>1461</v>
      </c>
      <c r="K105" s="181" t="s">
        <v>895</v>
      </c>
      <c r="L105" s="181" t="s">
        <v>18</v>
      </c>
      <c r="M105" s="181">
        <v>14</v>
      </c>
      <c r="N105" s="181" t="s">
        <v>462</v>
      </c>
      <c r="O105" s="181" t="s">
        <v>606</v>
      </c>
      <c r="P105" s="181">
        <v>371911194</v>
      </c>
      <c r="Q105" s="181" t="s">
        <v>1055</v>
      </c>
      <c r="R105" s="181" t="s">
        <v>1350</v>
      </c>
      <c r="S105" s="181" t="s">
        <v>1462</v>
      </c>
      <c r="T105" s="181" t="s">
        <v>1463</v>
      </c>
      <c r="U105" s="182">
        <v>46257.931944444441</v>
      </c>
      <c r="V105" s="181" t="s">
        <v>469</v>
      </c>
      <c r="W105" s="181" t="s">
        <v>470</v>
      </c>
      <c r="X105" s="181" t="s">
        <v>471</v>
      </c>
      <c r="Y105" s="181" t="s">
        <v>472</v>
      </c>
      <c r="Z105" s="181" t="s">
        <v>1338</v>
      </c>
      <c r="AA105" s="181" t="s">
        <v>474</v>
      </c>
      <c r="AB105" s="181" t="s">
        <v>1464</v>
      </c>
      <c r="AC105" s="181" t="s">
        <v>1429</v>
      </c>
      <c r="AD105" s="181">
        <v>371911194</v>
      </c>
      <c r="AE105" s="181">
        <v>1023584216</v>
      </c>
      <c r="AF105" s="181">
        <v>1083888770</v>
      </c>
      <c r="AG105" s="181"/>
      <c r="AH105" s="181"/>
      <c r="AI105" s="181" t="s">
        <v>20</v>
      </c>
      <c r="AJ105" s="181" t="s">
        <v>481</v>
      </c>
      <c r="AK105" s="181" t="s">
        <v>1465</v>
      </c>
      <c r="AL105" s="181">
        <v>40205</v>
      </c>
      <c r="AM105" s="181"/>
      <c r="AN105" s="181"/>
      <c r="AO105" s="181">
        <v>371</v>
      </c>
      <c r="AP105" s="181" t="s">
        <v>485</v>
      </c>
      <c r="AQ105" s="181" t="s">
        <v>1466</v>
      </c>
      <c r="AR105" s="183">
        <v>46258</v>
      </c>
      <c r="AS105" s="181" t="s">
        <v>20</v>
      </c>
      <c r="AT105" s="181" t="s">
        <v>938</v>
      </c>
      <c r="AU105" s="181"/>
      <c r="AV105" s="181" t="s">
        <v>1467</v>
      </c>
      <c r="AW105" s="181"/>
      <c r="AX105" s="181"/>
      <c r="AY105" s="181"/>
      <c r="AZ105" s="181"/>
      <c r="BA105" s="181"/>
      <c r="BB105" s="181"/>
      <c r="BC105" s="181"/>
      <c r="BD105" s="181" t="s">
        <v>20</v>
      </c>
      <c r="BE105" s="181">
        <v>39</v>
      </c>
      <c r="BF105" s="181"/>
      <c r="BG105" s="181" t="s">
        <v>490</v>
      </c>
      <c r="BH105" s="181" t="s">
        <v>491</v>
      </c>
      <c r="BI105" s="181">
        <v>781966117</v>
      </c>
      <c r="BJ105" s="181"/>
      <c r="BK105" s="181"/>
      <c r="BL105" s="181"/>
      <c r="BM105" s="181"/>
      <c r="BN105" s="181"/>
      <c r="BO105" s="181"/>
      <c r="BP105" s="181"/>
      <c r="BQ105" s="181"/>
      <c r="BR105" s="181"/>
      <c r="BS105" s="181"/>
      <c r="BT105" s="181"/>
      <c r="BU105" s="181"/>
      <c r="BV105" s="181"/>
      <c r="BW105" s="181"/>
      <c r="BX105" s="181"/>
      <c r="BY105" s="181"/>
      <c r="BZ105" s="181"/>
      <c r="CA105" s="190"/>
      <c r="CB105" s="3"/>
      <c r="CC105" s="16"/>
      <c r="CD105" s="16"/>
      <c r="CE105" s="16"/>
      <c r="CF105" s="16"/>
      <c r="CG105" s="16"/>
      <c r="CH105" s="16"/>
      <c r="CI105" s="16" t="s">
        <v>1468</v>
      </c>
    </row>
    <row r="106" spans="1:87">
      <c r="A106" s="16"/>
      <c r="B106" s="16"/>
      <c r="C106" s="3">
        <v>46272</v>
      </c>
      <c r="D106" s="26" t="s">
        <v>14</v>
      </c>
      <c r="E106" s="180" t="s">
        <v>1469</v>
      </c>
      <c r="F106" s="181">
        <v>2026215070222</v>
      </c>
      <c r="G106" s="181">
        <v>40</v>
      </c>
      <c r="H106" s="181">
        <v>35</v>
      </c>
      <c r="I106" s="181" t="s">
        <v>460</v>
      </c>
      <c r="J106" s="181" t="s">
        <v>1469</v>
      </c>
      <c r="K106" s="181" t="s">
        <v>983</v>
      </c>
      <c r="L106" s="181" t="s">
        <v>17</v>
      </c>
      <c r="M106" s="181">
        <v>12</v>
      </c>
      <c r="N106" s="181" t="s">
        <v>462</v>
      </c>
      <c r="O106" s="181" t="s">
        <v>606</v>
      </c>
      <c r="P106" s="181" t="s">
        <v>1470</v>
      </c>
      <c r="Q106" s="181" t="s">
        <v>465</v>
      </c>
      <c r="R106" s="181" t="s">
        <v>466</v>
      </c>
      <c r="S106" s="181" t="s">
        <v>1471</v>
      </c>
      <c r="T106" s="181" t="s">
        <v>465</v>
      </c>
      <c r="U106" s="182">
        <v>46259.78125</v>
      </c>
      <c r="V106" s="181" t="s">
        <v>469</v>
      </c>
      <c r="W106" s="181" t="s">
        <v>470</v>
      </c>
      <c r="X106" s="181" t="s">
        <v>471</v>
      </c>
      <c r="Y106" s="181" t="s">
        <v>472</v>
      </c>
      <c r="Z106" s="181" t="s">
        <v>1292</v>
      </c>
      <c r="AA106" s="181" t="s">
        <v>474</v>
      </c>
      <c r="AB106" s="181" t="s">
        <v>1472</v>
      </c>
      <c r="AC106" s="181" t="s">
        <v>1294</v>
      </c>
      <c r="AD106" s="181">
        <v>611276316</v>
      </c>
      <c r="AE106" s="181">
        <v>1922288760</v>
      </c>
      <c r="AF106" s="181">
        <v>1952363566</v>
      </c>
      <c r="AG106" s="181"/>
      <c r="AH106" s="181"/>
      <c r="AI106" s="181" t="s">
        <v>34</v>
      </c>
      <c r="AJ106" s="181" t="s">
        <v>481</v>
      </c>
      <c r="AK106" s="181" t="s">
        <v>1473</v>
      </c>
      <c r="AL106" s="181">
        <v>3532</v>
      </c>
      <c r="AM106" s="181"/>
      <c r="AN106" s="181"/>
      <c r="AO106" s="181">
        <v>899</v>
      </c>
      <c r="AP106" s="181" t="s">
        <v>485</v>
      </c>
      <c r="AQ106" s="181" t="s">
        <v>1474</v>
      </c>
      <c r="AR106" s="183">
        <v>46260</v>
      </c>
      <c r="AS106" s="181" t="s">
        <v>34</v>
      </c>
      <c r="AT106" s="181" t="s">
        <v>794</v>
      </c>
      <c r="AU106" s="181"/>
      <c r="AV106" s="181" t="s">
        <v>1475</v>
      </c>
      <c r="AW106" s="181"/>
      <c r="AX106" s="181"/>
      <c r="AY106" s="181"/>
      <c r="AZ106" s="181"/>
      <c r="BA106" s="181"/>
      <c r="BB106" s="181"/>
      <c r="BC106" s="181"/>
      <c r="BD106" s="181" t="s">
        <v>34</v>
      </c>
      <c r="BE106" s="181">
        <v>35</v>
      </c>
      <c r="BF106" s="181"/>
      <c r="BG106" s="181"/>
      <c r="BH106" s="181" t="s">
        <v>491</v>
      </c>
      <c r="BI106" s="181">
        <v>406049161</v>
      </c>
      <c r="BJ106" s="181"/>
      <c r="BK106" s="181"/>
      <c r="BL106" s="181"/>
      <c r="BM106" s="181"/>
      <c r="BN106" s="181"/>
      <c r="BO106" s="181"/>
      <c r="BP106" s="181"/>
      <c r="BQ106" s="181"/>
      <c r="BR106" s="181"/>
      <c r="BS106" s="181"/>
      <c r="BT106" s="181"/>
      <c r="BU106" s="181"/>
      <c r="BV106" s="181"/>
      <c r="BW106" s="181"/>
      <c r="BX106" s="181"/>
      <c r="BY106" s="181"/>
      <c r="BZ106" s="181"/>
      <c r="CA106" s="190"/>
      <c r="CB106" s="3"/>
      <c r="CC106" s="16"/>
      <c r="CD106" s="16"/>
      <c r="CE106" s="16"/>
      <c r="CF106" s="16"/>
      <c r="CG106" s="16"/>
      <c r="CH106" s="16"/>
      <c r="CI106" s="16" t="s">
        <v>1476</v>
      </c>
    </row>
    <row r="107" spans="1:87">
      <c r="A107" s="16" t="s">
        <v>5</v>
      </c>
      <c r="B107" s="16" t="s">
        <v>1477</v>
      </c>
      <c r="C107" s="3">
        <v>46272</v>
      </c>
      <c r="D107" s="26" t="s">
        <v>14</v>
      </c>
      <c r="E107" s="180" t="s">
        <v>1478</v>
      </c>
      <c r="F107" s="181">
        <v>2026205370251</v>
      </c>
      <c r="G107" s="181">
        <v>40</v>
      </c>
      <c r="H107" s="181">
        <v>45</v>
      </c>
      <c r="I107" s="181" t="s">
        <v>460</v>
      </c>
      <c r="J107" s="181" t="s">
        <v>1478</v>
      </c>
      <c r="K107" s="181" t="s">
        <v>1348</v>
      </c>
      <c r="L107" s="181" t="s">
        <v>17</v>
      </c>
      <c r="M107" s="181">
        <v>19</v>
      </c>
      <c r="N107" s="181" t="s">
        <v>462</v>
      </c>
      <c r="O107" s="181" t="s">
        <v>606</v>
      </c>
      <c r="P107" s="181" t="s">
        <v>1479</v>
      </c>
      <c r="Q107" s="181" t="s">
        <v>465</v>
      </c>
      <c r="R107" s="181" t="s">
        <v>466</v>
      </c>
      <c r="S107" s="181" t="s">
        <v>1480</v>
      </c>
      <c r="T107" s="181" t="s">
        <v>465</v>
      </c>
      <c r="U107" s="182">
        <v>46252.745138888888</v>
      </c>
      <c r="V107" s="181" t="s">
        <v>469</v>
      </c>
      <c r="W107" s="181" t="s">
        <v>470</v>
      </c>
      <c r="X107" s="181" t="s">
        <v>471</v>
      </c>
      <c r="Y107" s="181" t="s">
        <v>472</v>
      </c>
      <c r="Z107" s="181" t="s">
        <v>473</v>
      </c>
      <c r="AA107" s="181" t="s">
        <v>474</v>
      </c>
      <c r="AB107" s="181" t="s">
        <v>1481</v>
      </c>
      <c r="AC107" s="181" t="s">
        <v>476</v>
      </c>
      <c r="AD107" s="181">
        <v>390806261</v>
      </c>
      <c r="AE107" s="181">
        <v>1699720086</v>
      </c>
      <c r="AF107" s="181">
        <v>1831722180</v>
      </c>
      <c r="AG107" s="181"/>
      <c r="AH107" s="181" t="s">
        <v>1076</v>
      </c>
      <c r="AI107" s="181" t="s">
        <v>267</v>
      </c>
      <c r="AJ107" s="181" t="s">
        <v>481</v>
      </c>
      <c r="AK107" s="181" t="s">
        <v>1482</v>
      </c>
      <c r="AL107" s="181">
        <v>17981</v>
      </c>
      <c r="AM107" s="181"/>
      <c r="AN107" s="181"/>
      <c r="AO107" s="181">
        <v>431</v>
      </c>
      <c r="AP107" s="181" t="s">
        <v>485</v>
      </c>
      <c r="AQ107" s="181" t="s">
        <v>1483</v>
      </c>
      <c r="AR107" s="183">
        <v>46253</v>
      </c>
      <c r="AS107" s="181" t="s">
        <v>267</v>
      </c>
      <c r="AT107" s="181" t="s">
        <v>1484</v>
      </c>
      <c r="AU107" s="181"/>
      <c r="AV107" s="181" t="s">
        <v>710</v>
      </c>
      <c r="AW107" s="181"/>
      <c r="AX107" s="181"/>
      <c r="AY107" s="181"/>
      <c r="AZ107" s="181"/>
      <c r="BA107" s="181"/>
      <c r="BB107" s="181"/>
      <c r="BC107" s="181"/>
      <c r="BD107" s="181" t="s">
        <v>267</v>
      </c>
      <c r="BE107" s="181">
        <v>45</v>
      </c>
      <c r="BF107" s="181"/>
      <c r="BG107" s="181"/>
      <c r="BH107" s="181" t="s">
        <v>491</v>
      </c>
      <c r="BI107" s="181">
        <v>346625792</v>
      </c>
      <c r="BJ107" s="181"/>
      <c r="BK107" s="181"/>
      <c r="BL107" s="181"/>
      <c r="BM107" s="181"/>
      <c r="BN107" s="181"/>
      <c r="BO107" s="181"/>
      <c r="BP107" s="181"/>
      <c r="BQ107" s="181"/>
      <c r="BR107" s="181"/>
      <c r="BS107" s="181"/>
      <c r="BT107" s="181"/>
      <c r="BU107" s="181"/>
      <c r="BV107" s="181"/>
      <c r="BW107" s="181"/>
      <c r="BX107" s="181"/>
      <c r="BY107" s="181"/>
      <c r="BZ107" s="181"/>
      <c r="CA107" s="190">
        <v>46285.666666666701</v>
      </c>
      <c r="CB107" s="3"/>
      <c r="CC107" s="16"/>
      <c r="CD107" s="16"/>
      <c r="CE107" s="16"/>
      <c r="CF107" s="16"/>
      <c r="CG107" s="16"/>
      <c r="CH107" s="16"/>
      <c r="CI107" s="16" t="s">
        <v>1485</v>
      </c>
    </row>
    <row r="108" spans="1:87">
      <c r="A108" s="16" t="s">
        <v>5</v>
      </c>
      <c r="B108" s="16" t="s">
        <v>1486</v>
      </c>
      <c r="C108" s="3">
        <v>46272</v>
      </c>
      <c r="D108" s="26" t="s">
        <v>14</v>
      </c>
      <c r="E108" s="180" t="s">
        <v>1487</v>
      </c>
      <c r="F108" s="181">
        <v>2026210950341</v>
      </c>
      <c r="G108" s="181">
        <v>40</v>
      </c>
      <c r="H108" s="181">
        <v>41</v>
      </c>
      <c r="I108" s="181" t="s">
        <v>460</v>
      </c>
      <c r="J108" s="181" t="s">
        <v>1487</v>
      </c>
      <c r="K108" s="181" t="s">
        <v>1371</v>
      </c>
      <c r="L108" s="181" t="s">
        <v>17</v>
      </c>
      <c r="M108" s="181">
        <v>18</v>
      </c>
      <c r="N108" s="181" t="s">
        <v>462</v>
      </c>
      <c r="O108" s="181" t="s">
        <v>606</v>
      </c>
      <c r="P108" s="181" t="s">
        <v>1488</v>
      </c>
      <c r="Q108" s="181" t="s">
        <v>465</v>
      </c>
      <c r="R108" s="181" t="s">
        <v>466</v>
      </c>
      <c r="S108" s="181" t="s">
        <v>1489</v>
      </c>
      <c r="T108" s="181" t="s">
        <v>465</v>
      </c>
      <c r="U108" s="182">
        <v>46254.705555555556</v>
      </c>
      <c r="V108" s="181" t="s">
        <v>469</v>
      </c>
      <c r="W108" s="181" t="s">
        <v>470</v>
      </c>
      <c r="X108" s="181" t="s">
        <v>471</v>
      </c>
      <c r="Y108" s="181" t="s">
        <v>472</v>
      </c>
      <c r="Z108" s="181" t="s">
        <v>544</v>
      </c>
      <c r="AA108" s="181" t="s">
        <v>474</v>
      </c>
      <c r="AB108" s="181" t="s">
        <v>1490</v>
      </c>
      <c r="AC108" s="181" t="s">
        <v>546</v>
      </c>
      <c r="AD108" s="181">
        <v>582540874</v>
      </c>
      <c r="AE108" s="181">
        <v>1548273592</v>
      </c>
      <c r="AF108" s="181">
        <v>1710939889</v>
      </c>
      <c r="AG108" s="181"/>
      <c r="AH108" s="181"/>
      <c r="AI108" s="181" t="s">
        <v>164</v>
      </c>
      <c r="AJ108" s="181" t="s">
        <v>481</v>
      </c>
      <c r="AK108" s="181" t="s">
        <v>1491</v>
      </c>
      <c r="AL108" s="181">
        <v>11196.4</v>
      </c>
      <c r="AM108" s="181"/>
      <c r="AN108" s="181"/>
      <c r="AO108" s="181">
        <v>798</v>
      </c>
      <c r="AP108" s="181" t="s">
        <v>485</v>
      </c>
      <c r="AQ108" s="181" t="s">
        <v>1492</v>
      </c>
      <c r="AR108" s="183">
        <v>46254</v>
      </c>
      <c r="AS108" s="181" t="s">
        <v>164</v>
      </c>
      <c r="AT108" s="181" t="s">
        <v>1493</v>
      </c>
      <c r="AU108" s="181"/>
      <c r="AV108" s="181" t="s">
        <v>1494</v>
      </c>
      <c r="AW108" s="181"/>
      <c r="AX108" s="181"/>
      <c r="AY108" s="181"/>
      <c r="AZ108" s="181"/>
      <c r="BA108" s="181"/>
      <c r="BB108" s="181"/>
      <c r="BC108" s="181"/>
      <c r="BD108" s="181" t="s">
        <v>164</v>
      </c>
      <c r="BE108" s="181">
        <v>40</v>
      </c>
      <c r="BF108" s="181"/>
      <c r="BG108" s="181"/>
      <c r="BH108" s="181" t="s">
        <v>491</v>
      </c>
      <c r="BI108" s="181" t="s">
        <v>1488</v>
      </c>
      <c r="BJ108" s="181"/>
      <c r="BK108" s="181"/>
      <c r="BL108" s="181"/>
      <c r="BM108" s="181"/>
      <c r="BN108" s="181"/>
      <c r="BO108" s="181"/>
      <c r="BP108" s="181"/>
      <c r="BQ108" s="181"/>
      <c r="BR108" s="181"/>
      <c r="BS108" s="181"/>
      <c r="BT108" s="181"/>
      <c r="BU108" s="181"/>
      <c r="BV108" s="181"/>
      <c r="BW108" s="181"/>
      <c r="BX108" s="181"/>
      <c r="BY108" s="181"/>
      <c r="BZ108" s="181"/>
      <c r="CA108" s="190">
        <v>46280.666666666701</v>
      </c>
      <c r="CB108" s="3"/>
      <c r="CC108" s="16"/>
      <c r="CD108" s="16"/>
      <c r="CE108" s="16"/>
      <c r="CF108" s="16"/>
      <c r="CG108" s="16"/>
      <c r="CH108" s="16"/>
      <c r="CI108" s="16" t="s">
        <v>1495</v>
      </c>
    </row>
    <row r="109" spans="1:87">
      <c r="A109" s="16"/>
      <c r="B109" s="16"/>
      <c r="C109" s="3">
        <v>46272</v>
      </c>
      <c r="D109" s="26" t="s">
        <v>14</v>
      </c>
      <c r="E109" s="180" t="s">
        <v>1496</v>
      </c>
      <c r="F109" s="181">
        <v>2026210620160</v>
      </c>
      <c r="G109" s="181">
        <v>40</v>
      </c>
      <c r="H109" s="181">
        <v>40</v>
      </c>
      <c r="I109" s="181" t="s">
        <v>460</v>
      </c>
      <c r="J109" s="181" t="s">
        <v>1496</v>
      </c>
      <c r="K109" s="181" t="s">
        <v>983</v>
      </c>
      <c r="L109" s="181" t="s">
        <v>17</v>
      </c>
      <c r="M109" s="181">
        <v>12</v>
      </c>
      <c r="N109" s="181" t="s">
        <v>462</v>
      </c>
      <c r="O109" s="181" t="s">
        <v>606</v>
      </c>
      <c r="P109" s="181" t="s">
        <v>1497</v>
      </c>
      <c r="Q109" s="181" t="s">
        <v>465</v>
      </c>
      <c r="R109" s="181" t="s">
        <v>466</v>
      </c>
      <c r="S109" s="181" t="s">
        <v>1498</v>
      </c>
      <c r="T109" s="181" t="s">
        <v>465</v>
      </c>
      <c r="U109" s="182">
        <v>46260.036805555559</v>
      </c>
      <c r="V109" s="181" t="s">
        <v>469</v>
      </c>
      <c r="W109" s="181" t="s">
        <v>470</v>
      </c>
      <c r="X109" s="181" t="s">
        <v>471</v>
      </c>
      <c r="Y109" s="181" t="s">
        <v>472</v>
      </c>
      <c r="Z109" s="181" t="s">
        <v>612</v>
      </c>
      <c r="AA109" s="181" t="s">
        <v>474</v>
      </c>
      <c r="AB109" s="181" t="s">
        <v>1499</v>
      </c>
      <c r="AC109" s="181" t="s">
        <v>614</v>
      </c>
      <c r="AD109" s="181">
        <v>222519596</v>
      </c>
      <c r="AE109" s="181">
        <v>1548210198</v>
      </c>
      <c r="AF109" s="181">
        <v>1093826679</v>
      </c>
      <c r="AG109" s="181"/>
      <c r="AH109" s="181"/>
      <c r="AI109" s="181" t="s">
        <v>34</v>
      </c>
      <c r="AJ109" s="181" t="s">
        <v>481</v>
      </c>
      <c r="AK109" s="181" t="s">
        <v>1500</v>
      </c>
      <c r="AL109" s="181">
        <v>20183</v>
      </c>
      <c r="AM109" s="181"/>
      <c r="AN109" s="181"/>
      <c r="AO109" s="181">
        <v>548</v>
      </c>
      <c r="AP109" s="181" t="s">
        <v>485</v>
      </c>
      <c r="AQ109" s="181" t="s">
        <v>1501</v>
      </c>
      <c r="AR109" s="183">
        <v>46260</v>
      </c>
      <c r="AS109" s="181" t="s">
        <v>34</v>
      </c>
      <c r="AT109" s="181" t="s">
        <v>976</v>
      </c>
      <c r="AU109" s="181"/>
      <c r="AV109" s="181" t="s">
        <v>1502</v>
      </c>
      <c r="AW109" s="181"/>
      <c r="AX109" s="181"/>
      <c r="AY109" s="181"/>
      <c r="AZ109" s="181"/>
      <c r="BA109" s="181"/>
      <c r="BB109" s="181"/>
      <c r="BC109" s="181"/>
      <c r="BD109" s="181" t="s">
        <v>34</v>
      </c>
      <c r="BE109" s="181">
        <v>40</v>
      </c>
      <c r="BF109" s="181"/>
      <c r="BG109" s="181" t="s">
        <v>490</v>
      </c>
      <c r="BH109" s="181" t="s">
        <v>491</v>
      </c>
      <c r="BI109" s="181">
        <v>18568362</v>
      </c>
      <c r="BJ109" s="181"/>
      <c r="BK109" s="181"/>
      <c r="BL109" s="181"/>
      <c r="BM109" s="181"/>
      <c r="BN109" s="181"/>
      <c r="BO109" s="181"/>
      <c r="BP109" s="181"/>
      <c r="BQ109" s="181"/>
      <c r="BR109" s="181"/>
      <c r="BS109" s="181"/>
      <c r="BT109" s="181"/>
      <c r="BU109" s="181"/>
      <c r="BV109" s="181"/>
      <c r="BW109" s="181"/>
      <c r="BX109" s="181"/>
      <c r="BY109" s="181"/>
      <c r="BZ109" s="181"/>
      <c r="CA109" s="190"/>
      <c r="CB109" s="3"/>
      <c r="CC109" s="16"/>
      <c r="CD109" s="16"/>
      <c r="CE109" s="16"/>
      <c r="CF109" s="16"/>
      <c r="CG109" s="16"/>
      <c r="CH109" s="16"/>
      <c r="CI109" s="16" t="s">
        <v>1503</v>
      </c>
    </row>
    <row r="110" spans="1:87" ht="29.25">
      <c r="A110" s="16" t="s">
        <v>5</v>
      </c>
      <c r="B110" s="25" t="s">
        <v>1179</v>
      </c>
      <c r="C110" s="3">
        <v>46272</v>
      </c>
      <c r="D110" s="26" t="s">
        <v>14</v>
      </c>
      <c r="E110" s="180" t="s">
        <v>1504</v>
      </c>
      <c r="F110" s="181">
        <v>2026217470208</v>
      </c>
      <c r="G110" s="181">
        <v>40</v>
      </c>
      <c r="H110" s="181">
        <v>34</v>
      </c>
      <c r="I110" s="181" t="s">
        <v>460</v>
      </c>
      <c r="J110" s="181" t="s">
        <v>1504</v>
      </c>
      <c r="K110" s="181" t="s">
        <v>1040</v>
      </c>
      <c r="L110" s="181" t="s">
        <v>17</v>
      </c>
      <c r="M110" s="181">
        <v>11</v>
      </c>
      <c r="N110" s="181" t="s">
        <v>462</v>
      </c>
      <c r="O110" s="181" t="s">
        <v>606</v>
      </c>
      <c r="P110" s="181" t="s">
        <v>1505</v>
      </c>
      <c r="Q110" s="181" t="s">
        <v>465</v>
      </c>
      <c r="R110" s="181" t="s">
        <v>466</v>
      </c>
      <c r="S110" s="181" t="s">
        <v>1506</v>
      </c>
      <c r="T110" s="181" t="s">
        <v>465</v>
      </c>
      <c r="U110" s="182">
        <v>46260.970138888886</v>
      </c>
      <c r="V110" s="181" t="s">
        <v>469</v>
      </c>
      <c r="W110" s="181" t="s">
        <v>470</v>
      </c>
      <c r="X110" s="181" t="s">
        <v>471</v>
      </c>
      <c r="Y110" s="181" t="s">
        <v>472</v>
      </c>
      <c r="Z110" s="181" t="s">
        <v>524</v>
      </c>
      <c r="AA110" s="181" t="s">
        <v>474</v>
      </c>
      <c r="AB110" s="181">
        <v>846400</v>
      </c>
      <c r="AC110" s="181" t="s">
        <v>526</v>
      </c>
      <c r="AD110" s="181">
        <v>311483173</v>
      </c>
      <c r="AE110" s="181">
        <v>1386670065</v>
      </c>
      <c r="AF110" s="181">
        <v>1144783028</v>
      </c>
      <c r="AG110" s="181"/>
      <c r="AH110" s="181"/>
      <c r="AI110" s="181" t="s">
        <v>173</v>
      </c>
      <c r="AJ110" s="181" t="s">
        <v>481</v>
      </c>
      <c r="AK110" s="181" t="s">
        <v>1507</v>
      </c>
      <c r="AL110" s="181">
        <v>9070</v>
      </c>
      <c r="AM110" s="181"/>
      <c r="AN110" s="181"/>
      <c r="AO110" s="181">
        <v>466</v>
      </c>
      <c r="AP110" s="181" t="s">
        <v>485</v>
      </c>
      <c r="AQ110" s="181" t="s">
        <v>1508</v>
      </c>
      <c r="AR110" s="183">
        <v>46261</v>
      </c>
      <c r="AS110" s="181" t="s">
        <v>173</v>
      </c>
      <c r="AT110" s="181" t="s">
        <v>1047</v>
      </c>
      <c r="AU110" s="181"/>
      <c r="AV110" s="181" t="s">
        <v>1509</v>
      </c>
      <c r="AW110" s="181"/>
      <c r="AX110" s="181"/>
      <c r="AY110" s="181"/>
      <c r="AZ110" s="181"/>
      <c r="BA110" s="181"/>
      <c r="BB110" s="181"/>
      <c r="BC110" s="181"/>
      <c r="BD110" s="181" t="s">
        <v>173</v>
      </c>
      <c r="BE110" s="181">
        <v>33</v>
      </c>
      <c r="BF110" s="181"/>
      <c r="BG110" s="181"/>
      <c r="BH110" s="181" t="s">
        <v>491</v>
      </c>
      <c r="BI110" s="181">
        <v>298586367</v>
      </c>
      <c r="BJ110" s="181"/>
      <c r="BK110" s="181"/>
      <c r="BL110" s="181"/>
      <c r="BM110" s="181"/>
      <c r="BN110" s="181"/>
      <c r="BO110" s="181"/>
      <c r="BP110" s="181"/>
      <c r="BQ110" s="181"/>
      <c r="BR110" s="181"/>
      <c r="BS110" s="181"/>
      <c r="BT110" s="181"/>
      <c r="BU110" s="181"/>
      <c r="BV110" s="181"/>
      <c r="BW110" s="181"/>
      <c r="BX110" s="181"/>
      <c r="BY110" s="181"/>
      <c r="BZ110" s="181"/>
      <c r="CA110" s="190">
        <v>46282.666666666701</v>
      </c>
      <c r="CB110" s="3"/>
      <c r="CC110" s="16"/>
      <c r="CD110" s="16"/>
      <c r="CE110" s="16"/>
      <c r="CF110" s="16"/>
      <c r="CG110" s="16"/>
      <c r="CH110" s="16"/>
      <c r="CI110" s="16" t="s">
        <v>1510</v>
      </c>
    </row>
    <row r="111" spans="1:87">
      <c r="A111" s="16"/>
      <c r="B111" s="16"/>
      <c r="C111" s="3">
        <v>46272</v>
      </c>
      <c r="D111" s="26" t="s">
        <v>14</v>
      </c>
      <c r="E111" s="180" t="s">
        <v>1511</v>
      </c>
      <c r="F111" s="181">
        <v>2026208000424</v>
      </c>
      <c r="G111" s="181">
        <v>40</v>
      </c>
      <c r="H111" s="181">
        <v>42</v>
      </c>
      <c r="I111" s="181" t="s">
        <v>460</v>
      </c>
      <c r="J111" s="181" t="s">
        <v>1511</v>
      </c>
      <c r="K111" s="181" t="s">
        <v>1512</v>
      </c>
      <c r="L111" s="181" t="s">
        <v>17</v>
      </c>
      <c r="M111" s="181">
        <v>18</v>
      </c>
      <c r="N111" s="181" t="s">
        <v>462</v>
      </c>
      <c r="O111" s="181" t="s">
        <v>606</v>
      </c>
      <c r="P111" s="181" t="s">
        <v>1513</v>
      </c>
      <c r="Q111" s="181" t="s">
        <v>465</v>
      </c>
      <c r="R111" s="181" t="s">
        <v>466</v>
      </c>
      <c r="S111" s="181" t="s">
        <v>1514</v>
      </c>
      <c r="T111" s="181" t="s">
        <v>465</v>
      </c>
      <c r="U111" s="182">
        <v>46253.827777777777</v>
      </c>
      <c r="V111" s="181" t="s">
        <v>469</v>
      </c>
      <c r="W111" s="181" t="s">
        <v>470</v>
      </c>
      <c r="X111" s="181" t="s">
        <v>471</v>
      </c>
      <c r="Y111" s="181" t="s">
        <v>472</v>
      </c>
      <c r="Z111" s="181" t="s">
        <v>1338</v>
      </c>
      <c r="AA111" s="181" t="s">
        <v>474</v>
      </c>
      <c r="AB111" s="181" t="s">
        <v>1515</v>
      </c>
      <c r="AC111" s="181" t="s">
        <v>640</v>
      </c>
      <c r="AD111" s="181">
        <v>463207221</v>
      </c>
      <c r="AE111" s="181">
        <v>1881036515</v>
      </c>
      <c r="AF111" s="181">
        <v>1376016873</v>
      </c>
      <c r="AG111" s="181"/>
      <c r="AH111" s="181" t="s">
        <v>1076</v>
      </c>
      <c r="AI111" s="181" t="s">
        <v>149</v>
      </c>
      <c r="AJ111" s="181" t="s">
        <v>481</v>
      </c>
      <c r="AK111" s="181" t="s">
        <v>1516</v>
      </c>
      <c r="AL111" s="181">
        <v>36475</v>
      </c>
      <c r="AM111" s="181"/>
      <c r="AN111" s="181"/>
      <c r="AO111" s="181">
        <v>923</v>
      </c>
      <c r="AP111" s="181" t="s">
        <v>485</v>
      </c>
      <c r="AQ111" s="181" t="s">
        <v>1517</v>
      </c>
      <c r="AR111" s="183">
        <v>46254</v>
      </c>
      <c r="AS111" s="181" t="s">
        <v>149</v>
      </c>
      <c r="AT111" s="181" t="s">
        <v>1518</v>
      </c>
      <c r="AU111" s="181"/>
      <c r="AV111" s="181" t="s">
        <v>1519</v>
      </c>
      <c r="AW111" s="181"/>
      <c r="AX111" s="181"/>
      <c r="AY111" s="181"/>
      <c r="AZ111" s="181"/>
      <c r="BA111" s="181"/>
      <c r="BB111" s="181"/>
      <c r="BC111" s="181"/>
      <c r="BD111" s="181" t="s">
        <v>149</v>
      </c>
      <c r="BE111" s="181">
        <v>42</v>
      </c>
      <c r="BF111" s="181"/>
      <c r="BG111" s="181" t="s">
        <v>490</v>
      </c>
      <c r="BH111" s="181" t="s">
        <v>491</v>
      </c>
      <c r="BI111" s="181">
        <v>37480519</v>
      </c>
      <c r="BJ111" s="181"/>
      <c r="BK111" s="181"/>
      <c r="BL111" s="181"/>
      <c r="BM111" s="181"/>
      <c r="BN111" s="181"/>
      <c r="BO111" s="181"/>
      <c r="BP111" s="181"/>
      <c r="BQ111" s="181"/>
      <c r="BR111" s="181"/>
      <c r="BS111" s="181"/>
      <c r="BT111" s="181"/>
      <c r="BU111" s="181"/>
      <c r="BV111" s="181"/>
      <c r="BW111" s="181"/>
      <c r="BX111" s="181"/>
      <c r="BY111" s="181"/>
      <c r="BZ111" s="181"/>
      <c r="CA111" s="190"/>
      <c r="CB111" s="3"/>
      <c r="CC111" s="16"/>
      <c r="CD111" s="16"/>
      <c r="CE111" s="16"/>
      <c r="CF111" s="16"/>
      <c r="CG111" s="16"/>
      <c r="CH111" s="16"/>
      <c r="CI111" s="16" t="s">
        <v>1520</v>
      </c>
    </row>
    <row r="112" spans="1:87">
      <c r="A112" s="16"/>
      <c r="B112" s="16"/>
      <c r="C112" s="3">
        <v>46272</v>
      </c>
      <c r="D112" s="26" t="s">
        <v>14</v>
      </c>
      <c r="E112" s="180" t="s">
        <v>1521</v>
      </c>
      <c r="F112" s="181"/>
      <c r="G112" s="181">
        <v>40</v>
      </c>
      <c r="H112" s="181">
        <v>34</v>
      </c>
      <c r="I112" s="181" t="s">
        <v>460</v>
      </c>
      <c r="J112" s="181" t="s">
        <v>1521</v>
      </c>
      <c r="K112" s="181" t="s">
        <v>895</v>
      </c>
      <c r="L112" s="181" t="s">
        <v>18</v>
      </c>
      <c r="M112" s="181">
        <v>12</v>
      </c>
      <c r="N112" s="181" t="s">
        <v>462</v>
      </c>
      <c r="O112" s="181" t="s">
        <v>606</v>
      </c>
      <c r="P112" s="181" t="s">
        <v>1522</v>
      </c>
      <c r="Q112" s="181" t="s">
        <v>465</v>
      </c>
      <c r="R112" s="181" t="s">
        <v>1193</v>
      </c>
      <c r="S112" s="181" t="s">
        <v>1523</v>
      </c>
      <c r="T112" s="181" t="s">
        <v>465</v>
      </c>
      <c r="U112" s="182">
        <v>46260.597222222219</v>
      </c>
      <c r="V112" s="181" t="s">
        <v>469</v>
      </c>
      <c r="W112" s="181" t="s">
        <v>470</v>
      </c>
      <c r="X112" s="181" t="s">
        <v>471</v>
      </c>
      <c r="Y112" s="181" t="s">
        <v>472</v>
      </c>
      <c r="Z112" s="181" t="s">
        <v>731</v>
      </c>
      <c r="AA112" s="181" t="s">
        <v>474</v>
      </c>
      <c r="AB112" s="181" t="s">
        <v>1524</v>
      </c>
      <c r="AC112" s="181" t="s">
        <v>733</v>
      </c>
      <c r="AD112" s="181">
        <v>440546097</v>
      </c>
      <c r="AE112" s="181">
        <v>1518065523</v>
      </c>
      <c r="AF112" s="181"/>
      <c r="AG112" s="181"/>
      <c r="AH112" s="181"/>
      <c r="AI112" s="181" t="s">
        <v>20</v>
      </c>
      <c r="AJ112" s="181" t="s">
        <v>481</v>
      </c>
      <c r="AK112" s="181" t="s">
        <v>1525</v>
      </c>
      <c r="AL112" s="181">
        <v>93261.74</v>
      </c>
      <c r="AM112" s="181"/>
      <c r="AN112" s="181"/>
      <c r="AO112" s="181">
        <v>617</v>
      </c>
      <c r="AP112" s="181" t="s">
        <v>485</v>
      </c>
      <c r="AQ112" s="181" t="s">
        <v>1526</v>
      </c>
      <c r="AR112" s="183">
        <v>46260</v>
      </c>
      <c r="AS112" s="181" t="s">
        <v>20</v>
      </c>
      <c r="AT112" s="181" t="s">
        <v>1527</v>
      </c>
      <c r="AU112" s="181"/>
      <c r="AV112" s="181" t="s">
        <v>1528</v>
      </c>
      <c r="AW112" s="181"/>
      <c r="AX112" s="181"/>
      <c r="AY112" s="181"/>
      <c r="AZ112" s="181"/>
      <c r="BA112" s="181"/>
      <c r="BB112" s="181"/>
      <c r="BC112" s="181"/>
      <c r="BD112" s="181" t="s">
        <v>20</v>
      </c>
      <c r="BE112" s="181">
        <v>34</v>
      </c>
      <c r="BF112" s="181"/>
      <c r="BG112" s="181" t="s">
        <v>490</v>
      </c>
      <c r="BH112" s="181" t="s">
        <v>491</v>
      </c>
      <c r="BI112" s="181">
        <v>498788335</v>
      </c>
      <c r="BJ112" s="181"/>
      <c r="BK112" s="181"/>
      <c r="BL112" s="181"/>
      <c r="BM112" s="181"/>
      <c r="BN112" s="181"/>
      <c r="BO112" s="181"/>
      <c r="BP112" s="181"/>
      <c r="BQ112" s="181"/>
      <c r="BR112" s="181"/>
      <c r="BS112" s="181"/>
      <c r="BT112" s="181"/>
      <c r="BU112" s="181"/>
      <c r="BV112" s="181"/>
      <c r="BW112" s="181"/>
      <c r="BX112" s="181"/>
      <c r="BY112" s="181"/>
      <c r="BZ112" s="181"/>
      <c r="CA112" s="190"/>
      <c r="CB112" s="3"/>
      <c r="CC112" s="16"/>
      <c r="CD112" s="16"/>
      <c r="CE112" s="16"/>
      <c r="CF112" s="16"/>
      <c r="CG112" s="16"/>
      <c r="CH112" s="16"/>
      <c r="CI112" s="16" t="s">
        <v>1529</v>
      </c>
    </row>
    <row r="113" spans="1:87">
      <c r="A113" s="16"/>
      <c r="B113" s="16"/>
      <c r="C113" s="3">
        <v>46272</v>
      </c>
      <c r="D113" s="26" t="s">
        <v>14</v>
      </c>
      <c r="E113" s="180" t="s">
        <v>1530</v>
      </c>
      <c r="F113" s="181">
        <v>2026211960260</v>
      </c>
      <c r="G113" s="181">
        <v>40</v>
      </c>
      <c r="H113" s="181">
        <v>39</v>
      </c>
      <c r="I113" s="181" t="s">
        <v>460</v>
      </c>
      <c r="J113" s="181" t="s">
        <v>1530</v>
      </c>
      <c r="K113" s="181" t="s">
        <v>895</v>
      </c>
      <c r="L113" s="181" t="s">
        <v>18</v>
      </c>
      <c r="M113" s="181">
        <v>14</v>
      </c>
      <c r="N113" s="181" t="s">
        <v>462</v>
      </c>
      <c r="O113" s="181" t="s">
        <v>606</v>
      </c>
      <c r="P113" s="181" t="s">
        <v>1531</v>
      </c>
      <c r="Q113" s="181" t="s">
        <v>465</v>
      </c>
      <c r="R113" s="181" t="s">
        <v>466</v>
      </c>
      <c r="S113" s="181" t="s">
        <v>1532</v>
      </c>
      <c r="T113" s="181" t="s">
        <v>465</v>
      </c>
      <c r="U113" s="182">
        <v>46257.938888888886</v>
      </c>
      <c r="V113" s="181" t="s">
        <v>469</v>
      </c>
      <c r="W113" s="181" t="s">
        <v>470</v>
      </c>
      <c r="X113" s="181" t="s">
        <v>471</v>
      </c>
      <c r="Y113" s="181" t="s">
        <v>472</v>
      </c>
      <c r="Z113" s="181" t="s">
        <v>1338</v>
      </c>
      <c r="AA113" s="181" t="s">
        <v>474</v>
      </c>
      <c r="AB113" s="181">
        <v>817500</v>
      </c>
      <c r="AC113" s="181" t="s">
        <v>1429</v>
      </c>
      <c r="AD113" s="181">
        <v>852607391</v>
      </c>
      <c r="AE113" s="181">
        <v>1467057372</v>
      </c>
      <c r="AF113" s="181"/>
      <c r="AG113" s="181"/>
      <c r="AH113" s="181"/>
      <c r="AI113" s="181" t="s">
        <v>20</v>
      </c>
      <c r="AJ113" s="181" t="s">
        <v>481</v>
      </c>
      <c r="AK113" s="181" t="s">
        <v>1533</v>
      </c>
      <c r="AL113" s="181">
        <v>150513.20000000001</v>
      </c>
      <c r="AM113" s="181"/>
      <c r="AN113" s="181"/>
      <c r="AO113" s="181">
        <v>210</v>
      </c>
      <c r="AP113" s="181" t="s">
        <v>485</v>
      </c>
      <c r="AQ113" s="181" t="s">
        <v>1534</v>
      </c>
      <c r="AR113" s="183">
        <v>46258</v>
      </c>
      <c r="AS113" s="181" t="s">
        <v>20</v>
      </c>
      <c r="AT113" s="181" t="s">
        <v>938</v>
      </c>
      <c r="AU113" s="181"/>
      <c r="AV113" s="181" t="s">
        <v>1535</v>
      </c>
      <c r="AW113" s="181"/>
      <c r="AX113" s="181"/>
      <c r="AY113" s="181"/>
      <c r="AZ113" s="181"/>
      <c r="BA113" s="181"/>
      <c r="BB113" s="181"/>
      <c r="BC113" s="181"/>
      <c r="BD113" s="181" t="s">
        <v>20</v>
      </c>
      <c r="BE113" s="181">
        <v>39</v>
      </c>
      <c r="BF113" s="181"/>
      <c r="BG113" s="181" t="s">
        <v>490</v>
      </c>
      <c r="BH113" s="181" t="s">
        <v>491</v>
      </c>
      <c r="BI113" s="181">
        <v>57585793</v>
      </c>
      <c r="BJ113" s="181"/>
      <c r="BK113" s="181"/>
      <c r="BL113" s="181"/>
      <c r="BM113" s="181"/>
      <c r="BN113" s="181"/>
      <c r="BO113" s="181"/>
      <c r="BP113" s="181"/>
      <c r="BQ113" s="181"/>
      <c r="BR113" s="181"/>
      <c r="BS113" s="181"/>
      <c r="BT113" s="181"/>
      <c r="BU113" s="181"/>
      <c r="BV113" s="181"/>
      <c r="BW113" s="181"/>
      <c r="BX113" s="181"/>
      <c r="BY113" s="181"/>
      <c r="BZ113" s="181"/>
      <c r="CA113" s="190"/>
      <c r="CB113" s="3"/>
      <c r="CC113" s="16"/>
      <c r="CD113" s="16"/>
      <c r="CE113" s="16"/>
      <c r="CF113" s="16"/>
      <c r="CG113" s="16"/>
      <c r="CH113" s="16"/>
      <c r="CI113" s="16" t="s">
        <v>1536</v>
      </c>
    </row>
    <row r="114" spans="1:87">
      <c r="A114" s="16"/>
      <c r="B114" s="16"/>
      <c r="C114" s="3">
        <v>46272</v>
      </c>
      <c r="D114" s="26" t="s">
        <v>14</v>
      </c>
      <c r="E114" s="180" t="s">
        <v>1537</v>
      </c>
      <c r="F114" s="181">
        <v>2026211550241</v>
      </c>
      <c r="G114" s="181">
        <v>40</v>
      </c>
      <c r="H114" s="181">
        <v>39</v>
      </c>
      <c r="I114" s="181" t="s">
        <v>460</v>
      </c>
      <c r="J114" s="181" t="s">
        <v>1537</v>
      </c>
      <c r="K114" s="181" t="s">
        <v>895</v>
      </c>
      <c r="L114" s="181" t="s">
        <v>18</v>
      </c>
      <c r="M114" s="181">
        <v>14</v>
      </c>
      <c r="N114" s="181" t="s">
        <v>462</v>
      </c>
      <c r="O114" s="181" t="s">
        <v>606</v>
      </c>
      <c r="P114" s="181" t="s">
        <v>1538</v>
      </c>
      <c r="Q114" s="181" t="s">
        <v>465</v>
      </c>
      <c r="R114" s="181" t="s">
        <v>466</v>
      </c>
      <c r="S114" s="181" t="s">
        <v>1539</v>
      </c>
      <c r="T114" s="181" t="s">
        <v>465</v>
      </c>
      <c r="U114" s="182">
        <v>46257.93472222222</v>
      </c>
      <c r="V114" s="181" t="s">
        <v>469</v>
      </c>
      <c r="W114" s="181" t="s">
        <v>470</v>
      </c>
      <c r="X114" s="181" t="s">
        <v>471</v>
      </c>
      <c r="Y114" s="181" t="s">
        <v>472</v>
      </c>
      <c r="Z114" s="181" t="s">
        <v>1338</v>
      </c>
      <c r="AA114" s="181" t="s">
        <v>474</v>
      </c>
      <c r="AB114" s="181" t="s">
        <v>1540</v>
      </c>
      <c r="AC114" s="181" t="s">
        <v>640</v>
      </c>
      <c r="AD114" s="181">
        <v>934898928</v>
      </c>
      <c r="AE114" s="181">
        <v>1518914886</v>
      </c>
      <c r="AF114" s="181">
        <v>1518914886</v>
      </c>
      <c r="AG114" s="181"/>
      <c r="AH114" s="181"/>
      <c r="AI114" s="181" t="s">
        <v>20</v>
      </c>
      <c r="AJ114" s="181" t="s">
        <v>481</v>
      </c>
      <c r="AK114" s="181" t="s">
        <v>1541</v>
      </c>
      <c r="AL114" s="181">
        <v>26351</v>
      </c>
      <c r="AM114" s="181"/>
      <c r="AN114" s="181"/>
      <c r="AO114" s="181">
        <v>881</v>
      </c>
      <c r="AP114" s="181" t="s">
        <v>485</v>
      </c>
      <c r="AQ114" s="181" t="s">
        <v>1542</v>
      </c>
      <c r="AR114" s="183">
        <v>46258</v>
      </c>
      <c r="AS114" s="181" t="s">
        <v>20</v>
      </c>
      <c r="AT114" s="181" t="s">
        <v>938</v>
      </c>
      <c r="AU114" s="181"/>
      <c r="AV114" s="181" t="s">
        <v>1543</v>
      </c>
      <c r="AW114" s="181"/>
      <c r="AX114" s="181"/>
      <c r="AY114" s="181"/>
      <c r="AZ114" s="181"/>
      <c r="BA114" s="181"/>
      <c r="BB114" s="181"/>
      <c r="BC114" s="181"/>
      <c r="BD114" s="181" t="s">
        <v>20</v>
      </c>
      <c r="BE114" s="181">
        <v>39</v>
      </c>
      <c r="BF114" s="181"/>
      <c r="BG114" s="181" t="s">
        <v>490</v>
      </c>
      <c r="BH114" s="181" t="s">
        <v>491</v>
      </c>
      <c r="BI114" s="181">
        <v>162409732</v>
      </c>
      <c r="BJ114" s="181"/>
      <c r="BK114" s="181"/>
      <c r="BL114" s="181"/>
      <c r="BM114" s="181"/>
      <c r="BN114" s="181"/>
      <c r="BO114" s="181"/>
      <c r="BP114" s="181"/>
      <c r="BQ114" s="181"/>
      <c r="BR114" s="181"/>
      <c r="BS114" s="181"/>
      <c r="BT114" s="181"/>
      <c r="BU114" s="181"/>
      <c r="BV114" s="181"/>
      <c r="BW114" s="181"/>
      <c r="BX114" s="181"/>
      <c r="BY114" s="181"/>
      <c r="BZ114" s="181"/>
      <c r="CA114" s="190"/>
      <c r="CB114" s="3"/>
      <c r="CC114" s="16"/>
      <c r="CD114" s="16"/>
      <c r="CE114" s="16"/>
      <c r="CF114" s="16"/>
      <c r="CG114" s="16"/>
      <c r="CH114" s="16"/>
      <c r="CI114" s="16" t="s">
        <v>1544</v>
      </c>
    </row>
    <row r="115" spans="1:87">
      <c r="A115" s="16"/>
      <c r="B115" s="16"/>
      <c r="C115" s="3">
        <v>46272</v>
      </c>
      <c r="D115" s="26" t="s">
        <v>14</v>
      </c>
      <c r="E115" s="180" t="s">
        <v>1545</v>
      </c>
      <c r="F115" s="181">
        <v>2026212190327</v>
      </c>
      <c r="G115" s="181">
        <v>40</v>
      </c>
      <c r="H115" s="181">
        <v>39</v>
      </c>
      <c r="I115" s="181" t="s">
        <v>460</v>
      </c>
      <c r="J115" s="181" t="s">
        <v>1545</v>
      </c>
      <c r="K115" s="181" t="s">
        <v>625</v>
      </c>
      <c r="L115" s="181" t="s">
        <v>17</v>
      </c>
      <c r="M115" s="181">
        <v>13</v>
      </c>
      <c r="N115" s="181" t="s">
        <v>462</v>
      </c>
      <c r="O115" s="181" t="s">
        <v>606</v>
      </c>
      <c r="P115" s="181" t="s">
        <v>1546</v>
      </c>
      <c r="Q115" s="181" t="s">
        <v>465</v>
      </c>
      <c r="R115" s="181" t="s">
        <v>466</v>
      </c>
      <c r="S115" s="181" t="s">
        <v>1547</v>
      </c>
      <c r="T115" s="181" t="s">
        <v>465</v>
      </c>
      <c r="U115" s="182">
        <v>46258.85</v>
      </c>
      <c r="V115" s="181" t="s">
        <v>469</v>
      </c>
      <c r="W115" s="181" t="s">
        <v>470</v>
      </c>
      <c r="X115" s="181" t="s">
        <v>471</v>
      </c>
      <c r="Y115" s="181" t="s">
        <v>472</v>
      </c>
      <c r="Z115" s="181" t="s">
        <v>731</v>
      </c>
      <c r="AA115" s="181" t="s">
        <v>474</v>
      </c>
      <c r="AB115" s="181" t="s">
        <v>1548</v>
      </c>
      <c r="AC115" s="181" t="s">
        <v>733</v>
      </c>
      <c r="AD115" s="181">
        <v>430653493</v>
      </c>
      <c r="AE115" s="181">
        <v>1427098169</v>
      </c>
      <c r="AF115" s="181"/>
      <c r="AG115" s="181"/>
      <c r="AH115" s="181"/>
      <c r="AI115" s="181" t="s">
        <v>70</v>
      </c>
      <c r="AJ115" s="181" t="s">
        <v>481</v>
      </c>
      <c r="AK115" s="181" t="s">
        <v>1549</v>
      </c>
      <c r="AL115" s="181">
        <v>9422.25</v>
      </c>
      <c r="AM115" s="181"/>
      <c r="AN115" s="181"/>
      <c r="AO115" s="181">
        <v>310</v>
      </c>
      <c r="AP115" s="181" t="s">
        <v>485</v>
      </c>
      <c r="AQ115" s="181" t="s">
        <v>1550</v>
      </c>
      <c r="AR115" s="183">
        <v>46259</v>
      </c>
      <c r="AS115" s="181" t="s">
        <v>70</v>
      </c>
      <c r="AT115" s="181" t="s">
        <v>1551</v>
      </c>
      <c r="AU115" s="181"/>
      <c r="AV115" s="181" t="s">
        <v>737</v>
      </c>
      <c r="AW115" s="181"/>
      <c r="AX115" s="181"/>
      <c r="AY115" s="181"/>
      <c r="AZ115" s="181"/>
      <c r="BA115" s="181"/>
      <c r="BB115" s="181"/>
      <c r="BC115" s="181"/>
      <c r="BD115" s="181" t="s">
        <v>70</v>
      </c>
      <c r="BE115" s="181">
        <v>38</v>
      </c>
      <c r="BF115" s="181"/>
      <c r="BG115" s="181"/>
      <c r="BH115" s="181" t="s">
        <v>491</v>
      </c>
      <c r="BI115" s="181">
        <v>488727865</v>
      </c>
      <c r="BJ115" s="181"/>
      <c r="BK115" s="181"/>
      <c r="BL115" s="181"/>
      <c r="BM115" s="181"/>
      <c r="BN115" s="181"/>
      <c r="BO115" s="181"/>
      <c r="BP115" s="181"/>
      <c r="BQ115" s="181"/>
      <c r="BR115" s="181"/>
      <c r="BS115" s="181"/>
      <c r="BT115" s="181"/>
      <c r="BU115" s="181"/>
      <c r="BV115" s="181"/>
      <c r="BW115" s="181"/>
      <c r="BX115" s="181"/>
      <c r="BY115" s="181"/>
      <c r="BZ115" s="181"/>
      <c r="CA115" s="190"/>
      <c r="CB115" s="3"/>
      <c r="CC115" s="16"/>
      <c r="CD115" s="16"/>
      <c r="CE115" s="16"/>
      <c r="CF115" s="16"/>
      <c r="CG115" s="16"/>
      <c r="CH115" s="16"/>
      <c r="CI115" s="16" t="s">
        <v>1552</v>
      </c>
    </row>
    <row r="116" spans="1:87" ht="29.25">
      <c r="A116" s="16" t="s">
        <v>5</v>
      </c>
      <c r="B116" s="25" t="s">
        <v>1553</v>
      </c>
      <c r="C116" s="3">
        <v>46272</v>
      </c>
      <c r="D116" s="26" t="s">
        <v>14</v>
      </c>
      <c r="E116" s="180" t="s">
        <v>1554</v>
      </c>
      <c r="F116" s="181">
        <v>2026215620430</v>
      </c>
      <c r="G116" s="181">
        <v>40</v>
      </c>
      <c r="H116" s="181">
        <v>35</v>
      </c>
      <c r="I116" s="181" t="s">
        <v>460</v>
      </c>
      <c r="J116" s="181" t="s">
        <v>1554</v>
      </c>
      <c r="K116" s="181" t="s">
        <v>1555</v>
      </c>
      <c r="L116" s="181" t="s">
        <v>17</v>
      </c>
      <c r="M116" s="181">
        <v>12</v>
      </c>
      <c r="N116" s="181" t="s">
        <v>462</v>
      </c>
      <c r="O116" s="181" t="s">
        <v>606</v>
      </c>
      <c r="P116" s="181" t="s">
        <v>1556</v>
      </c>
      <c r="Q116" s="181" t="s">
        <v>465</v>
      </c>
      <c r="R116" s="181" t="s">
        <v>466</v>
      </c>
      <c r="S116" s="181" t="s">
        <v>1557</v>
      </c>
      <c r="T116" s="181" t="s">
        <v>465</v>
      </c>
      <c r="U116" s="182">
        <v>46259.859027777777</v>
      </c>
      <c r="V116" s="181" t="s">
        <v>469</v>
      </c>
      <c r="W116" s="181" t="s">
        <v>470</v>
      </c>
      <c r="X116" s="181" t="s">
        <v>471</v>
      </c>
      <c r="Y116" s="181" t="s">
        <v>472</v>
      </c>
      <c r="Z116" s="181" t="s">
        <v>501</v>
      </c>
      <c r="AA116" s="181" t="s">
        <v>474</v>
      </c>
      <c r="AB116" s="181" t="s">
        <v>1558</v>
      </c>
      <c r="AC116" s="181" t="s">
        <v>503</v>
      </c>
      <c r="AD116" s="181">
        <v>541988843</v>
      </c>
      <c r="AE116" s="181">
        <v>1679591440</v>
      </c>
      <c r="AF116" s="181">
        <v>1568428258</v>
      </c>
      <c r="AG116" s="181"/>
      <c r="AH116" s="181"/>
      <c r="AI116" s="181" t="s">
        <v>32</v>
      </c>
      <c r="AJ116" s="181" t="s">
        <v>481</v>
      </c>
      <c r="AK116" s="181" t="s">
        <v>1559</v>
      </c>
      <c r="AL116" s="181">
        <v>5885</v>
      </c>
      <c r="AM116" s="181"/>
      <c r="AN116" s="181"/>
      <c r="AO116" s="181">
        <v>303</v>
      </c>
      <c r="AP116" s="181" t="s">
        <v>485</v>
      </c>
      <c r="AQ116" s="181" t="s">
        <v>1560</v>
      </c>
      <c r="AR116" s="183">
        <v>46260</v>
      </c>
      <c r="AS116" s="181" t="s">
        <v>32</v>
      </c>
      <c r="AT116" s="181" t="s">
        <v>516</v>
      </c>
      <c r="AU116" s="181"/>
      <c r="AV116" s="181" t="s">
        <v>1048</v>
      </c>
      <c r="AW116" s="181"/>
      <c r="AX116" s="181"/>
      <c r="AY116" s="181"/>
      <c r="AZ116" s="181"/>
      <c r="BA116" s="181"/>
      <c r="BB116" s="181"/>
      <c r="BC116" s="181"/>
      <c r="BD116" s="181" t="s">
        <v>32</v>
      </c>
      <c r="BE116" s="181">
        <v>35</v>
      </c>
      <c r="BF116" s="181"/>
      <c r="BG116" s="181"/>
      <c r="BH116" s="181" t="s">
        <v>491</v>
      </c>
      <c r="BI116" s="181">
        <v>199563575</v>
      </c>
      <c r="BJ116" s="181"/>
      <c r="BK116" s="181"/>
      <c r="BL116" s="181"/>
      <c r="BM116" s="181"/>
      <c r="BN116" s="181"/>
      <c r="BO116" s="181"/>
      <c r="BP116" s="181"/>
      <c r="BQ116" s="181"/>
      <c r="BR116" s="181"/>
      <c r="BS116" s="181"/>
      <c r="BT116" s="181"/>
      <c r="BU116" s="181"/>
      <c r="BV116" s="181"/>
      <c r="BW116" s="181"/>
      <c r="BX116" s="181"/>
      <c r="BY116" s="181"/>
      <c r="BZ116" s="181"/>
      <c r="CA116" s="190">
        <v>46285.666666666701</v>
      </c>
      <c r="CB116" s="3"/>
      <c r="CC116" s="16"/>
      <c r="CD116" s="16"/>
      <c r="CE116" s="16"/>
      <c r="CF116" s="16"/>
      <c r="CG116" s="16"/>
      <c r="CH116" s="16"/>
      <c r="CI116" s="16" t="s">
        <v>1561</v>
      </c>
    </row>
    <row r="117" spans="1:87">
      <c r="A117" s="16" t="s">
        <v>5</v>
      </c>
      <c r="B117" s="16" t="s">
        <v>516</v>
      </c>
      <c r="C117" s="3">
        <v>46272</v>
      </c>
      <c r="D117" s="26" t="s">
        <v>14</v>
      </c>
      <c r="E117" s="180" t="s">
        <v>1562</v>
      </c>
      <c r="F117" s="181">
        <v>2026216100385</v>
      </c>
      <c r="G117" s="181">
        <v>40</v>
      </c>
      <c r="H117" s="181">
        <v>34</v>
      </c>
      <c r="I117" s="181" t="s">
        <v>460</v>
      </c>
      <c r="J117" s="181" t="s">
        <v>1562</v>
      </c>
      <c r="K117" s="181" t="s">
        <v>1436</v>
      </c>
      <c r="L117" s="181" t="s">
        <v>18</v>
      </c>
      <c r="M117" s="181">
        <v>11</v>
      </c>
      <c r="N117" s="181" t="s">
        <v>462</v>
      </c>
      <c r="O117" s="181" t="s">
        <v>606</v>
      </c>
      <c r="P117" s="181" t="s">
        <v>1563</v>
      </c>
      <c r="Q117" s="181" t="s">
        <v>465</v>
      </c>
      <c r="R117" s="181" t="s">
        <v>466</v>
      </c>
      <c r="S117" s="181" t="s">
        <v>1564</v>
      </c>
      <c r="T117" s="181" t="s">
        <v>465</v>
      </c>
      <c r="U117" s="182">
        <v>46260.772222222222</v>
      </c>
      <c r="V117" s="181" t="s">
        <v>469</v>
      </c>
      <c r="W117" s="181" t="s">
        <v>470</v>
      </c>
      <c r="X117" s="181" t="s">
        <v>471</v>
      </c>
      <c r="Y117" s="181" t="s">
        <v>472</v>
      </c>
      <c r="Z117" s="181" t="s">
        <v>1338</v>
      </c>
      <c r="AA117" s="181" t="s">
        <v>474</v>
      </c>
      <c r="AB117" s="181" t="s">
        <v>1464</v>
      </c>
      <c r="AC117" s="181" t="s">
        <v>1429</v>
      </c>
      <c r="AD117" s="181">
        <v>60646668</v>
      </c>
      <c r="AE117" s="181">
        <v>1407806391</v>
      </c>
      <c r="AF117" s="181">
        <v>1417005000</v>
      </c>
      <c r="AG117" s="181"/>
      <c r="AH117" s="181"/>
      <c r="AI117" s="181" t="s">
        <v>238</v>
      </c>
      <c r="AJ117" s="181" t="s">
        <v>481</v>
      </c>
      <c r="AK117" s="181" t="s">
        <v>1565</v>
      </c>
      <c r="AL117" s="181">
        <v>38340</v>
      </c>
      <c r="AM117" s="181"/>
      <c r="AN117" s="181"/>
      <c r="AO117" s="181">
        <v>213</v>
      </c>
      <c r="AP117" s="181" t="s">
        <v>485</v>
      </c>
      <c r="AQ117" s="181" t="s">
        <v>1566</v>
      </c>
      <c r="AR117" s="183">
        <v>46261</v>
      </c>
      <c r="AS117" s="181" t="s">
        <v>238</v>
      </c>
      <c r="AT117" s="181" t="s">
        <v>976</v>
      </c>
      <c r="AU117" s="181"/>
      <c r="AV117" s="181" t="s">
        <v>1567</v>
      </c>
      <c r="AW117" s="181"/>
      <c r="AX117" s="181"/>
      <c r="AY117" s="181"/>
      <c r="AZ117" s="181"/>
      <c r="BA117" s="181"/>
      <c r="BB117" s="181"/>
      <c r="BC117" s="181"/>
      <c r="BD117" s="181" t="s">
        <v>238</v>
      </c>
      <c r="BE117" s="181">
        <v>34</v>
      </c>
      <c r="BF117" s="181"/>
      <c r="BG117" s="181"/>
      <c r="BH117" s="181" t="s">
        <v>491</v>
      </c>
      <c r="BI117" s="181">
        <v>781966117</v>
      </c>
      <c r="BJ117" s="181"/>
      <c r="BK117" s="181"/>
      <c r="BL117" s="181"/>
      <c r="BM117" s="181"/>
      <c r="BN117" s="181"/>
      <c r="BO117" s="181"/>
      <c r="BP117" s="181"/>
      <c r="BQ117" s="181"/>
      <c r="BR117" s="181"/>
      <c r="BS117" s="181"/>
      <c r="BT117" s="181"/>
      <c r="BU117" s="181"/>
      <c r="BV117" s="181"/>
      <c r="BW117" s="181"/>
      <c r="BX117" s="181"/>
      <c r="BY117" s="181"/>
      <c r="BZ117" s="181"/>
      <c r="CA117" s="190">
        <v>46280.666666666701</v>
      </c>
      <c r="CB117" s="3"/>
      <c r="CC117" s="16"/>
      <c r="CD117" s="16"/>
      <c r="CE117" s="16"/>
      <c r="CF117" s="16"/>
      <c r="CG117" s="16"/>
      <c r="CH117" s="16"/>
      <c r="CI117" s="16" t="s">
        <v>1568</v>
      </c>
    </row>
    <row r="118" spans="1:87" ht="29.25">
      <c r="A118" s="16" t="s">
        <v>5</v>
      </c>
      <c r="B118" s="25" t="s">
        <v>1569</v>
      </c>
      <c r="C118" s="3">
        <v>46272</v>
      </c>
      <c r="D118" s="26" t="s">
        <v>14</v>
      </c>
      <c r="E118" s="180" t="s">
        <v>1570</v>
      </c>
      <c r="F118" s="181">
        <v>2026209560339</v>
      </c>
      <c r="G118" s="181">
        <v>40</v>
      </c>
      <c r="H118" s="181">
        <v>41</v>
      </c>
      <c r="I118" s="181" t="s">
        <v>460</v>
      </c>
      <c r="J118" s="181" t="s">
        <v>1570</v>
      </c>
      <c r="K118" s="181" t="s">
        <v>721</v>
      </c>
      <c r="L118" s="181" t="s">
        <v>13</v>
      </c>
      <c r="M118" s="181">
        <v>18</v>
      </c>
      <c r="N118" s="181" t="s">
        <v>462</v>
      </c>
      <c r="O118" s="181" t="s">
        <v>606</v>
      </c>
      <c r="P118" s="181" t="s">
        <v>1571</v>
      </c>
      <c r="Q118" s="181" t="s">
        <v>465</v>
      </c>
      <c r="R118" s="181" t="s">
        <v>466</v>
      </c>
      <c r="S118" s="181" t="s">
        <v>1572</v>
      </c>
      <c r="T118" s="181" t="s">
        <v>465</v>
      </c>
      <c r="U118" s="182">
        <v>46253.987500000003</v>
      </c>
      <c r="V118" s="181" t="s">
        <v>469</v>
      </c>
      <c r="W118" s="181" t="s">
        <v>470</v>
      </c>
      <c r="X118" s="181" t="s">
        <v>471</v>
      </c>
      <c r="Y118" s="181" t="s">
        <v>472</v>
      </c>
      <c r="Z118" s="181" t="s">
        <v>473</v>
      </c>
      <c r="AA118" s="181" t="s">
        <v>474</v>
      </c>
      <c r="AB118" s="181" t="s">
        <v>1573</v>
      </c>
      <c r="AC118" s="181" t="s">
        <v>476</v>
      </c>
      <c r="AD118" s="181">
        <v>391130341</v>
      </c>
      <c r="AE118" s="181">
        <v>1902850696</v>
      </c>
      <c r="AF118" s="181">
        <v>1568793479</v>
      </c>
      <c r="AG118" s="181"/>
      <c r="AH118" s="181"/>
      <c r="AI118" s="181" t="s">
        <v>75</v>
      </c>
      <c r="AJ118" s="181" t="s">
        <v>481</v>
      </c>
      <c r="AK118" s="181" t="s">
        <v>1574</v>
      </c>
      <c r="AL118" s="181">
        <v>16489</v>
      </c>
      <c r="AM118" s="181"/>
      <c r="AN118" s="181"/>
      <c r="AO118" s="181">
        <v>717</v>
      </c>
      <c r="AP118" s="181" t="s">
        <v>485</v>
      </c>
      <c r="AQ118" s="181" t="s">
        <v>1575</v>
      </c>
      <c r="AR118" s="183">
        <v>46254</v>
      </c>
      <c r="AS118" s="181" t="s">
        <v>75</v>
      </c>
      <c r="AT118" s="181" t="s">
        <v>725</v>
      </c>
      <c r="AU118" s="181"/>
      <c r="AV118" s="181" t="s">
        <v>1312</v>
      </c>
      <c r="AW118" s="181"/>
      <c r="AX118" s="181"/>
      <c r="AY118" s="181"/>
      <c r="AZ118" s="181"/>
      <c r="BA118" s="181"/>
      <c r="BB118" s="181"/>
      <c r="BC118" s="181"/>
      <c r="BD118" s="181" t="s">
        <v>75</v>
      </c>
      <c r="BE118" s="181">
        <v>41</v>
      </c>
      <c r="BF118" s="181"/>
      <c r="BG118" s="181" t="s">
        <v>490</v>
      </c>
      <c r="BH118" s="181" t="s">
        <v>491</v>
      </c>
      <c r="BI118" s="181">
        <v>399820104</v>
      </c>
      <c r="BJ118" s="181"/>
      <c r="BK118" s="181"/>
      <c r="BL118" s="181"/>
      <c r="BM118" s="181"/>
      <c r="BN118" s="181"/>
      <c r="BO118" s="181"/>
      <c r="BP118" s="181"/>
      <c r="BQ118" s="181"/>
      <c r="BR118" s="181"/>
      <c r="BS118" s="181"/>
      <c r="BT118" s="181"/>
      <c r="BU118" s="181"/>
      <c r="BV118" s="181"/>
      <c r="BW118" s="181"/>
      <c r="BX118" s="181"/>
      <c r="BY118" s="181"/>
      <c r="BZ118" s="181"/>
      <c r="CA118" s="190">
        <v>46280.666666666701</v>
      </c>
      <c r="CB118" s="3"/>
      <c r="CC118" s="16"/>
      <c r="CD118" s="16"/>
      <c r="CE118" s="16"/>
      <c r="CF118" s="16"/>
      <c r="CG118" s="16"/>
      <c r="CH118" s="16"/>
      <c r="CI118" s="16" t="s">
        <v>1576</v>
      </c>
    </row>
    <row r="119" spans="1:87">
      <c r="A119" s="16"/>
      <c r="B119" s="16"/>
      <c r="C119" s="3">
        <v>46272</v>
      </c>
      <c r="D119" s="26" t="s">
        <v>14</v>
      </c>
      <c r="E119" s="180" t="s">
        <v>1577</v>
      </c>
      <c r="F119" s="181">
        <v>2026206500206</v>
      </c>
      <c r="G119" s="181">
        <v>40</v>
      </c>
      <c r="H119" s="181">
        <v>44</v>
      </c>
      <c r="I119" s="181" t="s">
        <v>460</v>
      </c>
      <c r="J119" s="181" t="s">
        <v>1577</v>
      </c>
      <c r="K119" s="181" t="s">
        <v>648</v>
      </c>
      <c r="L119" s="181" t="s">
        <v>17</v>
      </c>
      <c r="M119" s="181">
        <v>19</v>
      </c>
      <c r="N119" s="181" t="s">
        <v>462</v>
      </c>
      <c r="O119" s="181" t="s">
        <v>606</v>
      </c>
      <c r="P119" s="181" t="s">
        <v>1578</v>
      </c>
      <c r="Q119" s="181" t="s">
        <v>465</v>
      </c>
      <c r="R119" s="181" t="s">
        <v>466</v>
      </c>
      <c r="S119" s="181" t="s">
        <v>1579</v>
      </c>
      <c r="T119" s="181" t="s">
        <v>465</v>
      </c>
      <c r="U119" s="182">
        <v>46252.821527777778</v>
      </c>
      <c r="V119" s="181" t="s">
        <v>469</v>
      </c>
      <c r="W119" s="181" t="s">
        <v>470</v>
      </c>
      <c r="X119" s="181" t="s">
        <v>471</v>
      </c>
      <c r="Y119" s="181" t="s">
        <v>472</v>
      </c>
      <c r="Z119" s="181" t="s">
        <v>1338</v>
      </c>
      <c r="AA119" s="181" t="s">
        <v>474</v>
      </c>
      <c r="AB119" s="181" t="s">
        <v>1580</v>
      </c>
      <c r="AC119" s="181" t="s">
        <v>1429</v>
      </c>
      <c r="AD119" s="181">
        <v>60837726</v>
      </c>
      <c r="AE119" s="181">
        <v>1972500304</v>
      </c>
      <c r="AF119" s="181">
        <v>1073807335</v>
      </c>
      <c r="AG119" s="181"/>
      <c r="AH119" s="181"/>
      <c r="AI119" s="181" t="s">
        <v>201</v>
      </c>
      <c r="AJ119" s="181" t="s">
        <v>481</v>
      </c>
      <c r="AK119" s="181" t="s">
        <v>1581</v>
      </c>
      <c r="AL119" s="181">
        <v>33548</v>
      </c>
      <c r="AM119" s="181"/>
      <c r="AN119" s="181"/>
      <c r="AO119" s="181">
        <v>660</v>
      </c>
      <c r="AP119" s="181" t="s">
        <v>485</v>
      </c>
      <c r="AQ119" s="181" t="s">
        <v>1582</v>
      </c>
      <c r="AR119" s="183">
        <v>46253</v>
      </c>
      <c r="AS119" s="181" t="s">
        <v>201</v>
      </c>
      <c r="AT119" s="181" t="s">
        <v>835</v>
      </c>
      <c r="AU119" s="181"/>
      <c r="AV119" s="181" t="s">
        <v>1583</v>
      </c>
      <c r="AW119" s="181"/>
      <c r="AX119" s="181"/>
      <c r="AY119" s="181"/>
      <c r="AZ119" s="181"/>
      <c r="BA119" s="181"/>
      <c r="BB119" s="181"/>
      <c r="BC119" s="181"/>
      <c r="BD119" s="181" t="s">
        <v>201</v>
      </c>
      <c r="BE119" s="181">
        <v>44</v>
      </c>
      <c r="BF119" s="181"/>
      <c r="BG119" s="181"/>
      <c r="BH119" s="181" t="s">
        <v>491</v>
      </c>
      <c r="BI119" s="181">
        <v>47542145</v>
      </c>
      <c r="BJ119" s="181"/>
      <c r="BK119" s="181"/>
      <c r="BL119" s="181"/>
      <c r="BM119" s="181"/>
      <c r="BN119" s="181"/>
      <c r="BO119" s="181"/>
      <c r="BP119" s="181"/>
      <c r="BQ119" s="181"/>
      <c r="BR119" s="181"/>
      <c r="BS119" s="181"/>
      <c r="BT119" s="181"/>
      <c r="BU119" s="181"/>
      <c r="BV119" s="181"/>
      <c r="BW119" s="181"/>
      <c r="BX119" s="181"/>
      <c r="BY119" s="181"/>
      <c r="BZ119" s="181"/>
      <c r="CA119" s="190"/>
      <c r="CB119" s="3"/>
      <c r="CC119" s="16"/>
      <c r="CD119" s="16"/>
      <c r="CE119" s="16"/>
      <c r="CF119" s="16"/>
      <c r="CG119" s="16"/>
      <c r="CH119" s="16"/>
      <c r="CI119" s="16" t="s">
        <v>1584</v>
      </c>
    </row>
    <row r="120" spans="1:87" ht="29.25">
      <c r="A120" s="16" t="s">
        <v>5</v>
      </c>
      <c r="B120" s="25" t="s">
        <v>1179</v>
      </c>
      <c r="C120" s="3">
        <v>46272</v>
      </c>
      <c r="D120" s="26" t="s">
        <v>14</v>
      </c>
      <c r="E120" s="180" t="s">
        <v>1585</v>
      </c>
      <c r="F120" s="181">
        <v>2026210960559</v>
      </c>
      <c r="G120" s="181">
        <v>40</v>
      </c>
      <c r="H120" s="181">
        <v>40</v>
      </c>
      <c r="I120" s="181" t="s">
        <v>460</v>
      </c>
      <c r="J120" s="181" t="s">
        <v>1585</v>
      </c>
      <c r="K120" s="181" t="s">
        <v>1040</v>
      </c>
      <c r="L120" s="181" t="s">
        <v>17</v>
      </c>
      <c r="M120" s="181">
        <v>17</v>
      </c>
      <c r="N120" s="181" t="s">
        <v>462</v>
      </c>
      <c r="O120" s="181" t="s">
        <v>606</v>
      </c>
      <c r="P120" s="181" t="s">
        <v>1586</v>
      </c>
      <c r="Q120" s="181" t="s">
        <v>465</v>
      </c>
      <c r="R120" s="181" t="s">
        <v>466</v>
      </c>
      <c r="S120" s="181" t="s">
        <v>1587</v>
      </c>
      <c r="T120" s="181" t="s">
        <v>465</v>
      </c>
      <c r="U120" s="182">
        <v>46255.340277777781</v>
      </c>
      <c r="V120" s="181" t="s">
        <v>469</v>
      </c>
      <c r="W120" s="181" t="s">
        <v>589</v>
      </c>
      <c r="X120" s="181" t="s">
        <v>471</v>
      </c>
      <c r="Y120" s="181" t="s">
        <v>472</v>
      </c>
      <c r="Z120" s="181" t="s">
        <v>544</v>
      </c>
      <c r="AA120" s="181" t="s">
        <v>474</v>
      </c>
      <c r="AB120" s="181" t="s">
        <v>1588</v>
      </c>
      <c r="AC120" s="181" t="s">
        <v>546</v>
      </c>
      <c r="AD120" s="181">
        <v>581581693</v>
      </c>
      <c r="AE120" s="181">
        <v>1780779363</v>
      </c>
      <c r="AF120" s="181">
        <v>1457523367</v>
      </c>
      <c r="AG120" s="181"/>
      <c r="AH120" s="181"/>
      <c r="AI120" s="181" t="s">
        <v>173</v>
      </c>
      <c r="AJ120" s="181" t="s">
        <v>481</v>
      </c>
      <c r="AK120" s="181" t="s">
        <v>1589</v>
      </c>
      <c r="AL120" s="181">
        <v>4161</v>
      </c>
      <c r="AM120" s="181"/>
      <c r="AN120" s="181"/>
      <c r="AO120" s="181">
        <v>800</v>
      </c>
      <c r="AP120" s="181" t="s">
        <v>485</v>
      </c>
      <c r="AQ120" s="181" t="s">
        <v>1590</v>
      </c>
      <c r="AR120" s="183">
        <v>46255</v>
      </c>
      <c r="AS120" s="181" t="s">
        <v>173</v>
      </c>
      <c r="AT120" s="181" t="s">
        <v>1047</v>
      </c>
      <c r="AU120" s="181"/>
      <c r="AV120" s="181" t="s">
        <v>1591</v>
      </c>
      <c r="AW120" s="181"/>
      <c r="AX120" s="181"/>
      <c r="AY120" s="181"/>
      <c r="AZ120" s="181"/>
      <c r="BA120" s="181"/>
      <c r="BB120" s="181"/>
      <c r="BC120" s="181"/>
      <c r="BD120" s="181" t="s">
        <v>173</v>
      </c>
      <c r="BE120" s="181">
        <v>40</v>
      </c>
      <c r="BF120" s="181"/>
      <c r="BG120" s="181"/>
      <c r="BH120" s="181" t="s">
        <v>491</v>
      </c>
      <c r="BI120" s="181">
        <v>254352278</v>
      </c>
      <c r="BJ120" s="181"/>
      <c r="BK120" s="181"/>
      <c r="BL120" s="181"/>
      <c r="BM120" s="181"/>
      <c r="BN120" s="181"/>
      <c r="BO120" s="181"/>
      <c r="BP120" s="181"/>
      <c r="BQ120" s="181"/>
      <c r="BR120" s="181"/>
      <c r="BS120" s="181"/>
      <c r="BT120" s="181"/>
      <c r="BU120" s="181"/>
      <c r="BV120" s="181"/>
      <c r="BW120" s="181"/>
      <c r="BX120" s="181"/>
      <c r="BY120" s="181"/>
      <c r="BZ120" s="181"/>
      <c r="CA120" s="190">
        <v>46282.666666666701</v>
      </c>
      <c r="CB120" s="3"/>
      <c r="CC120" s="16"/>
      <c r="CD120" s="16"/>
      <c r="CE120" s="16"/>
      <c r="CF120" s="16"/>
      <c r="CG120" s="16"/>
      <c r="CH120" s="16"/>
      <c r="CI120" s="16" t="s">
        <v>1592</v>
      </c>
    </row>
    <row r="121" spans="1:87">
      <c r="A121" s="16"/>
      <c r="B121" s="16"/>
      <c r="C121" s="3">
        <v>46272</v>
      </c>
      <c r="D121" s="26" t="s">
        <v>14</v>
      </c>
      <c r="E121" s="180" t="s">
        <v>1593</v>
      </c>
      <c r="F121" s="181">
        <v>2026208560087</v>
      </c>
      <c r="G121" s="181">
        <v>40</v>
      </c>
      <c r="H121" s="181">
        <v>42</v>
      </c>
      <c r="I121" s="181" t="s">
        <v>460</v>
      </c>
      <c r="J121" s="181" t="s">
        <v>1593</v>
      </c>
      <c r="K121" s="181" t="s">
        <v>625</v>
      </c>
      <c r="L121" s="181" t="s">
        <v>17</v>
      </c>
      <c r="M121" s="181">
        <v>18</v>
      </c>
      <c r="N121" s="181" t="s">
        <v>462</v>
      </c>
      <c r="O121" s="181" t="s">
        <v>606</v>
      </c>
      <c r="P121" s="181" t="s">
        <v>1594</v>
      </c>
      <c r="Q121" s="181" t="s">
        <v>465</v>
      </c>
      <c r="R121" s="181" t="s">
        <v>466</v>
      </c>
      <c r="S121" s="181" t="s">
        <v>1595</v>
      </c>
      <c r="T121" s="181" t="s">
        <v>465</v>
      </c>
      <c r="U121" s="182">
        <v>46253.963888888888</v>
      </c>
      <c r="V121" s="181" t="s">
        <v>469</v>
      </c>
      <c r="W121" s="181" t="s">
        <v>470</v>
      </c>
      <c r="X121" s="181" t="s">
        <v>471</v>
      </c>
      <c r="Y121" s="181" t="s">
        <v>472</v>
      </c>
      <c r="Z121" s="181" t="s">
        <v>473</v>
      </c>
      <c r="AA121" s="181" t="s">
        <v>474</v>
      </c>
      <c r="AB121" s="181" t="s">
        <v>1596</v>
      </c>
      <c r="AC121" s="181" t="s">
        <v>476</v>
      </c>
      <c r="AD121" s="181">
        <v>800337676</v>
      </c>
      <c r="AE121" s="181">
        <v>1861635971</v>
      </c>
      <c r="AF121" s="181"/>
      <c r="AG121" s="181"/>
      <c r="AH121" s="181"/>
      <c r="AI121" s="181" t="s">
        <v>70</v>
      </c>
      <c r="AJ121" s="181" t="s">
        <v>481</v>
      </c>
      <c r="AK121" s="181" t="s">
        <v>1597</v>
      </c>
      <c r="AL121" s="181">
        <v>55296.22</v>
      </c>
      <c r="AM121" s="181"/>
      <c r="AN121" s="181"/>
      <c r="AO121" s="181">
        <v>6</v>
      </c>
      <c r="AP121" s="181" t="s">
        <v>485</v>
      </c>
      <c r="AQ121" s="181" t="s">
        <v>1598</v>
      </c>
      <c r="AR121" s="183">
        <v>46254</v>
      </c>
      <c r="AS121" s="181" t="s">
        <v>70</v>
      </c>
      <c r="AT121" s="181" t="s">
        <v>1142</v>
      </c>
      <c r="AU121" s="181"/>
      <c r="AV121" s="181" t="s">
        <v>1599</v>
      </c>
      <c r="AW121" s="181"/>
      <c r="AX121" s="181"/>
      <c r="AY121" s="181"/>
      <c r="AZ121" s="181"/>
      <c r="BA121" s="181"/>
      <c r="BB121" s="181"/>
      <c r="BC121" s="181"/>
      <c r="BD121" s="181" t="s">
        <v>70</v>
      </c>
      <c r="BE121" s="181">
        <v>38</v>
      </c>
      <c r="BF121" s="181"/>
      <c r="BG121" s="181"/>
      <c r="BH121" s="181" t="s">
        <v>491</v>
      </c>
      <c r="BI121" s="181">
        <v>388869943</v>
      </c>
      <c r="BJ121" s="181"/>
      <c r="BK121" s="181"/>
      <c r="BL121" s="181"/>
      <c r="BM121" s="181"/>
      <c r="BN121" s="181"/>
      <c r="BO121" s="181"/>
      <c r="BP121" s="181"/>
      <c r="BQ121" s="181"/>
      <c r="BR121" s="181"/>
      <c r="BS121" s="181"/>
      <c r="BT121" s="181"/>
      <c r="BU121" s="181"/>
      <c r="BV121" s="181"/>
      <c r="BW121" s="181"/>
      <c r="BX121" s="181"/>
      <c r="BY121" s="181"/>
      <c r="BZ121" s="181"/>
      <c r="CA121" s="190"/>
      <c r="CB121" s="3"/>
      <c r="CC121" s="16"/>
      <c r="CD121" s="16"/>
      <c r="CE121" s="16"/>
      <c r="CF121" s="16"/>
      <c r="CG121" s="16"/>
      <c r="CH121" s="16"/>
      <c r="CI121" s="16" t="s">
        <v>1600</v>
      </c>
    </row>
    <row r="122" spans="1:87">
      <c r="A122" s="16"/>
      <c r="B122" s="16"/>
      <c r="C122" s="3">
        <v>46272</v>
      </c>
      <c r="D122" s="26" t="s">
        <v>14</v>
      </c>
      <c r="E122" s="180" t="s">
        <v>1601</v>
      </c>
      <c r="F122" s="181">
        <v>2026213460375</v>
      </c>
      <c r="G122" s="181">
        <v>40</v>
      </c>
      <c r="H122" s="181">
        <v>37</v>
      </c>
      <c r="I122" s="181" t="s">
        <v>460</v>
      </c>
      <c r="J122" s="181" t="s">
        <v>1601</v>
      </c>
      <c r="K122" s="181" t="s">
        <v>1040</v>
      </c>
      <c r="L122" s="181" t="s">
        <v>17</v>
      </c>
      <c r="M122" s="181">
        <v>10</v>
      </c>
      <c r="N122" s="181" t="s">
        <v>462</v>
      </c>
      <c r="O122" s="181" t="s">
        <v>606</v>
      </c>
      <c r="P122" s="181" t="s">
        <v>1602</v>
      </c>
      <c r="Q122" s="181" t="s">
        <v>465</v>
      </c>
      <c r="R122" s="181" t="s">
        <v>466</v>
      </c>
      <c r="S122" s="181" t="s">
        <v>1603</v>
      </c>
      <c r="T122" s="181" t="s">
        <v>465</v>
      </c>
      <c r="U122" s="182">
        <v>46261.732638888891</v>
      </c>
      <c r="V122" s="181" t="s">
        <v>469</v>
      </c>
      <c r="W122" s="181" t="s">
        <v>470</v>
      </c>
      <c r="X122" s="181" t="s">
        <v>471</v>
      </c>
      <c r="Y122" s="181" t="s">
        <v>472</v>
      </c>
      <c r="Z122" s="181" t="s">
        <v>731</v>
      </c>
      <c r="AA122" s="181" t="s">
        <v>474</v>
      </c>
      <c r="AB122" s="181" t="s">
        <v>1604</v>
      </c>
      <c r="AC122" s="181" t="s">
        <v>733</v>
      </c>
      <c r="AD122" s="181">
        <v>431343281</v>
      </c>
      <c r="AE122" s="181">
        <v>1598835308</v>
      </c>
      <c r="AF122" s="181"/>
      <c r="AG122" s="181"/>
      <c r="AH122" s="181"/>
      <c r="AI122" s="181" t="s">
        <v>173</v>
      </c>
      <c r="AJ122" s="181" t="s">
        <v>481</v>
      </c>
      <c r="AK122" s="181" t="s">
        <v>1605</v>
      </c>
      <c r="AL122" s="181">
        <v>24403.24</v>
      </c>
      <c r="AM122" s="181"/>
      <c r="AN122" s="181"/>
      <c r="AO122" s="181">
        <v>699</v>
      </c>
      <c r="AP122" s="181" t="s">
        <v>485</v>
      </c>
      <c r="AQ122" s="181" t="s">
        <v>1606</v>
      </c>
      <c r="AR122" s="183">
        <v>46262</v>
      </c>
      <c r="AS122" s="181" t="s">
        <v>173</v>
      </c>
      <c r="AT122" s="181" t="s">
        <v>1047</v>
      </c>
      <c r="AU122" s="181"/>
      <c r="AV122" s="181" t="s">
        <v>1607</v>
      </c>
      <c r="AW122" s="181"/>
      <c r="AX122" s="181"/>
      <c r="AY122" s="181"/>
      <c r="AZ122" s="181"/>
      <c r="BA122" s="181"/>
      <c r="BB122" s="181"/>
      <c r="BC122" s="181"/>
      <c r="BD122" s="181" t="s">
        <v>173</v>
      </c>
      <c r="BE122" s="181">
        <v>37</v>
      </c>
      <c r="BF122" s="181"/>
      <c r="BG122" s="181"/>
      <c r="BH122" s="181" t="s">
        <v>491</v>
      </c>
      <c r="BI122" s="181">
        <v>489923967</v>
      </c>
      <c r="BJ122" s="181"/>
      <c r="BK122" s="181"/>
      <c r="BL122" s="181"/>
      <c r="BM122" s="181"/>
      <c r="BN122" s="181"/>
      <c r="BO122" s="181"/>
      <c r="BP122" s="181"/>
      <c r="BQ122" s="181"/>
      <c r="BR122" s="181"/>
      <c r="BS122" s="181"/>
      <c r="BT122" s="181"/>
      <c r="BU122" s="181"/>
      <c r="BV122" s="181"/>
      <c r="BW122" s="181"/>
      <c r="BX122" s="181"/>
      <c r="BY122" s="181"/>
      <c r="BZ122" s="181"/>
      <c r="CA122" s="190"/>
      <c r="CB122" s="3"/>
      <c r="CC122" s="16"/>
      <c r="CD122" s="16"/>
      <c r="CE122" s="16"/>
      <c r="CF122" s="16"/>
      <c r="CG122" s="16"/>
      <c r="CH122" s="16"/>
      <c r="CI122" s="16" t="s">
        <v>1608</v>
      </c>
    </row>
    <row r="123" spans="1:87">
      <c r="A123" s="16"/>
      <c r="B123" s="16"/>
      <c r="C123" s="3">
        <v>46272</v>
      </c>
      <c r="D123" s="26" t="s">
        <v>14</v>
      </c>
      <c r="E123" s="180" t="s">
        <v>1609</v>
      </c>
      <c r="F123" s="181">
        <v>2026210130268</v>
      </c>
      <c r="G123" s="181">
        <v>40</v>
      </c>
      <c r="H123" s="181">
        <v>40</v>
      </c>
      <c r="I123" s="181" t="s">
        <v>460</v>
      </c>
      <c r="J123" s="181" t="s">
        <v>1609</v>
      </c>
      <c r="K123" s="181" t="s">
        <v>983</v>
      </c>
      <c r="L123" s="181" t="s">
        <v>17</v>
      </c>
      <c r="M123" s="181">
        <v>12</v>
      </c>
      <c r="N123" s="181" t="s">
        <v>462</v>
      </c>
      <c r="O123" s="181" t="s">
        <v>606</v>
      </c>
      <c r="P123" s="181" t="s">
        <v>1610</v>
      </c>
      <c r="Q123" s="181" t="s">
        <v>465</v>
      </c>
      <c r="R123" s="181" t="s">
        <v>466</v>
      </c>
      <c r="S123" s="181" t="s">
        <v>1611</v>
      </c>
      <c r="T123" s="181" t="s">
        <v>465</v>
      </c>
      <c r="U123" s="182">
        <v>46260.042361111111</v>
      </c>
      <c r="V123" s="181" t="s">
        <v>469</v>
      </c>
      <c r="W123" s="181" t="s">
        <v>470</v>
      </c>
      <c r="X123" s="181" t="s">
        <v>471</v>
      </c>
      <c r="Y123" s="181" t="s">
        <v>472</v>
      </c>
      <c r="Z123" s="181" t="s">
        <v>473</v>
      </c>
      <c r="AA123" s="181" t="s">
        <v>474</v>
      </c>
      <c r="AB123" s="181" t="s">
        <v>1612</v>
      </c>
      <c r="AC123" s="181" t="s">
        <v>476</v>
      </c>
      <c r="AD123" s="181">
        <v>391947472</v>
      </c>
      <c r="AE123" s="181">
        <v>1255387726</v>
      </c>
      <c r="AF123" s="181"/>
      <c r="AG123" s="181"/>
      <c r="AH123" s="181"/>
      <c r="AI123" s="181" t="s">
        <v>34</v>
      </c>
      <c r="AJ123" s="181" t="s">
        <v>481</v>
      </c>
      <c r="AK123" s="181" t="s">
        <v>1613</v>
      </c>
      <c r="AL123" s="181">
        <v>170022.95</v>
      </c>
      <c r="AM123" s="181"/>
      <c r="AN123" s="181"/>
      <c r="AO123" s="181">
        <v>86</v>
      </c>
      <c r="AP123" s="181" t="s">
        <v>485</v>
      </c>
      <c r="AQ123" s="181" t="s">
        <v>1614</v>
      </c>
      <c r="AR123" s="183">
        <v>46260</v>
      </c>
      <c r="AS123" s="181" t="s">
        <v>34</v>
      </c>
      <c r="AT123" s="181" t="s">
        <v>976</v>
      </c>
      <c r="AU123" s="181"/>
      <c r="AV123" s="181" t="s">
        <v>1615</v>
      </c>
      <c r="AW123" s="181"/>
      <c r="AX123" s="181"/>
      <c r="AY123" s="181"/>
      <c r="AZ123" s="181"/>
      <c r="BA123" s="181"/>
      <c r="BB123" s="181"/>
      <c r="BC123" s="181"/>
      <c r="BD123" s="181" t="s">
        <v>34</v>
      </c>
      <c r="BE123" s="181">
        <v>40</v>
      </c>
      <c r="BF123" s="181"/>
      <c r="BG123" s="181"/>
      <c r="BH123" s="181" t="s">
        <v>491</v>
      </c>
      <c r="BI123" s="181">
        <v>390983799</v>
      </c>
      <c r="BJ123" s="181"/>
      <c r="BK123" s="181"/>
      <c r="BL123" s="181"/>
      <c r="BM123" s="181"/>
      <c r="BN123" s="181"/>
      <c r="BO123" s="181"/>
      <c r="BP123" s="181"/>
      <c r="BQ123" s="181"/>
      <c r="BR123" s="181"/>
      <c r="BS123" s="181"/>
      <c r="BT123" s="181"/>
      <c r="BU123" s="181"/>
      <c r="BV123" s="181"/>
      <c r="BW123" s="181"/>
      <c r="BX123" s="181"/>
      <c r="BY123" s="181"/>
      <c r="BZ123" s="181"/>
      <c r="CA123" s="190"/>
      <c r="CB123" s="3"/>
      <c r="CC123" s="16"/>
      <c r="CD123" s="16"/>
      <c r="CE123" s="16"/>
      <c r="CF123" s="16"/>
      <c r="CG123" s="16"/>
      <c r="CH123" s="16"/>
      <c r="CI123" s="16" t="s">
        <v>1616</v>
      </c>
    </row>
    <row r="124" spans="1:87">
      <c r="A124" s="16"/>
      <c r="B124" s="16"/>
      <c r="C124" s="3">
        <v>46272</v>
      </c>
      <c r="D124" s="26" t="s">
        <v>14</v>
      </c>
      <c r="E124" s="180" t="s">
        <v>1617</v>
      </c>
      <c r="F124" s="181">
        <v>2026211490316</v>
      </c>
      <c r="G124" s="181">
        <v>40</v>
      </c>
      <c r="H124" s="181">
        <v>39</v>
      </c>
      <c r="I124" s="181" t="s">
        <v>460</v>
      </c>
      <c r="J124" s="181" t="s">
        <v>1617</v>
      </c>
      <c r="K124" s="181" t="s">
        <v>1512</v>
      </c>
      <c r="L124" s="181" t="s">
        <v>17</v>
      </c>
      <c r="M124" s="181">
        <v>14</v>
      </c>
      <c r="N124" s="181" t="s">
        <v>462</v>
      </c>
      <c r="O124" s="181" t="s">
        <v>606</v>
      </c>
      <c r="P124" s="181" t="s">
        <v>1618</v>
      </c>
      <c r="Q124" s="181" t="s">
        <v>465</v>
      </c>
      <c r="R124" s="181" t="s">
        <v>466</v>
      </c>
      <c r="S124" s="181" t="s">
        <v>1619</v>
      </c>
      <c r="T124" s="181" t="s">
        <v>465</v>
      </c>
      <c r="U124" s="182">
        <v>46257.855555555558</v>
      </c>
      <c r="V124" s="181" t="s">
        <v>469</v>
      </c>
      <c r="W124" s="181" t="s">
        <v>589</v>
      </c>
      <c r="X124" s="181" t="s">
        <v>471</v>
      </c>
      <c r="Y124" s="181" t="s">
        <v>472</v>
      </c>
      <c r="Z124" s="181" t="s">
        <v>590</v>
      </c>
      <c r="AA124" s="181" t="s">
        <v>474</v>
      </c>
      <c r="AB124" s="181" t="s">
        <v>1620</v>
      </c>
      <c r="AC124" s="181" t="s">
        <v>592</v>
      </c>
      <c r="AD124" s="181">
        <v>30419967</v>
      </c>
      <c r="AE124" s="181">
        <v>1447539861</v>
      </c>
      <c r="AF124" s="181"/>
      <c r="AG124" s="181"/>
      <c r="AH124" s="181"/>
      <c r="AI124" s="181" t="s">
        <v>149</v>
      </c>
      <c r="AJ124" s="181" t="s">
        <v>481</v>
      </c>
      <c r="AK124" s="181" t="s">
        <v>1621</v>
      </c>
      <c r="AL124" s="181">
        <v>23555</v>
      </c>
      <c r="AM124" s="181"/>
      <c r="AN124" s="181"/>
      <c r="AO124" s="181">
        <v>740</v>
      </c>
      <c r="AP124" s="181" t="s">
        <v>485</v>
      </c>
      <c r="AQ124" s="181" t="s">
        <v>1622</v>
      </c>
      <c r="AR124" s="183">
        <v>46258</v>
      </c>
      <c r="AS124" s="181" t="s">
        <v>149</v>
      </c>
      <c r="AT124" s="181" t="s">
        <v>1518</v>
      </c>
      <c r="AU124" s="181"/>
      <c r="AV124" s="181" t="s">
        <v>1623</v>
      </c>
      <c r="AW124" s="181"/>
      <c r="AX124" s="181"/>
      <c r="AY124" s="181"/>
      <c r="AZ124" s="181"/>
      <c r="BA124" s="181"/>
      <c r="BB124" s="181"/>
      <c r="BC124" s="181"/>
      <c r="BD124" s="181" t="s">
        <v>149</v>
      </c>
      <c r="BE124" s="181">
        <v>39</v>
      </c>
      <c r="BF124" s="181"/>
      <c r="BG124" s="181"/>
      <c r="BH124" s="181" t="s">
        <v>491</v>
      </c>
      <c r="BI124" s="181">
        <v>523391087</v>
      </c>
      <c r="BJ124" s="181"/>
      <c r="BK124" s="181"/>
      <c r="BL124" s="181"/>
      <c r="BM124" s="181"/>
      <c r="BN124" s="181"/>
      <c r="BO124" s="181"/>
      <c r="BP124" s="181"/>
      <c r="BQ124" s="181"/>
      <c r="BR124" s="181"/>
      <c r="BS124" s="181"/>
      <c r="BT124" s="181"/>
      <c r="BU124" s="181"/>
      <c r="BV124" s="181"/>
      <c r="BW124" s="181"/>
      <c r="BX124" s="181"/>
      <c r="BY124" s="181"/>
      <c r="BZ124" s="181"/>
      <c r="CA124" s="190"/>
      <c r="CB124" s="3"/>
      <c r="CC124" s="16"/>
      <c r="CD124" s="16"/>
      <c r="CE124" s="16"/>
      <c r="CF124" s="16"/>
      <c r="CG124" s="16"/>
      <c r="CH124" s="16"/>
      <c r="CI124" s="16" t="s">
        <v>1624</v>
      </c>
    </row>
    <row r="125" spans="1:87">
      <c r="A125" s="16"/>
      <c r="B125" s="16"/>
      <c r="C125" s="3">
        <v>46272</v>
      </c>
      <c r="D125" s="26" t="s">
        <v>14</v>
      </c>
      <c r="E125" s="180" t="s">
        <v>1625</v>
      </c>
      <c r="F125" s="181">
        <v>2026210690319</v>
      </c>
      <c r="G125" s="181">
        <v>40</v>
      </c>
      <c r="H125" s="181">
        <v>40</v>
      </c>
      <c r="I125" s="181" t="s">
        <v>460</v>
      </c>
      <c r="J125" s="181" t="s">
        <v>1625</v>
      </c>
      <c r="K125" s="181" t="s">
        <v>625</v>
      </c>
      <c r="L125" s="181" t="s">
        <v>17</v>
      </c>
      <c r="M125" s="181">
        <v>17</v>
      </c>
      <c r="N125" s="181" t="s">
        <v>462</v>
      </c>
      <c r="O125" s="181" t="s">
        <v>606</v>
      </c>
      <c r="P125" s="181" t="s">
        <v>1626</v>
      </c>
      <c r="Q125" s="181" t="s">
        <v>465</v>
      </c>
      <c r="R125" s="181" t="s">
        <v>466</v>
      </c>
      <c r="S125" s="181" t="s">
        <v>1627</v>
      </c>
      <c r="T125" s="181" t="s">
        <v>465</v>
      </c>
      <c r="U125" s="182">
        <v>46254.888888888891</v>
      </c>
      <c r="V125" s="181" t="s">
        <v>469</v>
      </c>
      <c r="W125" s="181" t="s">
        <v>470</v>
      </c>
      <c r="X125" s="181" t="s">
        <v>471</v>
      </c>
      <c r="Y125" s="181" t="s">
        <v>472</v>
      </c>
      <c r="Z125" s="181" t="s">
        <v>524</v>
      </c>
      <c r="AA125" s="181" t="s">
        <v>474</v>
      </c>
      <c r="AB125" s="181" t="s">
        <v>1628</v>
      </c>
      <c r="AC125" s="181" t="s">
        <v>526</v>
      </c>
      <c r="AD125" s="181">
        <v>311405915</v>
      </c>
      <c r="AE125" s="181">
        <v>1801840434</v>
      </c>
      <c r="AF125" s="181">
        <v>1346629110</v>
      </c>
      <c r="AG125" s="181"/>
      <c r="AH125" s="181"/>
      <c r="AI125" s="181" t="s">
        <v>70</v>
      </c>
      <c r="AJ125" s="181" t="s">
        <v>481</v>
      </c>
      <c r="AK125" s="181" t="s">
        <v>1629</v>
      </c>
      <c r="AL125" s="181">
        <v>13468</v>
      </c>
      <c r="AM125" s="181"/>
      <c r="AN125" s="181"/>
      <c r="AO125" s="181">
        <v>175</v>
      </c>
      <c r="AP125" s="181" t="s">
        <v>485</v>
      </c>
      <c r="AQ125" s="181" t="s">
        <v>1630</v>
      </c>
      <c r="AR125" s="183">
        <v>46255</v>
      </c>
      <c r="AS125" s="181" t="s">
        <v>70</v>
      </c>
      <c r="AT125" s="181" t="s">
        <v>643</v>
      </c>
      <c r="AU125" s="181"/>
      <c r="AV125" s="181" t="s">
        <v>1631</v>
      </c>
      <c r="AW125" s="181"/>
      <c r="AX125" s="181"/>
      <c r="AY125" s="181"/>
      <c r="AZ125" s="181"/>
      <c r="BA125" s="181"/>
      <c r="BB125" s="181"/>
      <c r="BC125" s="181"/>
      <c r="BD125" s="181" t="s">
        <v>70</v>
      </c>
      <c r="BE125" s="181">
        <v>40</v>
      </c>
      <c r="BF125" s="181"/>
      <c r="BG125" s="181"/>
      <c r="BH125" s="181" t="s">
        <v>491</v>
      </c>
      <c r="BI125" s="181">
        <v>515666831</v>
      </c>
      <c r="BJ125" s="181"/>
      <c r="BK125" s="181"/>
      <c r="BL125" s="181"/>
      <c r="BM125" s="181"/>
      <c r="BN125" s="181"/>
      <c r="BO125" s="181"/>
      <c r="BP125" s="181"/>
      <c r="BQ125" s="181"/>
      <c r="BR125" s="181"/>
      <c r="BS125" s="181"/>
      <c r="BT125" s="181"/>
      <c r="BU125" s="181"/>
      <c r="BV125" s="181"/>
      <c r="BW125" s="181"/>
      <c r="BX125" s="181"/>
      <c r="BY125" s="181"/>
      <c r="BZ125" s="181"/>
      <c r="CA125" s="190"/>
      <c r="CB125" s="3"/>
      <c r="CC125" s="16"/>
      <c r="CD125" s="16"/>
      <c r="CE125" s="16"/>
      <c r="CF125" s="16"/>
      <c r="CG125" s="16"/>
      <c r="CH125" s="16"/>
      <c r="CI125" s="16" t="s">
        <v>1632</v>
      </c>
    </row>
    <row r="126" spans="1:87">
      <c r="A126" s="16"/>
      <c r="B126" s="16"/>
      <c r="C126" s="3">
        <v>46272</v>
      </c>
      <c r="D126" s="26" t="s">
        <v>14</v>
      </c>
      <c r="E126" s="180" t="s">
        <v>1633</v>
      </c>
      <c r="F126" s="181">
        <v>2026217030554</v>
      </c>
      <c r="G126" s="181">
        <v>40</v>
      </c>
      <c r="H126" s="181">
        <v>33</v>
      </c>
      <c r="I126" s="181" t="s">
        <v>460</v>
      </c>
      <c r="J126" s="181" t="s">
        <v>1633</v>
      </c>
      <c r="K126" s="181" t="s">
        <v>854</v>
      </c>
      <c r="L126" s="181" t="s">
        <v>18</v>
      </c>
      <c r="M126" s="181">
        <v>9</v>
      </c>
      <c r="N126" s="181" t="s">
        <v>462</v>
      </c>
      <c r="O126" s="181" t="s">
        <v>606</v>
      </c>
      <c r="P126" s="181" t="s">
        <v>1634</v>
      </c>
      <c r="Q126" s="181" t="s">
        <v>465</v>
      </c>
      <c r="R126" s="181" t="s">
        <v>466</v>
      </c>
      <c r="S126" s="181" t="s">
        <v>1635</v>
      </c>
      <c r="T126" s="181" t="s">
        <v>465</v>
      </c>
      <c r="U126" s="182">
        <v>46262.856249999997</v>
      </c>
      <c r="V126" s="181" t="s">
        <v>469</v>
      </c>
      <c r="W126" s="181" t="s">
        <v>589</v>
      </c>
      <c r="X126" s="181" t="s">
        <v>471</v>
      </c>
      <c r="Y126" s="181" t="s">
        <v>472</v>
      </c>
      <c r="Z126" s="181" t="s">
        <v>1636</v>
      </c>
      <c r="AA126" s="181" t="s">
        <v>474</v>
      </c>
      <c r="AB126" s="181" t="s">
        <v>1637</v>
      </c>
      <c r="AC126" s="181" t="s">
        <v>1638</v>
      </c>
      <c r="AD126" s="181">
        <v>10211501</v>
      </c>
      <c r="AE126" s="181">
        <v>1790789147</v>
      </c>
      <c r="AF126" s="181">
        <v>1194589176</v>
      </c>
      <c r="AG126" s="181"/>
      <c r="AH126" s="181"/>
      <c r="AI126" s="181" t="s">
        <v>21</v>
      </c>
      <c r="AJ126" s="181" t="s">
        <v>481</v>
      </c>
      <c r="AK126" s="181" t="s">
        <v>1639</v>
      </c>
      <c r="AL126" s="181">
        <v>2391</v>
      </c>
      <c r="AM126" s="181"/>
      <c r="AN126" s="181"/>
      <c r="AO126" s="181">
        <v>105</v>
      </c>
      <c r="AP126" s="181" t="s">
        <v>485</v>
      </c>
      <c r="AQ126" s="181" t="s">
        <v>1640</v>
      </c>
      <c r="AR126" s="183">
        <v>46263</v>
      </c>
      <c r="AS126" s="181" t="s">
        <v>21</v>
      </c>
      <c r="AT126" s="181" t="s">
        <v>859</v>
      </c>
      <c r="AU126" s="181"/>
      <c r="AV126" s="181" t="s">
        <v>1641</v>
      </c>
      <c r="AW126" s="181"/>
      <c r="AX126" s="181"/>
      <c r="AY126" s="181"/>
      <c r="AZ126" s="181"/>
      <c r="BA126" s="181"/>
      <c r="BB126" s="181"/>
      <c r="BC126" s="181"/>
      <c r="BD126" s="181" t="s">
        <v>21</v>
      </c>
      <c r="BE126" s="181">
        <v>33</v>
      </c>
      <c r="BF126" s="181"/>
      <c r="BG126" s="181"/>
      <c r="BH126" s="181" t="s">
        <v>491</v>
      </c>
      <c r="BI126" s="181">
        <v>6827277</v>
      </c>
      <c r="BJ126" s="181"/>
      <c r="BK126" s="181"/>
      <c r="BL126" s="181"/>
      <c r="BM126" s="181"/>
      <c r="BN126" s="181"/>
      <c r="BO126" s="181"/>
      <c r="BP126" s="181"/>
      <c r="BQ126" s="181"/>
      <c r="BR126" s="181"/>
      <c r="BS126" s="181"/>
      <c r="BT126" s="181"/>
      <c r="BU126" s="181"/>
      <c r="BV126" s="181"/>
      <c r="BW126" s="181"/>
      <c r="BX126" s="181"/>
      <c r="BY126" s="181"/>
      <c r="BZ126" s="181"/>
      <c r="CA126" s="190"/>
      <c r="CB126" s="3"/>
      <c r="CC126" s="16"/>
      <c r="CD126" s="16"/>
      <c r="CE126" s="16"/>
      <c r="CF126" s="16"/>
      <c r="CG126" s="16"/>
      <c r="CH126" s="16"/>
      <c r="CI126" s="16" t="s">
        <v>1642</v>
      </c>
    </row>
    <row r="127" spans="1:87">
      <c r="A127" s="16" t="s">
        <v>5</v>
      </c>
      <c r="B127" s="16" t="s">
        <v>1643</v>
      </c>
      <c r="C127" s="3">
        <v>46272</v>
      </c>
      <c r="D127" s="26" t="s">
        <v>14</v>
      </c>
      <c r="E127" s="180" t="s">
        <v>1644</v>
      </c>
      <c r="F127" s="181">
        <v>2026213550345</v>
      </c>
      <c r="G127" s="181">
        <v>40</v>
      </c>
      <c r="H127" s="181">
        <v>37</v>
      </c>
      <c r="I127" s="181" t="s">
        <v>460</v>
      </c>
      <c r="J127" s="181" t="s">
        <v>1644</v>
      </c>
      <c r="K127" s="181" t="s">
        <v>585</v>
      </c>
      <c r="L127" s="181" t="s">
        <v>17</v>
      </c>
      <c r="M127" s="181">
        <v>13</v>
      </c>
      <c r="N127" s="181" t="s">
        <v>462</v>
      </c>
      <c r="O127" s="181" t="s">
        <v>606</v>
      </c>
      <c r="P127" s="181">
        <v>812369147</v>
      </c>
      <c r="Q127" s="181" t="s">
        <v>465</v>
      </c>
      <c r="R127" s="181" t="s">
        <v>466</v>
      </c>
      <c r="S127" s="181" t="s">
        <v>1645</v>
      </c>
      <c r="T127" s="181" t="s">
        <v>928</v>
      </c>
      <c r="U127" s="182">
        <v>46258.991666666669</v>
      </c>
      <c r="V127" s="181" t="s">
        <v>469</v>
      </c>
      <c r="W127" s="181" t="s">
        <v>651</v>
      </c>
      <c r="X127" s="181" t="s">
        <v>652</v>
      </c>
      <c r="Y127" s="181" t="s">
        <v>653</v>
      </c>
      <c r="Z127" s="181" t="s">
        <v>544</v>
      </c>
      <c r="AA127" s="181" t="s">
        <v>474</v>
      </c>
      <c r="AB127" s="181" t="s">
        <v>929</v>
      </c>
      <c r="AC127" s="181" t="s">
        <v>546</v>
      </c>
      <c r="AD127" s="181">
        <v>260833842</v>
      </c>
      <c r="AE127" s="181">
        <v>1255475091</v>
      </c>
      <c r="AF127" s="181">
        <v>1912951039</v>
      </c>
      <c r="AG127" s="181">
        <v>1.02202509409958E+16</v>
      </c>
      <c r="AH127" s="181"/>
      <c r="AI127" s="181" t="s">
        <v>22</v>
      </c>
      <c r="AJ127" s="181" t="s">
        <v>481</v>
      </c>
      <c r="AK127" s="181" t="s">
        <v>1646</v>
      </c>
      <c r="AL127" s="181">
        <v>58565.43</v>
      </c>
      <c r="AM127" s="181"/>
      <c r="AN127" s="181"/>
      <c r="AO127" s="181">
        <v>812</v>
      </c>
      <c r="AP127" s="181" t="s">
        <v>485</v>
      </c>
      <c r="AQ127" s="181" t="s">
        <v>1647</v>
      </c>
      <c r="AR127" s="183">
        <v>46259</v>
      </c>
      <c r="AS127" s="181" t="s">
        <v>22</v>
      </c>
      <c r="AT127" s="181" t="s">
        <v>1648</v>
      </c>
      <c r="AU127" s="181"/>
      <c r="AV127" s="181" t="s">
        <v>1649</v>
      </c>
      <c r="AW127" s="181"/>
      <c r="AX127" s="181"/>
      <c r="AY127" s="181"/>
      <c r="AZ127" s="181"/>
      <c r="BA127" s="181"/>
      <c r="BB127" s="181"/>
      <c r="BC127" s="181"/>
      <c r="BD127" s="181" t="s">
        <v>22</v>
      </c>
      <c r="BE127" s="181">
        <v>37</v>
      </c>
      <c r="BF127" s="181"/>
      <c r="BG127" s="181"/>
      <c r="BH127" s="181" t="s">
        <v>658</v>
      </c>
      <c r="BI127" s="181">
        <v>812369147</v>
      </c>
      <c r="BJ127" s="181"/>
      <c r="BK127" s="181"/>
      <c r="BL127" s="181"/>
      <c r="BM127" s="181"/>
      <c r="BN127" s="181"/>
      <c r="BO127" s="181"/>
      <c r="BP127" s="181"/>
      <c r="BQ127" s="181"/>
      <c r="BR127" s="181"/>
      <c r="BS127" s="181"/>
      <c r="BT127" s="181"/>
      <c r="BU127" s="181"/>
      <c r="BV127" s="181"/>
      <c r="BW127" s="181"/>
      <c r="BX127" s="181"/>
      <c r="BY127" s="181"/>
      <c r="BZ127" s="181"/>
      <c r="CA127" s="190">
        <v>46285.166666666701</v>
      </c>
      <c r="CB127" s="3"/>
      <c r="CC127" s="16"/>
      <c r="CD127" s="16"/>
      <c r="CE127" s="16"/>
      <c r="CF127" s="16"/>
      <c r="CG127" s="16"/>
      <c r="CH127" s="16"/>
      <c r="CI127" s="16" t="s">
        <v>1650</v>
      </c>
    </row>
    <row r="128" spans="1:87">
      <c r="A128" s="16"/>
      <c r="B128" s="16"/>
      <c r="C128" s="3">
        <v>46272</v>
      </c>
      <c r="D128" s="26" t="s">
        <v>14</v>
      </c>
      <c r="E128" s="180" t="s">
        <v>1651</v>
      </c>
      <c r="F128" s="181">
        <v>2026219240132</v>
      </c>
      <c r="G128" s="181">
        <v>40</v>
      </c>
      <c r="H128" s="181">
        <v>31</v>
      </c>
      <c r="I128" s="181" t="s">
        <v>460</v>
      </c>
      <c r="J128" s="181" t="s">
        <v>1651</v>
      </c>
      <c r="K128" s="181" t="s">
        <v>682</v>
      </c>
      <c r="L128" s="181" t="s">
        <v>18</v>
      </c>
      <c r="M128" s="181">
        <v>7</v>
      </c>
      <c r="N128" s="181" t="s">
        <v>462</v>
      </c>
      <c r="O128" s="181" t="s">
        <v>606</v>
      </c>
      <c r="P128" s="181" t="s">
        <v>1652</v>
      </c>
      <c r="Q128" s="181" t="s">
        <v>465</v>
      </c>
      <c r="R128" s="181" t="s">
        <v>466</v>
      </c>
      <c r="S128" s="181" t="s">
        <v>1653</v>
      </c>
      <c r="T128" s="181" t="s">
        <v>928</v>
      </c>
      <c r="U128" s="182">
        <v>46265.027083333334</v>
      </c>
      <c r="V128" s="181" t="s">
        <v>469</v>
      </c>
      <c r="W128" s="181" t="s">
        <v>651</v>
      </c>
      <c r="X128" s="181" t="s">
        <v>652</v>
      </c>
      <c r="Y128" s="181" t="s">
        <v>653</v>
      </c>
      <c r="Z128" s="181" t="s">
        <v>544</v>
      </c>
      <c r="AA128" s="181" t="s">
        <v>474</v>
      </c>
      <c r="AB128" s="181" t="s">
        <v>1654</v>
      </c>
      <c r="AC128" s="181" t="s">
        <v>546</v>
      </c>
      <c r="AD128" s="181">
        <v>412279037</v>
      </c>
      <c r="AE128" s="181">
        <v>1952565210</v>
      </c>
      <c r="AF128" s="181">
        <v>1952320236</v>
      </c>
      <c r="AG128" s="181">
        <v>1.02202530739241E+16</v>
      </c>
      <c r="AH128" s="181"/>
      <c r="AI128" s="181" t="s">
        <v>19</v>
      </c>
      <c r="AJ128" s="181" t="s">
        <v>481</v>
      </c>
      <c r="AK128" s="181" t="s">
        <v>1655</v>
      </c>
      <c r="AL128" s="181">
        <v>6614</v>
      </c>
      <c r="AM128" s="181"/>
      <c r="AN128" s="181"/>
      <c r="AO128" s="181">
        <v>44</v>
      </c>
      <c r="AP128" s="181" t="s">
        <v>485</v>
      </c>
      <c r="AQ128" s="181" t="s">
        <v>1656</v>
      </c>
      <c r="AR128" s="183">
        <v>46265</v>
      </c>
      <c r="AS128" s="181" t="s">
        <v>19</v>
      </c>
      <c r="AT128" s="184" t="s">
        <v>687</v>
      </c>
      <c r="AU128" s="181"/>
      <c r="AV128" s="181" t="s">
        <v>1657</v>
      </c>
      <c r="AW128" s="181"/>
      <c r="AX128" s="181"/>
      <c r="AY128" s="181"/>
      <c r="AZ128" s="181"/>
      <c r="BA128" s="181"/>
      <c r="BB128" s="181"/>
      <c r="BC128" s="181"/>
      <c r="BD128" s="181" t="s">
        <v>19</v>
      </c>
      <c r="BE128" s="181">
        <v>31</v>
      </c>
      <c r="BF128" s="181"/>
      <c r="BG128" s="181"/>
      <c r="BH128" s="181" t="s">
        <v>658</v>
      </c>
      <c r="BI128" s="181" t="s">
        <v>1652</v>
      </c>
      <c r="BJ128" s="181"/>
      <c r="BK128" s="181"/>
      <c r="BL128" s="181"/>
      <c r="BM128" s="181"/>
      <c r="BN128" s="181"/>
      <c r="BO128" s="181"/>
      <c r="BP128" s="181"/>
      <c r="BQ128" s="181"/>
      <c r="BR128" s="181"/>
      <c r="BS128" s="181"/>
      <c r="BT128" s="181"/>
      <c r="BU128" s="181"/>
      <c r="BV128" s="181"/>
      <c r="BW128" s="181"/>
      <c r="BX128" s="181"/>
      <c r="BY128" s="181"/>
      <c r="BZ128" s="181"/>
      <c r="CA128" s="190"/>
      <c r="CB128" s="3"/>
      <c r="CC128" s="16"/>
      <c r="CD128" s="16"/>
      <c r="CE128" s="16"/>
      <c r="CF128" s="16"/>
      <c r="CG128" s="16"/>
      <c r="CH128" s="16"/>
      <c r="CI128" s="16" t="s">
        <v>1658</v>
      </c>
    </row>
    <row r="129" spans="1:87" ht="29.25">
      <c r="A129" s="16" t="s">
        <v>5</v>
      </c>
      <c r="B129" s="25" t="s">
        <v>672</v>
      </c>
      <c r="C129" s="3">
        <v>46272</v>
      </c>
      <c r="D129" s="26" t="s">
        <v>14</v>
      </c>
      <c r="E129" s="180" t="s">
        <v>1659</v>
      </c>
      <c r="F129" s="181" t="s">
        <v>1660</v>
      </c>
      <c r="G129" s="181">
        <v>40</v>
      </c>
      <c r="H129" s="181">
        <v>45</v>
      </c>
      <c r="I129" s="181" t="s">
        <v>460</v>
      </c>
      <c r="J129" s="181" t="s">
        <v>1659</v>
      </c>
      <c r="K129" s="181" t="s">
        <v>674</v>
      </c>
      <c r="L129" s="181" t="s">
        <v>16</v>
      </c>
      <c r="M129" s="181">
        <v>18</v>
      </c>
      <c r="N129" s="181" t="s">
        <v>462</v>
      </c>
      <c r="O129" s="181" t="s">
        <v>606</v>
      </c>
      <c r="P129" s="181">
        <v>44970823</v>
      </c>
      <c r="Q129" s="181" t="s">
        <v>1055</v>
      </c>
      <c r="R129" s="181" t="s">
        <v>1056</v>
      </c>
      <c r="S129" s="181" t="s">
        <v>1661</v>
      </c>
      <c r="T129" s="181" t="s">
        <v>928</v>
      </c>
      <c r="U129" s="182">
        <v>46254.226388888892</v>
      </c>
      <c r="V129" s="181" t="s">
        <v>469</v>
      </c>
      <c r="W129" s="181" t="s">
        <v>651</v>
      </c>
      <c r="X129" s="181" t="s">
        <v>652</v>
      </c>
      <c r="Y129" s="181" t="s">
        <v>653</v>
      </c>
      <c r="Z129" s="181" t="s">
        <v>544</v>
      </c>
      <c r="AA129" s="181" t="s">
        <v>1059</v>
      </c>
      <c r="AB129" s="181" t="s">
        <v>1654</v>
      </c>
      <c r="AC129" s="181" t="s">
        <v>546</v>
      </c>
      <c r="AD129" s="181">
        <v>472863935</v>
      </c>
      <c r="AE129" s="181">
        <v>1114317062</v>
      </c>
      <c r="AF129" s="181">
        <v>1700847399</v>
      </c>
      <c r="AG129" s="181">
        <v>1.02202523223698E+16</v>
      </c>
      <c r="AH129" s="181"/>
      <c r="AI129" s="181" t="s">
        <v>54</v>
      </c>
      <c r="AJ129" s="181" t="s">
        <v>481</v>
      </c>
      <c r="AK129" s="181" t="s">
        <v>1662</v>
      </c>
      <c r="AL129" s="181">
        <v>6696.1</v>
      </c>
      <c r="AM129" s="181"/>
      <c r="AN129" s="181"/>
      <c r="AO129" s="181">
        <v>44</v>
      </c>
      <c r="AP129" s="181" t="s">
        <v>485</v>
      </c>
      <c r="AQ129" s="181" t="s">
        <v>1663</v>
      </c>
      <c r="AR129" s="183">
        <v>46254</v>
      </c>
      <c r="AS129" s="181" t="s">
        <v>54</v>
      </c>
      <c r="AT129" s="181" t="s">
        <v>678</v>
      </c>
      <c r="AU129" s="181"/>
      <c r="AV129" s="181" t="s">
        <v>1664</v>
      </c>
      <c r="AW129" s="181"/>
      <c r="AX129" s="181"/>
      <c r="AY129" s="181"/>
      <c r="AZ129" s="181"/>
      <c r="BA129" s="181" t="s">
        <v>1665</v>
      </c>
      <c r="BB129" s="181"/>
      <c r="BC129" s="181"/>
      <c r="BD129" s="181" t="s">
        <v>54</v>
      </c>
      <c r="BE129" s="181">
        <v>45</v>
      </c>
      <c r="BF129" s="181"/>
      <c r="BG129" s="181" t="s">
        <v>1067</v>
      </c>
      <c r="BH129" s="181" t="s">
        <v>658</v>
      </c>
      <c r="BI129" s="181">
        <v>44970823</v>
      </c>
      <c r="BJ129" s="181"/>
      <c r="BK129" s="181"/>
      <c r="BL129" s="181"/>
      <c r="BM129" s="181"/>
      <c r="BN129" s="181"/>
      <c r="BO129" s="181"/>
      <c r="BP129" s="181"/>
      <c r="BQ129" s="181"/>
      <c r="BR129" s="181"/>
      <c r="BS129" s="181"/>
      <c r="BT129" s="181"/>
      <c r="BU129" s="181"/>
      <c r="BV129" s="181"/>
      <c r="BW129" s="181"/>
      <c r="BX129" s="181"/>
      <c r="BY129" s="181"/>
      <c r="BZ129" s="181"/>
      <c r="CA129" s="190">
        <v>46281.666666666701</v>
      </c>
      <c r="CB129" s="3"/>
      <c r="CC129" s="16"/>
      <c r="CD129" s="16"/>
      <c r="CE129" s="16"/>
      <c r="CF129" s="16"/>
      <c r="CG129" s="16"/>
      <c r="CH129" s="16"/>
      <c r="CI129" s="16" t="s">
        <v>1666</v>
      </c>
    </row>
    <row r="130" spans="1:87" ht="29.25">
      <c r="A130" s="16" t="s">
        <v>5</v>
      </c>
      <c r="B130" s="25" t="s">
        <v>672</v>
      </c>
      <c r="C130" s="3">
        <v>46272</v>
      </c>
      <c r="D130" s="26" t="s">
        <v>14</v>
      </c>
      <c r="E130" s="180" t="s">
        <v>1667</v>
      </c>
      <c r="F130" s="181">
        <v>2026218300018</v>
      </c>
      <c r="G130" s="181">
        <v>40</v>
      </c>
      <c r="H130" s="181">
        <v>32</v>
      </c>
      <c r="I130" s="181" t="s">
        <v>460</v>
      </c>
      <c r="J130" s="181" t="s">
        <v>1667</v>
      </c>
      <c r="K130" s="181" t="s">
        <v>674</v>
      </c>
      <c r="L130" s="181" t="s">
        <v>16</v>
      </c>
      <c r="M130" s="181">
        <v>8</v>
      </c>
      <c r="N130" s="181" t="s">
        <v>462</v>
      </c>
      <c r="O130" s="181" t="s">
        <v>606</v>
      </c>
      <c r="P130" s="181">
        <v>803919829</v>
      </c>
      <c r="Q130" s="181" t="s">
        <v>465</v>
      </c>
      <c r="R130" s="181" t="s">
        <v>466</v>
      </c>
      <c r="S130" s="181" t="s">
        <v>1668</v>
      </c>
      <c r="T130" s="181" t="s">
        <v>928</v>
      </c>
      <c r="U130" s="182">
        <v>46264.444444444445</v>
      </c>
      <c r="V130" s="181" t="s">
        <v>469</v>
      </c>
      <c r="W130" s="181" t="s">
        <v>651</v>
      </c>
      <c r="X130" s="181" t="s">
        <v>652</v>
      </c>
      <c r="Y130" s="181" t="s">
        <v>653</v>
      </c>
      <c r="Z130" s="181" t="s">
        <v>544</v>
      </c>
      <c r="AA130" s="181" t="s">
        <v>474</v>
      </c>
      <c r="AB130" s="181" t="s">
        <v>929</v>
      </c>
      <c r="AC130" s="181" t="s">
        <v>546</v>
      </c>
      <c r="AD130" s="181">
        <v>260593928</v>
      </c>
      <c r="AE130" s="181">
        <v>1275729691</v>
      </c>
      <c r="AF130" s="181">
        <v>1326044330</v>
      </c>
      <c r="AG130" s="181">
        <v>1.02202525521139E+16</v>
      </c>
      <c r="AH130" s="181"/>
      <c r="AI130" s="181" t="s">
        <v>54</v>
      </c>
      <c r="AJ130" s="181" t="s">
        <v>481</v>
      </c>
      <c r="AK130" s="181" t="s">
        <v>1669</v>
      </c>
      <c r="AL130" s="181">
        <v>4449.3</v>
      </c>
      <c r="AM130" s="181"/>
      <c r="AN130" s="181"/>
      <c r="AO130" s="181">
        <v>803</v>
      </c>
      <c r="AP130" s="181" t="s">
        <v>485</v>
      </c>
      <c r="AQ130" s="181" t="s">
        <v>1670</v>
      </c>
      <c r="AR130" s="183">
        <v>46264</v>
      </c>
      <c r="AS130" s="181" t="s">
        <v>54</v>
      </c>
      <c r="AT130" s="181" t="s">
        <v>678</v>
      </c>
      <c r="AU130" s="181"/>
      <c r="AV130" s="181" t="s">
        <v>1671</v>
      </c>
      <c r="AW130" s="181"/>
      <c r="AX130" s="181"/>
      <c r="AY130" s="181"/>
      <c r="AZ130" s="181"/>
      <c r="BA130" s="181"/>
      <c r="BB130" s="181"/>
      <c r="BC130" s="181"/>
      <c r="BD130" s="181" t="s">
        <v>54</v>
      </c>
      <c r="BE130" s="181">
        <v>32</v>
      </c>
      <c r="BF130" s="181"/>
      <c r="BG130" s="181"/>
      <c r="BH130" s="181" t="s">
        <v>658</v>
      </c>
      <c r="BI130" s="181">
        <v>803919829</v>
      </c>
      <c r="BJ130" s="181"/>
      <c r="BK130" s="181"/>
      <c r="BL130" s="181"/>
      <c r="BM130" s="181"/>
      <c r="BN130" s="181"/>
      <c r="BO130" s="181"/>
      <c r="BP130" s="181"/>
      <c r="BQ130" s="181"/>
      <c r="BR130" s="181"/>
      <c r="BS130" s="181"/>
      <c r="BT130" s="181"/>
      <c r="BU130" s="181"/>
      <c r="BV130" s="181"/>
      <c r="BW130" s="181"/>
      <c r="BX130" s="181"/>
      <c r="BY130" s="181"/>
      <c r="BZ130" s="181"/>
      <c r="CA130" s="190">
        <v>46281.666666666701</v>
      </c>
      <c r="CB130" s="3"/>
      <c r="CC130" s="16"/>
      <c r="CD130" s="16"/>
      <c r="CE130" s="16"/>
      <c r="CF130" s="16"/>
      <c r="CG130" s="16"/>
      <c r="CH130" s="16"/>
      <c r="CI130" s="16" t="s">
        <v>1672</v>
      </c>
    </row>
    <row r="131" spans="1:87">
      <c r="A131" s="16" t="s">
        <v>5</v>
      </c>
      <c r="B131" s="16" t="s">
        <v>976</v>
      </c>
      <c r="C131" s="3">
        <v>46272</v>
      </c>
      <c r="D131" s="26" t="s">
        <v>14</v>
      </c>
      <c r="E131" s="180" t="s">
        <v>1673</v>
      </c>
      <c r="F131" s="181"/>
      <c r="G131" s="181">
        <v>40</v>
      </c>
      <c r="H131" s="181">
        <v>35</v>
      </c>
      <c r="I131" s="181" t="s">
        <v>460</v>
      </c>
      <c r="J131" s="181" t="s">
        <v>1673</v>
      </c>
      <c r="K131" s="181" t="s">
        <v>461</v>
      </c>
      <c r="L131" s="181" t="s">
        <v>17</v>
      </c>
      <c r="M131" s="181">
        <v>12</v>
      </c>
      <c r="N131" s="181" t="s">
        <v>462</v>
      </c>
      <c r="O131" s="181" t="s">
        <v>606</v>
      </c>
      <c r="P131" s="181">
        <v>839542017</v>
      </c>
      <c r="Q131" s="181" t="s">
        <v>1055</v>
      </c>
      <c r="R131" s="181" t="s">
        <v>1350</v>
      </c>
      <c r="S131" s="181" t="s">
        <v>1674</v>
      </c>
      <c r="T131" s="181" t="s">
        <v>928</v>
      </c>
      <c r="U131" s="182">
        <v>46259.78125</v>
      </c>
      <c r="V131" s="181" t="s">
        <v>469</v>
      </c>
      <c r="W131" s="181" t="s">
        <v>651</v>
      </c>
      <c r="X131" s="181" t="s">
        <v>652</v>
      </c>
      <c r="Y131" s="181" t="s">
        <v>653</v>
      </c>
      <c r="Z131" s="181" t="s">
        <v>544</v>
      </c>
      <c r="AA131" s="181" t="s">
        <v>1354</v>
      </c>
      <c r="AB131" s="181" t="s">
        <v>929</v>
      </c>
      <c r="AC131" s="181" t="s">
        <v>546</v>
      </c>
      <c r="AD131" s="181">
        <v>260593928</v>
      </c>
      <c r="AE131" s="181">
        <v>1275729691</v>
      </c>
      <c r="AF131" s="181">
        <v>1770625832</v>
      </c>
      <c r="AG131" s="181">
        <v>1.02202534435562E+16</v>
      </c>
      <c r="AH131" s="181"/>
      <c r="AI131" s="181" t="s">
        <v>67</v>
      </c>
      <c r="AJ131" s="181" t="s">
        <v>481</v>
      </c>
      <c r="AK131" s="181" t="s">
        <v>1675</v>
      </c>
      <c r="AL131" s="181">
        <v>4125.01</v>
      </c>
      <c r="AM131" s="181"/>
      <c r="AN131" s="181"/>
      <c r="AO131" s="181">
        <v>839</v>
      </c>
      <c r="AP131" s="181" t="s">
        <v>485</v>
      </c>
      <c r="AQ131" s="181" t="s">
        <v>1676</v>
      </c>
      <c r="AR131" s="183">
        <v>46260</v>
      </c>
      <c r="AS131" s="181" t="s">
        <v>67</v>
      </c>
      <c r="AT131" s="181" t="s">
        <v>487</v>
      </c>
      <c r="AU131" s="181"/>
      <c r="AV131" s="181" t="s">
        <v>1677</v>
      </c>
      <c r="AW131" s="181"/>
      <c r="AX131" s="181"/>
      <c r="AY131" s="181"/>
      <c r="AZ131" s="181"/>
      <c r="BA131" s="181"/>
      <c r="BB131" s="181"/>
      <c r="BC131" s="181"/>
      <c r="BD131" s="181" t="s">
        <v>67</v>
      </c>
      <c r="BE131" s="181">
        <v>35</v>
      </c>
      <c r="BF131" s="181"/>
      <c r="BG131" s="181"/>
      <c r="BH131" s="181" t="s">
        <v>658</v>
      </c>
      <c r="BI131" s="181">
        <v>839542017</v>
      </c>
      <c r="BJ131" s="181"/>
      <c r="BK131" s="181"/>
      <c r="BL131" s="181"/>
      <c r="BM131" s="181"/>
      <c r="BN131" s="181"/>
      <c r="BO131" s="181"/>
      <c r="BP131" s="181"/>
      <c r="BQ131" s="181"/>
      <c r="BR131" s="181"/>
      <c r="BS131" s="181"/>
      <c r="BT131" s="181"/>
      <c r="BU131" s="181"/>
      <c r="BV131" s="181"/>
      <c r="BW131" s="181"/>
      <c r="BX131" s="181"/>
      <c r="BY131" s="181"/>
      <c r="BZ131" s="181"/>
      <c r="CA131" s="190">
        <v>46275.166666666701</v>
      </c>
      <c r="CB131" s="3"/>
      <c r="CC131" s="16"/>
      <c r="CD131" s="16"/>
      <c r="CE131" s="16"/>
      <c r="CF131" s="16"/>
      <c r="CG131" s="16"/>
      <c r="CH131" s="16"/>
      <c r="CI131" s="16" t="s">
        <v>1678</v>
      </c>
    </row>
    <row r="132" spans="1:87" ht="29.25">
      <c r="A132" s="16" t="s">
        <v>5</v>
      </c>
      <c r="B132" s="25" t="s">
        <v>1179</v>
      </c>
      <c r="C132" s="3">
        <v>46272</v>
      </c>
      <c r="D132" s="26" t="s">
        <v>14</v>
      </c>
      <c r="E132" s="180" t="s">
        <v>1679</v>
      </c>
      <c r="F132" s="181">
        <v>2026208890175</v>
      </c>
      <c r="G132" s="181">
        <v>40</v>
      </c>
      <c r="H132" s="181">
        <v>42</v>
      </c>
      <c r="I132" s="181" t="s">
        <v>460</v>
      </c>
      <c r="J132" s="181" t="s">
        <v>1679</v>
      </c>
      <c r="K132" s="181" t="s">
        <v>1040</v>
      </c>
      <c r="L132" s="181" t="s">
        <v>17</v>
      </c>
      <c r="M132" s="181">
        <v>11</v>
      </c>
      <c r="N132" s="181" t="s">
        <v>462</v>
      </c>
      <c r="O132" s="181" t="s">
        <v>606</v>
      </c>
      <c r="P132" s="181">
        <v>826994321</v>
      </c>
      <c r="Q132" s="181" t="s">
        <v>465</v>
      </c>
      <c r="R132" s="181" t="s">
        <v>466</v>
      </c>
      <c r="S132" s="181" t="s">
        <v>1680</v>
      </c>
      <c r="T132" s="181" t="s">
        <v>928</v>
      </c>
      <c r="U132" s="182">
        <v>46260.74722222222</v>
      </c>
      <c r="V132" s="181" t="s">
        <v>469</v>
      </c>
      <c r="W132" s="181" t="s">
        <v>651</v>
      </c>
      <c r="X132" s="181" t="s">
        <v>652</v>
      </c>
      <c r="Y132" s="181" t="s">
        <v>653</v>
      </c>
      <c r="Z132" s="181" t="s">
        <v>544</v>
      </c>
      <c r="AA132" s="181" t="s">
        <v>474</v>
      </c>
      <c r="AB132" s="181" t="s">
        <v>929</v>
      </c>
      <c r="AC132" s="181" t="s">
        <v>546</v>
      </c>
      <c r="AD132" s="181">
        <v>800863895</v>
      </c>
      <c r="AE132" s="181">
        <v>1457695488</v>
      </c>
      <c r="AF132" s="181">
        <v>1972605681</v>
      </c>
      <c r="AG132" s="181">
        <v>1.02202526905473E+16</v>
      </c>
      <c r="AH132" s="181"/>
      <c r="AI132" s="181" t="s">
        <v>173</v>
      </c>
      <c r="AJ132" s="181" t="s">
        <v>481</v>
      </c>
      <c r="AK132" s="181" t="s">
        <v>1681</v>
      </c>
      <c r="AL132" s="181">
        <v>15262.91</v>
      </c>
      <c r="AM132" s="181"/>
      <c r="AN132" s="181"/>
      <c r="AO132" s="181">
        <v>826</v>
      </c>
      <c r="AP132" s="181" t="s">
        <v>485</v>
      </c>
      <c r="AQ132" s="181" t="s">
        <v>1682</v>
      </c>
      <c r="AR132" s="183">
        <v>46261</v>
      </c>
      <c r="AS132" s="181" t="s">
        <v>173</v>
      </c>
      <c r="AT132" s="181" t="s">
        <v>1047</v>
      </c>
      <c r="AU132" s="181"/>
      <c r="AV132" s="181" t="s">
        <v>1683</v>
      </c>
      <c r="AW132" s="181"/>
      <c r="AX132" s="181"/>
      <c r="AY132" s="181"/>
      <c r="AZ132" s="181"/>
      <c r="BA132" s="181"/>
      <c r="BB132" s="181"/>
      <c r="BC132" s="181"/>
      <c r="BD132" s="181" t="s">
        <v>173</v>
      </c>
      <c r="BE132" s="181">
        <v>42</v>
      </c>
      <c r="BF132" s="181"/>
      <c r="BG132" s="181" t="s">
        <v>490</v>
      </c>
      <c r="BH132" s="181" t="s">
        <v>658</v>
      </c>
      <c r="BI132" s="181">
        <v>826994321</v>
      </c>
      <c r="BJ132" s="181"/>
      <c r="BK132" s="181"/>
      <c r="BL132" s="181"/>
      <c r="BM132" s="181"/>
      <c r="BN132" s="181"/>
      <c r="BO132" s="181"/>
      <c r="BP132" s="181"/>
      <c r="BQ132" s="181"/>
      <c r="BR132" s="181"/>
      <c r="BS132" s="181"/>
      <c r="BT132" s="181"/>
      <c r="BU132" s="181"/>
      <c r="BV132" s="181"/>
      <c r="BW132" s="181"/>
      <c r="BX132" s="181"/>
      <c r="BY132" s="181"/>
      <c r="BZ132" s="181"/>
      <c r="CA132" s="190">
        <v>46282.666666666701</v>
      </c>
      <c r="CB132" s="3"/>
      <c r="CC132" s="16"/>
      <c r="CD132" s="16"/>
      <c r="CE132" s="16"/>
      <c r="CF132" s="16"/>
      <c r="CG132" s="16"/>
      <c r="CH132" s="16"/>
      <c r="CI132" s="16" t="s">
        <v>1684</v>
      </c>
    </row>
    <row r="133" spans="1:87">
      <c r="A133" s="16"/>
      <c r="B133" s="16"/>
      <c r="C133" s="3">
        <v>46272</v>
      </c>
      <c r="D133" s="26" t="s">
        <v>14</v>
      </c>
      <c r="E133" s="180" t="s">
        <v>1685</v>
      </c>
      <c r="F133" s="181">
        <v>2026211930398</v>
      </c>
      <c r="G133" s="181">
        <v>40</v>
      </c>
      <c r="H133" s="181">
        <v>39</v>
      </c>
      <c r="I133" s="181" t="s">
        <v>460</v>
      </c>
      <c r="J133" s="181" t="s">
        <v>1685</v>
      </c>
      <c r="K133" s="181" t="s">
        <v>854</v>
      </c>
      <c r="L133" s="181" t="s">
        <v>18</v>
      </c>
      <c r="M133" s="181">
        <v>13</v>
      </c>
      <c r="N133" s="181" t="s">
        <v>462</v>
      </c>
      <c r="O133" s="181" t="s">
        <v>606</v>
      </c>
      <c r="P133" s="181" t="s">
        <v>1686</v>
      </c>
      <c r="Q133" s="181" t="s">
        <v>465</v>
      </c>
      <c r="R133" s="181" t="s">
        <v>466</v>
      </c>
      <c r="S133" s="181" t="s">
        <v>1687</v>
      </c>
      <c r="T133" s="181" t="s">
        <v>1688</v>
      </c>
      <c r="U133" s="182">
        <v>46259.388194444444</v>
      </c>
      <c r="V133" s="181" t="s">
        <v>469</v>
      </c>
      <c r="W133" s="181" t="s">
        <v>568</v>
      </c>
      <c r="X133" s="181" t="s">
        <v>471</v>
      </c>
      <c r="Y133" s="181" t="s">
        <v>628</v>
      </c>
      <c r="Z133" s="181" t="s">
        <v>544</v>
      </c>
      <c r="AA133" s="181" t="s">
        <v>474</v>
      </c>
      <c r="AB133" s="181" t="s">
        <v>1689</v>
      </c>
      <c r="AC133" s="181" t="s">
        <v>546</v>
      </c>
      <c r="AD133" s="181">
        <v>273818647</v>
      </c>
      <c r="AE133" s="181">
        <v>1275992240</v>
      </c>
      <c r="AF133" s="181">
        <v>1093939118</v>
      </c>
      <c r="AG133" s="181"/>
      <c r="AH133" s="181"/>
      <c r="AI133" s="181" t="s">
        <v>21</v>
      </c>
      <c r="AJ133" s="181" t="s">
        <v>481</v>
      </c>
      <c r="AK133" s="181" t="s">
        <v>1690</v>
      </c>
      <c r="AL133" s="181">
        <v>8587</v>
      </c>
      <c r="AM133" s="181"/>
      <c r="AN133" s="181"/>
      <c r="AO133" s="181">
        <v>616</v>
      </c>
      <c r="AP133" s="181" t="s">
        <v>485</v>
      </c>
      <c r="AQ133" s="181" t="s">
        <v>1691</v>
      </c>
      <c r="AR133" s="183">
        <v>46259</v>
      </c>
      <c r="AS133" s="181" t="s">
        <v>21</v>
      </c>
      <c r="AT133" s="181" t="s">
        <v>859</v>
      </c>
      <c r="AU133" s="181"/>
      <c r="AV133" s="181" t="s">
        <v>1692</v>
      </c>
      <c r="AW133" s="181"/>
      <c r="AX133" s="181"/>
      <c r="AY133" s="181"/>
      <c r="AZ133" s="181"/>
      <c r="BA133" s="181"/>
      <c r="BB133" s="181"/>
      <c r="BC133" s="181"/>
      <c r="BD133" s="181" t="s">
        <v>21</v>
      </c>
      <c r="BE133" s="181">
        <v>39</v>
      </c>
      <c r="BF133" s="181"/>
      <c r="BG133" s="181"/>
      <c r="BH133" s="181" t="s">
        <v>491</v>
      </c>
      <c r="BI133" s="181">
        <v>254130921</v>
      </c>
      <c r="BJ133" s="181"/>
      <c r="BK133" s="181"/>
      <c r="BL133" s="181"/>
      <c r="BM133" s="181"/>
      <c r="BN133" s="181"/>
      <c r="BO133" s="181"/>
      <c r="BP133" s="181"/>
      <c r="BQ133" s="181"/>
      <c r="BR133" s="181"/>
      <c r="BS133" s="181"/>
      <c r="BT133" s="181"/>
      <c r="BU133" s="181"/>
      <c r="BV133" s="181"/>
      <c r="BW133" s="181"/>
      <c r="BX133" s="181"/>
      <c r="BY133" s="181"/>
      <c r="BZ133" s="181"/>
      <c r="CA133" s="190"/>
      <c r="CB133" s="3"/>
      <c r="CC133" s="16"/>
      <c r="CD133" s="16"/>
      <c r="CE133" s="16"/>
      <c r="CF133" s="16"/>
      <c r="CG133" s="16"/>
      <c r="CH133" s="16"/>
      <c r="CI133" s="16" t="s">
        <v>1693</v>
      </c>
    </row>
    <row r="134" spans="1:87">
      <c r="A134" s="16"/>
      <c r="B134" s="16"/>
      <c r="C134" s="3">
        <v>46272</v>
      </c>
      <c r="D134" s="26" t="s">
        <v>14</v>
      </c>
      <c r="E134" s="180" t="s">
        <v>1694</v>
      </c>
      <c r="F134" s="181">
        <v>2026207610049</v>
      </c>
      <c r="G134" s="181">
        <v>40</v>
      </c>
      <c r="H134" s="181">
        <v>43</v>
      </c>
      <c r="I134" s="181" t="s">
        <v>460</v>
      </c>
      <c r="J134" s="181" t="s">
        <v>1694</v>
      </c>
      <c r="K134" s="181" t="s">
        <v>1512</v>
      </c>
      <c r="L134" s="181" t="s">
        <v>17</v>
      </c>
      <c r="M134" s="181">
        <v>19</v>
      </c>
      <c r="N134" s="181" t="s">
        <v>462</v>
      </c>
      <c r="O134" s="181" t="s">
        <v>606</v>
      </c>
      <c r="P134" s="181" t="s">
        <v>1686</v>
      </c>
      <c r="Q134" s="181" t="s">
        <v>465</v>
      </c>
      <c r="R134" s="181" t="s">
        <v>466</v>
      </c>
      <c r="S134" s="181" t="s">
        <v>1695</v>
      </c>
      <c r="T134" s="181" t="s">
        <v>1688</v>
      </c>
      <c r="U134" s="182">
        <v>46252.901388888888</v>
      </c>
      <c r="V134" s="181" t="s">
        <v>469</v>
      </c>
      <c r="W134" s="181" t="s">
        <v>568</v>
      </c>
      <c r="X134" s="181" t="s">
        <v>471</v>
      </c>
      <c r="Y134" s="181" t="s">
        <v>628</v>
      </c>
      <c r="Z134" s="181" t="s">
        <v>544</v>
      </c>
      <c r="AA134" s="181" t="s">
        <v>474</v>
      </c>
      <c r="AB134" s="181" t="s">
        <v>1689</v>
      </c>
      <c r="AC134" s="181" t="s">
        <v>546</v>
      </c>
      <c r="AD134" s="181">
        <v>273818647</v>
      </c>
      <c r="AE134" s="181">
        <v>1275992240</v>
      </c>
      <c r="AF134" s="181">
        <v>1720285166</v>
      </c>
      <c r="AG134" s="181"/>
      <c r="AH134" s="181"/>
      <c r="AI134" s="181" t="s">
        <v>149</v>
      </c>
      <c r="AJ134" s="181" t="s">
        <v>481</v>
      </c>
      <c r="AK134" s="181" t="s">
        <v>1696</v>
      </c>
      <c r="AL134" s="181">
        <v>8017</v>
      </c>
      <c r="AM134" s="181"/>
      <c r="AN134" s="181"/>
      <c r="AO134" s="181">
        <v>616</v>
      </c>
      <c r="AP134" s="181" t="s">
        <v>485</v>
      </c>
      <c r="AQ134" s="181" t="s">
        <v>1697</v>
      </c>
      <c r="AR134" s="183">
        <v>46253</v>
      </c>
      <c r="AS134" s="181" t="s">
        <v>149</v>
      </c>
      <c r="AT134" s="181" t="s">
        <v>1518</v>
      </c>
      <c r="AU134" s="181"/>
      <c r="AV134" s="181" t="s">
        <v>1698</v>
      </c>
      <c r="AW134" s="181"/>
      <c r="AX134" s="181"/>
      <c r="AY134" s="181"/>
      <c r="AZ134" s="181"/>
      <c r="BA134" s="181"/>
      <c r="BB134" s="181"/>
      <c r="BC134" s="181"/>
      <c r="BD134" s="181" t="s">
        <v>149</v>
      </c>
      <c r="BE134" s="181">
        <v>43</v>
      </c>
      <c r="BF134" s="181"/>
      <c r="BG134" s="181"/>
      <c r="BH134" s="181" t="s">
        <v>491</v>
      </c>
      <c r="BI134" s="181">
        <v>254130921</v>
      </c>
      <c r="BJ134" s="181"/>
      <c r="BK134" s="181"/>
      <c r="BL134" s="181"/>
      <c r="BM134" s="181"/>
      <c r="BN134" s="181"/>
      <c r="BO134" s="181"/>
      <c r="BP134" s="181"/>
      <c r="BQ134" s="181"/>
      <c r="BR134" s="181"/>
      <c r="BS134" s="181"/>
      <c r="BT134" s="181"/>
      <c r="BU134" s="181"/>
      <c r="BV134" s="181"/>
      <c r="BW134" s="181"/>
      <c r="BX134" s="181"/>
      <c r="BY134" s="181"/>
      <c r="BZ134" s="181"/>
      <c r="CA134" s="190"/>
      <c r="CB134" s="3"/>
      <c r="CC134" s="16"/>
      <c r="CD134" s="16"/>
      <c r="CE134" s="16"/>
      <c r="CF134" s="16"/>
      <c r="CG134" s="16"/>
      <c r="CH134" s="16"/>
      <c r="CI134" s="16" t="s">
        <v>1699</v>
      </c>
    </row>
    <row r="135" spans="1:87">
      <c r="A135" s="16" t="s">
        <v>4</v>
      </c>
      <c r="B135" s="16" t="s">
        <v>4</v>
      </c>
      <c r="C135" s="3">
        <v>46272</v>
      </c>
      <c r="D135" s="26" t="s">
        <v>14</v>
      </c>
      <c r="E135" s="180" t="s">
        <v>1700</v>
      </c>
      <c r="F135" s="181"/>
      <c r="G135" s="181">
        <v>40</v>
      </c>
      <c r="H135" s="181">
        <v>44</v>
      </c>
      <c r="I135" s="181" t="s">
        <v>460</v>
      </c>
      <c r="J135" s="181" t="s">
        <v>1700</v>
      </c>
      <c r="K135" s="181" t="s">
        <v>1555</v>
      </c>
      <c r="L135" s="181" t="s">
        <v>17</v>
      </c>
      <c r="M135" s="181">
        <v>19</v>
      </c>
      <c r="N135" s="181" t="s">
        <v>462</v>
      </c>
      <c r="O135" s="181" t="s">
        <v>497</v>
      </c>
      <c r="P135" s="181" t="s">
        <v>1701</v>
      </c>
      <c r="Q135" s="181" t="s">
        <v>1055</v>
      </c>
      <c r="R135" s="181" t="s">
        <v>1350</v>
      </c>
      <c r="S135" s="181" t="s">
        <v>1702</v>
      </c>
      <c r="T135" s="181" t="s">
        <v>1703</v>
      </c>
      <c r="U135" s="182">
        <v>46252.847222222219</v>
      </c>
      <c r="V135" s="181" t="s">
        <v>469</v>
      </c>
      <c r="W135" s="181" t="s">
        <v>1704</v>
      </c>
      <c r="X135" s="181" t="s">
        <v>471</v>
      </c>
      <c r="Y135" s="181" t="s">
        <v>628</v>
      </c>
      <c r="Z135" s="181" t="s">
        <v>544</v>
      </c>
      <c r="AA135" s="181" t="s">
        <v>1354</v>
      </c>
      <c r="AB135" s="181" t="s">
        <v>1705</v>
      </c>
      <c r="AC135" s="181" t="s">
        <v>546</v>
      </c>
      <c r="AD135" s="181">
        <v>582026750</v>
      </c>
      <c r="AE135" s="181">
        <v>1649247974</v>
      </c>
      <c r="AF135" s="181"/>
      <c r="AG135" s="181"/>
      <c r="AH135" s="181"/>
      <c r="AI135" s="181" t="s">
        <v>32</v>
      </c>
      <c r="AJ135" s="181" t="s">
        <v>481</v>
      </c>
      <c r="AK135" s="181" t="s">
        <v>1706</v>
      </c>
      <c r="AL135" s="181">
        <v>5570.2</v>
      </c>
      <c r="AM135" s="181"/>
      <c r="AN135" s="181"/>
      <c r="AO135" s="181">
        <v>715</v>
      </c>
      <c r="AP135" s="181" t="s">
        <v>1063</v>
      </c>
      <c r="AQ135" s="181" t="s">
        <v>1707</v>
      </c>
      <c r="AR135" s="183">
        <v>46253</v>
      </c>
      <c r="AS135" s="181" t="s">
        <v>32</v>
      </c>
      <c r="AT135" s="181" t="s">
        <v>1708</v>
      </c>
      <c r="AU135" s="181"/>
      <c r="AV135" s="181" t="s">
        <v>1709</v>
      </c>
      <c r="AW135" s="181"/>
      <c r="AX135" s="181"/>
      <c r="AY135" s="181"/>
      <c r="AZ135" s="181"/>
      <c r="BA135" s="181"/>
      <c r="BB135" s="181"/>
      <c r="BC135" s="181"/>
      <c r="BD135" s="181" t="s">
        <v>32</v>
      </c>
      <c r="BE135" s="181">
        <v>44</v>
      </c>
      <c r="BF135" s="181"/>
      <c r="BG135" s="181"/>
      <c r="BH135" s="181" t="s">
        <v>491</v>
      </c>
      <c r="BI135" s="181">
        <v>256154089</v>
      </c>
      <c r="BJ135" s="181"/>
      <c r="BK135" s="181"/>
      <c r="BL135" s="181"/>
      <c r="BM135" s="181"/>
      <c r="BN135" s="181"/>
      <c r="BO135" s="181"/>
      <c r="BP135" s="181"/>
      <c r="BQ135" s="181"/>
      <c r="BR135" s="181"/>
      <c r="BS135" s="181"/>
      <c r="BT135" s="181"/>
      <c r="BU135" s="181"/>
      <c r="BV135" s="181"/>
      <c r="BW135" s="181"/>
      <c r="BX135" s="181"/>
      <c r="BY135" s="181"/>
      <c r="BZ135" s="181"/>
      <c r="CA135" s="190">
        <v>46285.666666666701</v>
      </c>
      <c r="CB135" s="3"/>
      <c r="CC135" s="16"/>
      <c r="CD135" s="16"/>
      <c r="CE135" s="16"/>
      <c r="CF135" s="16"/>
      <c r="CG135" s="16"/>
      <c r="CH135" s="16"/>
      <c r="CI135" s="16" t="s">
        <v>1710</v>
      </c>
    </row>
    <row r="136" spans="1:87">
      <c r="A136" s="16"/>
      <c r="B136" s="16"/>
      <c r="C136" s="3">
        <v>46272</v>
      </c>
      <c r="D136" s="26" t="s">
        <v>14</v>
      </c>
      <c r="E136" s="180" t="s">
        <v>1711</v>
      </c>
      <c r="F136" s="181">
        <v>2026205950419</v>
      </c>
      <c r="G136" s="181">
        <v>40</v>
      </c>
      <c r="H136" s="181">
        <v>45</v>
      </c>
      <c r="I136" s="181" t="s">
        <v>460</v>
      </c>
      <c r="J136" s="181" t="s">
        <v>1711</v>
      </c>
      <c r="K136" s="181" t="s">
        <v>1070</v>
      </c>
      <c r="L136" s="181" t="s">
        <v>16</v>
      </c>
      <c r="M136" s="181">
        <v>8</v>
      </c>
      <c r="N136" s="181" t="s">
        <v>462</v>
      </c>
      <c r="O136" s="181" t="s">
        <v>606</v>
      </c>
      <c r="P136" s="181">
        <v>971776762</v>
      </c>
      <c r="Q136" s="181" t="s">
        <v>465</v>
      </c>
      <c r="R136" s="181" t="s">
        <v>466</v>
      </c>
      <c r="S136" s="181" t="s">
        <v>1712</v>
      </c>
      <c r="T136" s="181" t="s">
        <v>1713</v>
      </c>
      <c r="U136" s="182">
        <v>46257.806944444441</v>
      </c>
      <c r="V136" s="181" t="s">
        <v>469</v>
      </c>
      <c r="W136" s="181" t="s">
        <v>470</v>
      </c>
      <c r="X136" s="181" t="s">
        <v>471</v>
      </c>
      <c r="Y136" s="181" t="s">
        <v>628</v>
      </c>
      <c r="Z136" s="181" t="s">
        <v>1338</v>
      </c>
      <c r="AA136" s="181" t="s">
        <v>474</v>
      </c>
      <c r="AB136" s="181" t="s">
        <v>1714</v>
      </c>
      <c r="AC136" s="181" t="s">
        <v>1429</v>
      </c>
      <c r="AD136" s="181">
        <v>820880104</v>
      </c>
      <c r="AE136" s="181">
        <v>1396267126</v>
      </c>
      <c r="AF136" s="181">
        <v>1649817602</v>
      </c>
      <c r="AG136" s="181"/>
      <c r="AH136" s="181" t="s">
        <v>1076</v>
      </c>
      <c r="AI136" s="181" t="s">
        <v>366</v>
      </c>
      <c r="AJ136" s="181" t="s">
        <v>481</v>
      </c>
      <c r="AK136" s="181" t="s">
        <v>1715</v>
      </c>
      <c r="AL136" s="181">
        <v>260</v>
      </c>
      <c r="AM136" s="181"/>
      <c r="AN136" s="181"/>
      <c r="AO136" s="181">
        <v>971</v>
      </c>
      <c r="AP136" s="181" t="s">
        <v>485</v>
      </c>
      <c r="AQ136" s="181" t="s">
        <v>1716</v>
      </c>
      <c r="AR136" s="183">
        <v>46264</v>
      </c>
      <c r="AS136" s="181" t="s">
        <v>366</v>
      </c>
      <c r="AT136" s="181" t="s">
        <v>1079</v>
      </c>
      <c r="AU136" s="181"/>
      <c r="AV136" s="181" t="s">
        <v>1717</v>
      </c>
      <c r="AW136" s="181"/>
      <c r="AX136" s="181"/>
      <c r="AY136" s="181"/>
      <c r="AZ136" s="181"/>
      <c r="BA136" s="181"/>
      <c r="BB136" s="181"/>
      <c r="BC136" s="181"/>
      <c r="BD136" s="181" t="s">
        <v>366</v>
      </c>
      <c r="BE136" s="181">
        <v>45</v>
      </c>
      <c r="BF136" s="181"/>
      <c r="BG136" s="181"/>
      <c r="BH136" s="181" t="s">
        <v>491</v>
      </c>
      <c r="BI136" s="181">
        <v>44763185</v>
      </c>
      <c r="BJ136" s="181"/>
      <c r="BK136" s="181"/>
      <c r="BL136" s="181"/>
      <c r="BM136" s="181"/>
      <c r="BN136" s="181"/>
      <c r="BO136" s="181"/>
      <c r="BP136" s="181"/>
      <c r="BQ136" s="181"/>
      <c r="BR136" s="181"/>
      <c r="BS136" s="181"/>
      <c r="BT136" s="181"/>
      <c r="BU136" s="181"/>
      <c r="BV136" s="181"/>
      <c r="BW136" s="181"/>
      <c r="BX136" s="181"/>
      <c r="BY136" s="181"/>
      <c r="BZ136" s="181"/>
      <c r="CA136" s="190"/>
      <c r="CB136" s="3"/>
      <c r="CC136" s="16"/>
      <c r="CD136" s="16"/>
      <c r="CE136" s="16"/>
      <c r="CF136" s="16"/>
      <c r="CG136" s="16"/>
      <c r="CH136" s="16"/>
      <c r="CI136" s="16" t="s">
        <v>1718</v>
      </c>
    </row>
    <row r="137" spans="1:87">
      <c r="A137" s="16" t="s">
        <v>5</v>
      </c>
      <c r="B137" s="16" t="s">
        <v>1719</v>
      </c>
      <c r="C137" s="3">
        <v>46272</v>
      </c>
      <c r="D137" s="26" t="s">
        <v>14</v>
      </c>
      <c r="E137" s="180" t="s">
        <v>1720</v>
      </c>
      <c r="F137" s="181">
        <v>2026218210078</v>
      </c>
      <c r="G137" s="181">
        <v>40</v>
      </c>
      <c r="H137" s="181">
        <v>32</v>
      </c>
      <c r="I137" s="181" t="s">
        <v>460</v>
      </c>
      <c r="J137" s="181" t="s">
        <v>1720</v>
      </c>
      <c r="K137" s="181" t="s">
        <v>662</v>
      </c>
      <c r="L137" s="181" t="s">
        <v>13</v>
      </c>
      <c r="M137" s="181">
        <v>8</v>
      </c>
      <c r="N137" s="181" t="s">
        <v>462</v>
      </c>
      <c r="O137" s="181" t="s">
        <v>606</v>
      </c>
      <c r="P137" s="181" t="s">
        <v>1721</v>
      </c>
      <c r="Q137" s="181" t="s">
        <v>465</v>
      </c>
      <c r="R137" s="181" t="s">
        <v>466</v>
      </c>
      <c r="S137" s="181" t="s">
        <v>1722</v>
      </c>
      <c r="T137" s="181" t="s">
        <v>1723</v>
      </c>
      <c r="U137" s="182">
        <v>46264.65347222222</v>
      </c>
      <c r="V137" s="181" t="s">
        <v>469</v>
      </c>
      <c r="W137" s="181" t="s">
        <v>568</v>
      </c>
      <c r="X137" s="181" t="s">
        <v>471</v>
      </c>
      <c r="Y137" s="181" t="s">
        <v>1724</v>
      </c>
      <c r="Z137" s="181" t="s">
        <v>570</v>
      </c>
      <c r="AA137" s="181" t="s">
        <v>474</v>
      </c>
      <c r="AB137" s="181" t="s">
        <v>1725</v>
      </c>
      <c r="AC137" s="181" t="s">
        <v>572</v>
      </c>
      <c r="AD137" s="181">
        <v>951684089</v>
      </c>
      <c r="AE137" s="181">
        <v>1841233780</v>
      </c>
      <c r="AF137" s="181"/>
      <c r="AG137" s="181"/>
      <c r="AH137" s="181"/>
      <c r="AI137" s="181" t="s">
        <v>138</v>
      </c>
      <c r="AJ137" s="181" t="s">
        <v>481</v>
      </c>
      <c r="AK137" s="181" t="s">
        <v>1726</v>
      </c>
      <c r="AL137" s="181">
        <v>153489.99</v>
      </c>
      <c r="AM137" s="181"/>
      <c r="AN137" s="181"/>
      <c r="AO137" s="181">
        <v>512</v>
      </c>
      <c r="AP137" s="181" t="s">
        <v>485</v>
      </c>
      <c r="AQ137" s="181" t="s">
        <v>1727</v>
      </c>
      <c r="AR137" s="183">
        <v>46264</v>
      </c>
      <c r="AS137" s="181" t="s">
        <v>138</v>
      </c>
      <c r="AT137" s="181" t="s">
        <v>1728</v>
      </c>
      <c r="AU137" s="181"/>
      <c r="AV137" s="181" t="s">
        <v>1729</v>
      </c>
      <c r="AW137" s="181"/>
      <c r="AX137" s="181"/>
      <c r="AY137" s="181"/>
      <c r="AZ137" s="181"/>
      <c r="BA137" s="181"/>
      <c r="BB137" s="181"/>
      <c r="BC137" s="181"/>
      <c r="BD137" s="181" t="s">
        <v>138</v>
      </c>
      <c r="BE137" s="181">
        <v>32</v>
      </c>
      <c r="BF137" s="181"/>
      <c r="BG137" s="181"/>
      <c r="BH137" s="181" t="s">
        <v>491</v>
      </c>
      <c r="BI137" s="181">
        <v>547777135</v>
      </c>
      <c r="BJ137" s="181"/>
      <c r="BK137" s="181"/>
      <c r="BL137" s="181"/>
      <c r="BM137" s="181"/>
      <c r="BN137" s="181"/>
      <c r="BO137" s="181"/>
      <c r="BP137" s="181"/>
      <c r="BQ137" s="181"/>
      <c r="BR137" s="181"/>
      <c r="BS137" s="181"/>
      <c r="BT137" s="181"/>
      <c r="BU137" s="181"/>
      <c r="BV137" s="181"/>
      <c r="BW137" s="181"/>
      <c r="BX137" s="181"/>
      <c r="BY137" s="181"/>
      <c r="BZ137" s="181"/>
      <c r="CA137" s="190">
        <v>46281.166666666701</v>
      </c>
      <c r="CB137" s="3"/>
      <c r="CC137" s="16"/>
      <c r="CD137" s="16"/>
      <c r="CE137" s="16"/>
      <c r="CF137" s="16"/>
      <c r="CG137" s="16"/>
      <c r="CH137" s="16"/>
      <c r="CI137" s="16" t="s">
        <v>1730</v>
      </c>
    </row>
    <row r="138" spans="1:87">
      <c r="A138" s="16"/>
      <c r="B138" s="16"/>
      <c r="C138" s="3">
        <v>46272</v>
      </c>
      <c r="D138" s="26" t="s">
        <v>14</v>
      </c>
      <c r="E138" s="180" t="s">
        <v>1731</v>
      </c>
      <c r="F138" s="181"/>
      <c r="G138" s="181">
        <v>40</v>
      </c>
      <c r="H138" s="181">
        <v>41</v>
      </c>
      <c r="I138" s="181" t="s">
        <v>460</v>
      </c>
      <c r="J138" s="181" t="s">
        <v>1731</v>
      </c>
      <c r="K138" s="181" t="s">
        <v>682</v>
      </c>
      <c r="L138" s="181" t="s">
        <v>18</v>
      </c>
      <c r="M138" s="181">
        <v>18</v>
      </c>
      <c r="N138" s="181" t="s">
        <v>462</v>
      </c>
      <c r="O138" s="181" t="s">
        <v>606</v>
      </c>
      <c r="P138" s="181" t="s">
        <v>1732</v>
      </c>
      <c r="Q138" s="181" t="s">
        <v>465</v>
      </c>
      <c r="R138" s="181" t="s">
        <v>1056</v>
      </c>
      <c r="S138" s="181" t="s">
        <v>1733</v>
      </c>
      <c r="T138" s="181" t="s">
        <v>1734</v>
      </c>
      <c r="U138" s="182">
        <v>46254.01458333333</v>
      </c>
      <c r="V138" s="181" t="s">
        <v>469</v>
      </c>
      <c r="W138" s="181" t="s">
        <v>568</v>
      </c>
      <c r="X138" s="181" t="s">
        <v>471</v>
      </c>
      <c r="Y138" s="181" t="s">
        <v>1735</v>
      </c>
      <c r="Z138" s="181" t="s">
        <v>906</v>
      </c>
      <c r="AA138" s="181" t="s">
        <v>1354</v>
      </c>
      <c r="AB138" s="181" t="s">
        <v>1736</v>
      </c>
      <c r="AC138" s="181" t="s">
        <v>572</v>
      </c>
      <c r="AD138" s="181">
        <v>273279864</v>
      </c>
      <c r="AE138" s="181">
        <v>1578852901</v>
      </c>
      <c r="AF138" s="181">
        <v>1548217680</v>
      </c>
      <c r="AG138" s="181"/>
      <c r="AH138" s="181"/>
      <c r="AI138" s="181" t="s">
        <v>19</v>
      </c>
      <c r="AJ138" s="181" t="s">
        <v>481</v>
      </c>
      <c r="AK138" s="181" t="s">
        <v>1737</v>
      </c>
      <c r="AL138" s="181">
        <v>656</v>
      </c>
      <c r="AM138" s="181"/>
      <c r="AN138" s="181"/>
      <c r="AO138" s="181">
        <v>604</v>
      </c>
      <c r="AP138" s="181" t="s">
        <v>1063</v>
      </c>
      <c r="AQ138" s="181" t="s">
        <v>1738</v>
      </c>
      <c r="AR138" s="183">
        <v>46254</v>
      </c>
      <c r="AS138" s="181" t="s">
        <v>19</v>
      </c>
      <c r="AT138" s="181" t="s">
        <v>814</v>
      </c>
      <c r="AU138" s="181"/>
      <c r="AV138" s="181" t="s">
        <v>1739</v>
      </c>
      <c r="AW138" s="181"/>
      <c r="AX138" s="181"/>
      <c r="AY138" s="181"/>
      <c r="AZ138" s="181"/>
      <c r="BA138" s="181"/>
      <c r="BB138" s="181"/>
      <c r="BC138" s="181"/>
      <c r="BD138" s="181" t="s">
        <v>19</v>
      </c>
      <c r="BE138" s="181">
        <v>41</v>
      </c>
      <c r="BF138" s="181"/>
      <c r="BG138" s="181" t="s">
        <v>490</v>
      </c>
      <c r="BH138" s="181" t="s">
        <v>491</v>
      </c>
      <c r="BI138" s="181">
        <v>560777324</v>
      </c>
      <c r="BJ138" s="181"/>
      <c r="BK138" s="181"/>
      <c r="BL138" s="181"/>
      <c r="BM138" s="181"/>
      <c r="BN138" s="181"/>
      <c r="BO138" s="181"/>
      <c r="BP138" s="181"/>
      <c r="BQ138" s="181"/>
      <c r="BR138" s="181"/>
      <c r="BS138" s="181"/>
      <c r="BT138" s="181"/>
      <c r="BU138" s="181"/>
      <c r="BV138" s="181"/>
      <c r="BW138" s="181"/>
      <c r="BX138" s="181"/>
      <c r="BY138" s="181"/>
      <c r="BZ138" s="181"/>
      <c r="CA138" s="190"/>
      <c r="CB138" s="3"/>
      <c r="CC138" s="16"/>
      <c r="CD138" s="16"/>
      <c r="CE138" s="16"/>
      <c r="CF138" s="16"/>
      <c r="CG138" s="16"/>
      <c r="CH138" s="16"/>
      <c r="CI138" s="16" t="s">
        <v>1740</v>
      </c>
    </row>
    <row r="139" spans="1:87">
      <c r="A139" s="16"/>
      <c r="B139" s="16"/>
      <c r="C139" s="3">
        <v>46272</v>
      </c>
      <c r="D139" s="26" t="s">
        <v>14</v>
      </c>
      <c r="E139" s="180" t="s">
        <v>1741</v>
      </c>
      <c r="F139" s="181">
        <v>2026213180219</v>
      </c>
      <c r="G139" s="181">
        <v>40</v>
      </c>
      <c r="H139" s="181">
        <v>37</v>
      </c>
      <c r="I139" s="181" t="s">
        <v>460</v>
      </c>
      <c r="J139" s="181" t="s">
        <v>1741</v>
      </c>
      <c r="K139" s="181" t="s">
        <v>648</v>
      </c>
      <c r="L139" s="181" t="s">
        <v>17</v>
      </c>
      <c r="M139" s="181">
        <v>13</v>
      </c>
      <c r="N139" s="181" t="s">
        <v>462</v>
      </c>
      <c r="O139" s="181" t="s">
        <v>606</v>
      </c>
      <c r="P139" s="181" t="s">
        <v>1742</v>
      </c>
      <c r="Q139" s="181" t="s">
        <v>465</v>
      </c>
      <c r="R139" s="181" t="s">
        <v>466</v>
      </c>
      <c r="S139" s="181" t="s">
        <v>1743</v>
      </c>
      <c r="T139" s="181">
        <v>720847</v>
      </c>
      <c r="U139" s="182">
        <v>46258.958333333336</v>
      </c>
      <c r="V139" s="181" t="s">
        <v>469</v>
      </c>
      <c r="W139" s="181" t="s">
        <v>470</v>
      </c>
      <c r="X139" s="181" t="s">
        <v>471</v>
      </c>
      <c r="Y139" s="181" t="s">
        <v>628</v>
      </c>
      <c r="Z139" s="181" t="s">
        <v>665</v>
      </c>
      <c r="AA139" s="181" t="s">
        <v>474</v>
      </c>
      <c r="AB139" s="181" t="s">
        <v>1744</v>
      </c>
      <c r="AC139" s="181" t="s">
        <v>640</v>
      </c>
      <c r="AD139" s="181">
        <v>135562308</v>
      </c>
      <c r="AE139" s="181">
        <v>1285826438</v>
      </c>
      <c r="AF139" s="181">
        <v>1386650331</v>
      </c>
      <c r="AG139" s="181"/>
      <c r="AH139" s="181"/>
      <c r="AI139" s="181" t="s">
        <v>201</v>
      </c>
      <c r="AJ139" s="181" t="s">
        <v>481</v>
      </c>
      <c r="AK139" s="181" t="s">
        <v>1745</v>
      </c>
      <c r="AL139" s="181">
        <v>28563</v>
      </c>
      <c r="AM139" s="181"/>
      <c r="AN139" s="181"/>
      <c r="AO139" s="181">
        <v>955</v>
      </c>
      <c r="AP139" s="181" t="s">
        <v>485</v>
      </c>
      <c r="AQ139" s="181" t="s">
        <v>1746</v>
      </c>
      <c r="AR139" s="183">
        <v>46259</v>
      </c>
      <c r="AS139" s="181" t="s">
        <v>201</v>
      </c>
      <c r="AT139" s="181" t="s">
        <v>835</v>
      </c>
      <c r="AU139" s="181"/>
      <c r="AV139" s="181" t="s">
        <v>1747</v>
      </c>
      <c r="AW139" s="181"/>
      <c r="AX139" s="181"/>
      <c r="AY139" s="181"/>
      <c r="AZ139" s="181"/>
      <c r="BA139" s="181"/>
      <c r="BB139" s="181"/>
      <c r="BC139" s="181"/>
      <c r="BD139" s="181" t="s">
        <v>201</v>
      </c>
      <c r="BE139" s="181">
        <v>37</v>
      </c>
      <c r="BF139" s="181"/>
      <c r="BG139" s="181" t="s">
        <v>490</v>
      </c>
      <c r="BH139" s="181" t="s">
        <v>491</v>
      </c>
      <c r="BI139" s="181">
        <v>141602546</v>
      </c>
      <c r="BJ139" s="181"/>
      <c r="BK139" s="181"/>
      <c r="BL139" s="181"/>
      <c r="BM139" s="181"/>
      <c r="BN139" s="181"/>
      <c r="BO139" s="181"/>
      <c r="BP139" s="181"/>
      <c r="BQ139" s="181"/>
      <c r="BR139" s="181"/>
      <c r="BS139" s="181"/>
      <c r="BT139" s="181"/>
      <c r="BU139" s="181"/>
      <c r="BV139" s="181"/>
      <c r="BW139" s="181"/>
      <c r="BX139" s="181"/>
      <c r="BY139" s="181"/>
      <c r="BZ139" s="181"/>
      <c r="CA139" s="190"/>
      <c r="CB139" s="3"/>
      <c r="CC139" s="16"/>
      <c r="CD139" s="16"/>
      <c r="CE139" s="16"/>
      <c r="CF139" s="16"/>
      <c r="CG139" s="16"/>
      <c r="CH139" s="16"/>
      <c r="CI139" s="16" t="s">
        <v>1748</v>
      </c>
    </row>
    <row r="140" spans="1:87" ht="29.25">
      <c r="A140" s="16" t="s">
        <v>5</v>
      </c>
      <c r="B140" s="25" t="s">
        <v>672</v>
      </c>
      <c r="C140" s="3">
        <v>46272</v>
      </c>
      <c r="D140" s="26" t="s">
        <v>14</v>
      </c>
      <c r="E140" s="180" t="s">
        <v>1749</v>
      </c>
      <c r="F140" s="181">
        <v>2026211570059</v>
      </c>
      <c r="G140" s="181">
        <v>40</v>
      </c>
      <c r="H140" s="181">
        <v>39</v>
      </c>
      <c r="I140" s="181" t="s">
        <v>460</v>
      </c>
      <c r="J140" s="181" t="s">
        <v>1749</v>
      </c>
      <c r="K140" s="181" t="s">
        <v>674</v>
      </c>
      <c r="L140" s="181" t="s">
        <v>16</v>
      </c>
      <c r="M140" s="181">
        <v>15</v>
      </c>
      <c r="N140" s="181" t="s">
        <v>462</v>
      </c>
      <c r="O140" s="181" t="s">
        <v>606</v>
      </c>
      <c r="P140" s="181" t="s">
        <v>1750</v>
      </c>
      <c r="Q140" s="181" t="s">
        <v>465</v>
      </c>
      <c r="R140" s="181" t="s">
        <v>466</v>
      </c>
      <c r="S140" s="181" t="s">
        <v>1751</v>
      </c>
      <c r="T140" s="181">
        <v>720258</v>
      </c>
      <c r="U140" s="182">
        <v>46257.250694444447</v>
      </c>
      <c r="V140" s="181" t="s">
        <v>469</v>
      </c>
      <c r="W140" s="181" t="s">
        <v>1752</v>
      </c>
      <c r="X140" s="181" t="s">
        <v>471</v>
      </c>
      <c r="Y140" s="181" t="s">
        <v>628</v>
      </c>
      <c r="Z140" s="181" t="s">
        <v>665</v>
      </c>
      <c r="AA140" s="181" t="s">
        <v>474</v>
      </c>
      <c r="AB140" s="181" t="s">
        <v>1753</v>
      </c>
      <c r="AC140" s="181" t="s">
        <v>640</v>
      </c>
      <c r="AD140" s="181">
        <v>135562308</v>
      </c>
      <c r="AE140" s="181">
        <v>1063656296</v>
      </c>
      <c r="AF140" s="181">
        <v>1063656296</v>
      </c>
      <c r="AG140" s="181"/>
      <c r="AH140" s="181"/>
      <c r="AI140" s="181" t="s">
        <v>54</v>
      </c>
      <c r="AJ140" s="181" t="s">
        <v>481</v>
      </c>
      <c r="AK140" s="181" t="s">
        <v>1754</v>
      </c>
      <c r="AL140" s="181">
        <v>76925</v>
      </c>
      <c r="AM140" s="181"/>
      <c r="AN140" s="181"/>
      <c r="AO140" s="181">
        <v>97</v>
      </c>
      <c r="AP140" s="181" t="s">
        <v>485</v>
      </c>
      <c r="AQ140" s="181" t="s">
        <v>1755</v>
      </c>
      <c r="AR140" s="183">
        <v>46257</v>
      </c>
      <c r="AS140" s="181" t="s">
        <v>54</v>
      </c>
      <c r="AT140" s="181" t="s">
        <v>606</v>
      </c>
      <c r="AU140" s="181"/>
      <c r="AV140" s="181" t="s">
        <v>1756</v>
      </c>
      <c r="AW140" s="181"/>
      <c r="AX140" s="181"/>
      <c r="AY140" s="181"/>
      <c r="AZ140" s="181"/>
      <c r="BA140" s="181"/>
      <c r="BB140" s="181"/>
      <c r="BC140" s="181"/>
      <c r="BD140" s="181" t="s">
        <v>54</v>
      </c>
      <c r="BE140" s="181">
        <v>39</v>
      </c>
      <c r="BF140" s="181"/>
      <c r="BG140" s="181"/>
      <c r="BH140" s="181" t="s">
        <v>491</v>
      </c>
      <c r="BI140" s="181">
        <v>72666605</v>
      </c>
      <c r="BJ140" s="181"/>
      <c r="BK140" s="181"/>
      <c r="BL140" s="181"/>
      <c r="BM140" s="181"/>
      <c r="BN140" s="181"/>
      <c r="BO140" s="181"/>
      <c r="BP140" s="181"/>
      <c r="BQ140" s="181"/>
      <c r="BR140" s="181"/>
      <c r="BS140" s="181"/>
      <c r="BT140" s="181"/>
      <c r="BU140" s="181"/>
      <c r="BV140" s="181"/>
      <c r="BW140" s="181"/>
      <c r="BX140" s="181"/>
      <c r="BY140" s="181"/>
      <c r="BZ140" s="181"/>
      <c r="CA140" s="190">
        <v>46281.666666666701</v>
      </c>
      <c r="CB140" s="3"/>
      <c r="CC140" s="16"/>
      <c r="CD140" s="16"/>
      <c r="CE140" s="16"/>
      <c r="CF140" s="16"/>
      <c r="CG140" s="16"/>
      <c r="CH140" s="16"/>
      <c r="CI140" s="16" t="s">
        <v>1757</v>
      </c>
    </row>
    <row r="141" spans="1:87">
      <c r="A141" s="16"/>
      <c r="B141" s="16"/>
      <c r="C141" s="3">
        <v>46272</v>
      </c>
      <c r="D141" s="26" t="s">
        <v>14</v>
      </c>
      <c r="E141" s="180" t="s">
        <v>1758</v>
      </c>
      <c r="F141" s="181">
        <v>2026218650539</v>
      </c>
      <c r="G141" s="181">
        <v>40</v>
      </c>
      <c r="H141" s="181">
        <v>32</v>
      </c>
      <c r="I141" s="181" t="s">
        <v>460</v>
      </c>
      <c r="J141" s="181" t="s">
        <v>1758</v>
      </c>
      <c r="K141" s="181" t="s">
        <v>1759</v>
      </c>
      <c r="L141" s="181" t="s">
        <v>1760</v>
      </c>
      <c r="M141" s="181">
        <v>7</v>
      </c>
      <c r="N141" s="181" t="s">
        <v>462</v>
      </c>
      <c r="O141" s="181" t="s">
        <v>606</v>
      </c>
      <c r="P141" s="181" t="s">
        <v>1761</v>
      </c>
      <c r="Q141" s="181" t="s">
        <v>465</v>
      </c>
      <c r="R141" s="181" t="s">
        <v>466</v>
      </c>
      <c r="S141" s="181" t="s">
        <v>1762</v>
      </c>
      <c r="T141" s="181">
        <v>376334</v>
      </c>
      <c r="U141" s="182">
        <v>46264.866666666669</v>
      </c>
      <c r="V141" s="181" t="s">
        <v>469</v>
      </c>
      <c r="W141" s="181" t="s">
        <v>1752</v>
      </c>
      <c r="X141" s="181" t="s">
        <v>471</v>
      </c>
      <c r="Y141" s="181" t="s">
        <v>628</v>
      </c>
      <c r="Z141" s="181" t="s">
        <v>665</v>
      </c>
      <c r="AA141" s="181" t="s">
        <v>474</v>
      </c>
      <c r="AB141" s="181" t="s">
        <v>1763</v>
      </c>
      <c r="AC141" s="181" t="s">
        <v>640</v>
      </c>
      <c r="AD141" s="181">
        <v>112645930</v>
      </c>
      <c r="AE141" s="181">
        <v>1386674810</v>
      </c>
      <c r="AF141" s="181">
        <v>1386674810</v>
      </c>
      <c r="AG141" s="181"/>
      <c r="AH141" s="181"/>
      <c r="AI141" s="181" t="s">
        <v>1764</v>
      </c>
      <c r="AJ141" s="181" t="s">
        <v>481</v>
      </c>
      <c r="AK141" s="181" t="s">
        <v>1765</v>
      </c>
      <c r="AL141" s="181">
        <v>46670</v>
      </c>
      <c r="AM141" s="181"/>
      <c r="AN141" s="181"/>
      <c r="AO141" s="181">
        <v>657</v>
      </c>
      <c r="AP141" s="181" t="s">
        <v>485</v>
      </c>
      <c r="AQ141" s="181" t="s">
        <v>1766</v>
      </c>
      <c r="AR141" s="183">
        <v>46265</v>
      </c>
      <c r="AS141" s="181" t="s">
        <v>1764</v>
      </c>
      <c r="AT141" s="181" t="s">
        <v>1767</v>
      </c>
      <c r="AU141" s="181"/>
      <c r="AV141" s="181" t="s">
        <v>1768</v>
      </c>
      <c r="AW141" s="181"/>
      <c r="AX141" s="181"/>
      <c r="AY141" s="181"/>
      <c r="AZ141" s="181"/>
      <c r="BA141" s="181"/>
      <c r="BB141" s="181"/>
      <c r="BC141" s="181"/>
      <c r="BD141" s="181" t="s">
        <v>1764</v>
      </c>
      <c r="BE141" s="181">
        <v>32</v>
      </c>
      <c r="BF141" s="181"/>
      <c r="BG141" s="181" t="s">
        <v>490</v>
      </c>
      <c r="BH141" s="181" t="s">
        <v>491</v>
      </c>
      <c r="BI141" s="181">
        <v>120601278</v>
      </c>
      <c r="BJ141" s="181"/>
      <c r="BK141" s="181"/>
      <c r="BL141" s="181"/>
      <c r="BM141" s="181"/>
      <c r="BN141" s="181"/>
      <c r="BO141" s="181"/>
      <c r="BP141" s="181"/>
      <c r="BQ141" s="181"/>
      <c r="BR141" s="181"/>
      <c r="BS141" s="181"/>
      <c r="BT141" s="181"/>
      <c r="BU141" s="181"/>
      <c r="BV141" s="181"/>
      <c r="BW141" s="181"/>
      <c r="BX141" s="181"/>
      <c r="BY141" s="181"/>
      <c r="BZ141" s="181"/>
      <c r="CA141" s="190"/>
      <c r="CB141" s="3"/>
      <c r="CC141" s="16"/>
      <c r="CD141" s="16"/>
      <c r="CE141" s="16"/>
      <c r="CF141" s="16"/>
      <c r="CG141" s="16"/>
      <c r="CH141" s="16"/>
      <c r="CI141" s="16" t="s">
        <v>1769</v>
      </c>
    </row>
    <row r="142" spans="1:87">
      <c r="A142" s="16"/>
      <c r="B142" s="16"/>
      <c r="C142" s="3">
        <v>46272</v>
      </c>
      <c r="D142" s="26" t="s">
        <v>14</v>
      </c>
      <c r="E142" s="180" t="s">
        <v>1770</v>
      </c>
      <c r="F142" s="181">
        <v>2026216410550</v>
      </c>
      <c r="G142" s="181">
        <v>40</v>
      </c>
      <c r="H142" s="181">
        <v>34</v>
      </c>
      <c r="I142" s="181" t="s">
        <v>460</v>
      </c>
      <c r="J142" s="181" t="s">
        <v>1770</v>
      </c>
      <c r="K142" s="181" t="s">
        <v>648</v>
      </c>
      <c r="L142" s="181" t="s">
        <v>17</v>
      </c>
      <c r="M142" s="181">
        <v>11</v>
      </c>
      <c r="N142" s="181" t="s">
        <v>462</v>
      </c>
      <c r="O142" s="181" t="s">
        <v>606</v>
      </c>
      <c r="P142" s="181">
        <v>970159006</v>
      </c>
      <c r="Q142" s="181" t="s">
        <v>465</v>
      </c>
      <c r="R142" s="181" t="s">
        <v>466</v>
      </c>
      <c r="S142" s="181" t="s">
        <v>1771</v>
      </c>
      <c r="T142" s="181">
        <v>360678</v>
      </c>
      <c r="U142" s="182">
        <v>46260.923611111109</v>
      </c>
      <c r="V142" s="181" t="s">
        <v>469</v>
      </c>
      <c r="W142" s="181" t="s">
        <v>1704</v>
      </c>
      <c r="X142" s="181" t="s">
        <v>471</v>
      </c>
      <c r="Y142" s="181" t="s">
        <v>523</v>
      </c>
      <c r="Z142" s="181" t="s">
        <v>612</v>
      </c>
      <c r="AA142" s="181" t="s">
        <v>474</v>
      </c>
      <c r="AB142" s="181" t="s">
        <v>1772</v>
      </c>
      <c r="AC142" s="181" t="s">
        <v>614</v>
      </c>
      <c r="AD142" s="181">
        <v>222594672</v>
      </c>
      <c r="AE142" s="181">
        <v>1801840764</v>
      </c>
      <c r="AF142" s="181">
        <v>1639600158</v>
      </c>
      <c r="AG142" s="181"/>
      <c r="AH142" s="181"/>
      <c r="AI142" s="181" t="s">
        <v>201</v>
      </c>
      <c r="AJ142" s="181" t="s">
        <v>481</v>
      </c>
      <c r="AK142" s="181" t="s">
        <v>1773</v>
      </c>
      <c r="AL142" s="181">
        <v>6250</v>
      </c>
      <c r="AM142" s="181"/>
      <c r="AN142" s="181"/>
      <c r="AO142" s="181">
        <v>970</v>
      </c>
      <c r="AP142" s="181" t="s">
        <v>485</v>
      </c>
      <c r="AQ142" s="181" t="s">
        <v>1774</v>
      </c>
      <c r="AR142" s="183">
        <v>46261</v>
      </c>
      <c r="AS142" s="181" t="s">
        <v>201</v>
      </c>
      <c r="AT142" s="181" t="s">
        <v>516</v>
      </c>
      <c r="AU142" s="181"/>
      <c r="AV142" s="181" t="s">
        <v>1775</v>
      </c>
      <c r="AW142" s="181"/>
      <c r="AX142" s="181"/>
      <c r="AY142" s="181"/>
      <c r="AZ142" s="181"/>
      <c r="BA142" s="181"/>
      <c r="BB142" s="181"/>
      <c r="BC142" s="181"/>
      <c r="BD142" s="181" t="s">
        <v>201</v>
      </c>
      <c r="BE142" s="181">
        <v>34</v>
      </c>
      <c r="BF142" s="181"/>
      <c r="BG142" s="181"/>
      <c r="BH142" s="181" t="s">
        <v>491</v>
      </c>
      <c r="BI142" s="181">
        <v>382863582</v>
      </c>
      <c r="BJ142" s="181"/>
      <c r="BK142" s="181"/>
      <c r="BL142" s="181"/>
      <c r="BM142" s="181"/>
      <c r="BN142" s="181"/>
      <c r="BO142" s="181"/>
      <c r="BP142" s="181"/>
      <c r="BQ142" s="181"/>
      <c r="BR142" s="181"/>
      <c r="BS142" s="181"/>
      <c r="BT142" s="181"/>
      <c r="BU142" s="181"/>
      <c r="BV142" s="181"/>
      <c r="BW142" s="181"/>
      <c r="BX142" s="181"/>
      <c r="BY142" s="181"/>
      <c r="BZ142" s="181"/>
      <c r="CA142" s="190"/>
      <c r="CB142" s="3"/>
      <c r="CC142" s="16"/>
      <c r="CD142" s="16"/>
      <c r="CE142" s="16"/>
      <c r="CF142" s="16"/>
      <c r="CG142" s="16"/>
      <c r="CH142" s="16"/>
      <c r="CI142" s="16" t="s">
        <v>1776</v>
      </c>
    </row>
    <row r="143" spans="1:87">
      <c r="A143" s="16" t="s">
        <v>5</v>
      </c>
      <c r="B143" s="16" t="s">
        <v>1777</v>
      </c>
      <c r="C143" s="3">
        <v>46272</v>
      </c>
      <c r="D143" s="26" t="s">
        <v>14</v>
      </c>
      <c r="E143" s="180" t="s">
        <v>1778</v>
      </c>
      <c r="F143" s="181">
        <v>2026211160141</v>
      </c>
      <c r="G143" s="181">
        <v>40</v>
      </c>
      <c r="H143" s="181">
        <v>39</v>
      </c>
      <c r="I143" s="181" t="s">
        <v>460</v>
      </c>
      <c r="J143" s="181" t="s">
        <v>1778</v>
      </c>
      <c r="K143" s="181" t="s">
        <v>1779</v>
      </c>
      <c r="L143" s="181" t="s">
        <v>18</v>
      </c>
      <c r="M143" s="181">
        <v>11</v>
      </c>
      <c r="N143" s="181" t="s">
        <v>462</v>
      </c>
      <c r="O143" s="181" t="s">
        <v>606</v>
      </c>
      <c r="P143" s="181">
        <v>972241439</v>
      </c>
      <c r="Q143" s="181" t="s">
        <v>465</v>
      </c>
      <c r="R143" s="181" t="s">
        <v>466</v>
      </c>
      <c r="S143" s="181" t="s">
        <v>1780</v>
      </c>
      <c r="T143" s="181">
        <v>342883</v>
      </c>
      <c r="U143" s="182">
        <v>46260.818055555559</v>
      </c>
      <c r="V143" s="181" t="s">
        <v>469</v>
      </c>
      <c r="W143" s="181" t="s">
        <v>470</v>
      </c>
      <c r="X143" s="181" t="s">
        <v>471</v>
      </c>
      <c r="Y143" s="181" t="s">
        <v>628</v>
      </c>
      <c r="Z143" s="181" t="s">
        <v>612</v>
      </c>
      <c r="AA143" s="181" t="s">
        <v>474</v>
      </c>
      <c r="AB143" s="181" t="s">
        <v>1781</v>
      </c>
      <c r="AC143" s="181" t="s">
        <v>640</v>
      </c>
      <c r="AD143" s="181">
        <v>464682992</v>
      </c>
      <c r="AE143" s="181">
        <v>1568886794</v>
      </c>
      <c r="AF143" s="181">
        <v>1811268527</v>
      </c>
      <c r="AG143" s="181"/>
      <c r="AH143" s="181"/>
      <c r="AI143" s="181" t="s">
        <v>88</v>
      </c>
      <c r="AJ143" s="181" t="s">
        <v>481</v>
      </c>
      <c r="AK143" s="181" t="s">
        <v>1782</v>
      </c>
      <c r="AL143" s="181">
        <v>24455</v>
      </c>
      <c r="AM143" s="181"/>
      <c r="AN143" s="181"/>
      <c r="AO143" s="181">
        <v>972</v>
      </c>
      <c r="AP143" s="181" t="s">
        <v>485</v>
      </c>
      <c r="AQ143" s="181" t="s">
        <v>1783</v>
      </c>
      <c r="AR143" s="183">
        <v>46261</v>
      </c>
      <c r="AS143" s="181" t="s">
        <v>88</v>
      </c>
      <c r="AT143" s="181" t="s">
        <v>516</v>
      </c>
      <c r="AU143" s="181"/>
      <c r="AV143" s="181" t="s">
        <v>1784</v>
      </c>
      <c r="AW143" s="181"/>
      <c r="AX143" s="181"/>
      <c r="AY143" s="181"/>
      <c r="AZ143" s="181"/>
      <c r="BA143" s="181"/>
      <c r="BB143" s="181"/>
      <c r="BC143" s="181"/>
      <c r="BD143" s="181" t="s">
        <v>88</v>
      </c>
      <c r="BE143" s="181">
        <v>39</v>
      </c>
      <c r="BF143" s="181"/>
      <c r="BG143" s="181" t="s">
        <v>490</v>
      </c>
      <c r="BH143" s="181" t="s">
        <v>491</v>
      </c>
      <c r="BI143" s="181">
        <v>40445476</v>
      </c>
      <c r="BJ143" s="181"/>
      <c r="BK143" s="181"/>
      <c r="BL143" s="181"/>
      <c r="BM143" s="181"/>
      <c r="BN143" s="181"/>
      <c r="BO143" s="181"/>
      <c r="BP143" s="181"/>
      <c r="BQ143" s="181"/>
      <c r="BR143" s="181"/>
      <c r="BS143" s="181"/>
      <c r="BT143" s="181"/>
      <c r="BU143" s="181"/>
      <c r="BV143" s="181"/>
      <c r="BW143" s="181"/>
      <c r="BX143" s="181"/>
      <c r="BY143" s="181"/>
      <c r="BZ143" s="181"/>
      <c r="CA143" s="190">
        <v>46280.666666666701</v>
      </c>
      <c r="CB143" s="3"/>
      <c r="CC143" s="16"/>
      <c r="CD143" s="16"/>
      <c r="CE143" s="16"/>
      <c r="CF143" s="16"/>
      <c r="CG143" s="16"/>
      <c r="CH143" s="16"/>
      <c r="CI143" s="16" t="s">
        <v>1785</v>
      </c>
    </row>
    <row r="144" spans="1:87" ht="29.25">
      <c r="A144" s="16" t="s">
        <v>5</v>
      </c>
      <c r="B144" s="25" t="s">
        <v>672</v>
      </c>
      <c r="C144" s="3">
        <v>46272</v>
      </c>
      <c r="D144" s="26" t="s">
        <v>14</v>
      </c>
      <c r="E144" s="180" t="s">
        <v>1786</v>
      </c>
      <c r="F144" s="181">
        <v>2026214180037</v>
      </c>
      <c r="G144" s="181">
        <v>40</v>
      </c>
      <c r="H144" s="181">
        <v>36</v>
      </c>
      <c r="I144" s="181" t="s">
        <v>460</v>
      </c>
      <c r="J144" s="181" t="s">
        <v>1786</v>
      </c>
      <c r="K144" s="181" t="s">
        <v>674</v>
      </c>
      <c r="L144" s="181" t="s">
        <v>16</v>
      </c>
      <c r="M144" s="181">
        <v>13</v>
      </c>
      <c r="N144" s="181" t="s">
        <v>462</v>
      </c>
      <c r="O144" s="181" t="s">
        <v>606</v>
      </c>
      <c r="P144" s="181" t="s">
        <v>1787</v>
      </c>
      <c r="Q144" s="181" t="s">
        <v>465</v>
      </c>
      <c r="R144" s="181" t="s">
        <v>466</v>
      </c>
      <c r="S144" s="181" t="s">
        <v>1788</v>
      </c>
      <c r="T144" s="181">
        <v>300676</v>
      </c>
      <c r="U144" s="182">
        <v>46259.419444444444</v>
      </c>
      <c r="V144" s="181" t="s">
        <v>469</v>
      </c>
      <c r="W144" s="181" t="s">
        <v>470</v>
      </c>
      <c r="X144" s="181" t="s">
        <v>471</v>
      </c>
      <c r="Y144" s="181" t="s">
        <v>628</v>
      </c>
      <c r="Z144" s="181" t="s">
        <v>665</v>
      </c>
      <c r="AA144" s="181" t="s">
        <v>474</v>
      </c>
      <c r="AB144" s="181" t="s">
        <v>1789</v>
      </c>
      <c r="AC144" s="181" t="s">
        <v>733</v>
      </c>
      <c r="AD144" s="181">
        <v>430653611</v>
      </c>
      <c r="AE144" s="181">
        <v>1134169568</v>
      </c>
      <c r="AF144" s="181">
        <v>1821351883</v>
      </c>
      <c r="AG144" s="181"/>
      <c r="AH144" s="181"/>
      <c r="AI144" s="181" t="s">
        <v>54</v>
      </c>
      <c r="AJ144" s="181" t="s">
        <v>481</v>
      </c>
      <c r="AK144" s="181" t="s">
        <v>1790</v>
      </c>
      <c r="AL144" s="181">
        <v>4600</v>
      </c>
      <c r="AM144" s="181"/>
      <c r="AN144" s="181"/>
      <c r="AO144" s="181">
        <v>568</v>
      </c>
      <c r="AP144" s="181" t="s">
        <v>485</v>
      </c>
      <c r="AQ144" s="181" t="s">
        <v>1791</v>
      </c>
      <c r="AR144" s="183">
        <v>46259</v>
      </c>
      <c r="AS144" s="181" t="s">
        <v>54</v>
      </c>
      <c r="AT144" s="181" t="s">
        <v>606</v>
      </c>
      <c r="AU144" s="181"/>
      <c r="AV144" s="181" t="s">
        <v>1792</v>
      </c>
      <c r="AW144" s="181"/>
      <c r="AX144" s="181"/>
      <c r="AY144" s="181"/>
      <c r="AZ144" s="181"/>
      <c r="BA144" s="181"/>
      <c r="BB144" s="181"/>
      <c r="BC144" s="181"/>
      <c r="BD144" s="181" t="s">
        <v>54</v>
      </c>
      <c r="BE144" s="181">
        <v>36</v>
      </c>
      <c r="BF144" s="181"/>
      <c r="BG144" s="181"/>
      <c r="BH144" s="181" t="s">
        <v>491</v>
      </c>
      <c r="BI144" s="181">
        <v>489137559</v>
      </c>
      <c r="BJ144" s="181"/>
      <c r="BK144" s="181"/>
      <c r="BL144" s="181"/>
      <c r="BM144" s="181"/>
      <c r="BN144" s="181"/>
      <c r="BO144" s="181"/>
      <c r="BP144" s="181"/>
      <c r="BQ144" s="181"/>
      <c r="BR144" s="181"/>
      <c r="BS144" s="181"/>
      <c r="BT144" s="181"/>
      <c r="BU144" s="181"/>
      <c r="BV144" s="181"/>
      <c r="BW144" s="181"/>
      <c r="BX144" s="181"/>
      <c r="BY144" s="181"/>
      <c r="BZ144" s="181"/>
      <c r="CA144" s="190">
        <v>46281.666666666701</v>
      </c>
      <c r="CB144" s="3"/>
      <c r="CC144" s="16"/>
      <c r="CD144" s="16"/>
      <c r="CE144" s="16"/>
      <c r="CF144" s="16"/>
      <c r="CG144" s="16"/>
      <c r="CH144" s="16"/>
      <c r="CI144" s="16" t="s">
        <v>1793</v>
      </c>
    </row>
    <row r="145" spans="1:87">
      <c r="A145" s="16"/>
      <c r="B145" s="16"/>
      <c r="C145" s="3">
        <v>46272</v>
      </c>
      <c r="D145" s="26" t="s">
        <v>14</v>
      </c>
      <c r="E145" s="180" t="s">
        <v>1794</v>
      </c>
      <c r="F145" s="181">
        <v>2026210070218</v>
      </c>
      <c r="G145" s="181">
        <v>40</v>
      </c>
      <c r="H145" s="181">
        <v>41</v>
      </c>
      <c r="I145" s="181" t="s">
        <v>460</v>
      </c>
      <c r="J145" s="181" t="s">
        <v>1794</v>
      </c>
      <c r="K145" s="181" t="s">
        <v>895</v>
      </c>
      <c r="L145" s="181" t="s">
        <v>18</v>
      </c>
      <c r="M145" s="181">
        <v>12</v>
      </c>
      <c r="N145" s="181" t="s">
        <v>462</v>
      </c>
      <c r="O145" s="181" t="s">
        <v>606</v>
      </c>
      <c r="P145" s="181" t="s">
        <v>1795</v>
      </c>
      <c r="Q145" s="181" t="s">
        <v>465</v>
      </c>
      <c r="R145" s="181" t="s">
        <v>466</v>
      </c>
      <c r="S145" s="181" t="s">
        <v>1796</v>
      </c>
      <c r="T145" s="181">
        <v>300601</v>
      </c>
      <c r="U145" s="182">
        <v>46260.524305555555</v>
      </c>
      <c r="V145" s="181" t="s">
        <v>469</v>
      </c>
      <c r="W145" s="181" t="s">
        <v>470</v>
      </c>
      <c r="X145" s="181" t="s">
        <v>471</v>
      </c>
      <c r="Y145" s="181" t="s">
        <v>628</v>
      </c>
      <c r="Z145" s="181" t="s">
        <v>665</v>
      </c>
      <c r="AA145" s="181" t="s">
        <v>474</v>
      </c>
      <c r="AB145" s="181" t="s">
        <v>1797</v>
      </c>
      <c r="AC145" s="181" t="s">
        <v>640</v>
      </c>
      <c r="AD145" s="181">
        <v>135562308</v>
      </c>
      <c r="AE145" s="181">
        <v>1285826438</v>
      </c>
      <c r="AF145" s="181">
        <v>1366458499</v>
      </c>
      <c r="AG145" s="181"/>
      <c r="AH145" s="181" t="s">
        <v>1798</v>
      </c>
      <c r="AI145" s="181" t="s">
        <v>20</v>
      </c>
      <c r="AJ145" s="181" t="s">
        <v>481</v>
      </c>
      <c r="AK145" s="181" t="s">
        <v>1799</v>
      </c>
      <c r="AL145" s="181">
        <v>35857</v>
      </c>
      <c r="AM145" s="181"/>
      <c r="AN145" s="181"/>
      <c r="AO145" s="181">
        <v>834</v>
      </c>
      <c r="AP145" s="181" t="s">
        <v>485</v>
      </c>
      <c r="AQ145" s="181" t="s">
        <v>1800</v>
      </c>
      <c r="AR145" s="183">
        <v>46260</v>
      </c>
      <c r="AS145" s="181" t="s">
        <v>20</v>
      </c>
      <c r="AT145" s="181" t="s">
        <v>1801</v>
      </c>
      <c r="AU145" s="181"/>
      <c r="AV145" s="181" t="s">
        <v>1343</v>
      </c>
      <c r="AW145" s="181"/>
      <c r="AX145" s="181"/>
      <c r="AY145" s="181"/>
      <c r="AZ145" s="181"/>
      <c r="BA145" s="181"/>
      <c r="BB145" s="181"/>
      <c r="BC145" s="181"/>
      <c r="BD145" s="181" t="s">
        <v>20</v>
      </c>
      <c r="BE145" s="181">
        <v>40</v>
      </c>
      <c r="BF145" s="181"/>
      <c r="BG145" s="181"/>
      <c r="BH145" s="181" t="s">
        <v>491</v>
      </c>
      <c r="BI145" s="181">
        <v>101628385</v>
      </c>
      <c r="BJ145" s="181"/>
      <c r="BK145" s="181"/>
      <c r="BL145" s="181"/>
      <c r="BM145" s="181"/>
      <c r="BN145" s="181"/>
      <c r="BO145" s="181"/>
      <c r="BP145" s="181"/>
      <c r="BQ145" s="181"/>
      <c r="BR145" s="181"/>
      <c r="BS145" s="181"/>
      <c r="BT145" s="181"/>
      <c r="BU145" s="181"/>
      <c r="BV145" s="181"/>
      <c r="BW145" s="181"/>
      <c r="BX145" s="181"/>
      <c r="BY145" s="181"/>
      <c r="BZ145" s="181"/>
      <c r="CA145" s="190"/>
      <c r="CB145" s="3"/>
      <c r="CC145" s="16"/>
      <c r="CD145" s="16"/>
      <c r="CE145" s="16"/>
      <c r="CF145" s="16"/>
      <c r="CG145" s="16"/>
      <c r="CH145" s="16"/>
      <c r="CI145" s="16" t="s">
        <v>1802</v>
      </c>
    </row>
    <row r="146" spans="1:87">
      <c r="A146" s="16"/>
      <c r="B146" s="16"/>
      <c r="C146" s="3">
        <v>46272</v>
      </c>
      <c r="D146" s="26" t="s">
        <v>14</v>
      </c>
      <c r="E146" s="180" t="s">
        <v>1803</v>
      </c>
      <c r="F146" s="181">
        <v>2026212490322</v>
      </c>
      <c r="G146" s="181">
        <v>40</v>
      </c>
      <c r="H146" s="181">
        <v>39</v>
      </c>
      <c r="I146" s="181" t="s">
        <v>460</v>
      </c>
      <c r="J146" s="181" t="s">
        <v>1803</v>
      </c>
      <c r="K146" s="181" t="s">
        <v>983</v>
      </c>
      <c r="L146" s="181" t="s">
        <v>17</v>
      </c>
      <c r="M146" s="181">
        <v>12</v>
      </c>
      <c r="N146" s="181" t="s">
        <v>462</v>
      </c>
      <c r="O146" s="181" t="s">
        <v>606</v>
      </c>
      <c r="P146" s="181" t="s">
        <v>1804</v>
      </c>
      <c r="Q146" s="181" t="s">
        <v>465</v>
      </c>
      <c r="R146" s="181" t="s">
        <v>466</v>
      </c>
      <c r="S146" s="181" t="s">
        <v>1805</v>
      </c>
      <c r="T146" s="181">
        <v>300308</v>
      </c>
      <c r="U146" s="182">
        <v>46260.115972222222</v>
      </c>
      <c r="V146" s="181" t="s">
        <v>469</v>
      </c>
      <c r="W146" s="181" t="s">
        <v>470</v>
      </c>
      <c r="X146" s="181" t="s">
        <v>471</v>
      </c>
      <c r="Y146" s="181" t="s">
        <v>628</v>
      </c>
      <c r="Z146" s="181" t="s">
        <v>665</v>
      </c>
      <c r="AA146" s="181" t="s">
        <v>474</v>
      </c>
      <c r="AB146" s="181" t="s">
        <v>1806</v>
      </c>
      <c r="AC146" s="181" t="s">
        <v>640</v>
      </c>
      <c r="AD146" s="181">
        <v>881825426</v>
      </c>
      <c r="AE146" s="181">
        <v>1508643610</v>
      </c>
      <c r="AF146" s="181"/>
      <c r="AG146" s="181"/>
      <c r="AH146" s="181"/>
      <c r="AI146" s="181" t="s">
        <v>34</v>
      </c>
      <c r="AJ146" s="181" t="s">
        <v>481</v>
      </c>
      <c r="AK146" s="181" t="s">
        <v>1807</v>
      </c>
      <c r="AL146" s="181">
        <v>60288.19</v>
      </c>
      <c r="AM146" s="181"/>
      <c r="AN146" s="181"/>
      <c r="AO146" s="181">
        <v>332</v>
      </c>
      <c r="AP146" s="181" t="s">
        <v>485</v>
      </c>
      <c r="AQ146" s="181" t="s">
        <v>1808</v>
      </c>
      <c r="AR146" s="183">
        <v>46260</v>
      </c>
      <c r="AS146" s="181" t="s">
        <v>34</v>
      </c>
      <c r="AT146" s="181" t="s">
        <v>976</v>
      </c>
      <c r="AU146" s="181"/>
      <c r="AV146" s="181" t="s">
        <v>1809</v>
      </c>
      <c r="AW146" s="181"/>
      <c r="AX146" s="181"/>
      <c r="AY146" s="181"/>
      <c r="AZ146" s="181"/>
      <c r="BA146" s="181"/>
      <c r="BB146" s="181"/>
      <c r="BC146" s="181"/>
      <c r="BD146" s="181" t="s">
        <v>34</v>
      </c>
      <c r="BE146" s="181">
        <v>38</v>
      </c>
      <c r="BF146" s="181"/>
      <c r="BG146" s="181"/>
      <c r="BH146" s="181" t="s">
        <v>491</v>
      </c>
      <c r="BI146" s="181">
        <v>49903943</v>
      </c>
      <c r="BJ146" s="181"/>
      <c r="BK146" s="181"/>
      <c r="BL146" s="181"/>
      <c r="BM146" s="181"/>
      <c r="BN146" s="181"/>
      <c r="BO146" s="181"/>
      <c r="BP146" s="181"/>
      <c r="BQ146" s="181"/>
      <c r="BR146" s="181"/>
      <c r="BS146" s="181"/>
      <c r="BT146" s="181"/>
      <c r="BU146" s="181"/>
      <c r="BV146" s="181"/>
      <c r="BW146" s="181"/>
      <c r="BX146" s="181"/>
      <c r="BY146" s="181"/>
      <c r="BZ146" s="181"/>
      <c r="CA146" s="190"/>
      <c r="CB146" s="3"/>
      <c r="CC146" s="16"/>
      <c r="CD146" s="16"/>
      <c r="CE146" s="16"/>
      <c r="CF146" s="16"/>
      <c r="CG146" s="16"/>
      <c r="CH146" s="16"/>
      <c r="CI146" s="16" t="s">
        <v>1810</v>
      </c>
    </row>
    <row r="147" spans="1:87">
      <c r="A147" s="16" t="s">
        <v>5</v>
      </c>
      <c r="B147" s="16" t="s">
        <v>1811</v>
      </c>
      <c r="C147" s="3">
        <v>46272</v>
      </c>
      <c r="D147" s="26" t="s">
        <v>14</v>
      </c>
      <c r="E147" s="180" t="s">
        <v>1812</v>
      </c>
      <c r="F147" s="181">
        <v>2026211310052</v>
      </c>
      <c r="G147" s="181">
        <v>40</v>
      </c>
      <c r="H147" s="181">
        <v>39</v>
      </c>
      <c r="I147" s="181" t="s">
        <v>460</v>
      </c>
      <c r="J147" s="181" t="s">
        <v>1812</v>
      </c>
      <c r="K147" s="181" t="s">
        <v>1813</v>
      </c>
      <c r="L147" s="181" t="s">
        <v>16</v>
      </c>
      <c r="M147" s="181">
        <v>13</v>
      </c>
      <c r="N147" s="181" t="s">
        <v>462</v>
      </c>
      <c r="O147" s="181" t="s">
        <v>562</v>
      </c>
      <c r="P147" s="181" t="s">
        <v>1814</v>
      </c>
      <c r="Q147" s="181" t="s">
        <v>465</v>
      </c>
      <c r="R147" s="181" t="s">
        <v>466</v>
      </c>
      <c r="S147" s="181" t="s">
        <v>1815</v>
      </c>
      <c r="T147" s="181">
        <v>277163</v>
      </c>
      <c r="U147" s="182">
        <v>46259.374305555553</v>
      </c>
      <c r="V147" s="181" t="s">
        <v>469</v>
      </c>
      <c r="W147" s="181" t="s">
        <v>568</v>
      </c>
      <c r="X147" s="181" t="s">
        <v>471</v>
      </c>
      <c r="Y147" s="181" t="s">
        <v>628</v>
      </c>
      <c r="Z147" s="181" t="s">
        <v>906</v>
      </c>
      <c r="AA147" s="181" t="s">
        <v>474</v>
      </c>
      <c r="AB147" s="181" t="s">
        <v>1816</v>
      </c>
      <c r="AC147" s="181"/>
      <c r="AD147" s="181"/>
      <c r="AE147" s="181"/>
      <c r="AF147" s="181"/>
      <c r="AG147" s="181"/>
      <c r="AH147" s="181" t="s">
        <v>1076</v>
      </c>
      <c r="AI147" s="181" t="s">
        <v>142</v>
      </c>
      <c r="AJ147" s="181" t="s">
        <v>481</v>
      </c>
      <c r="AK147" s="181" t="s">
        <v>1817</v>
      </c>
      <c r="AL147" s="181">
        <v>0</v>
      </c>
      <c r="AM147" s="181"/>
      <c r="AN147" s="181"/>
      <c r="AO147" s="181">
        <v>304</v>
      </c>
      <c r="AP147" s="181" t="s">
        <v>485</v>
      </c>
      <c r="AQ147" s="181" t="s">
        <v>1818</v>
      </c>
      <c r="AR147" s="183">
        <v>46259</v>
      </c>
      <c r="AS147" s="181" t="s">
        <v>1076</v>
      </c>
      <c r="AT147" s="181" t="s">
        <v>1819</v>
      </c>
      <c r="AU147" s="181"/>
      <c r="AV147" s="181"/>
      <c r="AW147" s="181"/>
      <c r="AX147" s="181"/>
      <c r="AY147" s="181"/>
      <c r="AZ147" s="181"/>
      <c r="BA147" s="181"/>
      <c r="BB147" s="181"/>
      <c r="BC147" s="181"/>
      <c r="BD147" s="181" t="s">
        <v>142</v>
      </c>
      <c r="BE147" s="181">
        <v>39</v>
      </c>
      <c r="BF147" s="181" t="s">
        <v>1820</v>
      </c>
      <c r="BG147" s="181" t="s">
        <v>490</v>
      </c>
      <c r="BH147" s="181"/>
      <c r="BI147" s="181">
        <v>49402823</v>
      </c>
      <c r="BJ147" s="181"/>
      <c r="BK147" s="181"/>
      <c r="BL147" s="181"/>
      <c r="BM147" s="181"/>
      <c r="BN147" s="181"/>
      <c r="BO147" s="181"/>
      <c r="BP147" s="181"/>
      <c r="BQ147" s="181"/>
      <c r="BR147" s="181"/>
      <c r="BS147" s="181"/>
      <c r="BT147" s="181"/>
      <c r="BU147" s="181"/>
      <c r="BV147" s="181"/>
      <c r="BW147" s="181"/>
      <c r="BX147" s="181"/>
      <c r="BY147" s="181"/>
      <c r="BZ147" s="181"/>
      <c r="CA147" s="190">
        <v>46272.666666666701</v>
      </c>
      <c r="CB147" s="3"/>
      <c r="CC147" s="16"/>
      <c r="CD147" s="16"/>
      <c r="CE147" s="16"/>
      <c r="CF147" s="16"/>
      <c r="CG147" s="16"/>
      <c r="CH147" s="16"/>
      <c r="CI147" s="16" t="s">
        <v>1821</v>
      </c>
    </row>
    <row r="148" spans="1:87">
      <c r="A148" s="16" t="s">
        <v>4</v>
      </c>
      <c r="B148" s="16" t="s">
        <v>1822</v>
      </c>
      <c r="C148" s="3">
        <v>46272</v>
      </c>
      <c r="D148" s="26" t="s">
        <v>14</v>
      </c>
      <c r="E148" s="180" t="s">
        <v>1823</v>
      </c>
      <c r="F148" s="181">
        <v>2026212530231</v>
      </c>
      <c r="G148" s="181">
        <v>40</v>
      </c>
      <c r="H148" s="181">
        <v>38</v>
      </c>
      <c r="I148" s="181" t="s">
        <v>460</v>
      </c>
      <c r="J148" s="181" t="s">
        <v>1823</v>
      </c>
      <c r="K148" s="181" t="s">
        <v>1824</v>
      </c>
      <c r="L148" s="181" t="s">
        <v>17</v>
      </c>
      <c r="M148" s="181">
        <v>13</v>
      </c>
      <c r="N148" s="181" t="s">
        <v>462</v>
      </c>
      <c r="O148" s="181" t="s">
        <v>606</v>
      </c>
      <c r="P148" s="181" t="s">
        <v>1825</v>
      </c>
      <c r="Q148" s="181" t="s">
        <v>465</v>
      </c>
      <c r="R148" s="181" t="s">
        <v>466</v>
      </c>
      <c r="S148" s="181" t="s">
        <v>1826</v>
      </c>
      <c r="T148" s="181">
        <v>270213</v>
      </c>
      <c r="U148" s="182">
        <v>46258.897916666669</v>
      </c>
      <c r="V148" s="181" t="s">
        <v>469</v>
      </c>
      <c r="W148" s="181" t="s">
        <v>568</v>
      </c>
      <c r="X148" s="181" t="s">
        <v>471</v>
      </c>
      <c r="Y148" s="181" t="s">
        <v>637</v>
      </c>
      <c r="Z148" s="181" t="s">
        <v>638</v>
      </c>
      <c r="AA148" s="181" t="s">
        <v>474</v>
      </c>
      <c r="AB148" s="181" t="s">
        <v>1827</v>
      </c>
      <c r="AC148" s="181" t="s">
        <v>476</v>
      </c>
      <c r="AD148" s="181">
        <v>390813416</v>
      </c>
      <c r="AE148" s="181">
        <v>1376593442</v>
      </c>
      <c r="AF148" s="181">
        <v>1659149268</v>
      </c>
      <c r="AG148" s="181"/>
      <c r="AH148" s="181" t="s">
        <v>1076</v>
      </c>
      <c r="AI148" s="181" t="s">
        <v>247</v>
      </c>
      <c r="AJ148" s="181" t="s">
        <v>481</v>
      </c>
      <c r="AK148" s="181" t="s">
        <v>1828</v>
      </c>
      <c r="AL148" s="181">
        <v>12873</v>
      </c>
      <c r="AM148" s="181"/>
      <c r="AN148" s="181"/>
      <c r="AO148" s="181" t="s">
        <v>1829</v>
      </c>
      <c r="AP148" s="181" t="s">
        <v>485</v>
      </c>
      <c r="AQ148" s="181" t="s">
        <v>1830</v>
      </c>
      <c r="AR148" s="183">
        <v>46259</v>
      </c>
      <c r="AS148" s="181" t="s">
        <v>247</v>
      </c>
      <c r="AT148" s="181" t="s">
        <v>1831</v>
      </c>
      <c r="AU148" s="181"/>
      <c r="AV148" s="181" t="s">
        <v>1832</v>
      </c>
      <c r="AW148" s="181"/>
      <c r="AX148" s="181"/>
      <c r="AY148" s="181"/>
      <c r="AZ148" s="181"/>
      <c r="BA148" s="181"/>
      <c r="BB148" s="181"/>
      <c r="BC148" s="181"/>
      <c r="BD148" s="181" t="s">
        <v>247</v>
      </c>
      <c r="BE148" s="181">
        <v>38</v>
      </c>
      <c r="BF148" s="181"/>
      <c r="BG148" s="181" t="s">
        <v>490</v>
      </c>
      <c r="BH148" s="181" t="s">
        <v>491</v>
      </c>
      <c r="BI148" s="181">
        <v>484949155</v>
      </c>
      <c r="BJ148" s="181"/>
      <c r="BK148" s="181"/>
      <c r="BL148" s="181"/>
      <c r="BM148" s="181"/>
      <c r="BN148" s="181"/>
      <c r="BO148" s="181"/>
      <c r="BP148" s="181"/>
      <c r="BQ148" s="181"/>
      <c r="BR148" s="181"/>
      <c r="BS148" s="181"/>
      <c r="BT148" s="181"/>
      <c r="BU148" s="181"/>
      <c r="BV148" s="181"/>
      <c r="BW148" s="181"/>
      <c r="BX148" s="181"/>
      <c r="BY148" s="181"/>
      <c r="BZ148" s="181"/>
      <c r="CA148" s="190">
        <v>46285.666666666701</v>
      </c>
      <c r="CB148" s="3"/>
      <c r="CC148" s="16"/>
      <c r="CD148" s="16"/>
      <c r="CE148" s="16"/>
      <c r="CF148" s="16"/>
      <c r="CG148" s="16"/>
      <c r="CH148" s="16"/>
      <c r="CI148" s="16" t="s">
        <v>1833</v>
      </c>
    </row>
    <row r="149" spans="1:87">
      <c r="A149" s="16" t="s">
        <v>5</v>
      </c>
      <c r="B149" s="16" t="s">
        <v>1834</v>
      </c>
      <c r="C149" s="3">
        <v>46272</v>
      </c>
      <c r="D149" s="26" t="s">
        <v>14</v>
      </c>
      <c r="E149" s="180" t="s">
        <v>1835</v>
      </c>
      <c r="F149" s="181">
        <v>2026218370116</v>
      </c>
      <c r="G149" s="181">
        <v>40</v>
      </c>
      <c r="H149" s="181">
        <v>32</v>
      </c>
      <c r="I149" s="181" t="s">
        <v>460</v>
      </c>
      <c r="J149" s="181" t="s">
        <v>1835</v>
      </c>
      <c r="K149" s="181" t="s">
        <v>1824</v>
      </c>
      <c r="L149" s="181" t="s">
        <v>17</v>
      </c>
      <c r="M149" s="181">
        <v>8</v>
      </c>
      <c r="N149" s="181" t="s">
        <v>462</v>
      </c>
      <c r="O149" s="181" t="s">
        <v>606</v>
      </c>
      <c r="P149" s="181" t="s">
        <v>1836</v>
      </c>
      <c r="Q149" s="181" t="s">
        <v>465</v>
      </c>
      <c r="R149" s="181" t="s">
        <v>466</v>
      </c>
      <c r="S149" s="181" t="s">
        <v>1837</v>
      </c>
      <c r="T149" s="181">
        <v>270138</v>
      </c>
      <c r="U149" s="182">
        <v>46264.674305555556</v>
      </c>
      <c r="V149" s="181" t="s">
        <v>469</v>
      </c>
      <c r="W149" s="181" t="s">
        <v>568</v>
      </c>
      <c r="X149" s="181" t="s">
        <v>471</v>
      </c>
      <c r="Y149" s="181" t="s">
        <v>1724</v>
      </c>
      <c r="Z149" s="181" t="s">
        <v>524</v>
      </c>
      <c r="AA149" s="181" t="s">
        <v>474</v>
      </c>
      <c r="AB149" s="181" t="s">
        <v>1838</v>
      </c>
      <c r="AC149" s="181" t="s">
        <v>546</v>
      </c>
      <c r="AD149" s="181">
        <v>581036115</v>
      </c>
      <c r="AE149" s="181">
        <v>1972558336</v>
      </c>
      <c r="AF149" s="181">
        <v>1225075815</v>
      </c>
      <c r="AG149" s="181"/>
      <c r="AH149" s="181" t="s">
        <v>1076</v>
      </c>
      <c r="AI149" s="181" t="s">
        <v>247</v>
      </c>
      <c r="AJ149" s="181" t="s">
        <v>481</v>
      </c>
      <c r="AK149" s="181" t="s">
        <v>1839</v>
      </c>
      <c r="AL149" s="181">
        <v>10995</v>
      </c>
      <c r="AM149" s="181"/>
      <c r="AN149" s="181"/>
      <c r="AO149" s="181">
        <v>631</v>
      </c>
      <c r="AP149" s="181" t="s">
        <v>485</v>
      </c>
      <c r="AQ149" s="181" t="s">
        <v>1840</v>
      </c>
      <c r="AR149" s="183">
        <v>46264</v>
      </c>
      <c r="AS149" s="181" t="s">
        <v>247</v>
      </c>
      <c r="AT149" s="181" t="s">
        <v>516</v>
      </c>
      <c r="AU149" s="181"/>
      <c r="AV149" s="181" t="s">
        <v>1841</v>
      </c>
      <c r="AW149" s="181"/>
      <c r="AX149" s="181"/>
      <c r="AY149" s="181"/>
      <c r="AZ149" s="181"/>
      <c r="BA149" s="181"/>
      <c r="BB149" s="181"/>
      <c r="BC149" s="181"/>
      <c r="BD149" s="181" t="s">
        <v>247</v>
      </c>
      <c r="BE149" s="181">
        <v>32</v>
      </c>
      <c r="BF149" s="181"/>
      <c r="BG149" s="181"/>
      <c r="BH149" s="181" t="s">
        <v>491</v>
      </c>
      <c r="BI149" s="181">
        <v>257357613</v>
      </c>
      <c r="BJ149" s="181"/>
      <c r="BK149" s="181"/>
      <c r="BL149" s="181"/>
      <c r="BM149" s="181"/>
      <c r="BN149" s="181"/>
      <c r="BO149" s="181"/>
      <c r="BP149" s="181"/>
      <c r="BQ149" s="181"/>
      <c r="BR149" s="181"/>
      <c r="BS149" s="181"/>
      <c r="BT149" s="181"/>
      <c r="BU149" s="181"/>
      <c r="BV149" s="181"/>
      <c r="BW149" s="181"/>
      <c r="BX149" s="181"/>
      <c r="BY149" s="181"/>
      <c r="BZ149" s="181"/>
      <c r="CA149" s="190">
        <v>46285.666666666701</v>
      </c>
      <c r="CB149" s="3"/>
      <c r="CC149" s="16"/>
      <c r="CD149" s="16"/>
      <c r="CE149" s="16"/>
      <c r="CF149" s="16"/>
      <c r="CG149" s="16"/>
      <c r="CH149" s="16"/>
      <c r="CI149" s="16" t="s">
        <v>1842</v>
      </c>
    </row>
    <row r="150" spans="1:87" ht="29.25">
      <c r="A150" s="16" t="s">
        <v>5</v>
      </c>
      <c r="B150" s="25" t="s">
        <v>1010</v>
      </c>
      <c r="C150" s="3">
        <v>46272</v>
      </c>
      <c r="D150" s="26" t="s">
        <v>14</v>
      </c>
      <c r="E150" s="180" t="s">
        <v>1843</v>
      </c>
      <c r="F150" s="181">
        <v>2026216320429</v>
      </c>
      <c r="G150" s="181">
        <v>40</v>
      </c>
      <c r="H150" s="181">
        <v>34</v>
      </c>
      <c r="I150" s="181" t="s">
        <v>460</v>
      </c>
      <c r="J150" s="181" t="s">
        <v>1843</v>
      </c>
      <c r="K150" s="181" t="s">
        <v>994</v>
      </c>
      <c r="L150" s="181" t="s">
        <v>17</v>
      </c>
      <c r="M150" s="181">
        <v>11</v>
      </c>
      <c r="N150" s="181" t="s">
        <v>462</v>
      </c>
      <c r="O150" s="181" t="s">
        <v>606</v>
      </c>
      <c r="P150" s="181" t="s">
        <v>1844</v>
      </c>
      <c r="Q150" s="181" t="s">
        <v>465</v>
      </c>
      <c r="R150" s="181" t="s">
        <v>466</v>
      </c>
      <c r="S150" s="181" t="s">
        <v>1845</v>
      </c>
      <c r="T150" s="181">
        <v>270130</v>
      </c>
      <c r="U150" s="182">
        <v>46260.852083333331</v>
      </c>
      <c r="V150" s="181" t="s">
        <v>469</v>
      </c>
      <c r="W150" s="181" t="s">
        <v>568</v>
      </c>
      <c r="X150" s="181" t="s">
        <v>471</v>
      </c>
      <c r="Y150" s="181" t="s">
        <v>1724</v>
      </c>
      <c r="Z150" s="181" t="s">
        <v>638</v>
      </c>
      <c r="AA150" s="181" t="s">
        <v>474</v>
      </c>
      <c r="AB150" s="181" t="s">
        <v>1846</v>
      </c>
      <c r="AC150" s="181" t="s">
        <v>476</v>
      </c>
      <c r="AD150" s="181">
        <v>390813418</v>
      </c>
      <c r="AE150" s="181">
        <v>1235588831</v>
      </c>
      <c r="AF150" s="181">
        <v>1710313549</v>
      </c>
      <c r="AG150" s="181"/>
      <c r="AH150" s="181"/>
      <c r="AI150" s="181" t="s">
        <v>107</v>
      </c>
      <c r="AJ150" s="181" t="s">
        <v>481</v>
      </c>
      <c r="AK150" s="181" t="s">
        <v>1847</v>
      </c>
      <c r="AL150" s="181">
        <v>48398</v>
      </c>
      <c r="AM150" s="181"/>
      <c r="AN150" s="181"/>
      <c r="AO150" s="181">
        <v>376</v>
      </c>
      <c r="AP150" s="181" t="s">
        <v>485</v>
      </c>
      <c r="AQ150" s="181" t="s">
        <v>1848</v>
      </c>
      <c r="AR150" s="183">
        <v>46261</v>
      </c>
      <c r="AS150" s="181" t="s">
        <v>107</v>
      </c>
      <c r="AT150" s="181" t="s">
        <v>516</v>
      </c>
      <c r="AU150" s="181"/>
      <c r="AV150" s="181" t="s">
        <v>726</v>
      </c>
      <c r="AW150" s="181"/>
      <c r="AX150" s="181"/>
      <c r="AY150" s="181"/>
      <c r="AZ150" s="181"/>
      <c r="BA150" s="181"/>
      <c r="BB150" s="181"/>
      <c r="BC150" s="181"/>
      <c r="BD150" s="181" t="s">
        <v>107</v>
      </c>
      <c r="BE150" s="181">
        <v>34</v>
      </c>
      <c r="BF150" s="181"/>
      <c r="BG150" s="181"/>
      <c r="BH150" s="181" t="s">
        <v>491</v>
      </c>
      <c r="BI150" s="181">
        <v>483828096</v>
      </c>
      <c r="BJ150" s="181"/>
      <c r="BK150" s="181"/>
      <c r="BL150" s="181"/>
      <c r="BM150" s="181"/>
      <c r="BN150" s="181"/>
      <c r="BO150" s="181"/>
      <c r="BP150" s="181"/>
      <c r="BQ150" s="181"/>
      <c r="BR150" s="181"/>
      <c r="BS150" s="181"/>
      <c r="BT150" s="181"/>
      <c r="BU150" s="181"/>
      <c r="BV150" s="181"/>
      <c r="BW150" s="181"/>
      <c r="BX150" s="181"/>
      <c r="BY150" s="181"/>
      <c r="BZ150" s="181"/>
      <c r="CA150" s="190">
        <v>46285.666666666701</v>
      </c>
      <c r="CB150" s="3"/>
      <c r="CC150" s="16"/>
      <c r="CD150" s="16"/>
      <c r="CE150" s="16"/>
      <c r="CF150" s="16"/>
      <c r="CG150" s="16"/>
      <c r="CH150" s="16"/>
      <c r="CI150" s="16" t="s">
        <v>1849</v>
      </c>
    </row>
    <row r="151" spans="1:87">
      <c r="A151" s="16"/>
      <c r="B151" s="16"/>
      <c r="C151" s="3">
        <v>46272</v>
      </c>
      <c r="D151" s="26" t="s">
        <v>14</v>
      </c>
      <c r="E151" s="180" t="s">
        <v>1850</v>
      </c>
      <c r="F151" s="181" t="s">
        <v>1851</v>
      </c>
      <c r="G151" s="181">
        <v>40</v>
      </c>
      <c r="H151" s="181">
        <v>35</v>
      </c>
      <c r="I151" s="181" t="s">
        <v>460</v>
      </c>
      <c r="J151" s="181" t="s">
        <v>1850</v>
      </c>
      <c r="K151" s="181" t="s">
        <v>625</v>
      </c>
      <c r="L151" s="181" t="s">
        <v>17</v>
      </c>
      <c r="M151" s="181">
        <v>12</v>
      </c>
      <c r="N151" s="181" t="s">
        <v>462</v>
      </c>
      <c r="O151" s="181" t="s">
        <v>606</v>
      </c>
      <c r="P151" s="181" t="s">
        <v>1852</v>
      </c>
      <c r="Q151" s="181" t="s">
        <v>1055</v>
      </c>
      <c r="R151" s="181" t="s">
        <v>1056</v>
      </c>
      <c r="S151" s="181" t="s">
        <v>1853</v>
      </c>
      <c r="T151" s="181">
        <v>270105</v>
      </c>
      <c r="U151" s="182">
        <v>46259.724999999999</v>
      </c>
      <c r="V151" s="181" t="s">
        <v>469</v>
      </c>
      <c r="W151" s="181" t="s">
        <v>568</v>
      </c>
      <c r="X151" s="181" t="s">
        <v>471</v>
      </c>
      <c r="Y151" s="181" t="s">
        <v>1724</v>
      </c>
      <c r="Z151" s="181" t="s">
        <v>638</v>
      </c>
      <c r="AA151" s="181" t="s">
        <v>1059</v>
      </c>
      <c r="AB151" s="181" t="s">
        <v>1854</v>
      </c>
      <c r="AC151" s="181" t="s">
        <v>640</v>
      </c>
      <c r="AD151" s="181">
        <v>135562308</v>
      </c>
      <c r="AE151" s="181">
        <v>1285826438</v>
      </c>
      <c r="AF151" s="181">
        <v>1336112150</v>
      </c>
      <c r="AG151" s="181"/>
      <c r="AH151" s="181"/>
      <c r="AI151" s="181" t="s">
        <v>70</v>
      </c>
      <c r="AJ151" s="181" t="s">
        <v>481</v>
      </c>
      <c r="AK151" s="181" t="s">
        <v>1855</v>
      </c>
      <c r="AL151" s="181">
        <v>18067</v>
      </c>
      <c r="AM151" s="181"/>
      <c r="AN151" s="181"/>
      <c r="AO151" s="181" t="s">
        <v>1856</v>
      </c>
      <c r="AP151" s="181" t="s">
        <v>485</v>
      </c>
      <c r="AQ151" s="181" t="s">
        <v>1857</v>
      </c>
      <c r="AR151" s="183">
        <v>46260</v>
      </c>
      <c r="AS151" s="181" t="s">
        <v>70</v>
      </c>
      <c r="AT151" s="181" t="s">
        <v>643</v>
      </c>
      <c r="AU151" s="181"/>
      <c r="AV151" s="181" t="s">
        <v>1858</v>
      </c>
      <c r="AW151" s="181"/>
      <c r="AX151" s="181"/>
      <c r="AY151" s="181"/>
      <c r="AZ151" s="181"/>
      <c r="BA151" s="181"/>
      <c r="BB151" s="181" t="s">
        <v>1859</v>
      </c>
      <c r="BC151" s="181"/>
      <c r="BD151" s="181" t="s">
        <v>70</v>
      </c>
      <c r="BE151" s="181">
        <v>35</v>
      </c>
      <c r="BF151" s="181"/>
      <c r="BG151" s="181" t="s">
        <v>1067</v>
      </c>
      <c r="BH151" s="181" t="s">
        <v>491</v>
      </c>
      <c r="BI151" s="181">
        <v>63441431</v>
      </c>
      <c r="BJ151" s="181"/>
      <c r="BK151" s="181"/>
      <c r="BL151" s="181"/>
      <c r="BM151" s="181"/>
      <c r="BN151" s="181"/>
      <c r="BO151" s="181"/>
      <c r="BP151" s="181"/>
      <c r="BQ151" s="181"/>
      <c r="BR151" s="181"/>
      <c r="BS151" s="181"/>
      <c r="BT151" s="181"/>
      <c r="BU151" s="181"/>
      <c r="BV151" s="181"/>
      <c r="BW151" s="181"/>
      <c r="BX151" s="181"/>
      <c r="BY151" s="181"/>
      <c r="BZ151" s="181"/>
      <c r="CA151" s="190"/>
      <c r="CB151" s="3"/>
      <c r="CC151" s="16"/>
      <c r="CD151" s="16"/>
      <c r="CE151" s="16"/>
      <c r="CF151" s="16"/>
      <c r="CG151" s="16"/>
      <c r="CH151" s="16"/>
      <c r="CI151" s="16" t="s">
        <v>1860</v>
      </c>
    </row>
    <row r="152" spans="1:87">
      <c r="A152" s="16" t="s">
        <v>5</v>
      </c>
      <c r="B152" s="16" t="s">
        <v>1861</v>
      </c>
      <c r="C152" s="3">
        <v>46272</v>
      </c>
      <c r="D152" s="26" t="s">
        <v>14</v>
      </c>
      <c r="E152" s="180" t="s">
        <v>1862</v>
      </c>
      <c r="F152" s="181">
        <v>2026212550337</v>
      </c>
      <c r="G152" s="181">
        <v>40</v>
      </c>
      <c r="H152" s="181">
        <v>38</v>
      </c>
      <c r="I152" s="181" t="s">
        <v>460</v>
      </c>
      <c r="J152" s="181" t="s">
        <v>1862</v>
      </c>
      <c r="K152" s="181" t="s">
        <v>721</v>
      </c>
      <c r="L152" s="181" t="s">
        <v>13</v>
      </c>
      <c r="M152" s="181">
        <v>10</v>
      </c>
      <c r="N152" s="181" t="s">
        <v>462</v>
      </c>
      <c r="O152" s="181" t="s">
        <v>562</v>
      </c>
      <c r="P152" s="181" t="s">
        <v>1863</v>
      </c>
      <c r="Q152" s="181" t="s">
        <v>465</v>
      </c>
      <c r="R152" s="181" t="s">
        <v>466</v>
      </c>
      <c r="S152" s="181" t="s">
        <v>1864</v>
      </c>
      <c r="T152" s="181">
        <v>270095</v>
      </c>
      <c r="U152" s="182">
        <v>46261.765277777777</v>
      </c>
      <c r="V152" s="181" t="s">
        <v>469</v>
      </c>
      <c r="W152" s="181" t="s">
        <v>568</v>
      </c>
      <c r="X152" s="181" t="s">
        <v>652</v>
      </c>
      <c r="Y152" s="181" t="s">
        <v>1865</v>
      </c>
      <c r="Z152" s="181" t="s">
        <v>638</v>
      </c>
      <c r="AA152" s="181" t="s">
        <v>474</v>
      </c>
      <c r="AB152" s="181" t="s">
        <v>1866</v>
      </c>
      <c r="AC152" s="181" t="s">
        <v>1867</v>
      </c>
      <c r="AD152" s="181">
        <v>264645356</v>
      </c>
      <c r="AE152" s="181">
        <v>1780827162</v>
      </c>
      <c r="AF152" s="181">
        <v>1780827162</v>
      </c>
      <c r="AG152" s="181">
        <v>7.8020260704566896E+16</v>
      </c>
      <c r="AH152" s="181"/>
      <c r="AI152" s="181" t="s">
        <v>75</v>
      </c>
      <c r="AJ152" s="181" t="s">
        <v>481</v>
      </c>
      <c r="AK152" s="181" t="s">
        <v>1868</v>
      </c>
      <c r="AL152" s="181">
        <v>28900</v>
      </c>
      <c r="AM152" s="181"/>
      <c r="AN152" s="181"/>
      <c r="AO152" s="181">
        <v>950</v>
      </c>
      <c r="AP152" s="181" t="s">
        <v>485</v>
      </c>
      <c r="AQ152" s="181" t="s">
        <v>1869</v>
      </c>
      <c r="AR152" s="183">
        <v>46262</v>
      </c>
      <c r="AS152" s="181" t="s">
        <v>75</v>
      </c>
      <c r="AT152" s="181" t="s">
        <v>1861</v>
      </c>
      <c r="AU152" s="181"/>
      <c r="AV152" s="181" t="s">
        <v>1870</v>
      </c>
      <c r="AW152" s="181"/>
      <c r="AX152" s="181"/>
      <c r="AY152" s="181"/>
      <c r="AZ152" s="181"/>
      <c r="BA152" s="181"/>
      <c r="BB152" s="181"/>
      <c r="BC152" s="181"/>
      <c r="BD152" s="181" t="s">
        <v>75</v>
      </c>
      <c r="BE152" s="181">
        <v>38</v>
      </c>
      <c r="BF152" s="181"/>
      <c r="BG152" s="181" t="s">
        <v>490</v>
      </c>
      <c r="BH152" s="181" t="s">
        <v>658</v>
      </c>
      <c r="BI152" s="181">
        <v>86787276</v>
      </c>
      <c r="BJ152" s="181"/>
      <c r="BK152" s="181"/>
      <c r="BL152" s="181"/>
      <c r="BM152" s="181"/>
      <c r="BN152" s="181"/>
      <c r="BO152" s="181"/>
      <c r="BP152" s="181"/>
      <c r="BQ152" s="181"/>
      <c r="BR152" s="181"/>
      <c r="BS152" s="181"/>
      <c r="BT152" s="181"/>
      <c r="BU152" s="181"/>
      <c r="BV152" s="181"/>
      <c r="BW152" s="181"/>
      <c r="BX152" s="181"/>
      <c r="BY152" s="181"/>
      <c r="BZ152" s="181"/>
      <c r="CA152" s="190">
        <v>46280.666666666701</v>
      </c>
      <c r="CB152" s="3"/>
      <c r="CC152" s="16"/>
      <c r="CD152" s="16"/>
      <c r="CE152" s="16"/>
      <c r="CF152" s="16"/>
      <c r="CG152" s="16"/>
      <c r="CH152" s="16"/>
      <c r="CI152" s="16" t="s">
        <v>1871</v>
      </c>
    </row>
    <row r="153" spans="1:87">
      <c r="A153" s="16" t="s">
        <v>5</v>
      </c>
      <c r="B153" s="16" t="s">
        <v>1872</v>
      </c>
      <c r="C153" s="3">
        <v>46272</v>
      </c>
      <c r="D153" s="26" t="s">
        <v>14</v>
      </c>
      <c r="E153" s="180" t="s">
        <v>1873</v>
      </c>
      <c r="F153" s="181">
        <v>2026207620015</v>
      </c>
      <c r="G153" s="181">
        <v>40</v>
      </c>
      <c r="H153" s="181">
        <v>45</v>
      </c>
      <c r="I153" s="181" t="s">
        <v>460</v>
      </c>
      <c r="J153" s="181" t="s">
        <v>1873</v>
      </c>
      <c r="K153" s="181" t="s">
        <v>1874</v>
      </c>
      <c r="L153" s="181" t="s">
        <v>17</v>
      </c>
      <c r="M153" s="181">
        <v>19</v>
      </c>
      <c r="N153" s="181" t="s">
        <v>462</v>
      </c>
      <c r="O153" s="181" t="s">
        <v>606</v>
      </c>
      <c r="P153" s="181" t="s">
        <v>1875</v>
      </c>
      <c r="Q153" s="181" t="s">
        <v>465</v>
      </c>
      <c r="R153" s="181" t="s">
        <v>466</v>
      </c>
      <c r="S153" s="181" t="s">
        <v>1876</v>
      </c>
      <c r="T153" s="181">
        <v>230041</v>
      </c>
      <c r="U153" s="182">
        <v>46252.97152777778</v>
      </c>
      <c r="V153" s="181" t="s">
        <v>469</v>
      </c>
      <c r="W153" s="181" t="s">
        <v>568</v>
      </c>
      <c r="X153" s="181" t="s">
        <v>471</v>
      </c>
      <c r="Y153" s="181" t="s">
        <v>1724</v>
      </c>
      <c r="Z153" s="181" t="s">
        <v>731</v>
      </c>
      <c r="AA153" s="181" t="s">
        <v>474</v>
      </c>
      <c r="AB153" s="181" t="s">
        <v>1877</v>
      </c>
      <c r="AC153" s="181" t="s">
        <v>476</v>
      </c>
      <c r="AD153" s="181">
        <v>390813418</v>
      </c>
      <c r="AE153" s="181">
        <v>1235588831</v>
      </c>
      <c r="AF153" s="181">
        <v>1972060416</v>
      </c>
      <c r="AG153" s="181"/>
      <c r="AH153" s="181" t="s">
        <v>1076</v>
      </c>
      <c r="AI153" s="181" t="s">
        <v>93</v>
      </c>
      <c r="AJ153" s="181" t="s">
        <v>481</v>
      </c>
      <c r="AK153" s="181" t="s">
        <v>1878</v>
      </c>
      <c r="AL153" s="181">
        <v>58327</v>
      </c>
      <c r="AM153" s="181"/>
      <c r="AN153" s="181"/>
      <c r="AO153" s="181">
        <v>420</v>
      </c>
      <c r="AP153" s="181" t="s">
        <v>485</v>
      </c>
      <c r="AQ153" s="181" t="s">
        <v>1879</v>
      </c>
      <c r="AR153" s="183">
        <v>46253</v>
      </c>
      <c r="AS153" s="181" t="s">
        <v>93</v>
      </c>
      <c r="AT153" s="181" t="s">
        <v>1880</v>
      </c>
      <c r="AU153" s="181"/>
      <c r="AV153" s="181" t="s">
        <v>1881</v>
      </c>
      <c r="AW153" s="181"/>
      <c r="AX153" s="181"/>
      <c r="AY153" s="181"/>
      <c r="AZ153" s="181"/>
      <c r="BA153" s="181"/>
      <c r="BB153" s="181"/>
      <c r="BC153" s="181"/>
      <c r="BD153" s="181" t="s">
        <v>93</v>
      </c>
      <c r="BE153" s="181">
        <v>43</v>
      </c>
      <c r="BF153" s="181"/>
      <c r="BG153" s="181"/>
      <c r="BH153" s="181" t="s">
        <v>491</v>
      </c>
      <c r="BI153" s="181">
        <v>485902648</v>
      </c>
      <c r="BJ153" s="181"/>
      <c r="BK153" s="181"/>
      <c r="BL153" s="181"/>
      <c r="BM153" s="181"/>
      <c r="BN153" s="181"/>
      <c r="BO153" s="181"/>
      <c r="BP153" s="181"/>
      <c r="BQ153" s="181"/>
      <c r="BR153" s="181"/>
      <c r="BS153" s="181"/>
      <c r="BT153" s="181"/>
      <c r="BU153" s="181"/>
      <c r="BV153" s="181"/>
      <c r="BW153" s="181"/>
      <c r="BX153" s="181"/>
      <c r="BY153" s="181"/>
      <c r="BZ153" s="181"/>
      <c r="CA153" s="190">
        <v>46285.666666666701</v>
      </c>
      <c r="CB153" s="3"/>
      <c r="CC153" s="16"/>
      <c r="CD153" s="16"/>
      <c r="CE153" s="16"/>
      <c r="CF153" s="16"/>
      <c r="CG153" s="16"/>
      <c r="CH153" s="16"/>
      <c r="CI153" s="16" t="s">
        <v>1882</v>
      </c>
    </row>
    <row r="154" spans="1:87">
      <c r="A154" s="16" t="s">
        <v>5</v>
      </c>
      <c r="B154" s="16" t="s">
        <v>992</v>
      </c>
      <c r="C154" s="3">
        <v>46272</v>
      </c>
      <c r="D154" s="26" t="s">
        <v>14</v>
      </c>
      <c r="E154" s="180" t="s">
        <v>1883</v>
      </c>
      <c r="F154" s="181">
        <v>2026211070416</v>
      </c>
      <c r="G154" s="181">
        <v>40</v>
      </c>
      <c r="H154" s="181">
        <v>39</v>
      </c>
      <c r="I154" s="181" t="s">
        <v>460</v>
      </c>
      <c r="J154" s="181" t="s">
        <v>1883</v>
      </c>
      <c r="K154" s="181" t="s">
        <v>1884</v>
      </c>
      <c r="L154" s="181" t="s">
        <v>17</v>
      </c>
      <c r="M154" s="181">
        <v>14</v>
      </c>
      <c r="N154" s="181" t="s">
        <v>462</v>
      </c>
      <c r="O154" s="181" t="s">
        <v>606</v>
      </c>
      <c r="P154" s="181" t="s">
        <v>1885</v>
      </c>
      <c r="Q154" s="181" t="s">
        <v>465</v>
      </c>
      <c r="R154" s="181" t="s">
        <v>466</v>
      </c>
      <c r="S154" s="181" t="s">
        <v>1886</v>
      </c>
      <c r="T154" s="181">
        <v>214021</v>
      </c>
      <c r="U154" s="182">
        <v>46257.95416666667</v>
      </c>
      <c r="V154" s="181" t="s">
        <v>469</v>
      </c>
      <c r="W154" s="181" t="s">
        <v>568</v>
      </c>
      <c r="X154" s="181" t="s">
        <v>471</v>
      </c>
      <c r="Y154" s="181" t="s">
        <v>1887</v>
      </c>
      <c r="Z154" s="181" t="s">
        <v>1292</v>
      </c>
      <c r="AA154" s="181" t="s">
        <v>474</v>
      </c>
      <c r="AB154" s="181" t="s">
        <v>1888</v>
      </c>
      <c r="AC154" s="181" t="s">
        <v>526</v>
      </c>
      <c r="AD154" s="181">
        <v>272413974</v>
      </c>
      <c r="AE154" s="181">
        <v>1811215742</v>
      </c>
      <c r="AF154" s="181">
        <v>1841594496</v>
      </c>
      <c r="AG154" s="181"/>
      <c r="AH154" s="181"/>
      <c r="AI154" s="181" t="s">
        <v>318</v>
      </c>
      <c r="AJ154" s="181" t="s">
        <v>481</v>
      </c>
      <c r="AK154" s="181" t="s">
        <v>1889</v>
      </c>
      <c r="AL154" s="181">
        <v>9265</v>
      </c>
      <c r="AM154" s="181"/>
      <c r="AN154" s="181"/>
      <c r="AO154" s="181">
        <v>972</v>
      </c>
      <c r="AP154" s="181" t="s">
        <v>485</v>
      </c>
      <c r="AQ154" s="181" t="s">
        <v>1890</v>
      </c>
      <c r="AR154" s="183">
        <v>46258</v>
      </c>
      <c r="AS154" s="181" t="s">
        <v>318</v>
      </c>
      <c r="AT154" s="181" t="s">
        <v>1891</v>
      </c>
      <c r="AU154" s="181"/>
      <c r="AV154" s="181" t="s">
        <v>1892</v>
      </c>
      <c r="AW154" s="181"/>
      <c r="AX154" s="181"/>
      <c r="AY154" s="181"/>
      <c r="AZ154" s="181"/>
      <c r="BA154" s="181"/>
      <c r="BB154" s="181"/>
      <c r="BC154" s="181"/>
      <c r="BD154" s="181" t="s">
        <v>318</v>
      </c>
      <c r="BE154" s="181">
        <v>39</v>
      </c>
      <c r="BF154" s="181"/>
      <c r="BG154" s="181"/>
      <c r="BH154" s="181" t="s">
        <v>491</v>
      </c>
      <c r="BI154" s="181">
        <v>302644677</v>
      </c>
      <c r="BJ154" s="181"/>
      <c r="BK154" s="181"/>
      <c r="BL154" s="181"/>
      <c r="BM154" s="181"/>
      <c r="BN154" s="181"/>
      <c r="BO154" s="181"/>
      <c r="BP154" s="181"/>
      <c r="BQ154" s="181"/>
      <c r="BR154" s="181"/>
      <c r="BS154" s="181"/>
      <c r="BT154" s="181"/>
      <c r="BU154" s="181"/>
      <c r="BV154" s="181"/>
      <c r="BW154" s="181"/>
      <c r="BX154" s="181"/>
      <c r="BY154" s="181"/>
      <c r="BZ154" s="181"/>
      <c r="CA154" s="190">
        <v>46285.666666666701</v>
      </c>
      <c r="CB154" s="3"/>
      <c r="CC154" s="16"/>
      <c r="CD154" s="16"/>
      <c r="CE154" s="16"/>
      <c r="CF154" s="16"/>
      <c r="CG154" s="16"/>
      <c r="CH154" s="16"/>
      <c r="CI154" s="16" t="s">
        <v>1893</v>
      </c>
    </row>
    <row r="155" spans="1:87">
      <c r="A155" s="16"/>
      <c r="B155" s="16"/>
      <c r="C155" s="3">
        <v>46272</v>
      </c>
      <c r="D155" s="26" t="s">
        <v>14</v>
      </c>
      <c r="E155" s="180" t="s">
        <v>1894</v>
      </c>
      <c r="F155" s="181">
        <v>2026211650490</v>
      </c>
      <c r="G155" s="181">
        <v>40</v>
      </c>
      <c r="H155" s="181">
        <v>39</v>
      </c>
      <c r="I155" s="181" t="s">
        <v>460</v>
      </c>
      <c r="J155" s="181" t="s">
        <v>1894</v>
      </c>
      <c r="K155" s="181" t="s">
        <v>691</v>
      </c>
      <c r="L155" s="181" t="s">
        <v>13</v>
      </c>
      <c r="M155" s="181">
        <v>14</v>
      </c>
      <c r="N155" s="181" t="s">
        <v>462</v>
      </c>
      <c r="O155" s="181" t="s">
        <v>606</v>
      </c>
      <c r="P155" s="181" t="s">
        <v>1895</v>
      </c>
      <c r="Q155" s="181" t="s">
        <v>465</v>
      </c>
      <c r="R155" s="181" t="s">
        <v>466</v>
      </c>
      <c r="S155" s="181" t="s">
        <v>1896</v>
      </c>
      <c r="T155" s="181">
        <v>213013</v>
      </c>
      <c r="U155" s="182">
        <v>46257.972916666666</v>
      </c>
      <c r="V155" s="181" t="s">
        <v>469</v>
      </c>
      <c r="W155" s="181" t="s">
        <v>568</v>
      </c>
      <c r="X155" s="181" t="s">
        <v>471</v>
      </c>
      <c r="Y155" s="181" t="s">
        <v>1724</v>
      </c>
      <c r="Z155" s="181" t="s">
        <v>524</v>
      </c>
      <c r="AA155" s="181" t="s">
        <v>474</v>
      </c>
      <c r="AB155" s="181" t="s">
        <v>1897</v>
      </c>
      <c r="AC155" s="181" t="s">
        <v>1294</v>
      </c>
      <c r="AD155" s="181">
        <v>610492356</v>
      </c>
      <c r="AE155" s="181">
        <v>1821135963</v>
      </c>
      <c r="AF155" s="181"/>
      <c r="AG155" s="181"/>
      <c r="AH155" s="181"/>
      <c r="AI155" s="181" t="s">
        <v>128</v>
      </c>
      <c r="AJ155" s="181" t="s">
        <v>481</v>
      </c>
      <c r="AK155" s="181" t="s">
        <v>1898</v>
      </c>
      <c r="AL155" s="181">
        <v>59671.46</v>
      </c>
      <c r="AM155" s="181"/>
      <c r="AN155" s="181"/>
      <c r="AO155" s="181">
        <v>188</v>
      </c>
      <c r="AP155" s="181" t="s">
        <v>485</v>
      </c>
      <c r="AQ155" s="181" t="s">
        <v>1899</v>
      </c>
      <c r="AR155" s="183">
        <v>46258</v>
      </c>
      <c r="AS155" s="181" t="s">
        <v>128</v>
      </c>
      <c r="AT155" s="181" t="s">
        <v>695</v>
      </c>
      <c r="AU155" s="181"/>
      <c r="AV155" s="181" t="s">
        <v>1900</v>
      </c>
      <c r="AW155" s="181"/>
      <c r="AX155" s="181"/>
      <c r="AY155" s="181"/>
      <c r="AZ155" s="181"/>
      <c r="BA155" s="181"/>
      <c r="BB155" s="181"/>
      <c r="BC155" s="181"/>
      <c r="BD155" s="181" t="s">
        <v>128</v>
      </c>
      <c r="BE155" s="181">
        <v>39</v>
      </c>
      <c r="BF155" s="181"/>
      <c r="BG155" s="181"/>
      <c r="BH155" s="181" t="s">
        <v>491</v>
      </c>
      <c r="BI155" s="181">
        <v>282822131</v>
      </c>
      <c r="BJ155" s="181"/>
      <c r="BK155" s="181"/>
      <c r="BL155" s="181"/>
      <c r="BM155" s="181"/>
      <c r="BN155" s="181"/>
      <c r="BO155" s="181"/>
      <c r="BP155" s="181"/>
      <c r="BQ155" s="181"/>
      <c r="BR155" s="181"/>
      <c r="BS155" s="181"/>
      <c r="BT155" s="181"/>
      <c r="BU155" s="181"/>
      <c r="BV155" s="181"/>
      <c r="BW155" s="181"/>
      <c r="BX155" s="181"/>
      <c r="BY155" s="181"/>
      <c r="BZ155" s="181"/>
      <c r="CA155" s="190"/>
      <c r="CB155" s="3"/>
      <c r="CC155" s="16"/>
      <c r="CD155" s="16"/>
      <c r="CE155" s="16"/>
      <c r="CF155" s="16"/>
      <c r="CG155" s="16"/>
      <c r="CH155" s="16"/>
      <c r="CI155" s="16" t="s">
        <v>1901</v>
      </c>
    </row>
    <row r="156" spans="1:87">
      <c r="A156" s="16" t="s">
        <v>5</v>
      </c>
      <c r="B156" s="16" t="s">
        <v>992</v>
      </c>
      <c r="C156" s="3">
        <v>46272</v>
      </c>
      <c r="D156" s="26" t="s">
        <v>14</v>
      </c>
      <c r="E156" s="180" t="s">
        <v>1902</v>
      </c>
      <c r="F156" s="181">
        <v>2026215540219</v>
      </c>
      <c r="G156" s="181">
        <v>40</v>
      </c>
      <c r="H156" s="181">
        <v>35</v>
      </c>
      <c r="I156" s="181" t="s">
        <v>460</v>
      </c>
      <c r="J156" s="181" t="s">
        <v>1902</v>
      </c>
      <c r="K156" s="181" t="s">
        <v>1884</v>
      </c>
      <c r="L156" s="181" t="s">
        <v>17</v>
      </c>
      <c r="M156" s="181">
        <v>12</v>
      </c>
      <c r="N156" s="181" t="s">
        <v>462</v>
      </c>
      <c r="O156" s="181" t="s">
        <v>606</v>
      </c>
      <c r="P156" s="181" t="s">
        <v>1903</v>
      </c>
      <c r="Q156" s="181" t="s">
        <v>465</v>
      </c>
      <c r="R156" s="181" t="s">
        <v>466</v>
      </c>
      <c r="S156" s="181" t="s">
        <v>1904</v>
      </c>
      <c r="T156" s="181">
        <v>210041</v>
      </c>
      <c r="U156" s="182">
        <v>46259.790277777778</v>
      </c>
      <c r="V156" s="181" t="s">
        <v>469</v>
      </c>
      <c r="W156" s="181" t="s">
        <v>568</v>
      </c>
      <c r="X156" s="181" t="s">
        <v>471</v>
      </c>
      <c r="Y156" s="181" t="s">
        <v>1724</v>
      </c>
      <c r="Z156" s="181" t="s">
        <v>473</v>
      </c>
      <c r="AA156" s="181" t="s">
        <v>474</v>
      </c>
      <c r="AB156" s="181" t="s">
        <v>1905</v>
      </c>
      <c r="AC156" s="181" t="s">
        <v>476</v>
      </c>
      <c r="AD156" s="181">
        <v>390813416</v>
      </c>
      <c r="AE156" s="181">
        <v>1376593442</v>
      </c>
      <c r="AF156" s="181">
        <v>1225006646</v>
      </c>
      <c r="AG156" s="181"/>
      <c r="AH156" s="181"/>
      <c r="AI156" s="181" t="s">
        <v>318</v>
      </c>
      <c r="AJ156" s="181" t="s">
        <v>481</v>
      </c>
      <c r="AK156" s="181" t="s">
        <v>1906</v>
      </c>
      <c r="AL156" s="181">
        <v>19273</v>
      </c>
      <c r="AM156" s="181"/>
      <c r="AN156" s="181"/>
      <c r="AO156" s="181">
        <v>694</v>
      </c>
      <c r="AP156" s="181" t="s">
        <v>485</v>
      </c>
      <c r="AQ156" s="181" t="s">
        <v>1907</v>
      </c>
      <c r="AR156" s="183">
        <v>46260</v>
      </c>
      <c r="AS156" s="181" t="s">
        <v>318</v>
      </c>
      <c r="AT156" s="181" t="s">
        <v>1908</v>
      </c>
      <c r="AU156" s="181"/>
      <c r="AV156" s="181" t="s">
        <v>1909</v>
      </c>
      <c r="AW156" s="181"/>
      <c r="AX156" s="181"/>
      <c r="AY156" s="181"/>
      <c r="AZ156" s="181"/>
      <c r="BA156" s="181"/>
      <c r="BB156" s="181"/>
      <c r="BC156" s="181"/>
      <c r="BD156" s="181" t="s">
        <v>318</v>
      </c>
      <c r="BE156" s="181">
        <v>35</v>
      </c>
      <c r="BF156" s="181"/>
      <c r="BG156" s="181"/>
      <c r="BH156" s="181" t="s">
        <v>491</v>
      </c>
      <c r="BI156" s="181">
        <v>472725390</v>
      </c>
      <c r="BJ156" s="181"/>
      <c r="BK156" s="181"/>
      <c r="BL156" s="181"/>
      <c r="BM156" s="181"/>
      <c r="BN156" s="181"/>
      <c r="BO156" s="181"/>
      <c r="BP156" s="181"/>
      <c r="BQ156" s="181"/>
      <c r="BR156" s="181"/>
      <c r="BS156" s="181"/>
      <c r="BT156" s="181"/>
      <c r="BU156" s="181"/>
      <c r="BV156" s="181"/>
      <c r="BW156" s="181"/>
      <c r="BX156" s="181"/>
      <c r="BY156" s="181"/>
      <c r="BZ156" s="181"/>
      <c r="CA156" s="190">
        <v>46285.666666666701</v>
      </c>
      <c r="CB156" s="3"/>
      <c r="CC156" s="16"/>
      <c r="CD156" s="16"/>
      <c r="CE156" s="16"/>
      <c r="CF156" s="16"/>
      <c r="CG156" s="16"/>
      <c r="CH156" s="16"/>
      <c r="CI156" s="16" t="s">
        <v>1910</v>
      </c>
    </row>
    <row r="157" spans="1:87">
      <c r="A157" s="16" t="s">
        <v>4</v>
      </c>
      <c r="B157" s="16" t="s">
        <v>1911</v>
      </c>
      <c r="C157" s="3">
        <v>46272</v>
      </c>
      <c r="D157" s="26" t="s">
        <v>14</v>
      </c>
      <c r="E157" s="180" t="s">
        <v>1912</v>
      </c>
      <c r="F157" s="181">
        <v>2026212920177</v>
      </c>
      <c r="G157" s="181">
        <v>40</v>
      </c>
      <c r="H157" s="181">
        <v>38</v>
      </c>
      <c r="I157" s="181" t="s">
        <v>460</v>
      </c>
      <c r="J157" s="181" t="s">
        <v>1912</v>
      </c>
      <c r="K157" s="181" t="s">
        <v>1348</v>
      </c>
      <c r="L157" s="181" t="s">
        <v>17</v>
      </c>
      <c r="M157" s="181">
        <v>13</v>
      </c>
      <c r="N157" s="181" t="s">
        <v>462</v>
      </c>
      <c r="O157" s="181" t="s">
        <v>606</v>
      </c>
      <c r="P157" s="181" t="s">
        <v>1913</v>
      </c>
      <c r="Q157" s="181" t="s">
        <v>465</v>
      </c>
      <c r="R157" s="181" t="s">
        <v>466</v>
      </c>
      <c r="S157" s="181" t="s">
        <v>1914</v>
      </c>
      <c r="T157" s="181">
        <v>210040</v>
      </c>
      <c r="U157" s="182">
        <v>46259.196527777778</v>
      </c>
      <c r="V157" s="181" t="s">
        <v>469</v>
      </c>
      <c r="W157" s="181" t="s">
        <v>568</v>
      </c>
      <c r="X157" s="181" t="s">
        <v>471</v>
      </c>
      <c r="Y157" s="181" t="s">
        <v>1724</v>
      </c>
      <c r="Z157" s="181" t="s">
        <v>473</v>
      </c>
      <c r="AA157" s="181" t="s">
        <v>474</v>
      </c>
      <c r="AB157" s="181" t="s">
        <v>1915</v>
      </c>
      <c r="AC157" s="181" t="s">
        <v>476</v>
      </c>
      <c r="AD157" s="181">
        <v>390806261</v>
      </c>
      <c r="AE157" s="181">
        <v>1699720086</v>
      </c>
      <c r="AF157" s="181">
        <v>1851160022</v>
      </c>
      <c r="AG157" s="181"/>
      <c r="AH157" s="181" t="s">
        <v>1076</v>
      </c>
      <c r="AI157" s="181" t="s">
        <v>267</v>
      </c>
      <c r="AJ157" s="181" t="s">
        <v>481</v>
      </c>
      <c r="AK157" s="181" t="s">
        <v>1916</v>
      </c>
      <c r="AL157" s="181">
        <v>14509</v>
      </c>
      <c r="AM157" s="181"/>
      <c r="AN157" s="181"/>
      <c r="AO157" s="181">
        <v>331</v>
      </c>
      <c r="AP157" s="181" t="s">
        <v>485</v>
      </c>
      <c r="AQ157" s="181" t="s">
        <v>1917</v>
      </c>
      <c r="AR157" s="183">
        <v>46259</v>
      </c>
      <c r="AS157" s="181" t="s">
        <v>267</v>
      </c>
      <c r="AT157" s="181" t="s">
        <v>1484</v>
      </c>
      <c r="AU157" s="181"/>
      <c r="AV157" s="181" t="s">
        <v>1918</v>
      </c>
      <c r="AW157" s="181"/>
      <c r="AX157" s="181"/>
      <c r="AY157" s="181"/>
      <c r="AZ157" s="181"/>
      <c r="BA157" s="181"/>
      <c r="BB157" s="181"/>
      <c r="BC157" s="181"/>
      <c r="BD157" s="181" t="s">
        <v>267</v>
      </c>
      <c r="BE157" s="181">
        <v>38</v>
      </c>
      <c r="BF157" s="181"/>
      <c r="BG157" s="181"/>
      <c r="BH157" s="181" t="s">
        <v>491</v>
      </c>
      <c r="BI157" s="181">
        <v>393885081</v>
      </c>
      <c r="BJ157" s="181"/>
      <c r="BK157" s="181"/>
      <c r="BL157" s="181"/>
      <c r="BM157" s="181"/>
      <c r="BN157" s="181"/>
      <c r="BO157" s="181"/>
      <c r="BP157" s="181"/>
      <c r="BQ157" s="181"/>
      <c r="BR157" s="181"/>
      <c r="BS157" s="181"/>
      <c r="BT157" s="181"/>
      <c r="BU157" s="181"/>
      <c r="BV157" s="181"/>
      <c r="BW157" s="181"/>
      <c r="BX157" s="181"/>
      <c r="BY157" s="181"/>
      <c r="BZ157" s="181"/>
      <c r="CA157" s="190">
        <v>46285.666666666701</v>
      </c>
      <c r="CB157" s="3"/>
      <c r="CC157" s="16"/>
      <c r="CD157" s="16"/>
      <c r="CE157" s="16"/>
      <c r="CF157" s="16"/>
      <c r="CG157" s="16"/>
      <c r="CH157" s="16"/>
      <c r="CI157" s="16" t="s">
        <v>1919</v>
      </c>
    </row>
    <row r="158" spans="1:87">
      <c r="A158" s="16"/>
      <c r="B158" s="16"/>
      <c r="C158" s="3">
        <v>46272</v>
      </c>
      <c r="D158" s="26" t="s">
        <v>14</v>
      </c>
      <c r="E158" s="180" t="s">
        <v>1920</v>
      </c>
      <c r="F158" s="181">
        <v>2026208650292</v>
      </c>
      <c r="G158" s="181">
        <v>40</v>
      </c>
      <c r="H158" s="181">
        <v>42</v>
      </c>
      <c r="I158" s="181" t="s">
        <v>460</v>
      </c>
      <c r="J158" s="181" t="s">
        <v>1920</v>
      </c>
      <c r="K158" s="181" t="s">
        <v>625</v>
      </c>
      <c r="L158" s="181" t="s">
        <v>17</v>
      </c>
      <c r="M158" s="181">
        <v>19</v>
      </c>
      <c r="N158" s="181" t="s">
        <v>462</v>
      </c>
      <c r="O158" s="181" t="s">
        <v>606</v>
      </c>
      <c r="P158" s="181" t="s">
        <v>1921</v>
      </c>
      <c r="Q158" s="181" t="s">
        <v>465</v>
      </c>
      <c r="R158" s="181" t="s">
        <v>466</v>
      </c>
      <c r="S158" s="181" t="s">
        <v>1922</v>
      </c>
      <c r="T158" s="181">
        <v>201110</v>
      </c>
      <c r="U158" s="182">
        <v>46253.655555555553</v>
      </c>
      <c r="V158" s="181" t="s">
        <v>469</v>
      </c>
      <c r="W158" s="181" t="s">
        <v>568</v>
      </c>
      <c r="X158" s="181" t="s">
        <v>471</v>
      </c>
      <c r="Y158" s="181" t="s">
        <v>1724</v>
      </c>
      <c r="Z158" s="181" t="s">
        <v>501</v>
      </c>
      <c r="AA158" s="181" t="s">
        <v>474</v>
      </c>
      <c r="AB158" s="181" t="s">
        <v>1923</v>
      </c>
      <c r="AC158" s="181" t="s">
        <v>476</v>
      </c>
      <c r="AD158" s="181">
        <v>391824445</v>
      </c>
      <c r="AE158" s="181">
        <v>1598784555</v>
      </c>
      <c r="AF158" s="181">
        <v>1235476755</v>
      </c>
      <c r="AG158" s="181"/>
      <c r="AH158" s="181"/>
      <c r="AI158" s="181" t="s">
        <v>70</v>
      </c>
      <c r="AJ158" s="181" t="s">
        <v>481</v>
      </c>
      <c r="AK158" s="181" t="s">
        <v>1924</v>
      </c>
      <c r="AL158" s="181">
        <v>31802.5</v>
      </c>
      <c r="AM158" s="181"/>
      <c r="AN158" s="181"/>
      <c r="AO158" s="181">
        <v>359</v>
      </c>
      <c r="AP158" s="181" t="s">
        <v>485</v>
      </c>
      <c r="AQ158" s="181" t="s">
        <v>1925</v>
      </c>
      <c r="AR158" s="183">
        <v>46253</v>
      </c>
      <c r="AS158" s="181" t="s">
        <v>70</v>
      </c>
      <c r="AT158" s="181" t="s">
        <v>1142</v>
      </c>
      <c r="AU158" s="181"/>
      <c r="AV158" s="181" t="s">
        <v>1926</v>
      </c>
      <c r="AW158" s="181"/>
      <c r="AX158" s="181"/>
      <c r="AY158" s="181"/>
      <c r="AZ158" s="181"/>
      <c r="BA158" s="181"/>
      <c r="BB158" s="181"/>
      <c r="BC158" s="181"/>
      <c r="BD158" s="181" t="s">
        <v>70</v>
      </c>
      <c r="BE158" s="181">
        <v>42</v>
      </c>
      <c r="BF158" s="181"/>
      <c r="BG158" s="181"/>
      <c r="BH158" s="181" t="s">
        <v>491</v>
      </c>
      <c r="BI158" s="181">
        <v>324545644</v>
      </c>
      <c r="BJ158" s="181"/>
      <c r="BK158" s="181"/>
      <c r="BL158" s="181"/>
      <c r="BM158" s="181"/>
      <c r="BN158" s="181"/>
      <c r="BO158" s="181"/>
      <c r="BP158" s="181"/>
      <c r="BQ158" s="181"/>
      <c r="BR158" s="181"/>
      <c r="BS158" s="181"/>
      <c r="BT158" s="181"/>
      <c r="BU158" s="181"/>
      <c r="BV158" s="181"/>
      <c r="BW158" s="181"/>
      <c r="BX158" s="181"/>
      <c r="BY158" s="181"/>
      <c r="BZ158" s="181"/>
      <c r="CA158" s="190"/>
      <c r="CB158" s="3"/>
      <c r="CC158" s="16"/>
      <c r="CD158" s="16"/>
      <c r="CE158" s="16"/>
      <c r="CF158" s="16"/>
      <c r="CG158" s="16"/>
      <c r="CH158" s="16"/>
      <c r="CI158" s="16" t="s">
        <v>1927</v>
      </c>
    </row>
    <row r="159" spans="1:87">
      <c r="A159" s="16"/>
      <c r="B159" s="16"/>
      <c r="C159" s="3">
        <v>46272</v>
      </c>
      <c r="D159" s="26" t="s">
        <v>14</v>
      </c>
      <c r="E159" s="180" t="s">
        <v>1928</v>
      </c>
      <c r="F159" s="181">
        <v>2026207670029</v>
      </c>
      <c r="G159" s="181">
        <v>40</v>
      </c>
      <c r="H159" s="181">
        <v>43</v>
      </c>
      <c r="I159" s="181" t="s">
        <v>460</v>
      </c>
      <c r="J159" s="181" t="s">
        <v>1928</v>
      </c>
      <c r="K159" s="181" t="s">
        <v>1083</v>
      </c>
      <c r="L159" s="181" t="s">
        <v>17</v>
      </c>
      <c r="M159" s="181">
        <v>17</v>
      </c>
      <c r="N159" s="181" t="s">
        <v>462</v>
      </c>
      <c r="O159" s="181" t="s">
        <v>606</v>
      </c>
      <c r="P159" s="181" t="s">
        <v>1929</v>
      </c>
      <c r="Q159" s="181" t="s">
        <v>465</v>
      </c>
      <c r="R159" s="181" t="s">
        <v>466</v>
      </c>
      <c r="S159" s="181" t="s">
        <v>1930</v>
      </c>
      <c r="T159" s="181">
        <v>197184</v>
      </c>
      <c r="U159" s="182">
        <v>46254.804166666669</v>
      </c>
      <c r="V159" s="181" t="s">
        <v>469</v>
      </c>
      <c r="W159" s="181" t="s">
        <v>568</v>
      </c>
      <c r="X159" s="181" t="s">
        <v>471</v>
      </c>
      <c r="Y159" s="181" t="s">
        <v>628</v>
      </c>
      <c r="Z159" s="181" t="s">
        <v>590</v>
      </c>
      <c r="AA159" s="181" t="s">
        <v>474</v>
      </c>
      <c r="AB159" s="181" t="s">
        <v>1931</v>
      </c>
      <c r="AC159" s="181" t="s">
        <v>1932</v>
      </c>
      <c r="AD159" s="181">
        <v>880167036</v>
      </c>
      <c r="AE159" s="181">
        <v>1295914661</v>
      </c>
      <c r="AF159" s="181">
        <v>1427275676</v>
      </c>
      <c r="AG159" s="181"/>
      <c r="AH159" s="181"/>
      <c r="AI159" s="181" t="s">
        <v>48</v>
      </c>
      <c r="AJ159" s="181" t="s">
        <v>481</v>
      </c>
      <c r="AK159" s="181" t="s">
        <v>1933</v>
      </c>
      <c r="AL159" s="181">
        <v>16882</v>
      </c>
      <c r="AM159" s="181"/>
      <c r="AN159" s="181"/>
      <c r="AO159" s="181">
        <v>272</v>
      </c>
      <c r="AP159" s="181" t="s">
        <v>485</v>
      </c>
      <c r="AQ159" s="181" t="s">
        <v>1934</v>
      </c>
      <c r="AR159" s="183">
        <v>46255</v>
      </c>
      <c r="AS159" s="181" t="s">
        <v>48</v>
      </c>
      <c r="AT159" s="181" t="s">
        <v>1214</v>
      </c>
      <c r="AU159" s="181"/>
      <c r="AV159" s="181" t="s">
        <v>1935</v>
      </c>
      <c r="AW159" s="181"/>
      <c r="AX159" s="181"/>
      <c r="AY159" s="181"/>
      <c r="AZ159" s="181"/>
      <c r="BA159" s="181"/>
      <c r="BB159" s="181"/>
      <c r="BC159" s="181"/>
      <c r="BD159" s="181" t="s">
        <v>48</v>
      </c>
      <c r="BE159" s="181">
        <v>43</v>
      </c>
      <c r="BF159" s="181"/>
      <c r="BG159" s="181" t="s">
        <v>490</v>
      </c>
      <c r="BH159" s="181" t="s">
        <v>491</v>
      </c>
      <c r="BI159" s="181">
        <v>528577126</v>
      </c>
      <c r="BJ159" s="181"/>
      <c r="BK159" s="181"/>
      <c r="BL159" s="181"/>
      <c r="BM159" s="181"/>
      <c r="BN159" s="181"/>
      <c r="BO159" s="181"/>
      <c r="BP159" s="181"/>
      <c r="BQ159" s="181"/>
      <c r="BR159" s="181"/>
      <c r="BS159" s="181"/>
      <c r="BT159" s="181"/>
      <c r="BU159" s="181"/>
      <c r="BV159" s="181"/>
      <c r="BW159" s="181"/>
      <c r="BX159" s="181"/>
      <c r="BY159" s="181"/>
      <c r="BZ159" s="181"/>
      <c r="CA159" s="190"/>
      <c r="CB159" s="3"/>
      <c r="CC159" s="16"/>
      <c r="CD159" s="16"/>
      <c r="CE159" s="16"/>
      <c r="CF159" s="16"/>
      <c r="CG159" s="16"/>
      <c r="CH159" s="16"/>
      <c r="CI159" s="16" t="s">
        <v>1936</v>
      </c>
    </row>
    <row r="160" spans="1:87">
      <c r="A160" s="16"/>
      <c r="B160" s="16"/>
      <c r="C160" s="3">
        <v>46272</v>
      </c>
      <c r="D160" s="26" t="s">
        <v>14</v>
      </c>
      <c r="E160" s="180" t="s">
        <v>1937</v>
      </c>
      <c r="F160" s="181">
        <v>2026218800203</v>
      </c>
      <c r="G160" s="181">
        <v>40</v>
      </c>
      <c r="H160" s="181">
        <v>32</v>
      </c>
      <c r="I160" s="181" t="s">
        <v>460</v>
      </c>
      <c r="J160" s="181" t="s">
        <v>1937</v>
      </c>
      <c r="K160" s="181" t="s">
        <v>560</v>
      </c>
      <c r="L160" s="181" t="s">
        <v>13</v>
      </c>
      <c r="M160" s="181">
        <v>7</v>
      </c>
      <c r="N160" s="181" t="s">
        <v>462</v>
      </c>
      <c r="O160" s="181" t="s">
        <v>606</v>
      </c>
      <c r="P160" s="181" t="s">
        <v>1938</v>
      </c>
      <c r="Q160" s="181" t="s">
        <v>465</v>
      </c>
      <c r="R160" s="181" t="s">
        <v>466</v>
      </c>
      <c r="S160" s="181" t="s">
        <v>1939</v>
      </c>
      <c r="T160" s="181">
        <v>197184</v>
      </c>
      <c r="U160" s="182">
        <v>46264.731944444444</v>
      </c>
      <c r="V160" s="181" t="s">
        <v>469</v>
      </c>
      <c r="W160" s="181" t="s">
        <v>568</v>
      </c>
      <c r="X160" s="181" t="s">
        <v>471</v>
      </c>
      <c r="Y160" s="181" t="s">
        <v>628</v>
      </c>
      <c r="Z160" s="181" t="s">
        <v>590</v>
      </c>
      <c r="AA160" s="181" t="s">
        <v>474</v>
      </c>
      <c r="AB160" s="181" t="s">
        <v>1940</v>
      </c>
      <c r="AC160" s="181" t="s">
        <v>1932</v>
      </c>
      <c r="AD160" s="181">
        <v>880167036</v>
      </c>
      <c r="AE160" s="181">
        <v>1295914661</v>
      </c>
      <c r="AF160" s="181">
        <v>1104864073</v>
      </c>
      <c r="AG160" s="181"/>
      <c r="AH160" s="181"/>
      <c r="AI160" s="181" t="s">
        <v>59</v>
      </c>
      <c r="AJ160" s="181" t="s">
        <v>481</v>
      </c>
      <c r="AK160" s="181" t="s">
        <v>1941</v>
      </c>
      <c r="AL160" s="181">
        <v>15265</v>
      </c>
      <c r="AM160" s="181"/>
      <c r="AN160" s="181"/>
      <c r="AO160" s="181">
        <v>895</v>
      </c>
      <c r="AP160" s="181" t="s">
        <v>485</v>
      </c>
      <c r="AQ160" s="181" t="s">
        <v>1942</v>
      </c>
      <c r="AR160" s="183">
        <v>46265</v>
      </c>
      <c r="AS160" s="181" t="s">
        <v>59</v>
      </c>
      <c r="AT160" s="181" t="s">
        <v>1943</v>
      </c>
      <c r="AU160" s="181"/>
      <c r="AV160" s="181" t="s">
        <v>1944</v>
      </c>
      <c r="AW160" s="181"/>
      <c r="AX160" s="181"/>
      <c r="AY160" s="181"/>
      <c r="AZ160" s="181"/>
      <c r="BA160" s="181"/>
      <c r="BB160" s="181"/>
      <c r="BC160" s="181"/>
      <c r="BD160" s="181" t="s">
        <v>59</v>
      </c>
      <c r="BE160" s="181">
        <v>32</v>
      </c>
      <c r="BF160" s="181"/>
      <c r="BG160" s="181" t="s">
        <v>490</v>
      </c>
      <c r="BH160" s="181" t="s">
        <v>491</v>
      </c>
      <c r="BI160" s="181">
        <v>240312866</v>
      </c>
      <c r="BJ160" s="181"/>
      <c r="BK160" s="181"/>
      <c r="BL160" s="181"/>
      <c r="BM160" s="181"/>
      <c r="BN160" s="181"/>
      <c r="BO160" s="181"/>
      <c r="BP160" s="181"/>
      <c r="BQ160" s="181"/>
      <c r="BR160" s="181"/>
      <c r="BS160" s="181"/>
      <c r="BT160" s="181"/>
      <c r="BU160" s="181"/>
      <c r="BV160" s="181"/>
      <c r="BW160" s="181"/>
      <c r="BX160" s="181"/>
      <c r="BY160" s="181"/>
      <c r="BZ160" s="181"/>
      <c r="CA160" s="190"/>
      <c r="CB160" s="3"/>
      <c r="CC160" s="16"/>
      <c r="CD160" s="16"/>
      <c r="CE160" s="16"/>
      <c r="CF160" s="16"/>
      <c r="CG160" s="16"/>
      <c r="CH160" s="16"/>
      <c r="CI160" s="16" t="s">
        <v>1945</v>
      </c>
    </row>
    <row r="161" spans="1:87">
      <c r="A161" s="16"/>
      <c r="B161" s="16"/>
      <c r="C161" s="3">
        <v>46272</v>
      </c>
      <c r="D161" s="26" t="s">
        <v>14</v>
      </c>
      <c r="E161" s="180" t="s">
        <v>1946</v>
      </c>
      <c r="F161" s="181">
        <v>2026211560124</v>
      </c>
      <c r="G161" s="181">
        <v>40</v>
      </c>
      <c r="H161" s="181">
        <v>39</v>
      </c>
      <c r="I161" s="181" t="s">
        <v>460</v>
      </c>
      <c r="J161" s="181" t="s">
        <v>1946</v>
      </c>
      <c r="K161" s="181" t="s">
        <v>729</v>
      </c>
      <c r="L161" s="181" t="s">
        <v>13</v>
      </c>
      <c r="M161" s="181">
        <v>14</v>
      </c>
      <c r="N161" s="181" t="s">
        <v>462</v>
      </c>
      <c r="O161" s="181" t="s">
        <v>606</v>
      </c>
      <c r="P161" s="181" t="s">
        <v>1947</v>
      </c>
      <c r="Q161" s="181" t="s">
        <v>465</v>
      </c>
      <c r="R161" s="181" t="s">
        <v>466</v>
      </c>
      <c r="S161" s="181" t="s">
        <v>1948</v>
      </c>
      <c r="T161" s="181">
        <v>195610</v>
      </c>
      <c r="U161" s="182">
        <v>46257.951388888891</v>
      </c>
      <c r="V161" s="181" t="s">
        <v>469</v>
      </c>
      <c r="W161" s="181" t="s">
        <v>568</v>
      </c>
      <c r="X161" s="181" t="s">
        <v>471</v>
      </c>
      <c r="Y161" s="181" t="s">
        <v>1949</v>
      </c>
      <c r="Z161" s="181" t="s">
        <v>590</v>
      </c>
      <c r="AA161" s="181" t="s">
        <v>474</v>
      </c>
      <c r="AB161" s="181" t="s">
        <v>1950</v>
      </c>
      <c r="AC161" s="181" t="s">
        <v>592</v>
      </c>
      <c r="AD161" s="181">
        <v>841457488</v>
      </c>
      <c r="AE161" s="181">
        <v>1518941186</v>
      </c>
      <c r="AF161" s="181">
        <v>1609061837</v>
      </c>
      <c r="AG161" s="181"/>
      <c r="AH161" s="181"/>
      <c r="AI161" s="181" t="s">
        <v>66</v>
      </c>
      <c r="AJ161" s="181" t="s">
        <v>481</v>
      </c>
      <c r="AK161" s="181" t="s">
        <v>1951</v>
      </c>
      <c r="AL161" s="181">
        <v>71811</v>
      </c>
      <c r="AM161" s="181"/>
      <c r="AN161" s="181"/>
      <c r="AO161" s="181">
        <v>942</v>
      </c>
      <c r="AP161" s="181" t="s">
        <v>485</v>
      </c>
      <c r="AQ161" s="181" t="s">
        <v>1952</v>
      </c>
      <c r="AR161" s="183">
        <v>46258</v>
      </c>
      <c r="AS161" s="181" t="s">
        <v>66</v>
      </c>
      <c r="AT161" s="181" t="s">
        <v>1953</v>
      </c>
      <c r="AU161" s="181"/>
      <c r="AV161" s="181" t="s">
        <v>1954</v>
      </c>
      <c r="AW161" s="181"/>
      <c r="AX161" s="181"/>
      <c r="AY161" s="181"/>
      <c r="AZ161" s="181"/>
      <c r="BA161" s="181"/>
      <c r="BB161" s="181"/>
      <c r="BC161" s="181"/>
      <c r="BD161" s="181" t="s">
        <v>66</v>
      </c>
      <c r="BE161" s="181">
        <v>39</v>
      </c>
      <c r="BF161" s="181"/>
      <c r="BG161" s="181" t="s">
        <v>490</v>
      </c>
      <c r="BH161" s="181" t="s">
        <v>491</v>
      </c>
      <c r="BI161" s="181" t="s">
        <v>1955</v>
      </c>
      <c r="BJ161" s="181"/>
      <c r="BK161" s="181"/>
      <c r="BL161" s="181"/>
      <c r="BM161" s="181"/>
      <c r="BN161" s="181"/>
      <c r="BO161" s="181"/>
      <c r="BP161" s="181"/>
      <c r="BQ161" s="181"/>
      <c r="BR161" s="181"/>
      <c r="BS161" s="181"/>
      <c r="BT161" s="181"/>
      <c r="BU161" s="181"/>
      <c r="BV161" s="181"/>
      <c r="BW161" s="181"/>
      <c r="BX161" s="181"/>
      <c r="BY161" s="181"/>
      <c r="BZ161" s="181"/>
      <c r="CA161" s="190"/>
      <c r="CB161" s="3"/>
      <c r="CC161" s="16"/>
      <c r="CD161" s="16"/>
      <c r="CE161" s="16"/>
      <c r="CF161" s="16"/>
      <c r="CG161" s="16"/>
      <c r="CH161" s="16"/>
      <c r="CI161" s="16" t="s">
        <v>1956</v>
      </c>
    </row>
    <row r="162" spans="1:87" ht="29.25">
      <c r="A162" s="16" t="s">
        <v>5</v>
      </c>
      <c r="B162" s="25" t="s">
        <v>672</v>
      </c>
      <c r="C162" s="3">
        <v>46272</v>
      </c>
      <c r="D162" s="26" t="s">
        <v>14</v>
      </c>
      <c r="E162" s="180" t="s">
        <v>1957</v>
      </c>
      <c r="F162" s="181">
        <v>2026214190192</v>
      </c>
      <c r="G162" s="181">
        <v>40</v>
      </c>
      <c r="H162" s="181">
        <v>36</v>
      </c>
      <c r="I162" s="181" t="s">
        <v>460</v>
      </c>
      <c r="J162" s="181" t="s">
        <v>1957</v>
      </c>
      <c r="K162" s="181" t="s">
        <v>674</v>
      </c>
      <c r="L162" s="181" t="s">
        <v>16</v>
      </c>
      <c r="M162" s="181">
        <v>13</v>
      </c>
      <c r="N162" s="181" t="s">
        <v>462</v>
      </c>
      <c r="O162" s="181" t="s">
        <v>606</v>
      </c>
      <c r="P162" s="181" t="s">
        <v>1958</v>
      </c>
      <c r="Q162" s="181" t="s">
        <v>465</v>
      </c>
      <c r="R162" s="181" t="s">
        <v>466</v>
      </c>
      <c r="S162" s="181" t="s">
        <v>1959</v>
      </c>
      <c r="T162" s="181">
        <v>195610</v>
      </c>
      <c r="U162" s="182">
        <v>46259.482638888891</v>
      </c>
      <c r="V162" s="181" t="s">
        <v>469</v>
      </c>
      <c r="W162" s="181" t="s">
        <v>1704</v>
      </c>
      <c r="X162" s="181" t="s">
        <v>471</v>
      </c>
      <c r="Y162" s="181" t="s">
        <v>1949</v>
      </c>
      <c r="Z162" s="181" t="s">
        <v>590</v>
      </c>
      <c r="AA162" s="181" t="s">
        <v>474</v>
      </c>
      <c r="AB162" s="181" t="s">
        <v>1960</v>
      </c>
      <c r="AC162" s="181" t="s">
        <v>592</v>
      </c>
      <c r="AD162" s="181">
        <v>264149359</v>
      </c>
      <c r="AE162" s="181">
        <v>1215179304</v>
      </c>
      <c r="AF162" s="181">
        <v>1912343336</v>
      </c>
      <c r="AG162" s="181"/>
      <c r="AH162" s="181"/>
      <c r="AI162" s="181" t="s">
        <v>54</v>
      </c>
      <c r="AJ162" s="181" t="s">
        <v>481</v>
      </c>
      <c r="AK162" s="181" t="s">
        <v>1961</v>
      </c>
      <c r="AL162" s="181">
        <v>486</v>
      </c>
      <c r="AM162" s="181"/>
      <c r="AN162" s="181"/>
      <c r="AO162" s="181">
        <v>374</v>
      </c>
      <c r="AP162" s="181" t="s">
        <v>485</v>
      </c>
      <c r="AQ162" s="181" t="s">
        <v>1962</v>
      </c>
      <c r="AR162" s="183">
        <v>46259</v>
      </c>
      <c r="AS162" s="181" t="s">
        <v>54</v>
      </c>
      <c r="AT162" s="181" t="s">
        <v>606</v>
      </c>
      <c r="AU162" s="181"/>
      <c r="AV162" s="181" t="s">
        <v>1963</v>
      </c>
      <c r="AW162" s="181"/>
      <c r="AX162" s="181"/>
      <c r="AY162" s="181"/>
      <c r="AZ162" s="181"/>
      <c r="BA162" s="181"/>
      <c r="BB162" s="181"/>
      <c r="BC162" s="181"/>
      <c r="BD162" s="181" t="s">
        <v>54</v>
      </c>
      <c r="BE162" s="181">
        <v>36</v>
      </c>
      <c r="BF162" s="181"/>
      <c r="BG162" s="181" t="s">
        <v>490</v>
      </c>
      <c r="BH162" s="181" t="s">
        <v>491</v>
      </c>
      <c r="BI162" s="181" t="s">
        <v>1964</v>
      </c>
      <c r="BJ162" s="181"/>
      <c r="BK162" s="181"/>
      <c r="BL162" s="181"/>
      <c r="BM162" s="181"/>
      <c r="BN162" s="181"/>
      <c r="BO162" s="181"/>
      <c r="BP162" s="181"/>
      <c r="BQ162" s="181"/>
      <c r="BR162" s="181"/>
      <c r="BS162" s="181"/>
      <c r="BT162" s="181"/>
      <c r="BU162" s="181"/>
      <c r="BV162" s="181"/>
      <c r="BW162" s="181"/>
      <c r="BX162" s="181"/>
      <c r="BY162" s="181"/>
      <c r="BZ162" s="181"/>
      <c r="CA162" s="190">
        <v>46281.666666666701</v>
      </c>
      <c r="CB162" s="3"/>
      <c r="CC162" s="16"/>
      <c r="CD162" s="16"/>
      <c r="CE162" s="16"/>
      <c r="CF162" s="16"/>
      <c r="CG162" s="16"/>
      <c r="CH162" s="16"/>
      <c r="CI162" s="16" t="s">
        <v>1965</v>
      </c>
    </row>
    <row r="163" spans="1:87">
      <c r="A163" s="16" t="s">
        <v>5</v>
      </c>
      <c r="B163" s="16" t="s">
        <v>1966</v>
      </c>
      <c r="C163" s="3">
        <v>46272</v>
      </c>
      <c r="D163" s="26" t="s">
        <v>14</v>
      </c>
      <c r="E163" s="180" t="s">
        <v>1967</v>
      </c>
      <c r="F163" s="181">
        <v>2026206550343</v>
      </c>
      <c r="G163" s="181">
        <v>40</v>
      </c>
      <c r="H163" s="181">
        <v>45</v>
      </c>
      <c r="I163" s="181" t="s">
        <v>460</v>
      </c>
      <c r="J163" s="181" t="s">
        <v>1967</v>
      </c>
      <c r="K163" s="181" t="s">
        <v>1874</v>
      </c>
      <c r="L163" s="181" t="s">
        <v>17</v>
      </c>
      <c r="M163" s="181">
        <v>19</v>
      </c>
      <c r="N163" s="181" t="s">
        <v>462</v>
      </c>
      <c r="O163" s="181" t="s">
        <v>606</v>
      </c>
      <c r="P163" s="181" t="s">
        <v>1968</v>
      </c>
      <c r="Q163" s="181" t="s">
        <v>465</v>
      </c>
      <c r="R163" s="181" t="s">
        <v>466</v>
      </c>
      <c r="S163" s="181" t="s">
        <v>1969</v>
      </c>
      <c r="T163" s="181">
        <v>174661</v>
      </c>
      <c r="U163" s="182">
        <v>46252.895138888889</v>
      </c>
      <c r="V163" s="181" t="s">
        <v>469</v>
      </c>
      <c r="W163" s="181" t="s">
        <v>568</v>
      </c>
      <c r="X163" s="181" t="s">
        <v>471</v>
      </c>
      <c r="Y163" s="181" t="s">
        <v>1724</v>
      </c>
      <c r="Z163" s="181" t="s">
        <v>544</v>
      </c>
      <c r="AA163" s="181" t="s">
        <v>474</v>
      </c>
      <c r="AB163" s="181" t="s">
        <v>1970</v>
      </c>
      <c r="AC163" s="181" t="s">
        <v>592</v>
      </c>
      <c r="AD163" s="181">
        <v>264149359</v>
      </c>
      <c r="AE163" s="181">
        <v>1215179304</v>
      </c>
      <c r="AF163" s="181">
        <v>1912343336</v>
      </c>
      <c r="AG163" s="181"/>
      <c r="AH163" s="181" t="s">
        <v>1076</v>
      </c>
      <c r="AI163" s="181" t="s">
        <v>93</v>
      </c>
      <c r="AJ163" s="181" t="s">
        <v>481</v>
      </c>
      <c r="AK163" s="181" t="s">
        <v>1971</v>
      </c>
      <c r="AL163" s="181">
        <v>376</v>
      </c>
      <c r="AM163" s="181"/>
      <c r="AN163" s="181"/>
      <c r="AO163" s="181">
        <v>958</v>
      </c>
      <c r="AP163" s="181" t="s">
        <v>485</v>
      </c>
      <c r="AQ163" s="181" t="s">
        <v>1972</v>
      </c>
      <c r="AR163" s="183">
        <v>46253</v>
      </c>
      <c r="AS163" s="181" t="s">
        <v>93</v>
      </c>
      <c r="AT163" s="181" t="s">
        <v>1880</v>
      </c>
      <c r="AU163" s="181"/>
      <c r="AV163" s="181" t="s">
        <v>1973</v>
      </c>
      <c r="AW163" s="181"/>
      <c r="AX163" s="181"/>
      <c r="AY163" s="181"/>
      <c r="AZ163" s="181"/>
      <c r="BA163" s="181"/>
      <c r="BB163" s="181"/>
      <c r="BC163" s="181"/>
      <c r="BD163" s="181" t="s">
        <v>93</v>
      </c>
      <c r="BE163" s="181">
        <v>44</v>
      </c>
      <c r="BF163" s="181"/>
      <c r="BG163" s="181"/>
      <c r="BH163" s="181" t="s">
        <v>491</v>
      </c>
      <c r="BI163" s="181">
        <v>508175261</v>
      </c>
      <c r="BJ163" s="181"/>
      <c r="BK163" s="181"/>
      <c r="BL163" s="181"/>
      <c r="BM163" s="181"/>
      <c r="BN163" s="181"/>
      <c r="BO163" s="181"/>
      <c r="BP163" s="181"/>
      <c r="BQ163" s="181"/>
      <c r="BR163" s="181"/>
      <c r="BS163" s="181"/>
      <c r="BT163" s="181"/>
      <c r="BU163" s="181"/>
      <c r="BV163" s="181"/>
      <c r="BW163" s="181"/>
      <c r="BX163" s="181"/>
      <c r="BY163" s="181"/>
      <c r="BZ163" s="181"/>
      <c r="CA163" s="190">
        <v>46285.666666666701</v>
      </c>
      <c r="CB163" s="3"/>
      <c r="CC163" s="16"/>
      <c r="CD163" s="16"/>
      <c r="CE163" s="16"/>
      <c r="CF163" s="16"/>
      <c r="CG163" s="16"/>
      <c r="CH163" s="16"/>
      <c r="CI163" s="16" t="s">
        <v>1974</v>
      </c>
    </row>
    <row r="164" spans="1:87">
      <c r="A164" s="16"/>
      <c r="B164" s="16"/>
      <c r="C164" s="3">
        <v>46272</v>
      </c>
      <c r="D164" s="26" t="s">
        <v>14</v>
      </c>
      <c r="E164" s="180" t="s">
        <v>1975</v>
      </c>
      <c r="F164" s="181">
        <v>2026207050040</v>
      </c>
      <c r="G164" s="181">
        <v>40</v>
      </c>
      <c r="H164" s="181">
        <v>43</v>
      </c>
      <c r="I164" s="181" t="s">
        <v>460</v>
      </c>
      <c r="J164" s="181" t="s">
        <v>1975</v>
      </c>
      <c r="K164" s="181" t="s">
        <v>1512</v>
      </c>
      <c r="L164" s="181" t="s">
        <v>17</v>
      </c>
      <c r="M164" s="181">
        <v>19</v>
      </c>
      <c r="N164" s="181" t="s">
        <v>462</v>
      </c>
      <c r="O164" s="181" t="s">
        <v>606</v>
      </c>
      <c r="P164" s="181" t="s">
        <v>1976</v>
      </c>
      <c r="Q164" s="181" t="s">
        <v>465</v>
      </c>
      <c r="R164" s="181" t="s">
        <v>466</v>
      </c>
      <c r="S164" s="181" t="s">
        <v>1977</v>
      </c>
      <c r="T164" s="181">
        <v>174656</v>
      </c>
      <c r="U164" s="182">
        <v>46252.895833333336</v>
      </c>
      <c r="V164" s="181" t="s">
        <v>469</v>
      </c>
      <c r="W164" s="181" t="s">
        <v>568</v>
      </c>
      <c r="X164" s="181" t="s">
        <v>471</v>
      </c>
      <c r="Y164" s="181" t="s">
        <v>1724</v>
      </c>
      <c r="Z164" s="181" t="s">
        <v>544</v>
      </c>
      <c r="AA164" s="181" t="s">
        <v>474</v>
      </c>
      <c r="AB164" s="181" t="s">
        <v>1978</v>
      </c>
      <c r="AC164" s="181" t="s">
        <v>546</v>
      </c>
      <c r="AD164" s="181">
        <v>273818647</v>
      </c>
      <c r="AE164" s="181">
        <v>1275992240</v>
      </c>
      <c r="AF164" s="181">
        <v>1720285166</v>
      </c>
      <c r="AG164" s="181"/>
      <c r="AH164" s="181"/>
      <c r="AI164" s="181" t="s">
        <v>149</v>
      </c>
      <c r="AJ164" s="181" t="s">
        <v>481</v>
      </c>
      <c r="AK164" s="181" t="s">
        <v>1979</v>
      </c>
      <c r="AL164" s="181">
        <v>8017</v>
      </c>
      <c r="AM164" s="181"/>
      <c r="AN164" s="181"/>
      <c r="AO164" s="181">
        <v>793</v>
      </c>
      <c r="AP164" s="181" t="s">
        <v>485</v>
      </c>
      <c r="AQ164" s="181" t="s">
        <v>1980</v>
      </c>
      <c r="AR164" s="183">
        <v>46253</v>
      </c>
      <c r="AS164" s="181" t="s">
        <v>149</v>
      </c>
      <c r="AT164" s="181" t="s">
        <v>1518</v>
      </c>
      <c r="AU164" s="181"/>
      <c r="AV164" s="181" t="s">
        <v>1698</v>
      </c>
      <c r="AW164" s="181"/>
      <c r="AX164" s="181"/>
      <c r="AY164" s="181"/>
      <c r="AZ164" s="181"/>
      <c r="BA164" s="181"/>
      <c r="BB164" s="181"/>
      <c r="BC164" s="181"/>
      <c r="BD164" s="181" t="s">
        <v>149</v>
      </c>
      <c r="BE164" s="181">
        <v>43</v>
      </c>
      <c r="BF164" s="181"/>
      <c r="BG164" s="181"/>
      <c r="BH164" s="181" t="s">
        <v>491</v>
      </c>
      <c r="BI164" s="181">
        <v>250337085</v>
      </c>
      <c r="BJ164" s="181"/>
      <c r="BK164" s="181"/>
      <c r="BL164" s="181"/>
      <c r="BM164" s="181"/>
      <c r="BN164" s="181"/>
      <c r="BO164" s="181"/>
      <c r="BP164" s="181"/>
      <c r="BQ164" s="181"/>
      <c r="BR164" s="181"/>
      <c r="BS164" s="181"/>
      <c r="BT164" s="181"/>
      <c r="BU164" s="181"/>
      <c r="BV164" s="181"/>
      <c r="BW164" s="181"/>
      <c r="BX164" s="181"/>
      <c r="BY164" s="181"/>
      <c r="BZ164" s="181"/>
      <c r="CA164" s="190"/>
      <c r="CB164" s="3"/>
      <c r="CC164" s="16"/>
      <c r="CD164" s="16"/>
      <c r="CE164" s="16"/>
      <c r="CF164" s="16"/>
      <c r="CG164" s="16"/>
      <c r="CH164" s="16"/>
      <c r="CI164" s="16" t="s">
        <v>1981</v>
      </c>
    </row>
    <row r="165" spans="1:87">
      <c r="A165" s="16"/>
      <c r="B165" s="16"/>
      <c r="C165" s="3">
        <v>46272</v>
      </c>
      <c r="D165" s="26" t="s">
        <v>14</v>
      </c>
      <c r="E165" s="180" t="s">
        <v>1982</v>
      </c>
      <c r="F165" s="181">
        <v>2026213360285</v>
      </c>
      <c r="G165" s="181">
        <v>40</v>
      </c>
      <c r="H165" s="181">
        <v>37</v>
      </c>
      <c r="I165" s="181" t="s">
        <v>460</v>
      </c>
      <c r="J165" s="181" t="s">
        <v>1982</v>
      </c>
      <c r="K165" s="181" t="s">
        <v>691</v>
      </c>
      <c r="L165" s="181" t="s">
        <v>13</v>
      </c>
      <c r="M165" s="181">
        <v>13</v>
      </c>
      <c r="N165" s="181" t="s">
        <v>462</v>
      </c>
      <c r="O165" s="181" t="s">
        <v>606</v>
      </c>
      <c r="P165" s="181" t="s">
        <v>1983</v>
      </c>
      <c r="Q165" s="181" t="s">
        <v>465</v>
      </c>
      <c r="R165" s="181" t="s">
        <v>466</v>
      </c>
      <c r="S165" s="181" t="s">
        <v>1984</v>
      </c>
      <c r="T165" s="181">
        <v>174577</v>
      </c>
      <c r="U165" s="182">
        <v>46258.973611111112</v>
      </c>
      <c r="V165" s="181" t="s">
        <v>469</v>
      </c>
      <c r="W165" s="181" t="s">
        <v>568</v>
      </c>
      <c r="X165" s="181" t="s">
        <v>471</v>
      </c>
      <c r="Y165" s="181" t="s">
        <v>1985</v>
      </c>
      <c r="Z165" s="181" t="s">
        <v>544</v>
      </c>
      <c r="AA165" s="181" t="s">
        <v>474</v>
      </c>
      <c r="AB165" s="181" t="s">
        <v>1986</v>
      </c>
      <c r="AC165" s="181" t="s">
        <v>572</v>
      </c>
      <c r="AD165" s="181">
        <v>421672810</v>
      </c>
      <c r="AE165" s="181">
        <v>1902844988</v>
      </c>
      <c r="AF165" s="181"/>
      <c r="AG165" s="181"/>
      <c r="AH165" s="181"/>
      <c r="AI165" s="181" t="s">
        <v>128</v>
      </c>
      <c r="AJ165" s="181" t="s">
        <v>481</v>
      </c>
      <c r="AK165" s="181" t="s">
        <v>1987</v>
      </c>
      <c r="AL165" s="181">
        <v>90281.23</v>
      </c>
      <c r="AM165" s="181"/>
      <c r="AN165" s="181"/>
      <c r="AO165" s="181">
        <v>834</v>
      </c>
      <c r="AP165" s="181" t="s">
        <v>485</v>
      </c>
      <c r="AQ165" s="181" t="s">
        <v>1988</v>
      </c>
      <c r="AR165" s="183">
        <v>46259</v>
      </c>
      <c r="AS165" s="181" t="s">
        <v>128</v>
      </c>
      <c r="AT165" s="181" t="s">
        <v>695</v>
      </c>
      <c r="AU165" s="181"/>
      <c r="AV165" s="181" t="s">
        <v>1989</v>
      </c>
      <c r="AW165" s="181"/>
      <c r="AX165" s="181"/>
      <c r="AY165" s="181"/>
      <c r="AZ165" s="181"/>
      <c r="BA165" s="181"/>
      <c r="BB165" s="181"/>
      <c r="BC165" s="181"/>
      <c r="BD165" s="181" t="s">
        <v>128</v>
      </c>
      <c r="BE165" s="181">
        <v>37</v>
      </c>
      <c r="BF165" s="181"/>
      <c r="BG165" s="181"/>
      <c r="BH165" s="181" t="s">
        <v>491</v>
      </c>
      <c r="BI165" s="181">
        <v>614166714</v>
      </c>
      <c r="BJ165" s="181"/>
      <c r="BK165" s="181"/>
      <c r="BL165" s="181"/>
      <c r="BM165" s="181"/>
      <c r="BN165" s="181"/>
      <c r="BO165" s="181"/>
      <c r="BP165" s="181"/>
      <c r="BQ165" s="181"/>
      <c r="BR165" s="181"/>
      <c r="BS165" s="181"/>
      <c r="BT165" s="181"/>
      <c r="BU165" s="181"/>
      <c r="BV165" s="181"/>
      <c r="BW165" s="181"/>
      <c r="BX165" s="181"/>
      <c r="BY165" s="181"/>
      <c r="BZ165" s="181"/>
      <c r="CA165" s="190"/>
      <c r="CB165" s="3"/>
      <c r="CC165" s="16"/>
      <c r="CD165" s="16"/>
      <c r="CE165" s="16"/>
      <c r="CF165" s="16"/>
      <c r="CG165" s="16"/>
      <c r="CH165" s="16"/>
      <c r="CI165" s="16" t="s">
        <v>1990</v>
      </c>
    </row>
    <row r="166" spans="1:87">
      <c r="A166" s="16"/>
      <c r="B166" s="16"/>
      <c r="C166" s="3">
        <v>46272</v>
      </c>
      <c r="D166" s="26" t="s">
        <v>14</v>
      </c>
      <c r="E166" s="180" t="s">
        <v>1991</v>
      </c>
      <c r="F166" s="181">
        <v>2026217550479</v>
      </c>
      <c r="G166" s="181">
        <v>40</v>
      </c>
      <c r="H166" s="181">
        <v>33</v>
      </c>
      <c r="I166" s="181" t="s">
        <v>460</v>
      </c>
      <c r="J166" s="181" t="s">
        <v>1991</v>
      </c>
      <c r="K166" s="181" t="s">
        <v>540</v>
      </c>
      <c r="L166" s="181" t="s">
        <v>18</v>
      </c>
      <c r="M166" s="181">
        <v>7</v>
      </c>
      <c r="N166" s="181" t="s">
        <v>462</v>
      </c>
      <c r="O166" s="181" t="s">
        <v>606</v>
      </c>
      <c r="P166" s="181" t="s">
        <v>1992</v>
      </c>
      <c r="Q166" s="181" t="s">
        <v>465</v>
      </c>
      <c r="R166" s="181" t="s">
        <v>466</v>
      </c>
      <c r="S166" s="181" t="s">
        <v>1993</v>
      </c>
      <c r="T166" s="181">
        <v>174570</v>
      </c>
      <c r="U166" s="182">
        <v>46264.952777777777</v>
      </c>
      <c r="V166" s="181" t="s">
        <v>469</v>
      </c>
      <c r="W166" s="181" t="s">
        <v>568</v>
      </c>
      <c r="X166" s="181" t="s">
        <v>471</v>
      </c>
      <c r="Y166" s="181" t="s">
        <v>1724</v>
      </c>
      <c r="Z166" s="181" t="s">
        <v>544</v>
      </c>
      <c r="AA166" s="181" t="s">
        <v>474</v>
      </c>
      <c r="AB166" s="181" t="s">
        <v>1994</v>
      </c>
      <c r="AC166" s="181" t="s">
        <v>476</v>
      </c>
      <c r="AD166" s="181">
        <v>390816848</v>
      </c>
      <c r="AE166" s="181">
        <v>1598718603</v>
      </c>
      <c r="AF166" s="181">
        <v>1649278870</v>
      </c>
      <c r="AG166" s="181"/>
      <c r="AH166" s="181"/>
      <c r="AI166" s="181" t="s">
        <v>31</v>
      </c>
      <c r="AJ166" s="181" t="s">
        <v>481</v>
      </c>
      <c r="AK166" s="181" t="s">
        <v>1995</v>
      </c>
      <c r="AL166" s="181">
        <v>37499.08</v>
      </c>
      <c r="AM166" s="181"/>
      <c r="AN166" s="181"/>
      <c r="AO166" s="181">
        <v>786</v>
      </c>
      <c r="AP166" s="181" t="s">
        <v>485</v>
      </c>
      <c r="AQ166" s="181" t="s">
        <v>1996</v>
      </c>
      <c r="AR166" s="183">
        <v>46265</v>
      </c>
      <c r="AS166" s="181" t="s">
        <v>31</v>
      </c>
      <c r="AT166" s="181" t="s">
        <v>516</v>
      </c>
      <c r="AU166" s="181"/>
      <c r="AV166" s="181" t="s">
        <v>1997</v>
      </c>
      <c r="AW166" s="181"/>
      <c r="AX166" s="181"/>
      <c r="AY166" s="181"/>
      <c r="AZ166" s="181"/>
      <c r="BA166" s="181"/>
      <c r="BB166" s="181"/>
      <c r="BC166" s="181"/>
      <c r="BD166" s="181" t="s">
        <v>31</v>
      </c>
      <c r="BE166" s="181">
        <v>33</v>
      </c>
      <c r="BF166" s="181"/>
      <c r="BG166" s="181"/>
      <c r="BH166" s="181" t="s">
        <v>491</v>
      </c>
      <c r="BI166" s="181">
        <v>557613542</v>
      </c>
      <c r="BJ166" s="181"/>
      <c r="BK166" s="181"/>
      <c r="BL166" s="181"/>
      <c r="BM166" s="181"/>
      <c r="BN166" s="181"/>
      <c r="BO166" s="181"/>
      <c r="BP166" s="181"/>
      <c r="BQ166" s="181"/>
      <c r="BR166" s="181"/>
      <c r="BS166" s="181"/>
      <c r="BT166" s="181"/>
      <c r="BU166" s="181"/>
      <c r="BV166" s="181"/>
      <c r="BW166" s="181"/>
      <c r="BX166" s="181"/>
      <c r="BY166" s="181"/>
      <c r="BZ166" s="181"/>
      <c r="CA166" s="190"/>
      <c r="CB166" s="3"/>
      <c r="CC166" s="16"/>
      <c r="CD166" s="16"/>
      <c r="CE166" s="16"/>
      <c r="CF166" s="16"/>
      <c r="CG166" s="16"/>
      <c r="CH166" s="16"/>
      <c r="CI166" s="16" t="s">
        <v>1998</v>
      </c>
    </row>
    <row r="167" spans="1:87">
      <c r="A167" s="16" t="s">
        <v>5</v>
      </c>
      <c r="B167" s="16" t="s">
        <v>1999</v>
      </c>
      <c r="C167" s="3">
        <v>46272</v>
      </c>
      <c r="D167" s="26" t="s">
        <v>14</v>
      </c>
      <c r="E167" s="180" t="s">
        <v>2000</v>
      </c>
      <c r="F167" s="181">
        <v>2026210090213</v>
      </c>
      <c r="G167" s="181">
        <v>40</v>
      </c>
      <c r="H167" s="181">
        <v>40</v>
      </c>
      <c r="I167" s="181" t="s">
        <v>460</v>
      </c>
      <c r="J167" s="181" t="s">
        <v>2000</v>
      </c>
      <c r="K167" s="181" t="s">
        <v>1824</v>
      </c>
      <c r="L167" s="181" t="s">
        <v>17</v>
      </c>
      <c r="M167" s="181">
        <v>17</v>
      </c>
      <c r="N167" s="181" t="s">
        <v>462</v>
      </c>
      <c r="O167" s="181" t="s">
        <v>606</v>
      </c>
      <c r="P167" s="181" t="s">
        <v>2001</v>
      </c>
      <c r="Q167" s="181" t="s">
        <v>465</v>
      </c>
      <c r="R167" s="181" t="s">
        <v>466</v>
      </c>
      <c r="S167" s="181" t="s">
        <v>2002</v>
      </c>
      <c r="T167" s="181">
        <v>174566</v>
      </c>
      <c r="U167" s="182">
        <v>46254.967361111114</v>
      </c>
      <c r="V167" s="181" t="s">
        <v>469</v>
      </c>
      <c r="W167" s="181" t="s">
        <v>568</v>
      </c>
      <c r="X167" s="181" t="s">
        <v>471</v>
      </c>
      <c r="Y167" s="181" t="s">
        <v>1724</v>
      </c>
      <c r="Z167" s="181" t="s">
        <v>544</v>
      </c>
      <c r="AA167" s="181" t="s">
        <v>474</v>
      </c>
      <c r="AB167" s="181" t="s">
        <v>2003</v>
      </c>
      <c r="AC167" s="181" t="s">
        <v>476</v>
      </c>
      <c r="AD167" s="181">
        <v>390813418</v>
      </c>
      <c r="AE167" s="181">
        <v>1235588831</v>
      </c>
      <c r="AF167" s="181">
        <v>1275838146</v>
      </c>
      <c r="AG167" s="181"/>
      <c r="AH167" s="181" t="s">
        <v>1076</v>
      </c>
      <c r="AI167" s="181" t="s">
        <v>247</v>
      </c>
      <c r="AJ167" s="181" t="s">
        <v>481</v>
      </c>
      <c r="AK167" s="181" t="s">
        <v>2004</v>
      </c>
      <c r="AL167" s="181">
        <v>31040</v>
      </c>
      <c r="AM167" s="181"/>
      <c r="AN167" s="181"/>
      <c r="AO167" s="181">
        <v>177</v>
      </c>
      <c r="AP167" s="181" t="s">
        <v>485</v>
      </c>
      <c r="AQ167" s="181" t="s">
        <v>2005</v>
      </c>
      <c r="AR167" s="183">
        <v>46255</v>
      </c>
      <c r="AS167" s="181" t="s">
        <v>247</v>
      </c>
      <c r="AT167" s="181" t="s">
        <v>1831</v>
      </c>
      <c r="AU167" s="181"/>
      <c r="AV167" s="181" t="s">
        <v>2006</v>
      </c>
      <c r="AW167" s="181"/>
      <c r="AX167" s="181"/>
      <c r="AY167" s="181"/>
      <c r="AZ167" s="181"/>
      <c r="BA167" s="181"/>
      <c r="BB167" s="181"/>
      <c r="BC167" s="181"/>
      <c r="BD167" s="181" t="s">
        <v>247</v>
      </c>
      <c r="BE167" s="181">
        <v>40</v>
      </c>
      <c r="BF167" s="181"/>
      <c r="BG167" s="181"/>
      <c r="BH167" s="181" t="s">
        <v>491</v>
      </c>
      <c r="BI167" s="181">
        <v>434314795</v>
      </c>
      <c r="BJ167" s="181"/>
      <c r="BK167" s="181"/>
      <c r="BL167" s="181"/>
      <c r="BM167" s="181"/>
      <c r="BN167" s="181"/>
      <c r="BO167" s="181"/>
      <c r="BP167" s="181"/>
      <c r="BQ167" s="181"/>
      <c r="BR167" s="181"/>
      <c r="BS167" s="181"/>
      <c r="BT167" s="181"/>
      <c r="BU167" s="181"/>
      <c r="BV167" s="181"/>
      <c r="BW167" s="181"/>
      <c r="BX167" s="181"/>
      <c r="BY167" s="181"/>
      <c r="BZ167" s="181"/>
      <c r="CA167" s="190">
        <v>46285.666666666701</v>
      </c>
      <c r="CB167" s="3"/>
      <c r="CC167" s="16"/>
      <c r="CD167" s="16"/>
      <c r="CE167" s="16"/>
      <c r="CF167" s="16"/>
      <c r="CG167" s="16"/>
      <c r="CH167" s="16"/>
      <c r="CI167" s="16" t="s">
        <v>2007</v>
      </c>
    </row>
    <row r="168" spans="1:87">
      <c r="A168" s="16" t="s">
        <v>5</v>
      </c>
      <c r="B168" s="16" t="s">
        <v>1999</v>
      </c>
      <c r="C168" s="3">
        <v>46272</v>
      </c>
      <c r="D168" s="26" t="s">
        <v>14</v>
      </c>
      <c r="E168" s="180" t="s">
        <v>2008</v>
      </c>
      <c r="F168" s="181">
        <v>2026212370234</v>
      </c>
      <c r="G168" s="181">
        <v>40</v>
      </c>
      <c r="H168" s="181">
        <v>38</v>
      </c>
      <c r="I168" s="181" t="s">
        <v>460</v>
      </c>
      <c r="J168" s="181" t="s">
        <v>2008</v>
      </c>
      <c r="K168" s="181" t="s">
        <v>1824</v>
      </c>
      <c r="L168" s="181" t="s">
        <v>17</v>
      </c>
      <c r="M168" s="181">
        <v>13</v>
      </c>
      <c r="N168" s="181" t="s">
        <v>462</v>
      </c>
      <c r="O168" s="181" t="s">
        <v>606</v>
      </c>
      <c r="P168" s="181" t="s">
        <v>2009</v>
      </c>
      <c r="Q168" s="181" t="s">
        <v>465</v>
      </c>
      <c r="R168" s="181" t="s">
        <v>466</v>
      </c>
      <c r="S168" s="181" t="s">
        <v>2010</v>
      </c>
      <c r="T168" s="181">
        <v>174565</v>
      </c>
      <c r="U168" s="182">
        <v>46258.738194444442</v>
      </c>
      <c r="V168" s="181" t="s">
        <v>469</v>
      </c>
      <c r="W168" s="181" t="s">
        <v>568</v>
      </c>
      <c r="X168" s="181" t="s">
        <v>471</v>
      </c>
      <c r="Y168" s="181" t="s">
        <v>1724</v>
      </c>
      <c r="Z168" s="181" t="s">
        <v>544</v>
      </c>
      <c r="AA168" s="181" t="s">
        <v>474</v>
      </c>
      <c r="AB168" s="181" t="s">
        <v>2011</v>
      </c>
      <c r="AC168" s="181" t="s">
        <v>476</v>
      </c>
      <c r="AD168" s="181">
        <v>391990012</v>
      </c>
      <c r="AE168" s="181">
        <v>1942970405</v>
      </c>
      <c r="AF168" s="181">
        <v>1952545014</v>
      </c>
      <c r="AG168" s="181"/>
      <c r="AH168" s="181" t="s">
        <v>1076</v>
      </c>
      <c r="AI168" s="181" t="s">
        <v>247</v>
      </c>
      <c r="AJ168" s="181" t="s">
        <v>481</v>
      </c>
      <c r="AK168" s="181" t="s">
        <v>2012</v>
      </c>
      <c r="AL168" s="181">
        <v>23606</v>
      </c>
      <c r="AM168" s="181"/>
      <c r="AN168" s="181"/>
      <c r="AO168" s="181">
        <v>307</v>
      </c>
      <c r="AP168" s="181" t="s">
        <v>485</v>
      </c>
      <c r="AQ168" s="181" t="s">
        <v>2013</v>
      </c>
      <c r="AR168" s="183">
        <v>46259</v>
      </c>
      <c r="AS168" s="181" t="s">
        <v>247</v>
      </c>
      <c r="AT168" s="181" t="s">
        <v>1831</v>
      </c>
      <c r="AU168" s="181"/>
      <c r="AV168" s="181" t="s">
        <v>2014</v>
      </c>
      <c r="AW168" s="181"/>
      <c r="AX168" s="181"/>
      <c r="AY168" s="181"/>
      <c r="AZ168" s="181"/>
      <c r="BA168" s="181"/>
      <c r="BB168" s="181"/>
      <c r="BC168" s="181"/>
      <c r="BD168" s="181" t="s">
        <v>247</v>
      </c>
      <c r="BE168" s="181">
        <v>38</v>
      </c>
      <c r="BF168" s="181"/>
      <c r="BG168" s="181"/>
      <c r="BH168" s="181" t="s">
        <v>491</v>
      </c>
      <c r="BI168" s="181">
        <v>302664047</v>
      </c>
      <c r="BJ168" s="181"/>
      <c r="BK168" s="181"/>
      <c r="BL168" s="181"/>
      <c r="BM168" s="181"/>
      <c r="BN168" s="181"/>
      <c r="BO168" s="181"/>
      <c r="BP168" s="181"/>
      <c r="BQ168" s="181"/>
      <c r="BR168" s="181"/>
      <c r="BS168" s="181"/>
      <c r="BT168" s="181"/>
      <c r="BU168" s="181"/>
      <c r="BV168" s="181"/>
      <c r="BW168" s="181"/>
      <c r="BX168" s="181"/>
      <c r="BY168" s="181"/>
      <c r="BZ168" s="181"/>
      <c r="CA168" s="190">
        <v>46285.666666666701</v>
      </c>
      <c r="CB168" s="3"/>
      <c r="CC168" s="16"/>
      <c r="CD168" s="16"/>
      <c r="CE168" s="16"/>
      <c r="CF168" s="16"/>
      <c r="CG168" s="16"/>
      <c r="CH168" s="16"/>
      <c r="CI168" s="16" t="s">
        <v>2015</v>
      </c>
    </row>
    <row r="169" spans="1:87" ht="29.25">
      <c r="A169" s="16" t="s">
        <v>5</v>
      </c>
      <c r="B169" s="25" t="s">
        <v>672</v>
      </c>
      <c r="C169" s="3">
        <v>46272</v>
      </c>
      <c r="D169" s="26" t="s">
        <v>14</v>
      </c>
      <c r="E169" s="180" t="s">
        <v>2016</v>
      </c>
      <c r="F169" s="181">
        <v>2026218320138</v>
      </c>
      <c r="G169" s="181">
        <v>40</v>
      </c>
      <c r="H169" s="181">
        <v>33</v>
      </c>
      <c r="I169" s="181" t="s">
        <v>460</v>
      </c>
      <c r="J169" s="181" t="s">
        <v>2016</v>
      </c>
      <c r="K169" s="181" t="s">
        <v>674</v>
      </c>
      <c r="L169" s="181" t="s">
        <v>16</v>
      </c>
      <c r="M169" s="181">
        <v>8</v>
      </c>
      <c r="N169" s="181" t="s">
        <v>462</v>
      </c>
      <c r="O169" s="181" t="s">
        <v>606</v>
      </c>
      <c r="P169" s="181" t="s">
        <v>2017</v>
      </c>
      <c r="Q169" s="181" t="s">
        <v>465</v>
      </c>
      <c r="R169" s="181" t="s">
        <v>466</v>
      </c>
      <c r="S169" s="181" t="s">
        <v>2018</v>
      </c>
      <c r="T169" s="181">
        <v>174506</v>
      </c>
      <c r="U169" s="182">
        <v>46264.395138888889</v>
      </c>
      <c r="V169" s="181" t="s">
        <v>469</v>
      </c>
      <c r="W169" s="181" t="s">
        <v>568</v>
      </c>
      <c r="X169" s="181" t="s">
        <v>471</v>
      </c>
      <c r="Y169" s="181" t="s">
        <v>1724</v>
      </c>
      <c r="Z169" s="181" t="s">
        <v>544</v>
      </c>
      <c r="AA169" s="181" t="s">
        <v>474</v>
      </c>
      <c r="AB169" s="181" t="s">
        <v>2019</v>
      </c>
      <c r="AC169" s="181" t="s">
        <v>546</v>
      </c>
      <c r="AD169" s="181">
        <v>582453303</v>
      </c>
      <c r="AE169" s="181">
        <v>1851388748</v>
      </c>
      <c r="AF169" s="181"/>
      <c r="AG169" s="181"/>
      <c r="AH169" s="181"/>
      <c r="AI169" s="181" t="s">
        <v>54</v>
      </c>
      <c r="AJ169" s="181" t="s">
        <v>481</v>
      </c>
      <c r="AK169" s="181" t="s">
        <v>2020</v>
      </c>
      <c r="AL169" s="181">
        <v>13631.88</v>
      </c>
      <c r="AM169" s="181"/>
      <c r="AN169" s="181"/>
      <c r="AO169" s="181">
        <v>403</v>
      </c>
      <c r="AP169" s="181" t="s">
        <v>485</v>
      </c>
      <c r="AQ169" s="181" t="s">
        <v>2021</v>
      </c>
      <c r="AR169" s="183">
        <v>46264</v>
      </c>
      <c r="AS169" s="181" t="s">
        <v>54</v>
      </c>
      <c r="AT169" s="181" t="s">
        <v>606</v>
      </c>
      <c r="AU169" s="181"/>
      <c r="AV169" s="181" t="s">
        <v>2022</v>
      </c>
      <c r="AW169" s="181"/>
      <c r="AX169" s="181"/>
      <c r="AY169" s="181"/>
      <c r="AZ169" s="181"/>
      <c r="BA169" s="181"/>
      <c r="BB169" s="181"/>
      <c r="BC169" s="181"/>
      <c r="BD169" s="181" t="s">
        <v>54</v>
      </c>
      <c r="BE169" s="181">
        <v>29</v>
      </c>
      <c r="BF169" s="181"/>
      <c r="BG169" s="181"/>
      <c r="BH169" s="181" t="s">
        <v>491</v>
      </c>
      <c r="BI169" s="181">
        <v>260656714</v>
      </c>
      <c r="BJ169" s="181"/>
      <c r="BK169" s="181"/>
      <c r="BL169" s="181"/>
      <c r="BM169" s="181"/>
      <c r="BN169" s="181"/>
      <c r="BO169" s="181"/>
      <c r="BP169" s="181"/>
      <c r="BQ169" s="181"/>
      <c r="BR169" s="181"/>
      <c r="BS169" s="181"/>
      <c r="BT169" s="181"/>
      <c r="BU169" s="181"/>
      <c r="BV169" s="181"/>
      <c r="BW169" s="181"/>
      <c r="BX169" s="181"/>
      <c r="BY169" s="181"/>
      <c r="BZ169" s="181"/>
      <c r="CA169" s="190">
        <v>46281.666666666701</v>
      </c>
      <c r="CB169" s="3"/>
      <c r="CC169" s="16"/>
      <c r="CD169" s="16"/>
      <c r="CE169" s="16"/>
      <c r="CF169" s="16"/>
      <c r="CG169" s="16"/>
      <c r="CH169" s="16"/>
      <c r="CI169" s="16" t="s">
        <v>2023</v>
      </c>
    </row>
    <row r="170" spans="1:87">
      <c r="A170" s="16"/>
      <c r="B170" s="16"/>
      <c r="C170" s="3">
        <v>46272</v>
      </c>
      <c r="D170" s="26" t="s">
        <v>14</v>
      </c>
      <c r="E170" s="180" t="s">
        <v>2024</v>
      </c>
      <c r="F170" s="181">
        <v>2026215680024</v>
      </c>
      <c r="G170" s="181">
        <v>40</v>
      </c>
      <c r="H170" s="181">
        <v>39</v>
      </c>
      <c r="I170" s="181" t="s">
        <v>460</v>
      </c>
      <c r="J170" s="181" t="s">
        <v>2024</v>
      </c>
      <c r="K170" s="181" t="s">
        <v>854</v>
      </c>
      <c r="L170" s="181" t="s">
        <v>18</v>
      </c>
      <c r="M170" s="181">
        <v>13</v>
      </c>
      <c r="N170" s="181" t="s">
        <v>462</v>
      </c>
      <c r="O170" s="181" t="s">
        <v>606</v>
      </c>
      <c r="P170" s="181" t="s">
        <v>2025</v>
      </c>
      <c r="Q170" s="181" t="s">
        <v>465</v>
      </c>
      <c r="R170" s="181" t="s">
        <v>466</v>
      </c>
      <c r="S170" s="181" t="s">
        <v>2026</v>
      </c>
      <c r="T170" s="181">
        <v>174331</v>
      </c>
      <c r="U170" s="182">
        <v>46259.385416666664</v>
      </c>
      <c r="V170" s="181" t="s">
        <v>469</v>
      </c>
      <c r="W170" s="181" t="s">
        <v>568</v>
      </c>
      <c r="X170" s="181" t="s">
        <v>471</v>
      </c>
      <c r="Y170" s="181" t="s">
        <v>1724</v>
      </c>
      <c r="Z170" s="181" t="s">
        <v>570</v>
      </c>
      <c r="AA170" s="181" t="s">
        <v>474</v>
      </c>
      <c r="AB170" s="181" t="s">
        <v>2027</v>
      </c>
      <c r="AC170" s="181" t="s">
        <v>476</v>
      </c>
      <c r="AD170" s="181">
        <v>810977948</v>
      </c>
      <c r="AE170" s="181">
        <v>1093221434</v>
      </c>
      <c r="AF170" s="181">
        <v>1801577242</v>
      </c>
      <c r="AG170" s="181"/>
      <c r="AH170" s="181"/>
      <c r="AI170" s="181" t="s">
        <v>21</v>
      </c>
      <c r="AJ170" s="181" t="s">
        <v>481</v>
      </c>
      <c r="AK170" s="181" t="s">
        <v>2028</v>
      </c>
      <c r="AL170" s="181">
        <v>19782</v>
      </c>
      <c r="AM170" s="181"/>
      <c r="AN170" s="181"/>
      <c r="AO170" s="181">
        <v>791</v>
      </c>
      <c r="AP170" s="181" t="s">
        <v>485</v>
      </c>
      <c r="AQ170" s="181" t="s">
        <v>2029</v>
      </c>
      <c r="AR170" s="183">
        <v>46259</v>
      </c>
      <c r="AS170" s="181" t="s">
        <v>21</v>
      </c>
      <c r="AT170" s="181" t="s">
        <v>859</v>
      </c>
      <c r="AU170" s="181"/>
      <c r="AV170" s="181" t="s">
        <v>2030</v>
      </c>
      <c r="AW170" s="181"/>
      <c r="AX170" s="181"/>
      <c r="AY170" s="181"/>
      <c r="AZ170" s="181"/>
      <c r="BA170" s="181"/>
      <c r="BB170" s="181"/>
      <c r="BC170" s="181"/>
      <c r="BD170" s="181" t="s">
        <v>21</v>
      </c>
      <c r="BE170" s="181">
        <v>35</v>
      </c>
      <c r="BF170" s="181"/>
      <c r="BG170" s="181" t="s">
        <v>490</v>
      </c>
      <c r="BH170" s="181" t="s">
        <v>491</v>
      </c>
      <c r="BI170" s="181">
        <v>514159716</v>
      </c>
      <c r="BJ170" s="181"/>
      <c r="BK170" s="181"/>
      <c r="BL170" s="181"/>
      <c r="BM170" s="181"/>
      <c r="BN170" s="181"/>
      <c r="BO170" s="181"/>
      <c r="BP170" s="181"/>
      <c r="BQ170" s="181"/>
      <c r="BR170" s="181"/>
      <c r="BS170" s="181"/>
      <c r="BT170" s="181"/>
      <c r="BU170" s="181"/>
      <c r="BV170" s="181"/>
      <c r="BW170" s="181"/>
      <c r="BX170" s="181"/>
      <c r="BY170" s="181"/>
      <c r="BZ170" s="181"/>
      <c r="CA170" s="190"/>
      <c r="CB170" s="3"/>
      <c r="CC170" s="16"/>
      <c r="CD170" s="16"/>
      <c r="CE170" s="16"/>
      <c r="CF170" s="16"/>
      <c r="CG170" s="16"/>
      <c r="CH170" s="16"/>
      <c r="CI170" s="16" t="s">
        <v>2031</v>
      </c>
    </row>
    <row r="171" spans="1:87">
      <c r="A171" s="16" t="s">
        <v>5</v>
      </c>
      <c r="B171" s="16" t="s">
        <v>516</v>
      </c>
      <c r="C171" s="3">
        <v>46272</v>
      </c>
      <c r="D171" s="26" t="s">
        <v>14</v>
      </c>
      <c r="E171" s="180" t="s">
        <v>2032</v>
      </c>
      <c r="F171" s="181">
        <v>2026209130520</v>
      </c>
      <c r="G171" s="181">
        <v>40</v>
      </c>
      <c r="H171" s="181">
        <v>41</v>
      </c>
      <c r="I171" s="181" t="s">
        <v>460</v>
      </c>
      <c r="J171" s="181" t="s">
        <v>2032</v>
      </c>
      <c r="K171" s="181" t="s">
        <v>700</v>
      </c>
      <c r="L171" s="181" t="s">
        <v>18</v>
      </c>
      <c r="M171" s="181">
        <v>18</v>
      </c>
      <c r="N171" s="181" t="s">
        <v>462</v>
      </c>
      <c r="O171" s="181" t="s">
        <v>606</v>
      </c>
      <c r="P171" s="181" t="s">
        <v>2033</v>
      </c>
      <c r="Q171" s="181" t="s">
        <v>465</v>
      </c>
      <c r="R171" s="181" t="s">
        <v>466</v>
      </c>
      <c r="S171" s="181" t="s">
        <v>2034</v>
      </c>
      <c r="T171" s="181">
        <v>174232</v>
      </c>
      <c r="U171" s="182">
        <v>46254.661805555559</v>
      </c>
      <c r="V171" s="181" t="s">
        <v>469</v>
      </c>
      <c r="W171" s="181" t="s">
        <v>568</v>
      </c>
      <c r="X171" s="181" t="s">
        <v>471</v>
      </c>
      <c r="Y171" s="181" t="s">
        <v>1724</v>
      </c>
      <c r="Z171" s="181" t="s">
        <v>570</v>
      </c>
      <c r="AA171" s="181" t="s">
        <v>474</v>
      </c>
      <c r="AB171" s="181" t="s">
        <v>2035</v>
      </c>
      <c r="AC171" s="181" t="s">
        <v>476</v>
      </c>
      <c r="AD171" s="181">
        <v>390806261</v>
      </c>
      <c r="AE171" s="181">
        <v>1699720086</v>
      </c>
      <c r="AF171" s="181">
        <v>1942435375</v>
      </c>
      <c r="AG171" s="181"/>
      <c r="AH171" s="181"/>
      <c r="AI171" s="181" t="s">
        <v>341</v>
      </c>
      <c r="AJ171" s="181" t="s">
        <v>481</v>
      </c>
      <c r="AK171" s="181" t="s">
        <v>2036</v>
      </c>
      <c r="AL171" s="181">
        <v>35156</v>
      </c>
      <c r="AM171" s="181"/>
      <c r="AN171" s="181"/>
      <c r="AO171" s="181">
        <v>543</v>
      </c>
      <c r="AP171" s="181" t="s">
        <v>485</v>
      </c>
      <c r="AQ171" s="181" t="s">
        <v>2037</v>
      </c>
      <c r="AR171" s="183">
        <v>46254</v>
      </c>
      <c r="AS171" s="181" t="s">
        <v>341</v>
      </c>
      <c r="AT171" s="181" t="s">
        <v>716</v>
      </c>
      <c r="AU171" s="181"/>
      <c r="AV171" s="181" t="s">
        <v>2038</v>
      </c>
      <c r="AW171" s="181"/>
      <c r="AX171" s="181"/>
      <c r="AY171" s="181"/>
      <c r="AZ171" s="181"/>
      <c r="BA171" s="181"/>
      <c r="BB171" s="181"/>
      <c r="BC171" s="181"/>
      <c r="BD171" s="181" t="s">
        <v>341</v>
      </c>
      <c r="BE171" s="181">
        <v>41</v>
      </c>
      <c r="BF171" s="181"/>
      <c r="BG171" s="181"/>
      <c r="BH171" s="181" t="s">
        <v>491</v>
      </c>
      <c r="BI171" s="181">
        <v>393082503</v>
      </c>
      <c r="BJ171" s="181"/>
      <c r="BK171" s="181"/>
      <c r="BL171" s="181"/>
      <c r="BM171" s="181"/>
      <c r="BN171" s="181"/>
      <c r="BO171" s="181"/>
      <c r="BP171" s="181"/>
      <c r="BQ171" s="181"/>
      <c r="BR171" s="181"/>
      <c r="BS171" s="181"/>
      <c r="BT171" s="181"/>
      <c r="BU171" s="181"/>
      <c r="BV171" s="181"/>
      <c r="BW171" s="181"/>
      <c r="BX171" s="181"/>
      <c r="BY171" s="181"/>
      <c r="BZ171" s="181"/>
      <c r="CA171" s="190">
        <v>46275.666666666701</v>
      </c>
      <c r="CB171" s="3"/>
      <c r="CC171" s="16"/>
      <c r="CD171" s="16"/>
      <c r="CE171" s="16"/>
      <c r="CF171" s="16"/>
      <c r="CG171" s="16"/>
      <c r="CH171" s="16"/>
      <c r="CI171" s="16" t="s">
        <v>2039</v>
      </c>
    </row>
    <row r="172" spans="1:87">
      <c r="A172" s="16"/>
      <c r="B172" s="16"/>
      <c r="C172" s="3">
        <v>46272</v>
      </c>
      <c r="D172" s="26" t="s">
        <v>14</v>
      </c>
      <c r="E172" s="180" t="s">
        <v>2040</v>
      </c>
      <c r="F172" s="181">
        <v>2026211640310</v>
      </c>
      <c r="G172" s="181">
        <v>40</v>
      </c>
      <c r="H172" s="181">
        <v>39</v>
      </c>
      <c r="I172" s="181" t="s">
        <v>460</v>
      </c>
      <c r="J172" s="181" t="s">
        <v>2040</v>
      </c>
      <c r="K172" s="181" t="s">
        <v>895</v>
      </c>
      <c r="L172" s="181" t="s">
        <v>18</v>
      </c>
      <c r="M172" s="181">
        <v>14</v>
      </c>
      <c r="N172" s="181" t="s">
        <v>462</v>
      </c>
      <c r="O172" s="181" t="s">
        <v>606</v>
      </c>
      <c r="P172" s="181" t="s">
        <v>2041</v>
      </c>
      <c r="Q172" s="181" t="s">
        <v>465</v>
      </c>
      <c r="R172" s="181" t="s">
        <v>466</v>
      </c>
      <c r="S172" s="181" t="s">
        <v>2042</v>
      </c>
      <c r="T172" s="181">
        <v>174232</v>
      </c>
      <c r="U172" s="182">
        <v>46257.940972222219</v>
      </c>
      <c r="V172" s="181" t="s">
        <v>469</v>
      </c>
      <c r="W172" s="181" t="s">
        <v>568</v>
      </c>
      <c r="X172" s="181" t="s">
        <v>471</v>
      </c>
      <c r="Y172" s="181" t="s">
        <v>1724</v>
      </c>
      <c r="Z172" s="181" t="s">
        <v>570</v>
      </c>
      <c r="AA172" s="181" t="s">
        <v>474</v>
      </c>
      <c r="AB172" s="181" t="s">
        <v>2043</v>
      </c>
      <c r="AC172" s="181" t="s">
        <v>640</v>
      </c>
      <c r="AD172" s="181">
        <v>155049514</v>
      </c>
      <c r="AE172" s="181">
        <v>1568544237</v>
      </c>
      <c r="AF172" s="181">
        <v>1568544237</v>
      </c>
      <c r="AG172" s="181"/>
      <c r="AH172" s="181"/>
      <c r="AI172" s="181" t="s">
        <v>20</v>
      </c>
      <c r="AJ172" s="181" t="s">
        <v>481</v>
      </c>
      <c r="AK172" s="181" t="s">
        <v>2044</v>
      </c>
      <c r="AL172" s="181">
        <v>570</v>
      </c>
      <c r="AM172" s="181"/>
      <c r="AN172" s="181"/>
      <c r="AO172" s="181">
        <v>742</v>
      </c>
      <c r="AP172" s="181" t="s">
        <v>485</v>
      </c>
      <c r="AQ172" s="181" t="s">
        <v>2045</v>
      </c>
      <c r="AR172" s="183">
        <v>46258</v>
      </c>
      <c r="AS172" s="181" t="s">
        <v>20</v>
      </c>
      <c r="AT172" s="181" t="s">
        <v>938</v>
      </c>
      <c r="AU172" s="181"/>
      <c r="AV172" s="181" t="s">
        <v>2046</v>
      </c>
      <c r="AW172" s="181"/>
      <c r="AX172" s="181"/>
      <c r="AY172" s="181"/>
      <c r="AZ172" s="181"/>
      <c r="BA172" s="181"/>
      <c r="BB172" s="181"/>
      <c r="BC172" s="181"/>
      <c r="BD172" s="181" t="s">
        <v>20</v>
      </c>
      <c r="BE172" s="181">
        <v>39</v>
      </c>
      <c r="BF172" s="181"/>
      <c r="BG172" s="181"/>
      <c r="BH172" s="181" t="s">
        <v>491</v>
      </c>
      <c r="BI172" s="181">
        <v>118707889</v>
      </c>
      <c r="BJ172" s="181"/>
      <c r="BK172" s="181"/>
      <c r="BL172" s="181"/>
      <c r="BM172" s="181"/>
      <c r="BN172" s="181"/>
      <c r="BO172" s="181"/>
      <c r="BP172" s="181"/>
      <c r="BQ172" s="181"/>
      <c r="BR172" s="181"/>
      <c r="BS172" s="181"/>
      <c r="BT172" s="181"/>
      <c r="BU172" s="181"/>
      <c r="BV172" s="181"/>
      <c r="BW172" s="181"/>
      <c r="BX172" s="181"/>
      <c r="BY172" s="181"/>
      <c r="BZ172" s="181"/>
      <c r="CA172" s="190"/>
      <c r="CB172" s="3"/>
      <c r="CC172" s="16"/>
      <c r="CD172" s="16"/>
      <c r="CE172" s="16"/>
      <c r="CF172" s="16"/>
      <c r="CG172" s="16"/>
      <c r="CH172" s="16"/>
      <c r="CI172" s="16" t="s">
        <v>2047</v>
      </c>
    </row>
    <row r="173" spans="1:87">
      <c r="A173" s="16"/>
      <c r="B173" s="16"/>
      <c r="C173" s="3">
        <v>46272</v>
      </c>
      <c r="D173" s="26" t="s">
        <v>14</v>
      </c>
      <c r="E173" s="180" t="s">
        <v>2048</v>
      </c>
      <c r="F173" s="181">
        <v>2026206190253</v>
      </c>
      <c r="G173" s="181">
        <v>40</v>
      </c>
      <c r="H173" s="181">
        <v>44</v>
      </c>
      <c r="I173" s="181" t="s">
        <v>460</v>
      </c>
      <c r="J173" s="181" t="s">
        <v>2048</v>
      </c>
      <c r="K173" s="181" t="s">
        <v>721</v>
      </c>
      <c r="L173" s="181" t="s">
        <v>13</v>
      </c>
      <c r="M173" s="181">
        <v>19</v>
      </c>
      <c r="N173" s="181" t="s">
        <v>462</v>
      </c>
      <c r="O173" s="181" t="s">
        <v>606</v>
      </c>
      <c r="P173" s="181" t="s">
        <v>2049</v>
      </c>
      <c r="Q173" s="181" t="s">
        <v>564</v>
      </c>
      <c r="R173" s="181" t="s">
        <v>466</v>
      </c>
      <c r="S173" s="181" t="s">
        <v>2050</v>
      </c>
      <c r="T173" s="181">
        <v>174205</v>
      </c>
      <c r="U173" s="182">
        <v>46252.845833333333</v>
      </c>
      <c r="V173" s="181" t="s">
        <v>469</v>
      </c>
      <c r="W173" s="181" t="s">
        <v>568</v>
      </c>
      <c r="X173" s="181" t="s">
        <v>471</v>
      </c>
      <c r="Y173" s="181" t="s">
        <v>1724</v>
      </c>
      <c r="Z173" s="181" t="s">
        <v>570</v>
      </c>
      <c r="AA173" s="181" t="s">
        <v>474</v>
      </c>
      <c r="AB173" s="181" t="s">
        <v>2051</v>
      </c>
      <c r="AC173" s="181" t="s">
        <v>546</v>
      </c>
      <c r="AD173" s="181">
        <v>581954432</v>
      </c>
      <c r="AE173" s="181">
        <v>1376574277</v>
      </c>
      <c r="AF173" s="181"/>
      <c r="AG173" s="181"/>
      <c r="AH173" s="181"/>
      <c r="AI173" s="181" t="s">
        <v>75</v>
      </c>
      <c r="AJ173" s="181" t="s">
        <v>481</v>
      </c>
      <c r="AK173" s="181" t="s">
        <v>2052</v>
      </c>
      <c r="AL173" s="181">
        <v>174454</v>
      </c>
      <c r="AM173" s="181"/>
      <c r="AN173" s="181"/>
      <c r="AO173" s="181">
        <v>725</v>
      </c>
      <c r="AP173" s="181" t="s">
        <v>485</v>
      </c>
      <c r="AQ173" s="181" t="s">
        <v>2053</v>
      </c>
      <c r="AR173" s="183">
        <v>46253</v>
      </c>
      <c r="AS173" s="181" t="s">
        <v>75</v>
      </c>
      <c r="AT173" s="181" t="s">
        <v>725</v>
      </c>
      <c r="AU173" s="181"/>
      <c r="AV173" s="181" t="s">
        <v>2054</v>
      </c>
      <c r="AW173" s="181"/>
      <c r="AX173" s="181"/>
      <c r="AY173" s="181"/>
      <c r="AZ173" s="181"/>
      <c r="BA173" s="181"/>
      <c r="BB173" s="181"/>
      <c r="BC173" s="181"/>
      <c r="BD173" s="181" t="s">
        <v>75</v>
      </c>
      <c r="BE173" s="181">
        <v>44</v>
      </c>
      <c r="BF173" s="181"/>
      <c r="BG173" s="181" t="s">
        <v>490</v>
      </c>
      <c r="BH173" s="181" t="s">
        <v>491</v>
      </c>
      <c r="BI173" s="181">
        <v>338644345</v>
      </c>
      <c r="BJ173" s="181"/>
      <c r="BK173" s="181"/>
      <c r="BL173" s="181"/>
      <c r="BM173" s="181"/>
      <c r="BN173" s="181"/>
      <c r="BO173" s="181"/>
      <c r="BP173" s="181"/>
      <c r="BQ173" s="181"/>
      <c r="BR173" s="181"/>
      <c r="BS173" s="181"/>
      <c r="BT173" s="181"/>
      <c r="BU173" s="181"/>
      <c r="BV173" s="181"/>
      <c r="BW173" s="181"/>
      <c r="BX173" s="181"/>
      <c r="BY173" s="181"/>
      <c r="BZ173" s="181"/>
      <c r="CA173" s="190"/>
      <c r="CB173" s="3"/>
      <c r="CC173" s="16"/>
      <c r="CD173" s="16"/>
      <c r="CE173" s="16"/>
      <c r="CF173" s="16"/>
      <c r="CG173" s="16"/>
      <c r="CH173" s="16"/>
      <c r="CI173" s="16" t="s">
        <v>2055</v>
      </c>
    </row>
    <row r="174" spans="1:87">
      <c r="A174" s="16" t="s">
        <v>5</v>
      </c>
      <c r="B174" s="16" t="s">
        <v>719</v>
      </c>
      <c r="C174" s="3">
        <v>46272</v>
      </c>
      <c r="D174" s="26" t="s">
        <v>14</v>
      </c>
      <c r="E174" s="180" t="s">
        <v>2056</v>
      </c>
      <c r="F174" s="181">
        <v>2026215820224</v>
      </c>
      <c r="G174" s="181">
        <v>40</v>
      </c>
      <c r="H174" s="181">
        <v>35</v>
      </c>
      <c r="I174" s="181" t="s">
        <v>460</v>
      </c>
      <c r="J174" s="181" t="s">
        <v>2056</v>
      </c>
      <c r="K174" s="181" t="s">
        <v>721</v>
      </c>
      <c r="L174" s="181" t="s">
        <v>13</v>
      </c>
      <c r="M174" s="181">
        <v>12</v>
      </c>
      <c r="N174" s="181" t="s">
        <v>462</v>
      </c>
      <c r="O174" s="181" t="s">
        <v>606</v>
      </c>
      <c r="P174" s="181" t="s">
        <v>2057</v>
      </c>
      <c r="Q174" s="181" t="s">
        <v>564</v>
      </c>
      <c r="R174" s="181" t="s">
        <v>466</v>
      </c>
      <c r="S174" s="181" t="s">
        <v>2058</v>
      </c>
      <c r="T174" s="181">
        <v>174064</v>
      </c>
      <c r="U174" s="182">
        <v>46259.881249999999</v>
      </c>
      <c r="V174" s="181" t="s">
        <v>469</v>
      </c>
      <c r="W174" s="181" t="s">
        <v>568</v>
      </c>
      <c r="X174" s="181" t="s">
        <v>471</v>
      </c>
      <c r="Y174" s="181" t="s">
        <v>1724</v>
      </c>
      <c r="Z174" s="181" t="s">
        <v>570</v>
      </c>
      <c r="AA174" s="181" t="s">
        <v>474</v>
      </c>
      <c r="AB174" s="181" t="s">
        <v>2059</v>
      </c>
      <c r="AC174" s="181" t="s">
        <v>1932</v>
      </c>
      <c r="AD174" s="181">
        <v>432041736</v>
      </c>
      <c r="AE174" s="181">
        <v>1407811417</v>
      </c>
      <c r="AF174" s="181">
        <v>1194714030</v>
      </c>
      <c r="AG174" s="181"/>
      <c r="AH174" s="181"/>
      <c r="AI174" s="181" t="s">
        <v>75</v>
      </c>
      <c r="AJ174" s="181" t="s">
        <v>481</v>
      </c>
      <c r="AK174" s="181" t="s">
        <v>2060</v>
      </c>
      <c r="AL174" s="181">
        <v>22528</v>
      </c>
      <c r="AM174" s="181"/>
      <c r="AN174" s="181"/>
      <c r="AO174" s="181">
        <v>328</v>
      </c>
      <c r="AP174" s="181" t="s">
        <v>485</v>
      </c>
      <c r="AQ174" s="181" t="s">
        <v>2061</v>
      </c>
      <c r="AR174" s="183">
        <v>46260</v>
      </c>
      <c r="AS174" s="181" t="s">
        <v>75</v>
      </c>
      <c r="AT174" s="181" t="s">
        <v>516</v>
      </c>
      <c r="AU174" s="181"/>
      <c r="AV174" s="181"/>
      <c r="AW174" s="181"/>
      <c r="AX174" s="181"/>
      <c r="AY174" s="181"/>
      <c r="AZ174" s="181"/>
      <c r="BA174" s="181"/>
      <c r="BB174" s="181"/>
      <c r="BC174" s="181"/>
      <c r="BD174" s="181" t="s">
        <v>75</v>
      </c>
      <c r="BE174" s="181">
        <v>35</v>
      </c>
      <c r="BF174" s="181"/>
      <c r="BG174" s="181" t="s">
        <v>490</v>
      </c>
      <c r="BH174" s="181" t="s">
        <v>491</v>
      </c>
      <c r="BI174" s="181">
        <v>530603251</v>
      </c>
      <c r="BJ174" s="181"/>
      <c r="BK174" s="181"/>
      <c r="BL174" s="181"/>
      <c r="BM174" s="181"/>
      <c r="BN174" s="181"/>
      <c r="BO174" s="181"/>
      <c r="BP174" s="181"/>
      <c r="BQ174" s="181"/>
      <c r="BR174" s="181"/>
      <c r="BS174" s="181"/>
      <c r="BT174" s="181"/>
      <c r="BU174" s="181"/>
      <c r="BV174" s="181"/>
      <c r="BW174" s="181"/>
      <c r="BX174" s="181"/>
      <c r="BY174" s="181"/>
      <c r="BZ174" s="181"/>
      <c r="CA174" s="190">
        <v>46280.666666666701</v>
      </c>
      <c r="CB174" s="3"/>
      <c r="CC174" s="16"/>
      <c r="CD174" s="16"/>
      <c r="CE174" s="16"/>
      <c r="CF174" s="16"/>
      <c r="CG174" s="16"/>
      <c r="CH174" s="16"/>
      <c r="CI174" s="16" t="s">
        <v>2062</v>
      </c>
    </row>
    <row r="175" spans="1:87">
      <c r="A175" s="16"/>
      <c r="B175" s="16"/>
      <c r="C175" s="3">
        <v>46272</v>
      </c>
      <c r="D175" s="26" t="s">
        <v>14</v>
      </c>
      <c r="E175" s="180" t="s">
        <v>2063</v>
      </c>
      <c r="F175" s="181">
        <v>2026206660263</v>
      </c>
      <c r="G175" s="181">
        <v>40</v>
      </c>
      <c r="H175" s="181">
        <v>44</v>
      </c>
      <c r="I175" s="181" t="s">
        <v>460</v>
      </c>
      <c r="J175" s="181" t="s">
        <v>2063</v>
      </c>
      <c r="K175" s="181" t="s">
        <v>983</v>
      </c>
      <c r="L175" s="181" t="s">
        <v>17</v>
      </c>
      <c r="M175" s="181">
        <v>42</v>
      </c>
      <c r="N175" s="181" t="s">
        <v>462</v>
      </c>
      <c r="O175" s="181" t="s">
        <v>497</v>
      </c>
      <c r="P175" s="181">
        <v>815760275</v>
      </c>
      <c r="Q175" s="181" t="s">
        <v>465</v>
      </c>
      <c r="R175" s="181" t="s">
        <v>466</v>
      </c>
      <c r="S175" s="181" t="s">
        <v>2064</v>
      </c>
      <c r="T175" s="181">
        <v>173329</v>
      </c>
      <c r="U175" s="182">
        <v>46229.748611111114</v>
      </c>
      <c r="V175" s="181" t="s">
        <v>469</v>
      </c>
      <c r="W175" s="181" t="s">
        <v>651</v>
      </c>
      <c r="X175" s="181" t="s">
        <v>652</v>
      </c>
      <c r="Y175" s="181" t="s">
        <v>653</v>
      </c>
      <c r="Z175" s="181" t="s">
        <v>1292</v>
      </c>
      <c r="AA175" s="181" t="s">
        <v>474</v>
      </c>
      <c r="AB175" s="181" t="s">
        <v>2065</v>
      </c>
      <c r="AC175" s="181" t="s">
        <v>1294</v>
      </c>
      <c r="AD175" s="181">
        <v>610445850</v>
      </c>
      <c r="AE175" s="181">
        <v>1467492421</v>
      </c>
      <c r="AF175" s="181"/>
      <c r="AG175" s="181">
        <v>1.6120252891278E+16</v>
      </c>
      <c r="AH175" s="181"/>
      <c r="AI175" s="181" t="s">
        <v>34</v>
      </c>
      <c r="AJ175" s="181" t="s">
        <v>481</v>
      </c>
      <c r="AK175" s="181" t="s">
        <v>2066</v>
      </c>
      <c r="AL175" s="181">
        <v>56104.58</v>
      </c>
      <c r="AM175" s="181"/>
      <c r="AN175" s="181"/>
      <c r="AO175" s="181">
        <v>815</v>
      </c>
      <c r="AP175" s="181" t="s">
        <v>485</v>
      </c>
      <c r="AQ175" s="181" t="s">
        <v>2067</v>
      </c>
      <c r="AR175" s="183">
        <v>46230</v>
      </c>
      <c r="AS175" s="181" t="s">
        <v>983</v>
      </c>
      <c r="AT175" s="181" t="s">
        <v>2068</v>
      </c>
      <c r="AU175" s="181"/>
      <c r="AV175" s="181" t="s">
        <v>2069</v>
      </c>
      <c r="AW175" s="181"/>
      <c r="AX175" s="181"/>
      <c r="AY175" s="181"/>
      <c r="AZ175" s="181"/>
      <c r="BA175" s="181"/>
      <c r="BB175" s="181"/>
      <c r="BC175" s="181"/>
      <c r="BD175" s="181" t="s">
        <v>34</v>
      </c>
      <c r="BE175" s="181">
        <v>44</v>
      </c>
      <c r="BF175" s="181"/>
      <c r="BG175" s="181"/>
      <c r="BH175" s="181" t="s">
        <v>658</v>
      </c>
      <c r="BI175" s="181">
        <v>815760275</v>
      </c>
      <c r="BJ175" s="181"/>
      <c r="BK175" s="181"/>
      <c r="BL175" s="181"/>
      <c r="BM175" s="181"/>
      <c r="BN175" s="181"/>
      <c r="BO175" s="181"/>
      <c r="BP175" s="181"/>
      <c r="BQ175" s="181"/>
      <c r="BR175" s="181"/>
      <c r="BS175" s="181"/>
      <c r="BT175" s="181"/>
      <c r="BU175" s="181"/>
      <c r="BV175" s="181"/>
      <c r="BW175" s="181"/>
      <c r="BX175" s="181"/>
      <c r="BY175" s="181"/>
      <c r="BZ175" s="181"/>
      <c r="CA175" s="190"/>
      <c r="CB175" s="3"/>
      <c r="CC175" s="16"/>
      <c r="CD175" s="16"/>
      <c r="CE175" s="16"/>
      <c r="CF175" s="16"/>
      <c r="CG175" s="16"/>
      <c r="CH175" s="16"/>
      <c r="CI175" s="16" t="s">
        <v>2070</v>
      </c>
    </row>
    <row r="176" spans="1:87">
      <c r="A176" s="16"/>
      <c r="B176" s="16"/>
      <c r="C176" s="3">
        <v>46272</v>
      </c>
      <c r="D176" s="26" t="s">
        <v>14</v>
      </c>
      <c r="E176" s="180" t="s">
        <v>2071</v>
      </c>
      <c r="F176" s="181">
        <v>2026208560182</v>
      </c>
      <c r="G176" s="181">
        <v>40</v>
      </c>
      <c r="H176" s="181">
        <v>42</v>
      </c>
      <c r="I176" s="181" t="s">
        <v>460</v>
      </c>
      <c r="J176" s="181" t="s">
        <v>2071</v>
      </c>
      <c r="K176" s="181" t="s">
        <v>1040</v>
      </c>
      <c r="L176" s="181" t="s">
        <v>17</v>
      </c>
      <c r="M176" s="181">
        <v>11</v>
      </c>
      <c r="N176" s="181" t="s">
        <v>462</v>
      </c>
      <c r="O176" s="181" t="s">
        <v>606</v>
      </c>
      <c r="P176" s="181">
        <v>21210</v>
      </c>
      <c r="Q176" s="181" t="s">
        <v>465</v>
      </c>
      <c r="R176" s="181" t="s">
        <v>466</v>
      </c>
      <c r="S176" s="181" t="s">
        <v>2072</v>
      </c>
      <c r="T176" s="181">
        <v>173328</v>
      </c>
      <c r="U176" s="182">
        <v>46260.750694444447</v>
      </c>
      <c r="V176" s="181" t="s">
        <v>469</v>
      </c>
      <c r="W176" s="181" t="s">
        <v>651</v>
      </c>
      <c r="X176" s="181" t="s">
        <v>652</v>
      </c>
      <c r="Y176" s="181" t="s">
        <v>653</v>
      </c>
      <c r="Z176" s="181" t="s">
        <v>638</v>
      </c>
      <c r="AA176" s="181" t="s">
        <v>474</v>
      </c>
      <c r="AB176" s="181" t="s">
        <v>743</v>
      </c>
      <c r="AC176" s="181" t="s">
        <v>465</v>
      </c>
      <c r="AD176" s="181">
        <v>270426722</v>
      </c>
      <c r="AE176" s="181">
        <v>1902134372</v>
      </c>
      <c r="AF176" s="181"/>
      <c r="AG176" s="181">
        <v>1.31202427530275E+16</v>
      </c>
      <c r="AH176" s="181"/>
      <c r="AI176" s="181" t="s">
        <v>173</v>
      </c>
      <c r="AJ176" s="181" t="s">
        <v>481</v>
      </c>
      <c r="AK176" s="181" t="s">
        <v>2073</v>
      </c>
      <c r="AL176" s="181">
        <v>44050.1</v>
      </c>
      <c r="AM176" s="181"/>
      <c r="AN176" s="181"/>
      <c r="AO176" s="181">
        <v>0</v>
      </c>
      <c r="AP176" s="181" t="s">
        <v>485</v>
      </c>
      <c r="AQ176" s="181" t="s">
        <v>2074</v>
      </c>
      <c r="AR176" s="183">
        <v>46261</v>
      </c>
      <c r="AS176" s="181" t="s">
        <v>173</v>
      </c>
      <c r="AT176" s="181" t="s">
        <v>1047</v>
      </c>
      <c r="AU176" s="181"/>
      <c r="AV176" s="181" t="s">
        <v>2075</v>
      </c>
      <c r="AW176" s="181"/>
      <c r="AX176" s="181"/>
      <c r="AY176" s="181"/>
      <c r="AZ176" s="181"/>
      <c r="BA176" s="181"/>
      <c r="BB176" s="181"/>
      <c r="BC176" s="181"/>
      <c r="BD176" s="181" t="s">
        <v>173</v>
      </c>
      <c r="BE176" s="181">
        <v>42</v>
      </c>
      <c r="BF176" s="181"/>
      <c r="BG176" s="181" t="s">
        <v>490</v>
      </c>
      <c r="BH176" s="181" t="s">
        <v>658</v>
      </c>
      <c r="BI176" s="181">
        <v>21210</v>
      </c>
      <c r="BJ176" s="181"/>
      <c r="BK176" s="181"/>
      <c r="BL176" s="181"/>
      <c r="BM176" s="181"/>
      <c r="BN176" s="181"/>
      <c r="BO176" s="181"/>
      <c r="BP176" s="181"/>
      <c r="BQ176" s="181"/>
      <c r="BR176" s="181"/>
      <c r="BS176" s="181"/>
      <c r="BT176" s="181"/>
      <c r="BU176" s="181"/>
      <c r="BV176" s="181"/>
      <c r="BW176" s="181"/>
      <c r="BX176" s="181"/>
      <c r="BY176" s="181"/>
      <c r="BZ176" s="181"/>
      <c r="CA176" s="190"/>
      <c r="CB176" s="3"/>
      <c r="CC176" s="16"/>
      <c r="CD176" s="16"/>
      <c r="CE176" s="16"/>
      <c r="CF176" s="16"/>
      <c r="CG176" s="16"/>
      <c r="CH176" s="16"/>
      <c r="CI176" s="16" t="s">
        <v>2076</v>
      </c>
    </row>
    <row r="177" spans="1:87">
      <c r="A177" s="16" t="s">
        <v>5</v>
      </c>
      <c r="B177" s="16" t="s">
        <v>2077</v>
      </c>
      <c r="C177" s="3">
        <v>46272</v>
      </c>
      <c r="D177" s="26" t="s">
        <v>14</v>
      </c>
      <c r="E177" s="180" t="s">
        <v>2078</v>
      </c>
      <c r="F177" s="181">
        <v>2026216380275</v>
      </c>
      <c r="G177" s="181">
        <v>40</v>
      </c>
      <c r="H177" s="181">
        <v>34</v>
      </c>
      <c r="I177" s="181" t="s">
        <v>460</v>
      </c>
      <c r="J177" s="181" t="s">
        <v>2078</v>
      </c>
      <c r="K177" s="181" t="s">
        <v>585</v>
      </c>
      <c r="L177" s="181" t="s">
        <v>17</v>
      </c>
      <c r="M177" s="181">
        <v>12</v>
      </c>
      <c r="N177" s="181" t="s">
        <v>462</v>
      </c>
      <c r="O177" s="181" t="s">
        <v>606</v>
      </c>
      <c r="P177" s="181" t="s">
        <v>2079</v>
      </c>
      <c r="Q177" s="181" t="s">
        <v>465</v>
      </c>
      <c r="R177" s="181" t="s">
        <v>466</v>
      </c>
      <c r="S177" s="181" t="s">
        <v>2080</v>
      </c>
      <c r="T177" s="181">
        <v>173328</v>
      </c>
      <c r="U177" s="182">
        <v>46260.701388888891</v>
      </c>
      <c r="V177" s="181" t="s">
        <v>469</v>
      </c>
      <c r="W177" s="181" t="s">
        <v>651</v>
      </c>
      <c r="X177" s="181" t="s">
        <v>652</v>
      </c>
      <c r="Y177" s="181" t="s">
        <v>653</v>
      </c>
      <c r="Z177" s="181" t="s">
        <v>638</v>
      </c>
      <c r="AA177" s="181" t="s">
        <v>474</v>
      </c>
      <c r="AB177" s="181" t="s">
        <v>743</v>
      </c>
      <c r="AC177" s="181" t="s">
        <v>465</v>
      </c>
      <c r="AD177" s="181">
        <v>272039417</v>
      </c>
      <c r="AE177" s="181">
        <v>1144513375</v>
      </c>
      <c r="AF177" s="181">
        <v>1598118408</v>
      </c>
      <c r="AG177" s="181">
        <v>1.31202535304119E+16</v>
      </c>
      <c r="AH177" s="181"/>
      <c r="AI177" s="181" t="s">
        <v>22</v>
      </c>
      <c r="AJ177" s="181" t="s">
        <v>481</v>
      </c>
      <c r="AK177" s="181" t="s">
        <v>2081</v>
      </c>
      <c r="AL177" s="181">
        <v>6215</v>
      </c>
      <c r="AM177" s="181"/>
      <c r="AN177" s="181"/>
      <c r="AO177" s="181">
        <v>69</v>
      </c>
      <c r="AP177" s="181" t="s">
        <v>485</v>
      </c>
      <c r="AQ177" s="181" t="s">
        <v>2082</v>
      </c>
      <c r="AR177" s="183">
        <v>46260</v>
      </c>
      <c r="AS177" s="181" t="s">
        <v>22</v>
      </c>
      <c r="AT177" s="181" t="s">
        <v>2077</v>
      </c>
      <c r="AU177" s="181"/>
      <c r="AV177" s="181" t="s">
        <v>2083</v>
      </c>
      <c r="AW177" s="181"/>
      <c r="AX177" s="181"/>
      <c r="AY177" s="181"/>
      <c r="AZ177" s="181"/>
      <c r="BA177" s="181"/>
      <c r="BB177" s="181"/>
      <c r="BC177" s="181"/>
      <c r="BD177" s="181" t="s">
        <v>22</v>
      </c>
      <c r="BE177" s="181">
        <v>34</v>
      </c>
      <c r="BF177" s="181"/>
      <c r="BG177" s="181" t="s">
        <v>490</v>
      </c>
      <c r="BH177" s="181" t="s">
        <v>658</v>
      </c>
      <c r="BI177" s="181" t="s">
        <v>2079</v>
      </c>
      <c r="BJ177" s="181"/>
      <c r="BK177" s="181"/>
      <c r="BL177" s="181"/>
      <c r="BM177" s="181"/>
      <c r="BN177" s="181"/>
      <c r="BO177" s="181"/>
      <c r="BP177" s="181"/>
      <c r="BQ177" s="181"/>
      <c r="BR177" s="181"/>
      <c r="BS177" s="181"/>
      <c r="BT177" s="181"/>
      <c r="BU177" s="181"/>
      <c r="BV177" s="181"/>
      <c r="BW177" s="181"/>
      <c r="BX177" s="181"/>
      <c r="BY177" s="181"/>
      <c r="BZ177" s="181"/>
      <c r="CA177" s="190">
        <v>46282.166666666701</v>
      </c>
      <c r="CB177" s="3"/>
      <c r="CC177" s="16"/>
      <c r="CD177" s="16"/>
      <c r="CE177" s="16"/>
      <c r="CF177" s="16"/>
      <c r="CG177" s="16"/>
      <c r="CH177" s="16"/>
      <c r="CI177" s="16" t="s">
        <v>2084</v>
      </c>
    </row>
    <row r="178" spans="1:87">
      <c r="A178" s="16"/>
      <c r="B178" s="16"/>
      <c r="C178" s="3">
        <v>46272</v>
      </c>
      <c r="D178" s="26" t="s">
        <v>14</v>
      </c>
      <c r="E178" s="180" t="s">
        <v>2085</v>
      </c>
      <c r="F178" s="181"/>
      <c r="G178" s="181">
        <v>40</v>
      </c>
      <c r="H178" s="181">
        <v>39</v>
      </c>
      <c r="I178" s="181" t="s">
        <v>460</v>
      </c>
      <c r="J178" s="181" t="s">
        <v>2085</v>
      </c>
      <c r="K178" s="181" t="s">
        <v>1512</v>
      </c>
      <c r="L178" s="181" t="s">
        <v>17</v>
      </c>
      <c r="M178" s="181">
        <v>14</v>
      </c>
      <c r="N178" s="181" t="s">
        <v>462</v>
      </c>
      <c r="O178" s="181" t="s">
        <v>606</v>
      </c>
      <c r="P178" s="181" t="s">
        <v>2086</v>
      </c>
      <c r="Q178" s="181" t="s">
        <v>1055</v>
      </c>
      <c r="R178" s="181" t="s">
        <v>1350</v>
      </c>
      <c r="S178" s="181" t="s">
        <v>2087</v>
      </c>
      <c r="T178" s="181">
        <v>173328</v>
      </c>
      <c r="U178" s="182">
        <v>46257.732638888891</v>
      </c>
      <c r="V178" s="181" t="s">
        <v>469</v>
      </c>
      <c r="W178" s="181" t="s">
        <v>651</v>
      </c>
      <c r="X178" s="181" t="s">
        <v>652</v>
      </c>
      <c r="Y178" s="181" t="s">
        <v>653</v>
      </c>
      <c r="Z178" s="181" t="s">
        <v>638</v>
      </c>
      <c r="AA178" s="181" t="s">
        <v>1354</v>
      </c>
      <c r="AB178" s="181" t="s">
        <v>743</v>
      </c>
      <c r="AC178" s="181" t="s">
        <v>465</v>
      </c>
      <c r="AD178" s="181">
        <v>205392766</v>
      </c>
      <c r="AE178" s="181">
        <v>1619105244</v>
      </c>
      <c r="AF178" s="181">
        <v>1992704209</v>
      </c>
      <c r="AG178" s="181">
        <v>1.31202602913814E+16</v>
      </c>
      <c r="AH178" s="181"/>
      <c r="AI178" s="181" t="s">
        <v>149</v>
      </c>
      <c r="AJ178" s="181" t="s">
        <v>481</v>
      </c>
      <c r="AK178" s="181" t="s">
        <v>2088</v>
      </c>
      <c r="AL178" s="181">
        <v>2076.25</v>
      </c>
      <c r="AM178" s="181"/>
      <c r="AN178" s="181"/>
      <c r="AO178" s="181" t="s">
        <v>2089</v>
      </c>
      <c r="AP178" s="181" t="s">
        <v>485</v>
      </c>
      <c r="AQ178" s="181" t="s">
        <v>2090</v>
      </c>
      <c r="AR178" s="183">
        <v>46258</v>
      </c>
      <c r="AS178" s="181" t="s">
        <v>149</v>
      </c>
      <c r="AT178" s="181" t="s">
        <v>1518</v>
      </c>
      <c r="AU178" s="181"/>
      <c r="AV178" s="181" t="s">
        <v>2091</v>
      </c>
      <c r="AW178" s="181"/>
      <c r="AX178" s="181"/>
      <c r="AY178" s="181"/>
      <c r="AZ178" s="181"/>
      <c r="BA178" s="181"/>
      <c r="BB178" s="181"/>
      <c r="BC178" s="181"/>
      <c r="BD178" s="181" t="s">
        <v>149</v>
      </c>
      <c r="BE178" s="181">
        <v>39</v>
      </c>
      <c r="BF178" s="181"/>
      <c r="BG178" s="181"/>
      <c r="BH178" s="181" t="s">
        <v>658</v>
      </c>
      <c r="BI178" s="181" t="s">
        <v>2086</v>
      </c>
      <c r="BJ178" s="181"/>
      <c r="BK178" s="181"/>
      <c r="BL178" s="181"/>
      <c r="BM178" s="181"/>
      <c r="BN178" s="181"/>
      <c r="BO178" s="181"/>
      <c r="BP178" s="181"/>
      <c r="BQ178" s="181"/>
      <c r="BR178" s="181"/>
      <c r="BS178" s="181"/>
      <c r="BT178" s="181"/>
      <c r="BU178" s="181"/>
      <c r="BV178" s="181"/>
      <c r="BW178" s="181"/>
      <c r="BX178" s="181"/>
      <c r="BY178" s="181"/>
      <c r="BZ178" s="181"/>
      <c r="CA178" s="190"/>
      <c r="CB178" s="3"/>
      <c r="CC178" s="16"/>
      <c r="CD178" s="16"/>
      <c r="CE178" s="16"/>
      <c r="CF178" s="16"/>
      <c r="CG178" s="16"/>
      <c r="CH178" s="16"/>
      <c r="CI178" s="16" t="s">
        <v>2092</v>
      </c>
    </row>
    <row r="179" spans="1:87">
      <c r="A179" s="16" t="s">
        <v>5</v>
      </c>
      <c r="B179" s="16" t="s">
        <v>2093</v>
      </c>
      <c r="C179" s="3">
        <v>46272</v>
      </c>
      <c r="D179" s="26" t="s">
        <v>14</v>
      </c>
      <c r="E179" s="180" t="s">
        <v>2094</v>
      </c>
      <c r="F179" s="181">
        <v>2026216960295</v>
      </c>
      <c r="G179" s="181">
        <v>40</v>
      </c>
      <c r="H179" s="181">
        <v>34</v>
      </c>
      <c r="I179" s="181" t="s">
        <v>460</v>
      </c>
      <c r="J179" s="181" t="s">
        <v>2094</v>
      </c>
      <c r="K179" s="181" t="s">
        <v>1555</v>
      </c>
      <c r="L179" s="181" t="s">
        <v>17</v>
      </c>
      <c r="M179" s="181">
        <v>11</v>
      </c>
      <c r="N179" s="181" t="s">
        <v>462</v>
      </c>
      <c r="O179" s="181" t="s">
        <v>497</v>
      </c>
      <c r="P179" s="181">
        <v>912742108</v>
      </c>
      <c r="Q179" s="181" t="s">
        <v>465</v>
      </c>
      <c r="R179" s="181" t="s">
        <v>466</v>
      </c>
      <c r="S179" s="181" t="s">
        <v>2095</v>
      </c>
      <c r="T179" s="181">
        <v>173328</v>
      </c>
      <c r="U179" s="182">
        <v>46260.713194444441</v>
      </c>
      <c r="V179" s="181" t="s">
        <v>469</v>
      </c>
      <c r="W179" s="181" t="s">
        <v>651</v>
      </c>
      <c r="X179" s="181" t="s">
        <v>652</v>
      </c>
      <c r="Y179" s="181" t="s">
        <v>653</v>
      </c>
      <c r="Z179" s="181" t="s">
        <v>638</v>
      </c>
      <c r="AA179" s="181" t="s">
        <v>474</v>
      </c>
      <c r="AB179" s="181" t="s">
        <v>743</v>
      </c>
      <c r="AC179" s="181" t="s">
        <v>465</v>
      </c>
      <c r="AD179" s="181">
        <v>264213839</v>
      </c>
      <c r="AE179" s="181">
        <v>1164662805</v>
      </c>
      <c r="AF179" s="181">
        <v>1689724254</v>
      </c>
      <c r="AG179" s="181">
        <v>1.31202512027552E+16</v>
      </c>
      <c r="AH179" s="181"/>
      <c r="AI179" s="181" t="s">
        <v>32</v>
      </c>
      <c r="AJ179" s="181" t="s">
        <v>481</v>
      </c>
      <c r="AK179" s="181" t="s">
        <v>2096</v>
      </c>
      <c r="AL179" s="181">
        <v>9219</v>
      </c>
      <c r="AM179" s="181"/>
      <c r="AN179" s="181"/>
      <c r="AO179" s="181">
        <v>912</v>
      </c>
      <c r="AP179" s="181" t="s">
        <v>485</v>
      </c>
      <c r="AQ179" s="181" t="s">
        <v>2097</v>
      </c>
      <c r="AR179" s="183">
        <v>46261</v>
      </c>
      <c r="AS179" s="181" t="s">
        <v>32</v>
      </c>
      <c r="AT179" s="181" t="s">
        <v>2093</v>
      </c>
      <c r="AU179" s="181"/>
      <c r="AV179" s="181" t="s">
        <v>2098</v>
      </c>
      <c r="AW179" s="181"/>
      <c r="AX179" s="181"/>
      <c r="AY179" s="181"/>
      <c r="AZ179" s="181"/>
      <c r="BA179" s="181"/>
      <c r="BB179" s="181"/>
      <c r="BC179" s="181"/>
      <c r="BD179" s="181" t="s">
        <v>32</v>
      </c>
      <c r="BE179" s="181">
        <v>34</v>
      </c>
      <c r="BF179" s="181"/>
      <c r="BG179" s="181"/>
      <c r="BH179" s="181" t="s">
        <v>658</v>
      </c>
      <c r="BI179" s="181">
        <v>912742108</v>
      </c>
      <c r="BJ179" s="181"/>
      <c r="BK179" s="181"/>
      <c r="BL179" s="181"/>
      <c r="BM179" s="181"/>
      <c r="BN179" s="181"/>
      <c r="BO179" s="181"/>
      <c r="BP179" s="181"/>
      <c r="BQ179" s="181"/>
      <c r="BR179" s="181"/>
      <c r="BS179" s="181"/>
      <c r="BT179" s="181"/>
      <c r="BU179" s="181"/>
      <c r="BV179" s="181"/>
      <c r="BW179" s="181"/>
      <c r="BX179" s="181"/>
      <c r="BY179" s="181"/>
      <c r="BZ179" s="181"/>
      <c r="CA179" s="190">
        <v>46285.666666666701</v>
      </c>
      <c r="CB179" s="3"/>
      <c r="CC179" s="16"/>
      <c r="CD179" s="16"/>
      <c r="CE179" s="16"/>
      <c r="CF179" s="16"/>
      <c r="CG179" s="16"/>
      <c r="CH179" s="16"/>
      <c r="CI179" s="16" t="s">
        <v>2099</v>
      </c>
    </row>
    <row r="180" spans="1:87">
      <c r="A180" s="16"/>
      <c r="B180" s="16"/>
      <c r="C180" s="3">
        <v>46272</v>
      </c>
      <c r="D180" s="26" t="s">
        <v>14</v>
      </c>
      <c r="E180" s="180" t="s">
        <v>2100</v>
      </c>
      <c r="F180" s="181">
        <v>2026210270229</v>
      </c>
      <c r="G180" s="181">
        <v>40</v>
      </c>
      <c r="H180" s="181">
        <v>40</v>
      </c>
      <c r="I180" s="181" t="s">
        <v>460</v>
      </c>
      <c r="J180" s="181" t="s">
        <v>2100</v>
      </c>
      <c r="K180" s="181" t="s">
        <v>960</v>
      </c>
      <c r="L180" s="181" t="s">
        <v>13</v>
      </c>
      <c r="M180" s="181">
        <v>17</v>
      </c>
      <c r="N180" s="181" t="s">
        <v>462</v>
      </c>
      <c r="O180" s="181" t="s">
        <v>606</v>
      </c>
      <c r="P180" s="181">
        <v>923022495</v>
      </c>
      <c r="Q180" s="181" t="s">
        <v>465</v>
      </c>
      <c r="R180" s="181" t="s">
        <v>466</v>
      </c>
      <c r="S180" s="181" t="s">
        <v>2101</v>
      </c>
      <c r="T180" s="181">
        <v>173328</v>
      </c>
      <c r="U180" s="182">
        <v>46254.814583333333</v>
      </c>
      <c r="V180" s="181" t="s">
        <v>469</v>
      </c>
      <c r="W180" s="181" t="s">
        <v>651</v>
      </c>
      <c r="X180" s="181" t="s">
        <v>652</v>
      </c>
      <c r="Y180" s="181" t="s">
        <v>653</v>
      </c>
      <c r="Z180" s="181" t="s">
        <v>638</v>
      </c>
      <c r="AA180" s="181" t="s">
        <v>474</v>
      </c>
      <c r="AB180" s="181" t="s">
        <v>743</v>
      </c>
      <c r="AC180" s="181" t="s">
        <v>465</v>
      </c>
      <c r="AD180" s="181">
        <v>272039417</v>
      </c>
      <c r="AE180" s="181">
        <v>1144513375</v>
      </c>
      <c r="AF180" s="181">
        <v>1285759977</v>
      </c>
      <c r="AG180" s="181">
        <v>1.31202605917271E+16</v>
      </c>
      <c r="AH180" s="181"/>
      <c r="AI180" s="181" t="s">
        <v>55</v>
      </c>
      <c r="AJ180" s="181" t="s">
        <v>481</v>
      </c>
      <c r="AK180" s="181" t="s">
        <v>2102</v>
      </c>
      <c r="AL180" s="181">
        <v>6215</v>
      </c>
      <c r="AM180" s="181"/>
      <c r="AN180" s="181"/>
      <c r="AO180" s="181">
        <v>923</v>
      </c>
      <c r="AP180" s="181" t="s">
        <v>485</v>
      </c>
      <c r="AQ180" s="181" t="s">
        <v>2103</v>
      </c>
      <c r="AR180" s="183">
        <v>46255</v>
      </c>
      <c r="AS180" s="181" t="s">
        <v>55</v>
      </c>
      <c r="AT180" s="181" t="s">
        <v>966</v>
      </c>
      <c r="AU180" s="181"/>
      <c r="AV180" s="181" t="s">
        <v>2104</v>
      </c>
      <c r="AW180" s="181"/>
      <c r="AX180" s="181"/>
      <c r="AY180" s="181"/>
      <c r="AZ180" s="181"/>
      <c r="BA180" s="181"/>
      <c r="BB180" s="181"/>
      <c r="BC180" s="181"/>
      <c r="BD180" s="181" t="s">
        <v>55</v>
      </c>
      <c r="BE180" s="181">
        <v>40</v>
      </c>
      <c r="BF180" s="181"/>
      <c r="BG180" s="181" t="s">
        <v>490</v>
      </c>
      <c r="BH180" s="181" t="s">
        <v>658</v>
      </c>
      <c r="BI180" s="181">
        <v>923022495</v>
      </c>
      <c r="BJ180" s="181"/>
      <c r="BK180" s="181"/>
      <c r="BL180" s="181"/>
      <c r="BM180" s="181"/>
      <c r="BN180" s="181"/>
      <c r="BO180" s="181"/>
      <c r="BP180" s="181"/>
      <c r="BQ180" s="181"/>
      <c r="BR180" s="181"/>
      <c r="BS180" s="181"/>
      <c r="BT180" s="181"/>
      <c r="BU180" s="181"/>
      <c r="BV180" s="181"/>
      <c r="BW180" s="181"/>
      <c r="BX180" s="181"/>
      <c r="BY180" s="181"/>
      <c r="BZ180" s="181"/>
      <c r="CA180" s="190"/>
      <c r="CB180" s="3"/>
      <c r="CC180" s="16"/>
      <c r="CD180" s="16"/>
      <c r="CE180" s="16"/>
      <c r="CF180" s="16"/>
      <c r="CG180" s="16"/>
      <c r="CH180" s="16"/>
      <c r="CI180" s="16" t="s">
        <v>2105</v>
      </c>
    </row>
    <row r="181" spans="1:87">
      <c r="A181" s="16" t="s">
        <v>5</v>
      </c>
      <c r="B181" s="16" t="s">
        <v>719</v>
      </c>
      <c r="C181" s="3">
        <v>46272</v>
      </c>
      <c r="D181" s="26" t="s">
        <v>14</v>
      </c>
      <c r="E181" s="180" t="s">
        <v>2106</v>
      </c>
      <c r="F181" s="181">
        <v>2026218790178</v>
      </c>
      <c r="G181" s="181">
        <v>40</v>
      </c>
      <c r="H181" s="181">
        <v>32</v>
      </c>
      <c r="I181" s="181" t="s">
        <v>460</v>
      </c>
      <c r="J181" s="181" t="s">
        <v>2106</v>
      </c>
      <c r="K181" s="181" t="s">
        <v>496</v>
      </c>
      <c r="L181" s="181" t="s">
        <v>17</v>
      </c>
      <c r="M181" s="181">
        <v>30</v>
      </c>
      <c r="N181" s="181" t="s">
        <v>462</v>
      </c>
      <c r="O181" s="181" t="s">
        <v>606</v>
      </c>
      <c r="P181" s="181">
        <v>132331133</v>
      </c>
      <c r="Q181" s="181" t="s">
        <v>465</v>
      </c>
      <c r="R181" s="181" t="s">
        <v>466</v>
      </c>
      <c r="S181" s="181" t="s">
        <v>2107</v>
      </c>
      <c r="T181" s="181">
        <v>173327</v>
      </c>
      <c r="U181" s="182">
        <v>46240.313194444447</v>
      </c>
      <c r="V181" s="181" t="s">
        <v>469</v>
      </c>
      <c r="W181" s="181" t="s">
        <v>651</v>
      </c>
      <c r="X181" s="181" t="s">
        <v>652</v>
      </c>
      <c r="Y181" s="181" t="s">
        <v>653</v>
      </c>
      <c r="Z181" s="181" t="s">
        <v>524</v>
      </c>
      <c r="AA181" s="181" t="s">
        <v>474</v>
      </c>
      <c r="AB181" s="181" t="s">
        <v>757</v>
      </c>
      <c r="AC181" s="181" t="s">
        <v>526</v>
      </c>
      <c r="AD181" s="181">
        <v>311483173</v>
      </c>
      <c r="AE181" s="181">
        <v>1386670065</v>
      </c>
      <c r="AF181" s="181">
        <v>1427504752</v>
      </c>
      <c r="AG181" s="181">
        <v>3.3020241232798E+16</v>
      </c>
      <c r="AH181" s="181"/>
      <c r="AI181" s="181" t="s">
        <v>91</v>
      </c>
      <c r="AJ181" s="181" t="s">
        <v>481</v>
      </c>
      <c r="AK181" s="181" t="s">
        <v>2108</v>
      </c>
      <c r="AL181" s="181">
        <v>15256</v>
      </c>
      <c r="AM181" s="181"/>
      <c r="AN181" s="181"/>
      <c r="AO181" s="181">
        <v>132</v>
      </c>
      <c r="AP181" s="181" t="s">
        <v>485</v>
      </c>
      <c r="AQ181" s="181" t="s">
        <v>2109</v>
      </c>
      <c r="AR181" s="183">
        <v>46242</v>
      </c>
      <c r="AS181" s="181" t="s">
        <v>496</v>
      </c>
      <c r="AT181" s="181" t="s">
        <v>579</v>
      </c>
      <c r="AU181" s="181"/>
      <c r="AV181" s="181" t="s">
        <v>2110</v>
      </c>
      <c r="AW181" s="181"/>
      <c r="AX181" s="181"/>
      <c r="AY181" s="181"/>
      <c r="AZ181" s="181"/>
      <c r="BA181" s="181"/>
      <c r="BB181" s="181"/>
      <c r="BC181" s="181"/>
      <c r="BD181" s="181" t="s">
        <v>91</v>
      </c>
      <c r="BE181" s="181">
        <v>32</v>
      </c>
      <c r="BF181" s="181"/>
      <c r="BG181" s="181"/>
      <c r="BH181" s="181" t="s">
        <v>658</v>
      </c>
      <c r="BI181" s="181">
        <v>132331133</v>
      </c>
      <c r="BJ181" s="181"/>
      <c r="BK181" s="181"/>
      <c r="BL181" s="181"/>
      <c r="BM181" s="181"/>
      <c r="BN181" s="181"/>
      <c r="BO181" s="181"/>
      <c r="BP181" s="181"/>
      <c r="BQ181" s="181"/>
      <c r="BR181" s="181"/>
      <c r="BS181" s="181"/>
      <c r="BT181" s="181"/>
      <c r="BU181" s="181"/>
      <c r="BV181" s="181"/>
      <c r="BW181" s="181"/>
      <c r="BX181" s="181"/>
      <c r="BY181" s="181"/>
      <c r="BZ181" s="181"/>
      <c r="CA181" s="190">
        <v>46281.666666666701</v>
      </c>
      <c r="CB181" s="3"/>
      <c r="CC181" s="16"/>
      <c r="CD181" s="16"/>
      <c r="CE181" s="16"/>
      <c r="CF181" s="16"/>
      <c r="CG181" s="16"/>
      <c r="CH181" s="16"/>
      <c r="CI181" s="16" t="s">
        <v>2111</v>
      </c>
    </row>
    <row r="182" spans="1:87" ht="29.25">
      <c r="A182" s="16" t="s">
        <v>5</v>
      </c>
      <c r="B182" s="25" t="s">
        <v>2112</v>
      </c>
      <c r="C182" s="3">
        <v>46272</v>
      </c>
      <c r="D182" s="26" t="s">
        <v>14</v>
      </c>
      <c r="E182" s="180" t="s">
        <v>2113</v>
      </c>
      <c r="F182" s="181">
        <v>2026216630004</v>
      </c>
      <c r="G182" s="181">
        <v>40</v>
      </c>
      <c r="H182" s="181">
        <v>34</v>
      </c>
      <c r="I182" s="181" t="s">
        <v>460</v>
      </c>
      <c r="J182" s="181" t="s">
        <v>2113</v>
      </c>
      <c r="K182" s="181" t="s">
        <v>1040</v>
      </c>
      <c r="L182" s="181" t="s">
        <v>17</v>
      </c>
      <c r="M182" s="181">
        <v>32</v>
      </c>
      <c r="N182" s="181" t="s">
        <v>462</v>
      </c>
      <c r="O182" s="181" t="s">
        <v>606</v>
      </c>
      <c r="P182" s="181" t="s">
        <v>2114</v>
      </c>
      <c r="Q182" s="181" t="s">
        <v>465</v>
      </c>
      <c r="R182" s="181" t="s">
        <v>466</v>
      </c>
      <c r="S182" s="181" t="s">
        <v>2115</v>
      </c>
      <c r="T182" s="181">
        <v>173327</v>
      </c>
      <c r="U182" s="182">
        <v>46240.650694444441</v>
      </c>
      <c r="V182" s="181" t="s">
        <v>469</v>
      </c>
      <c r="W182" s="181" t="s">
        <v>651</v>
      </c>
      <c r="X182" s="181" t="s">
        <v>652</v>
      </c>
      <c r="Y182" s="181" t="s">
        <v>653</v>
      </c>
      <c r="Z182" s="181" t="s">
        <v>524</v>
      </c>
      <c r="AA182" s="181" t="s">
        <v>474</v>
      </c>
      <c r="AB182" s="181" t="s">
        <v>757</v>
      </c>
      <c r="AC182" s="181" t="s">
        <v>526</v>
      </c>
      <c r="AD182" s="181">
        <v>204881619</v>
      </c>
      <c r="AE182" s="181">
        <v>1669499414</v>
      </c>
      <c r="AF182" s="181">
        <v>1447592282</v>
      </c>
      <c r="AG182" s="181">
        <v>3.3020252170417E+16</v>
      </c>
      <c r="AH182" s="181"/>
      <c r="AI182" s="181" t="s">
        <v>173</v>
      </c>
      <c r="AJ182" s="181" t="s">
        <v>481</v>
      </c>
      <c r="AK182" s="181" t="s">
        <v>2116</v>
      </c>
      <c r="AL182" s="181">
        <v>13795</v>
      </c>
      <c r="AM182" s="181"/>
      <c r="AN182" s="181"/>
      <c r="AO182" s="181" t="s">
        <v>2117</v>
      </c>
      <c r="AP182" s="181" t="s">
        <v>485</v>
      </c>
      <c r="AQ182" s="181" t="s">
        <v>2118</v>
      </c>
      <c r="AR182" s="183">
        <v>46240</v>
      </c>
      <c r="AS182" s="181" t="s">
        <v>173</v>
      </c>
      <c r="AT182" s="181" t="s">
        <v>1047</v>
      </c>
      <c r="AU182" s="181"/>
      <c r="AV182" s="181" t="s">
        <v>2119</v>
      </c>
      <c r="AW182" s="181"/>
      <c r="AX182" s="181"/>
      <c r="AY182" s="181"/>
      <c r="AZ182" s="181"/>
      <c r="BA182" s="181"/>
      <c r="BB182" s="181"/>
      <c r="BC182" s="181"/>
      <c r="BD182" s="181" t="s">
        <v>173</v>
      </c>
      <c r="BE182" s="181">
        <v>34</v>
      </c>
      <c r="BF182" s="181"/>
      <c r="BG182" s="181"/>
      <c r="BH182" s="181" t="s">
        <v>658</v>
      </c>
      <c r="BI182" s="181" t="s">
        <v>2114</v>
      </c>
      <c r="BJ182" s="181"/>
      <c r="BK182" s="181"/>
      <c r="BL182" s="181"/>
      <c r="BM182" s="181"/>
      <c r="BN182" s="181"/>
      <c r="BO182" s="181"/>
      <c r="BP182" s="181"/>
      <c r="BQ182" s="181"/>
      <c r="BR182" s="181"/>
      <c r="BS182" s="181"/>
      <c r="BT182" s="181"/>
      <c r="BU182" s="181"/>
      <c r="BV182" s="181"/>
      <c r="BW182" s="181"/>
      <c r="BX182" s="181"/>
      <c r="BY182" s="181"/>
      <c r="BZ182" s="181"/>
      <c r="CA182" s="190">
        <v>46282.666666666701</v>
      </c>
      <c r="CB182" s="3"/>
      <c r="CC182" s="16"/>
      <c r="CD182" s="16"/>
      <c r="CE182" s="16"/>
      <c r="CF182" s="16"/>
      <c r="CG182" s="16"/>
      <c r="CH182" s="16"/>
      <c r="CI182" s="16" t="s">
        <v>2120</v>
      </c>
    </row>
    <row r="183" spans="1:87" ht="29.25">
      <c r="A183" s="16" t="s">
        <v>5</v>
      </c>
      <c r="B183" s="25" t="s">
        <v>1179</v>
      </c>
      <c r="C183" s="3">
        <v>46272</v>
      </c>
      <c r="D183" s="26" t="s">
        <v>14</v>
      </c>
      <c r="E183" s="180" t="s">
        <v>2121</v>
      </c>
      <c r="F183" s="181">
        <v>2026215430393</v>
      </c>
      <c r="G183" s="181">
        <v>40</v>
      </c>
      <c r="H183" s="181">
        <v>35</v>
      </c>
      <c r="I183" s="181" t="s">
        <v>460</v>
      </c>
      <c r="J183" s="181" t="s">
        <v>2121</v>
      </c>
      <c r="K183" s="181" t="s">
        <v>1040</v>
      </c>
      <c r="L183" s="181" t="s">
        <v>17</v>
      </c>
      <c r="M183" s="181">
        <v>12</v>
      </c>
      <c r="N183" s="181" t="s">
        <v>462</v>
      </c>
      <c r="O183" s="181" t="s">
        <v>606</v>
      </c>
      <c r="P183" s="181">
        <v>31595</v>
      </c>
      <c r="Q183" s="181" t="s">
        <v>465</v>
      </c>
      <c r="R183" s="181" t="s">
        <v>466</v>
      </c>
      <c r="S183" s="181" t="s">
        <v>2122</v>
      </c>
      <c r="T183" s="181">
        <v>173326</v>
      </c>
      <c r="U183" s="182">
        <v>46259.827777777777</v>
      </c>
      <c r="V183" s="181" t="s">
        <v>469</v>
      </c>
      <c r="W183" s="181" t="s">
        <v>651</v>
      </c>
      <c r="X183" s="181" t="s">
        <v>652</v>
      </c>
      <c r="Y183" s="181" t="s">
        <v>653</v>
      </c>
      <c r="Z183" s="181" t="s">
        <v>473</v>
      </c>
      <c r="AA183" s="181" t="s">
        <v>474</v>
      </c>
      <c r="AB183" s="181" t="s">
        <v>684</v>
      </c>
      <c r="AC183" s="181" t="s">
        <v>476</v>
      </c>
      <c r="AD183" s="181">
        <v>391824445</v>
      </c>
      <c r="AE183" s="181">
        <v>1598784555</v>
      </c>
      <c r="AF183" s="181">
        <v>1093779688</v>
      </c>
      <c r="AG183" s="181">
        <v>4.5820252860700304E+16</v>
      </c>
      <c r="AH183" s="181"/>
      <c r="AI183" s="181" t="s">
        <v>173</v>
      </c>
      <c r="AJ183" s="181" t="s">
        <v>481</v>
      </c>
      <c r="AK183" s="181" t="s">
        <v>2123</v>
      </c>
      <c r="AL183" s="181">
        <v>13692</v>
      </c>
      <c r="AM183" s="181"/>
      <c r="AN183" s="181"/>
      <c r="AO183" s="181">
        <v>0</v>
      </c>
      <c r="AP183" s="181" t="s">
        <v>485</v>
      </c>
      <c r="AQ183" s="181" t="s">
        <v>2124</v>
      </c>
      <c r="AR183" s="183">
        <v>46260</v>
      </c>
      <c r="AS183" s="181" t="s">
        <v>173</v>
      </c>
      <c r="AT183" s="181" t="s">
        <v>1047</v>
      </c>
      <c r="AU183" s="181"/>
      <c r="AV183" s="181" t="s">
        <v>2125</v>
      </c>
      <c r="AW183" s="181"/>
      <c r="AX183" s="181"/>
      <c r="AY183" s="181"/>
      <c r="AZ183" s="181"/>
      <c r="BA183" s="181"/>
      <c r="BB183" s="181"/>
      <c r="BC183" s="181"/>
      <c r="BD183" s="181" t="s">
        <v>173</v>
      </c>
      <c r="BE183" s="181">
        <v>35</v>
      </c>
      <c r="BF183" s="181"/>
      <c r="BG183" s="181"/>
      <c r="BH183" s="181" t="s">
        <v>658</v>
      </c>
      <c r="BI183" s="181">
        <v>31595</v>
      </c>
      <c r="BJ183" s="181"/>
      <c r="BK183" s="181"/>
      <c r="BL183" s="181"/>
      <c r="BM183" s="181"/>
      <c r="BN183" s="181"/>
      <c r="BO183" s="181"/>
      <c r="BP183" s="181"/>
      <c r="BQ183" s="181"/>
      <c r="BR183" s="181"/>
      <c r="BS183" s="181"/>
      <c r="BT183" s="181"/>
      <c r="BU183" s="181"/>
      <c r="BV183" s="181"/>
      <c r="BW183" s="181"/>
      <c r="BX183" s="181"/>
      <c r="BY183" s="181"/>
      <c r="BZ183" s="181"/>
      <c r="CA183" s="190">
        <v>46282.666666666701</v>
      </c>
      <c r="CB183" s="3"/>
      <c r="CC183" s="16"/>
      <c r="CD183" s="16"/>
      <c r="CE183" s="16"/>
      <c r="CF183" s="16"/>
      <c r="CG183" s="16"/>
      <c r="CH183" s="16"/>
      <c r="CI183" s="16" t="s">
        <v>2126</v>
      </c>
    </row>
    <row r="184" spans="1:87">
      <c r="A184" s="16" t="s">
        <v>5</v>
      </c>
      <c r="B184" s="16" t="s">
        <v>976</v>
      </c>
      <c r="C184" s="3">
        <v>46272</v>
      </c>
      <c r="D184" s="26" t="s">
        <v>14</v>
      </c>
      <c r="E184" s="180" t="s">
        <v>2127</v>
      </c>
      <c r="F184" s="181">
        <v>2026215580356</v>
      </c>
      <c r="G184" s="181">
        <v>40</v>
      </c>
      <c r="H184" s="181">
        <v>35</v>
      </c>
      <c r="I184" s="181" t="s">
        <v>460</v>
      </c>
      <c r="J184" s="181" t="s">
        <v>2127</v>
      </c>
      <c r="K184" s="181" t="s">
        <v>461</v>
      </c>
      <c r="L184" s="181" t="s">
        <v>17</v>
      </c>
      <c r="M184" s="181">
        <v>12</v>
      </c>
      <c r="N184" s="181" t="s">
        <v>462</v>
      </c>
      <c r="O184" s="181" t="s">
        <v>606</v>
      </c>
      <c r="P184" s="181">
        <v>125157162</v>
      </c>
      <c r="Q184" s="181" t="s">
        <v>465</v>
      </c>
      <c r="R184" s="181" t="s">
        <v>466</v>
      </c>
      <c r="S184" s="181" t="s">
        <v>2128</v>
      </c>
      <c r="T184" s="181">
        <v>173326</v>
      </c>
      <c r="U184" s="182">
        <v>46259.823611111111</v>
      </c>
      <c r="V184" s="181" t="s">
        <v>469</v>
      </c>
      <c r="W184" s="181" t="s">
        <v>651</v>
      </c>
      <c r="X184" s="181" t="s">
        <v>652</v>
      </c>
      <c r="Y184" s="181" t="s">
        <v>653</v>
      </c>
      <c r="Z184" s="181" t="s">
        <v>473</v>
      </c>
      <c r="AA184" s="181" t="s">
        <v>474</v>
      </c>
      <c r="AB184" s="181" t="s">
        <v>2129</v>
      </c>
      <c r="AC184" s="181" t="s">
        <v>476</v>
      </c>
      <c r="AD184" s="181">
        <v>391824445</v>
      </c>
      <c r="AE184" s="181">
        <v>1598784555</v>
      </c>
      <c r="AF184" s="181">
        <v>1235476755</v>
      </c>
      <c r="AG184" s="181">
        <v>4.5820253101358304E+16</v>
      </c>
      <c r="AH184" s="181"/>
      <c r="AI184" s="181" t="s">
        <v>67</v>
      </c>
      <c r="AJ184" s="181" t="s">
        <v>481</v>
      </c>
      <c r="AK184" s="181" t="s">
        <v>2130</v>
      </c>
      <c r="AL184" s="181">
        <v>23065</v>
      </c>
      <c r="AM184" s="181"/>
      <c r="AN184" s="181"/>
      <c r="AO184" s="181">
        <v>125</v>
      </c>
      <c r="AP184" s="181" t="s">
        <v>485</v>
      </c>
      <c r="AQ184" s="181" t="s">
        <v>2131</v>
      </c>
      <c r="AR184" s="183">
        <v>46260</v>
      </c>
      <c r="AS184" s="181" t="s">
        <v>67</v>
      </c>
      <c r="AT184" s="181" t="s">
        <v>487</v>
      </c>
      <c r="AU184" s="181"/>
      <c r="AV184" s="181" t="s">
        <v>2132</v>
      </c>
      <c r="AW184" s="181"/>
      <c r="AX184" s="181"/>
      <c r="AY184" s="181"/>
      <c r="AZ184" s="181"/>
      <c r="BA184" s="181"/>
      <c r="BB184" s="181"/>
      <c r="BC184" s="181"/>
      <c r="BD184" s="181" t="s">
        <v>67</v>
      </c>
      <c r="BE184" s="181">
        <v>35</v>
      </c>
      <c r="BF184" s="181"/>
      <c r="BG184" s="181"/>
      <c r="BH184" s="181" t="s">
        <v>658</v>
      </c>
      <c r="BI184" s="181">
        <v>125157162</v>
      </c>
      <c r="BJ184" s="181"/>
      <c r="BK184" s="181"/>
      <c r="BL184" s="181"/>
      <c r="BM184" s="181"/>
      <c r="BN184" s="181"/>
      <c r="BO184" s="181"/>
      <c r="BP184" s="181"/>
      <c r="BQ184" s="181"/>
      <c r="BR184" s="181"/>
      <c r="BS184" s="181"/>
      <c r="BT184" s="181"/>
      <c r="BU184" s="181"/>
      <c r="BV184" s="181"/>
      <c r="BW184" s="181"/>
      <c r="BX184" s="181"/>
      <c r="BY184" s="181"/>
      <c r="BZ184" s="181"/>
      <c r="CA184" s="190">
        <v>46275.166666666701</v>
      </c>
      <c r="CB184" s="3"/>
      <c r="CC184" s="16"/>
      <c r="CD184" s="16"/>
      <c r="CE184" s="16"/>
      <c r="CF184" s="16"/>
      <c r="CG184" s="16"/>
      <c r="CH184" s="16"/>
      <c r="CI184" s="16" t="s">
        <v>2133</v>
      </c>
    </row>
    <row r="185" spans="1:87">
      <c r="A185" s="16" t="s">
        <v>5</v>
      </c>
      <c r="B185" s="16" t="s">
        <v>2134</v>
      </c>
      <c r="C185" s="3">
        <v>46272</v>
      </c>
      <c r="D185" s="26" t="s">
        <v>14</v>
      </c>
      <c r="E185" s="180" t="s">
        <v>2135</v>
      </c>
      <c r="F185" s="181">
        <v>2026216770611</v>
      </c>
      <c r="G185" s="181">
        <v>40</v>
      </c>
      <c r="H185" s="181">
        <v>34</v>
      </c>
      <c r="I185" s="181" t="s">
        <v>460</v>
      </c>
      <c r="J185" s="181" t="s">
        <v>2135</v>
      </c>
      <c r="K185" s="181" t="s">
        <v>585</v>
      </c>
      <c r="L185" s="181" t="s">
        <v>17</v>
      </c>
      <c r="M185" s="181">
        <v>11</v>
      </c>
      <c r="N185" s="181" t="s">
        <v>462</v>
      </c>
      <c r="O185" s="181" t="s">
        <v>606</v>
      </c>
      <c r="P185" s="181">
        <v>832963830</v>
      </c>
      <c r="Q185" s="181" t="s">
        <v>465</v>
      </c>
      <c r="R185" s="181" t="s">
        <v>466</v>
      </c>
      <c r="S185" s="181" t="s">
        <v>2136</v>
      </c>
      <c r="T185" s="181">
        <v>173326</v>
      </c>
      <c r="U185" s="182">
        <v>46260.927083333336</v>
      </c>
      <c r="V185" s="181" t="s">
        <v>469</v>
      </c>
      <c r="W185" s="181" t="s">
        <v>651</v>
      </c>
      <c r="X185" s="181" t="s">
        <v>652</v>
      </c>
      <c r="Y185" s="181" t="s">
        <v>653</v>
      </c>
      <c r="Z185" s="181" t="s">
        <v>473</v>
      </c>
      <c r="AA185" s="181" t="s">
        <v>474</v>
      </c>
      <c r="AB185" s="181" t="s">
        <v>684</v>
      </c>
      <c r="AC185" s="181" t="s">
        <v>476</v>
      </c>
      <c r="AD185" s="181">
        <v>391824445</v>
      </c>
      <c r="AE185" s="181">
        <v>1598784555</v>
      </c>
      <c r="AF185" s="181">
        <v>1689255663</v>
      </c>
      <c r="AG185" s="181">
        <v>4.5820252951079E+16</v>
      </c>
      <c r="AH185" s="181"/>
      <c r="AI185" s="181" t="s">
        <v>22</v>
      </c>
      <c r="AJ185" s="181" t="s">
        <v>481</v>
      </c>
      <c r="AK185" s="181" t="s">
        <v>2137</v>
      </c>
      <c r="AL185" s="181">
        <v>8848</v>
      </c>
      <c r="AM185" s="181"/>
      <c r="AN185" s="181"/>
      <c r="AO185" s="181">
        <v>832</v>
      </c>
      <c r="AP185" s="181" t="s">
        <v>485</v>
      </c>
      <c r="AQ185" s="181" t="s">
        <v>2138</v>
      </c>
      <c r="AR185" s="183">
        <v>46261</v>
      </c>
      <c r="AS185" s="181" t="s">
        <v>22</v>
      </c>
      <c r="AT185" s="181" t="s">
        <v>2139</v>
      </c>
      <c r="AU185" s="181"/>
      <c r="AV185" s="181" t="s">
        <v>2140</v>
      </c>
      <c r="AW185" s="181"/>
      <c r="AX185" s="181"/>
      <c r="AY185" s="181"/>
      <c r="AZ185" s="181"/>
      <c r="BA185" s="181"/>
      <c r="BB185" s="181"/>
      <c r="BC185" s="181"/>
      <c r="BD185" s="181" t="s">
        <v>22</v>
      </c>
      <c r="BE185" s="181">
        <v>34</v>
      </c>
      <c r="BF185" s="181"/>
      <c r="BG185" s="181"/>
      <c r="BH185" s="181" t="s">
        <v>658</v>
      </c>
      <c r="BI185" s="181">
        <v>832963830</v>
      </c>
      <c r="BJ185" s="181"/>
      <c r="BK185" s="181"/>
      <c r="BL185" s="181"/>
      <c r="BM185" s="181"/>
      <c r="BN185" s="181"/>
      <c r="BO185" s="181"/>
      <c r="BP185" s="181"/>
      <c r="BQ185" s="181"/>
      <c r="BR185" s="181"/>
      <c r="BS185" s="181"/>
      <c r="BT185" s="181"/>
      <c r="BU185" s="181"/>
      <c r="BV185" s="181"/>
      <c r="BW185" s="181"/>
      <c r="BX185" s="181"/>
      <c r="BY185" s="181"/>
      <c r="BZ185" s="181"/>
      <c r="CA185" s="190">
        <v>46281.166666666701</v>
      </c>
      <c r="CB185" s="3"/>
      <c r="CC185" s="16"/>
      <c r="CD185" s="16"/>
      <c r="CE185" s="16"/>
      <c r="CF185" s="16"/>
      <c r="CG185" s="16"/>
      <c r="CH185" s="16"/>
      <c r="CI185" s="16" t="s">
        <v>2141</v>
      </c>
    </row>
    <row r="186" spans="1:87" ht="29.25">
      <c r="A186" s="16" t="s">
        <v>5</v>
      </c>
      <c r="B186" s="25" t="s">
        <v>2142</v>
      </c>
      <c r="C186" s="3">
        <v>46272</v>
      </c>
      <c r="D186" s="26" t="s">
        <v>14</v>
      </c>
      <c r="E186" s="180" t="s">
        <v>2143</v>
      </c>
      <c r="F186" s="181">
        <v>2026212810329</v>
      </c>
      <c r="G186" s="181">
        <v>40</v>
      </c>
      <c r="H186" s="181">
        <v>38</v>
      </c>
      <c r="I186" s="181" t="s">
        <v>460</v>
      </c>
      <c r="J186" s="181" t="s">
        <v>2143</v>
      </c>
      <c r="K186" s="181" t="s">
        <v>1201</v>
      </c>
      <c r="L186" s="181" t="s">
        <v>17</v>
      </c>
      <c r="M186" s="181">
        <v>12</v>
      </c>
      <c r="N186" s="181" t="s">
        <v>462</v>
      </c>
      <c r="O186" s="181" t="s">
        <v>606</v>
      </c>
      <c r="P186" s="181">
        <v>913818327</v>
      </c>
      <c r="Q186" s="181" t="s">
        <v>465</v>
      </c>
      <c r="R186" s="181" t="s">
        <v>466</v>
      </c>
      <c r="S186" s="181" t="s">
        <v>2144</v>
      </c>
      <c r="T186" s="181">
        <v>173326</v>
      </c>
      <c r="U186" s="182">
        <v>46258.895138888889</v>
      </c>
      <c r="V186" s="181" t="s">
        <v>469</v>
      </c>
      <c r="W186" s="181" t="s">
        <v>651</v>
      </c>
      <c r="X186" s="181" t="s">
        <v>652</v>
      </c>
      <c r="Y186" s="181" t="s">
        <v>653</v>
      </c>
      <c r="Z186" s="181" t="s">
        <v>473</v>
      </c>
      <c r="AA186" s="181" t="s">
        <v>474</v>
      </c>
      <c r="AB186" s="181" t="s">
        <v>684</v>
      </c>
      <c r="AC186" s="181" t="s">
        <v>476</v>
      </c>
      <c r="AD186" s="181">
        <v>390806261</v>
      </c>
      <c r="AE186" s="181">
        <v>1699720086</v>
      </c>
      <c r="AF186" s="181">
        <v>1518509439</v>
      </c>
      <c r="AG186" s="181">
        <v>4.58202518800134E+16</v>
      </c>
      <c r="AH186" s="181"/>
      <c r="AI186" s="181" t="s">
        <v>150</v>
      </c>
      <c r="AJ186" s="181" t="s">
        <v>481</v>
      </c>
      <c r="AK186" s="181" t="s">
        <v>2145</v>
      </c>
      <c r="AL186" s="181">
        <v>51770</v>
      </c>
      <c r="AM186" s="181"/>
      <c r="AN186" s="181"/>
      <c r="AO186" s="181">
        <v>913</v>
      </c>
      <c r="AP186" s="181" t="s">
        <v>485</v>
      </c>
      <c r="AQ186" s="181" t="s">
        <v>2146</v>
      </c>
      <c r="AR186" s="183">
        <v>46260</v>
      </c>
      <c r="AS186" s="181" t="s">
        <v>1201</v>
      </c>
      <c r="AT186" s="181" t="s">
        <v>2147</v>
      </c>
      <c r="AU186" s="181"/>
      <c r="AV186" s="181" t="s">
        <v>2148</v>
      </c>
      <c r="AW186" s="181"/>
      <c r="AX186" s="181"/>
      <c r="AY186" s="181"/>
      <c r="AZ186" s="181"/>
      <c r="BA186" s="181"/>
      <c r="BB186" s="181"/>
      <c r="BC186" s="181"/>
      <c r="BD186" s="181" t="s">
        <v>150</v>
      </c>
      <c r="BE186" s="181">
        <v>38</v>
      </c>
      <c r="BF186" s="181"/>
      <c r="BG186" s="181"/>
      <c r="BH186" s="181" t="s">
        <v>658</v>
      </c>
      <c r="BI186" s="181">
        <v>913818327</v>
      </c>
      <c r="BJ186" s="181"/>
      <c r="BK186" s="181"/>
      <c r="BL186" s="181"/>
      <c r="BM186" s="181"/>
      <c r="BN186" s="181"/>
      <c r="BO186" s="181"/>
      <c r="BP186" s="181"/>
      <c r="BQ186" s="181"/>
      <c r="BR186" s="181"/>
      <c r="BS186" s="181"/>
      <c r="BT186" s="181"/>
      <c r="BU186" s="181"/>
      <c r="BV186" s="181"/>
      <c r="BW186" s="181"/>
      <c r="BX186" s="181"/>
      <c r="BY186" s="181"/>
      <c r="BZ186" s="181"/>
      <c r="CA186" s="190">
        <v>46281.166666666701</v>
      </c>
      <c r="CB186" s="3"/>
      <c r="CC186" s="16"/>
      <c r="CD186" s="16"/>
      <c r="CE186" s="16"/>
      <c r="CF186" s="16"/>
      <c r="CG186" s="16"/>
      <c r="CH186" s="16"/>
      <c r="CI186" s="16" t="s">
        <v>2149</v>
      </c>
    </row>
    <row r="187" spans="1:87">
      <c r="A187" s="16"/>
      <c r="B187" s="16"/>
      <c r="C187" s="3">
        <v>46272</v>
      </c>
      <c r="D187" s="26" t="s">
        <v>14</v>
      </c>
      <c r="E187" s="180" t="s">
        <v>2150</v>
      </c>
      <c r="F187" s="181">
        <v>2026216570481</v>
      </c>
      <c r="G187" s="181">
        <v>40</v>
      </c>
      <c r="H187" s="181">
        <v>34</v>
      </c>
      <c r="I187" s="181" t="s">
        <v>460</v>
      </c>
      <c r="J187" s="181" t="s">
        <v>2150</v>
      </c>
      <c r="K187" s="181" t="s">
        <v>960</v>
      </c>
      <c r="L187" s="181" t="s">
        <v>13</v>
      </c>
      <c r="M187" s="181">
        <v>11</v>
      </c>
      <c r="N187" s="181" t="s">
        <v>462</v>
      </c>
      <c r="O187" s="181" t="s">
        <v>606</v>
      </c>
      <c r="P187" s="181" t="s">
        <v>2151</v>
      </c>
      <c r="Q187" s="181" t="s">
        <v>465</v>
      </c>
      <c r="R187" s="181" t="s">
        <v>466</v>
      </c>
      <c r="S187" s="181" t="s">
        <v>2152</v>
      </c>
      <c r="T187" s="181">
        <v>173326</v>
      </c>
      <c r="U187" s="182">
        <v>46260.851388888892</v>
      </c>
      <c r="V187" s="181" t="s">
        <v>469</v>
      </c>
      <c r="W187" s="181" t="s">
        <v>651</v>
      </c>
      <c r="X187" s="181" t="s">
        <v>652</v>
      </c>
      <c r="Y187" s="181" t="s">
        <v>653</v>
      </c>
      <c r="Z187" s="181" t="s">
        <v>473</v>
      </c>
      <c r="AA187" s="181" t="s">
        <v>474</v>
      </c>
      <c r="AB187" s="181" t="s">
        <v>684</v>
      </c>
      <c r="AC187" s="181" t="s">
        <v>476</v>
      </c>
      <c r="AD187" s="181">
        <v>390813416</v>
      </c>
      <c r="AE187" s="181">
        <v>1376593442</v>
      </c>
      <c r="AF187" s="181">
        <v>1851386676</v>
      </c>
      <c r="AG187" s="181">
        <v>4.5820252680889696E+16</v>
      </c>
      <c r="AH187" s="181"/>
      <c r="AI187" s="181" t="s">
        <v>55</v>
      </c>
      <c r="AJ187" s="181" t="s">
        <v>481</v>
      </c>
      <c r="AK187" s="181" t="s">
        <v>2153</v>
      </c>
      <c r="AL187" s="181">
        <v>8752</v>
      </c>
      <c r="AM187" s="181"/>
      <c r="AN187" s="181"/>
      <c r="AO187" s="181" t="s">
        <v>2154</v>
      </c>
      <c r="AP187" s="181" t="s">
        <v>485</v>
      </c>
      <c r="AQ187" s="181" t="s">
        <v>2155</v>
      </c>
      <c r="AR187" s="183">
        <v>46261</v>
      </c>
      <c r="AS187" s="181" t="s">
        <v>55</v>
      </c>
      <c r="AT187" s="181" t="s">
        <v>516</v>
      </c>
      <c r="AU187" s="181"/>
      <c r="AV187" s="181" t="s">
        <v>2156</v>
      </c>
      <c r="AW187" s="181"/>
      <c r="AX187" s="181"/>
      <c r="AY187" s="181"/>
      <c r="AZ187" s="181"/>
      <c r="BA187" s="181"/>
      <c r="BB187" s="181"/>
      <c r="BC187" s="181"/>
      <c r="BD187" s="181" t="s">
        <v>55</v>
      </c>
      <c r="BE187" s="181">
        <v>34</v>
      </c>
      <c r="BF187" s="181"/>
      <c r="BG187" s="181"/>
      <c r="BH187" s="181" t="s">
        <v>658</v>
      </c>
      <c r="BI187" s="181" t="s">
        <v>2151</v>
      </c>
      <c r="BJ187" s="181"/>
      <c r="BK187" s="181"/>
      <c r="BL187" s="181"/>
      <c r="BM187" s="181"/>
      <c r="BN187" s="181"/>
      <c r="BO187" s="181"/>
      <c r="BP187" s="181"/>
      <c r="BQ187" s="181"/>
      <c r="BR187" s="181"/>
      <c r="BS187" s="181"/>
      <c r="BT187" s="181"/>
      <c r="BU187" s="181"/>
      <c r="BV187" s="181"/>
      <c r="BW187" s="181"/>
      <c r="BX187" s="181"/>
      <c r="BY187" s="181"/>
      <c r="BZ187" s="181"/>
      <c r="CA187" s="190"/>
      <c r="CB187" s="3"/>
      <c r="CC187" s="16"/>
      <c r="CD187" s="16"/>
      <c r="CE187" s="16"/>
      <c r="CF187" s="16"/>
      <c r="CG187" s="16"/>
      <c r="CH187" s="16"/>
      <c r="CI187" s="16" t="s">
        <v>2157</v>
      </c>
    </row>
    <row r="188" spans="1:87" ht="29.25">
      <c r="A188" s="16" t="s">
        <v>5</v>
      </c>
      <c r="B188" s="25" t="s">
        <v>1553</v>
      </c>
      <c r="C188" s="3">
        <v>46272</v>
      </c>
      <c r="D188" s="26" t="s">
        <v>14</v>
      </c>
      <c r="E188" s="180" t="s">
        <v>2158</v>
      </c>
      <c r="F188" s="181">
        <v>2026216760452</v>
      </c>
      <c r="G188" s="181">
        <v>40</v>
      </c>
      <c r="H188" s="181">
        <v>34</v>
      </c>
      <c r="I188" s="181" t="s">
        <v>460</v>
      </c>
      <c r="J188" s="181" t="s">
        <v>2158</v>
      </c>
      <c r="K188" s="181" t="s">
        <v>1555</v>
      </c>
      <c r="L188" s="181" t="s">
        <v>17</v>
      </c>
      <c r="M188" s="181">
        <v>11</v>
      </c>
      <c r="N188" s="181" t="s">
        <v>462</v>
      </c>
      <c r="O188" s="181" t="s">
        <v>606</v>
      </c>
      <c r="P188" s="181" t="s">
        <v>2159</v>
      </c>
      <c r="Q188" s="181" t="s">
        <v>465</v>
      </c>
      <c r="R188" s="181" t="s">
        <v>466</v>
      </c>
      <c r="S188" s="181" t="s">
        <v>2160</v>
      </c>
      <c r="T188" s="181">
        <v>173326</v>
      </c>
      <c r="U188" s="182">
        <v>46260.847916666666</v>
      </c>
      <c r="V188" s="181" t="s">
        <v>469</v>
      </c>
      <c r="W188" s="181" t="s">
        <v>651</v>
      </c>
      <c r="X188" s="181" t="s">
        <v>652</v>
      </c>
      <c r="Y188" s="181" t="s">
        <v>653</v>
      </c>
      <c r="Z188" s="181" t="s">
        <v>473</v>
      </c>
      <c r="AA188" s="181" t="s">
        <v>474</v>
      </c>
      <c r="AB188" s="181" t="s">
        <v>684</v>
      </c>
      <c r="AC188" s="181" t="s">
        <v>476</v>
      </c>
      <c r="AD188" s="181">
        <v>390813416</v>
      </c>
      <c r="AE188" s="181">
        <v>1376593442</v>
      </c>
      <c r="AF188" s="181">
        <v>1730370701</v>
      </c>
      <c r="AG188" s="181">
        <v>4.5820253372167696E+16</v>
      </c>
      <c r="AH188" s="181"/>
      <c r="AI188" s="181" t="s">
        <v>32</v>
      </c>
      <c r="AJ188" s="181" t="s">
        <v>481</v>
      </c>
      <c r="AK188" s="181" t="s">
        <v>2161</v>
      </c>
      <c r="AL188" s="181">
        <v>19273</v>
      </c>
      <c r="AM188" s="181"/>
      <c r="AN188" s="181"/>
      <c r="AO188" s="181" t="s">
        <v>2162</v>
      </c>
      <c r="AP188" s="181" t="s">
        <v>485</v>
      </c>
      <c r="AQ188" s="181" t="s">
        <v>2163</v>
      </c>
      <c r="AR188" s="183">
        <v>46261</v>
      </c>
      <c r="AS188" s="181" t="s">
        <v>32</v>
      </c>
      <c r="AT188" s="181" t="s">
        <v>516</v>
      </c>
      <c r="AU188" s="181"/>
      <c r="AV188" s="181" t="s">
        <v>2164</v>
      </c>
      <c r="AW188" s="181"/>
      <c r="AX188" s="181"/>
      <c r="AY188" s="181"/>
      <c r="AZ188" s="181"/>
      <c r="BA188" s="181"/>
      <c r="BB188" s="181"/>
      <c r="BC188" s="181"/>
      <c r="BD188" s="181" t="s">
        <v>32</v>
      </c>
      <c r="BE188" s="181">
        <v>34</v>
      </c>
      <c r="BF188" s="181"/>
      <c r="BG188" s="181"/>
      <c r="BH188" s="181" t="s">
        <v>658</v>
      </c>
      <c r="BI188" s="181" t="s">
        <v>2159</v>
      </c>
      <c r="BJ188" s="181"/>
      <c r="BK188" s="181"/>
      <c r="BL188" s="181"/>
      <c r="BM188" s="181"/>
      <c r="BN188" s="181"/>
      <c r="BO188" s="181"/>
      <c r="BP188" s="181"/>
      <c r="BQ188" s="181"/>
      <c r="BR188" s="181"/>
      <c r="BS188" s="181"/>
      <c r="BT188" s="181"/>
      <c r="BU188" s="181"/>
      <c r="BV188" s="181"/>
      <c r="BW188" s="181"/>
      <c r="BX188" s="181"/>
      <c r="BY188" s="181"/>
      <c r="BZ188" s="181"/>
      <c r="CA188" s="190">
        <v>46285.666666666701</v>
      </c>
      <c r="CB188" s="3"/>
      <c r="CC188" s="16"/>
      <c r="CD188" s="16"/>
      <c r="CE188" s="16"/>
      <c r="CF188" s="16"/>
      <c r="CG188" s="16"/>
      <c r="CH188" s="16"/>
      <c r="CI188" s="16" t="s">
        <v>2165</v>
      </c>
    </row>
    <row r="189" spans="1:87">
      <c r="A189" s="16" t="s">
        <v>5</v>
      </c>
      <c r="B189" s="16" t="s">
        <v>2166</v>
      </c>
      <c r="C189" s="3">
        <v>46272</v>
      </c>
      <c r="D189" s="26" t="s">
        <v>14</v>
      </c>
      <c r="E189" s="180" t="s">
        <v>2167</v>
      </c>
      <c r="F189" s="181">
        <v>2026208430223</v>
      </c>
      <c r="G189" s="181">
        <v>40</v>
      </c>
      <c r="H189" s="181">
        <v>42</v>
      </c>
      <c r="I189" s="181" t="s">
        <v>460</v>
      </c>
      <c r="J189" s="181" t="s">
        <v>2167</v>
      </c>
      <c r="K189" s="181" t="s">
        <v>2168</v>
      </c>
      <c r="L189" s="181" t="s">
        <v>17</v>
      </c>
      <c r="M189" s="181">
        <v>19</v>
      </c>
      <c r="N189" s="181" t="s">
        <v>462</v>
      </c>
      <c r="O189" s="181" t="s">
        <v>606</v>
      </c>
      <c r="P189" s="181">
        <v>920204560</v>
      </c>
      <c r="Q189" s="181" t="s">
        <v>465</v>
      </c>
      <c r="R189" s="181" t="s">
        <v>466</v>
      </c>
      <c r="S189" s="181" t="s">
        <v>2169</v>
      </c>
      <c r="T189" s="181">
        <v>173326</v>
      </c>
      <c r="U189" s="182">
        <v>46253.633333333331</v>
      </c>
      <c r="V189" s="181" t="s">
        <v>469</v>
      </c>
      <c r="W189" s="181" t="s">
        <v>651</v>
      </c>
      <c r="X189" s="181" t="s">
        <v>652</v>
      </c>
      <c r="Y189" s="181" t="s">
        <v>653</v>
      </c>
      <c r="Z189" s="181" t="s">
        <v>473</v>
      </c>
      <c r="AA189" s="181" t="s">
        <v>474</v>
      </c>
      <c r="AB189" s="181" t="s">
        <v>684</v>
      </c>
      <c r="AC189" s="181" t="s">
        <v>476</v>
      </c>
      <c r="AD189" s="181">
        <v>391128616</v>
      </c>
      <c r="AE189" s="181">
        <v>1053358846</v>
      </c>
      <c r="AF189" s="181">
        <v>1063793818</v>
      </c>
      <c r="AG189" s="181">
        <v>4.58202533616364E+16</v>
      </c>
      <c r="AH189" s="181"/>
      <c r="AI189" s="181" t="s">
        <v>134</v>
      </c>
      <c r="AJ189" s="181" t="s">
        <v>481</v>
      </c>
      <c r="AK189" s="181" t="s">
        <v>2170</v>
      </c>
      <c r="AL189" s="181">
        <v>23675</v>
      </c>
      <c r="AM189" s="181"/>
      <c r="AN189" s="181"/>
      <c r="AO189" s="181">
        <v>920</v>
      </c>
      <c r="AP189" s="181" t="s">
        <v>485</v>
      </c>
      <c r="AQ189" s="181" t="s">
        <v>2171</v>
      </c>
      <c r="AR189" s="183">
        <v>46253</v>
      </c>
      <c r="AS189" s="181" t="s">
        <v>134</v>
      </c>
      <c r="AT189" s="181" t="s">
        <v>2172</v>
      </c>
      <c r="AU189" s="181"/>
      <c r="AV189" s="181" t="s">
        <v>2173</v>
      </c>
      <c r="AW189" s="181"/>
      <c r="AX189" s="181"/>
      <c r="AY189" s="181"/>
      <c r="AZ189" s="181"/>
      <c r="BA189" s="181"/>
      <c r="BB189" s="181"/>
      <c r="BC189" s="181"/>
      <c r="BD189" s="181" t="s">
        <v>134</v>
      </c>
      <c r="BE189" s="181">
        <v>42</v>
      </c>
      <c r="BF189" s="181"/>
      <c r="BG189" s="181"/>
      <c r="BH189" s="181" t="s">
        <v>658</v>
      </c>
      <c r="BI189" s="181">
        <v>920204560</v>
      </c>
      <c r="BJ189" s="181"/>
      <c r="BK189" s="181"/>
      <c r="BL189" s="181"/>
      <c r="BM189" s="181"/>
      <c r="BN189" s="181"/>
      <c r="BO189" s="181"/>
      <c r="BP189" s="181"/>
      <c r="BQ189" s="181"/>
      <c r="BR189" s="181"/>
      <c r="BS189" s="181"/>
      <c r="BT189" s="181"/>
      <c r="BU189" s="181"/>
      <c r="BV189" s="181"/>
      <c r="BW189" s="181"/>
      <c r="BX189" s="181"/>
      <c r="BY189" s="181"/>
      <c r="BZ189" s="181"/>
      <c r="CA189" s="190">
        <v>46285.666666666701</v>
      </c>
      <c r="CB189" s="3"/>
      <c r="CC189" s="16"/>
      <c r="CD189" s="16"/>
      <c r="CE189" s="16"/>
      <c r="CF189" s="16"/>
      <c r="CG189" s="16"/>
      <c r="CH189" s="16"/>
      <c r="CI189" s="16" t="s">
        <v>2174</v>
      </c>
    </row>
    <row r="190" spans="1:87">
      <c r="A190" s="16" t="s">
        <v>5</v>
      </c>
      <c r="B190" s="16" t="s">
        <v>1258</v>
      </c>
      <c r="C190" s="3">
        <v>46272</v>
      </c>
      <c r="D190" s="26" t="s">
        <v>14</v>
      </c>
      <c r="E190" s="180" t="s">
        <v>2175</v>
      </c>
      <c r="F190" s="181">
        <v>2026217920024</v>
      </c>
      <c r="G190" s="181">
        <v>40</v>
      </c>
      <c r="H190" s="181">
        <v>33</v>
      </c>
      <c r="I190" s="181" t="s">
        <v>460</v>
      </c>
      <c r="J190" s="181" t="s">
        <v>2175</v>
      </c>
      <c r="K190" s="181" t="s">
        <v>1260</v>
      </c>
      <c r="L190" s="181" t="s">
        <v>13</v>
      </c>
      <c r="M190" s="181">
        <v>11</v>
      </c>
      <c r="N190" s="181" t="s">
        <v>462</v>
      </c>
      <c r="O190" s="181" t="s">
        <v>606</v>
      </c>
      <c r="P190" s="181">
        <v>815192380</v>
      </c>
      <c r="Q190" s="181" t="s">
        <v>465</v>
      </c>
      <c r="R190" s="181" t="s">
        <v>466</v>
      </c>
      <c r="S190" s="181" t="s">
        <v>2176</v>
      </c>
      <c r="T190" s="181">
        <v>173326</v>
      </c>
      <c r="U190" s="182">
        <v>46261.018055555556</v>
      </c>
      <c r="V190" s="181" t="s">
        <v>469</v>
      </c>
      <c r="W190" s="181" t="s">
        <v>651</v>
      </c>
      <c r="X190" s="181" t="s">
        <v>652</v>
      </c>
      <c r="Y190" s="181" t="s">
        <v>653</v>
      </c>
      <c r="Z190" s="181" t="s">
        <v>473</v>
      </c>
      <c r="AA190" s="181" t="s">
        <v>474</v>
      </c>
      <c r="AB190" s="181" t="s">
        <v>2129</v>
      </c>
      <c r="AC190" s="181" t="s">
        <v>476</v>
      </c>
      <c r="AD190" s="181">
        <v>391975482</v>
      </c>
      <c r="AE190" s="181">
        <v>1750736120</v>
      </c>
      <c r="AF190" s="181">
        <v>1619998317</v>
      </c>
      <c r="AG190" s="181">
        <v>4.5820253310404096E+16</v>
      </c>
      <c r="AH190" s="181"/>
      <c r="AI190" s="181" t="s">
        <v>30</v>
      </c>
      <c r="AJ190" s="181" t="s">
        <v>481</v>
      </c>
      <c r="AK190" s="181" t="s">
        <v>2177</v>
      </c>
      <c r="AL190" s="181">
        <v>31705</v>
      </c>
      <c r="AM190" s="181"/>
      <c r="AN190" s="181"/>
      <c r="AO190" s="181">
        <v>815</v>
      </c>
      <c r="AP190" s="181" t="s">
        <v>485</v>
      </c>
      <c r="AQ190" s="181" t="s">
        <v>2178</v>
      </c>
      <c r="AR190" s="183">
        <v>46261</v>
      </c>
      <c r="AS190" s="181" t="s">
        <v>30</v>
      </c>
      <c r="AT190" s="181" t="s">
        <v>516</v>
      </c>
      <c r="AU190" s="181"/>
      <c r="AV190" s="181" t="s">
        <v>2179</v>
      </c>
      <c r="AW190" s="181"/>
      <c r="AX190" s="181"/>
      <c r="AY190" s="181"/>
      <c r="AZ190" s="181"/>
      <c r="BA190" s="181"/>
      <c r="BB190" s="181"/>
      <c r="BC190" s="181"/>
      <c r="BD190" s="181" t="s">
        <v>30</v>
      </c>
      <c r="BE190" s="181">
        <v>33</v>
      </c>
      <c r="BF190" s="181"/>
      <c r="BG190" s="181"/>
      <c r="BH190" s="181" t="s">
        <v>658</v>
      </c>
      <c r="BI190" s="181">
        <v>815192380</v>
      </c>
      <c r="BJ190" s="181"/>
      <c r="BK190" s="181"/>
      <c r="BL190" s="181"/>
      <c r="BM190" s="181"/>
      <c r="BN190" s="181"/>
      <c r="BO190" s="181"/>
      <c r="BP190" s="181"/>
      <c r="BQ190" s="181"/>
      <c r="BR190" s="181"/>
      <c r="BS190" s="181"/>
      <c r="BT190" s="181"/>
      <c r="BU190" s="181"/>
      <c r="BV190" s="181"/>
      <c r="BW190" s="181"/>
      <c r="BX190" s="181"/>
      <c r="BY190" s="181"/>
      <c r="BZ190" s="181"/>
      <c r="CA190" s="190">
        <v>46282.666666666701</v>
      </c>
      <c r="CB190" s="3"/>
      <c r="CC190" s="16"/>
      <c r="CD190" s="16"/>
      <c r="CE190" s="16"/>
      <c r="CF190" s="16"/>
      <c r="CG190" s="16"/>
      <c r="CH190" s="16"/>
      <c r="CI190" s="16" t="s">
        <v>2180</v>
      </c>
    </row>
    <row r="191" spans="1:87">
      <c r="A191" s="16"/>
      <c r="B191" s="16"/>
      <c r="C191" s="3">
        <v>46272</v>
      </c>
      <c r="D191" s="26" t="s">
        <v>14</v>
      </c>
      <c r="E191" s="180" t="s">
        <v>2181</v>
      </c>
      <c r="F191" s="181">
        <v>2026218540511</v>
      </c>
      <c r="G191" s="181">
        <v>40</v>
      </c>
      <c r="H191" s="181">
        <v>32</v>
      </c>
      <c r="I191" s="181" t="s">
        <v>460</v>
      </c>
      <c r="J191" s="181" t="s">
        <v>2181</v>
      </c>
      <c r="K191" s="181" t="s">
        <v>682</v>
      </c>
      <c r="L191" s="181" t="s">
        <v>18</v>
      </c>
      <c r="M191" s="181">
        <v>30</v>
      </c>
      <c r="N191" s="181" t="s">
        <v>462</v>
      </c>
      <c r="O191" s="181" t="s">
        <v>606</v>
      </c>
      <c r="P191" s="181">
        <v>980675228</v>
      </c>
      <c r="Q191" s="181" t="s">
        <v>465</v>
      </c>
      <c r="R191" s="181" t="s">
        <v>466</v>
      </c>
      <c r="S191" s="181" t="s">
        <v>2182</v>
      </c>
      <c r="T191" s="181">
        <v>173326</v>
      </c>
      <c r="U191" s="182">
        <v>46241.15</v>
      </c>
      <c r="V191" s="181" t="s">
        <v>469</v>
      </c>
      <c r="W191" s="181" t="s">
        <v>651</v>
      </c>
      <c r="X191" s="181" t="s">
        <v>652</v>
      </c>
      <c r="Y191" s="181" t="s">
        <v>653</v>
      </c>
      <c r="Z191" s="181" t="s">
        <v>473</v>
      </c>
      <c r="AA191" s="181" t="s">
        <v>474</v>
      </c>
      <c r="AB191" s="181" t="s">
        <v>684</v>
      </c>
      <c r="AC191" s="181" t="s">
        <v>476</v>
      </c>
      <c r="AD191" s="181">
        <v>390806261</v>
      </c>
      <c r="AE191" s="181">
        <v>1699720086</v>
      </c>
      <c r="AF191" s="181">
        <v>1073403465</v>
      </c>
      <c r="AG191" s="181">
        <v>4.58202604306262E+16</v>
      </c>
      <c r="AH191" s="181"/>
      <c r="AI191" s="181" t="s">
        <v>19</v>
      </c>
      <c r="AJ191" s="181" t="s">
        <v>481</v>
      </c>
      <c r="AK191" s="181" t="s">
        <v>2183</v>
      </c>
      <c r="AL191" s="181">
        <v>31642</v>
      </c>
      <c r="AM191" s="181"/>
      <c r="AN191" s="181"/>
      <c r="AO191" s="181">
        <v>980</v>
      </c>
      <c r="AP191" s="181" t="s">
        <v>485</v>
      </c>
      <c r="AQ191" s="181" t="s">
        <v>2184</v>
      </c>
      <c r="AR191" s="183">
        <v>46242</v>
      </c>
      <c r="AS191" s="181" t="s">
        <v>682</v>
      </c>
      <c r="AT191" s="181" t="s">
        <v>814</v>
      </c>
      <c r="AU191" s="181"/>
      <c r="AV191" s="181" t="s">
        <v>2185</v>
      </c>
      <c r="AW191" s="181"/>
      <c r="AX191" s="181"/>
      <c r="AY191" s="181"/>
      <c r="AZ191" s="181"/>
      <c r="BA191" s="181"/>
      <c r="BB191" s="181"/>
      <c r="BC191" s="181"/>
      <c r="BD191" s="181" t="s">
        <v>19</v>
      </c>
      <c r="BE191" s="181">
        <v>32</v>
      </c>
      <c r="BF191" s="181"/>
      <c r="BG191" s="181"/>
      <c r="BH191" s="181" t="s">
        <v>658</v>
      </c>
      <c r="BI191" s="181">
        <v>980675228</v>
      </c>
      <c r="BJ191" s="181"/>
      <c r="BK191" s="181"/>
      <c r="BL191" s="181"/>
      <c r="BM191" s="181"/>
      <c r="BN191" s="181"/>
      <c r="BO191" s="181"/>
      <c r="BP191" s="181"/>
      <c r="BQ191" s="181"/>
      <c r="BR191" s="181"/>
      <c r="BS191" s="181"/>
      <c r="BT191" s="181"/>
      <c r="BU191" s="181"/>
      <c r="BV191" s="181"/>
      <c r="BW191" s="181"/>
      <c r="BX191" s="181"/>
      <c r="BY191" s="181"/>
      <c r="BZ191" s="181"/>
      <c r="CA191" s="190"/>
      <c r="CB191" s="3"/>
      <c r="CC191" s="16"/>
      <c r="CD191" s="16"/>
      <c r="CE191" s="16"/>
      <c r="CF191" s="16"/>
      <c r="CG191" s="16"/>
      <c r="CH191" s="16"/>
      <c r="CI191" s="16" t="s">
        <v>2186</v>
      </c>
    </row>
    <row r="192" spans="1:87">
      <c r="A192" s="16"/>
      <c r="B192" s="16"/>
      <c r="C192" s="3">
        <v>46272</v>
      </c>
      <c r="D192" s="26" t="s">
        <v>14</v>
      </c>
      <c r="E192" s="180" t="s">
        <v>2187</v>
      </c>
      <c r="F192" s="181">
        <v>2026218300515</v>
      </c>
      <c r="G192" s="181">
        <v>40</v>
      </c>
      <c r="H192" s="181">
        <v>32</v>
      </c>
      <c r="I192" s="181" t="s">
        <v>460</v>
      </c>
      <c r="J192" s="181" t="s">
        <v>2187</v>
      </c>
      <c r="K192" s="181" t="s">
        <v>1512</v>
      </c>
      <c r="L192" s="181" t="s">
        <v>17</v>
      </c>
      <c r="M192" s="181">
        <v>7</v>
      </c>
      <c r="N192" s="181" t="s">
        <v>462</v>
      </c>
      <c r="O192" s="181" t="s">
        <v>606</v>
      </c>
      <c r="P192" s="181">
        <v>821793856</v>
      </c>
      <c r="Q192" s="181" t="s">
        <v>465</v>
      </c>
      <c r="R192" s="181" t="s">
        <v>466</v>
      </c>
      <c r="S192" s="181" t="s">
        <v>2188</v>
      </c>
      <c r="T192" s="181">
        <v>173326</v>
      </c>
      <c r="U192" s="182">
        <v>46264.849305555559</v>
      </c>
      <c r="V192" s="181" t="s">
        <v>469</v>
      </c>
      <c r="W192" s="181" t="s">
        <v>651</v>
      </c>
      <c r="X192" s="181" t="s">
        <v>652</v>
      </c>
      <c r="Y192" s="181" t="s">
        <v>653</v>
      </c>
      <c r="Z192" s="181" t="s">
        <v>473</v>
      </c>
      <c r="AA192" s="181" t="s">
        <v>474</v>
      </c>
      <c r="AB192" s="181" t="s">
        <v>684</v>
      </c>
      <c r="AC192" s="181" t="s">
        <v>476</v>
      </c>
      <c r="AD192" s="181">
        <v>390806261</v>
      </c>
      <c r="AE192" s="181">
        <v>1699720086</v>
      </c>
      <c r="AF192" s="181">
        <v>1770087454</v>
      </c>
      <c r="AG192" s="181">
        <v>4.5820253330256896E+16</v>
      </c>
      <c r="AH192" s="181"/>
      <c r="AI192" s="181" t="s">
        <v>149</v>
      </c>
      <c r="AJ192" s="181" t="s">
        <v>481</v>
      </c>
      <c r="AK192" s="181" t="s">
        <v>2189</v>
      </c>
      <c r="AL192" s="181">
        <v>17364</v>
      </c>
      <c r="AM192" s="181"/>
      <c r="AN192" s="181"/>
      <c r="AO192" s="181">
        <v>821</v>
      </c>
      <c r="AP192" s="181" t="s">
        <v>485</v>
      </c>
      <c r="AQ192" s="181" t="s">
        <v>2190</v>
      </c>
      <c r="AR192" s="183">
        <v>46265</v>
      </c>
      <c r="AS192" s="181" t="s">
        <v>149</v>
      </c>
      <c r="AT192" s="181" t="s">
        <v>516</v>
      </c>
      <c r="AU192" s="181"/>
      <c r="AV192" s="181" t="s">
        <v>2191</v>
      </c>
      <c r="AW192" s="181"/>
      <c r="AX192" s="181"/>
      <c r="AY192" s="181"/>
      <c r="AZ192" s="181"/>
      <c r="BA192" s="181"/>
      <c r="BB192" s="181"/>
      <c r="BC192" s="181"/>
      <c r="BD192" s="181" t="s">
        <v>149</v>
      </c>
      <c r="BE192" s="181">
        <v>32</v>
      </c>
      <c r="BF192" s="181"/>
      <c r="BG192" s="181" t="s">
        <v>490</v>
      </c>
      <c r="BH192" s="181" t="s">
        <v>658</v>
      </c>
      <c r="BI192" s="181">
        <v>821793856</v>
      </c>
      <c r="BJ192" s="181"/>
      <c r="BK192" s="181"/>
      <c r="BL192" s="181"/>
      <c r="BM192" s="181"/>
      <c r="BN192" s="181"/>
      <c r="BO192" s="181"/>
      <c r="BP192" s="181"/>
      <c r="BQ192" s="181"/>
      <c r="BR192" s="181"/>
      <c r="BS192" s="181"/>
      <c r="BT192" s="181"/>
      <c r="BU192" s="181"/>
      <c r="BV192" s="181"/>
      <c r="BW192" s="181"/>
      <c r="BX192" s="181"/>
      <c r="BY192" s="181"/>
      <c r="BZ192" s="181"/>
      <c r="CA192" s="190"/>
      <c r="CB192" s="3"/>
      <c r="CC192" s="16"/>
      <c r="CD192" s="16"/>
      <c r="CE192" s="16"/>
      <c r="CF192" s="16"/>
      <c r="CG192" s="16"/>
      <c r="CH192" s="16"/>
      <c r="CI192" s="16" t="s">
        <v>2192</v>
      </c>
    </row>
    <row r="193" spans="1:87" ht="29.25">
      <c r="A193" s="16" t="s">
        <v>5</v>
      </c>
      <c r="B193" s="25" t="s">
        <v>2112</v>
      </c>
      <c r="C193" s="3">
        <v>46272</v>
      </c>
      <c r="D193" s="26" t="s">
        <v>14</v>
      </c>
      <c r="E193" s="180" t="s">
        <v>2193</v>
      </c>
      <c r="F193" s="181">
        <v>2026215660427</v>
      </c>
      <c r="G193" s="181">
        <v>40</v>
      </c>
      <c r="H193" s="181">
        <v>35</v>
      </c>
      <c r="I193" s="181" t="s">
        <v>460</v>
      </c>
      <c r="J193" s="181" t="s">
        <v>2193</v>
      </c>
      <c r="K193" s="181" t="s">
        <v>1040</v>
      </c>
      <c r="L193" s="181" t="s">
        <v>17</v>
      </c>
      <c r="M193" s="181">
        <v>27</v>
      </c>
      <c r="N193" s="181" t="s">
        <v>462</v>
      </c>
      <c r="O193" s="181" t="s">
        <v>606</v>
      </c>
      <c r="P193" s="181">
        <v>125920158</v>
      </c>
      <c r="Q193" s="181" t="s">
        <v>465</v>
      </c>
      <c r="R193" s="181" t="s">
        <v>466</v>
      </c>
      <c r="S193" s="181" t="s">
        <v>2194</v>
      </c>
      <c r="T193" s="181">
        <v>173326</v>
      </c>
      <c r="U193" s="182">
        <v>46245.034722222219</v>
      </c>
      <c r="V193" s="181" t="s">
        <v>469</v>
      </c>
      <c r="W193" s="181" t="s">
        <v>651</v>
      </c>
      <c r="X193" s="181" t="s">
        <v>652</v>
      </c>
      <c r="Y193" s="181" t="s">
        <v>653</v>
      </c>
      <c r="Z193" s="181" t="s">
        <v>473</v>
      </c>
      <c r="AA193" s="181" t="s">
        <v>474</v>
      </c>
      <c r="AB193" s="181" t="s">
        <v>684</v>
      </c>
      <c r="AC193" s="181" t="s">
        <v>476</v>
      </c>
      <c r="AD193" s="181">
        <v>391824445</v>
      </c>
      <c r="AE193" s="181">
        <v>1598784555</v>
      </c>
      <c r="AF193" s="181">
        <v>1023073632</v>
      </c>
      <c r="AG193" s="181">
        <v>4.58202529406648E+16</v>
      </c>
      <c r="AH193" s="181"/>
      <c r="AI193" s="181" t="s">
        <v>173</v>
      </c>
      <c r="AJ193" s="181" t="s">
        <v>481</v>
      </c>
      <c r="AK193" s="181" t="s">
        <v>2195</v>
      </c>
      <c r="AL193" s="181">
        <v>13148.75</v>
      </c>
      <c r="AM193" s="181"/>
      <c r="AN193" s="181"/>
      <c r="AO193" s="181">
        <v>125</v>
      </c>
      <c r="AP193" s="181" t="s">
        <v>485</v>
      </c>
      <c r="AQ193" s="181" t="s">
        <v>2196</v>
      </c>
      <c r="AR193" s="183">
        <v>46245</v>
      </c>
      <c r="AS193" s="181" t="s">
        <v>173</v>
      </c>
      <c r="AT193" s="181" t="s">
        <v>1047</v>
      </c>
      <c r="AU193" s="181"/>
      <c r="AV193" s="181" t="s">
        <v>2197</v>
      </c>
      <c r="AW193" s="181"/>
      <c r="AX193" s="181"/>
      <c r="AY193" s="181"/>
      <c r="AZ193" s="181"/>
      <c r="BA193" s="181"/>
      <c r="BB193" s="181"/>
      <c r="BC193" s="181"/>
      <c r="BD193" s="181" t="s">
        <v>173</v>
      </c>
      <c r="BE193" s="181">
        <v>35</v>
      </c>
      <c r="BF193" s="181"/>
      <c r="BG193" s="181"/>
      <c r="BH193" s="181" t="s">
        <v>658</v>
      </c>
      <c r="BI193" s="181">
        <v>125920158</v>
      </c>
      <c r="BJ193" s="181"/>
      <c r="BK193" s="181"/>
      <c r="BL193" s="181"/>
      <c r="BM193" s="181"/>
      <c r="BN193" s="181"/>
      <c r="BO193" s="181"/>
      <c r="BP193" s="181"/>
      <c r="BQ193" s="181"/>
      <c r="BR193" s="181"/>
      <c r="BS193" s="181"/>
      <c r="BT193" s="181"/>
      <c r="BU193" s="181"/>
      <c r="BV193" s="181"/>
      <c r="BW193" s="181"/>
      <c r="BX193" s="181"/>
      <c r="BY193" s="181"/>
      <c r="BZ193" s="181"/>
      <c r="CA193" s="190">
        <v>46282.666666666701</v>
      </c>
      <c r="CB193" s="3"/>
      <c r="CC193" s="16"/>
      <c r="CD193" s="16"/>
      <c r="CE193" s="16"/>
      <c r="CF193" s="16"/>
      <c r="CG193" s="16"/>
      <c r="CH193" s="16"/>
      <c r="CI193" s="16" t="s">
        <v>2198</v>
      </c>
    </row>
    <row r="194" spans="1:87" ht="29.25">
      <c r="A194" s="16" t="s">
        <v>5</v>
      </c>
      <c r="B194" s="25" t="s">
        <v>672</v>
      </c>
      <c r="C194" s="3">
        <v>46272</v>
      </c>
      <c r="D194" s="26" t="s">
        <v>14</v>
      </c>
      <c r="E194" s="180" t="s">
        <v>2199</v>
      </c>
      <c r="F194" s="181"/>
      <c r="G194" s="181">
        <v>40</v>
      </c>
      <c r="H194" s="181">
        <v>39</v>
      </c>
      <c r="I194" s="181" t="s">
        <v>460</v>
      </c>
      <c r="J194" s="181" t="s">
        <v>2199</v>
      </c>
      <c r="K194" s="181" t="s">
        <v>674</v>
      </c>
      <c r="L194" s="181" t="s">
        <v>16</v>
      </c>
      <c r="M194" s="181">
        <v>14</v>
      </c>
      <c r="N194" s="181" t="s">
        <v>462</v>
      </c>
      <c r="O194" s="181" t="s">
        <v>606</v>
      </c>
      <c r="P194" s="181">
        <v>921943435</v>
      </c>
      <c r="Q194" s="181" t="s">
        <v>1055</v>
      </c>
      <c r="R194" s="181" t="s">
        <v>1350</v>
      </c>
      <c r="S194" s="181" t="s">
        <v>2200</v>
      </c>
      <c r="T194" s="181">
        <v>173326</v>
      </c>
      <c r="U194" s="182">
        <v>46257.794444444444</v>
      </c>
      <c r="V194" s="181" t="s">
        <v>469</v>
      </c>
      <c r="W194" s="181" t="s">
        <v>651</v>
      </c>
      <c r="X194" s="181" t="s">
        <v>652</v>
      </c>
      <c r="Y194" s="181" t="s">
        <v>653</v>
      </c>
      <c r="Z194" s="181" t="s">
        <v>473</v>
      </c>
      <c r="AA194" s="181" t="s">
        <v>2201</v>
      </c>
      <c r="AB194" s="181" t="s">
        <v>684</v>
      </c>
      <c r="AC194" s="181" t="s">
        <v>476</v>
      </c>
      <c r="AD194" s="181">
        <v>391943214</v>
      </c>
      <c r="AE194" s="181">
        <v>1588609648</v>
      </c>
      <c r="AF194" s="181">
        <v>1275545055</v>
      </c>
      <c r="AG194" s="181">
        <v>4.58202526716952E+16</v>
      </c>
      <c r="AH194" s="181"/>
      <c r="AI194" s="181" t="s">
        <v>54</v>
      </c>
      <c r="AJ194" s="181" t="s">
        <v>481</v>
      </c>
      <c r="AK194" s="181" t="s">
        <v>2202</v>
      </c>
      <c r="AL194" s="181">
        <v>23147</v>
      </c>
      <c r="AM194" s="181"/>
      <c r="AN194" s="181"/>
      <c r="AO194" s="181">
        <v>921</v>
      </c>
      <c r="AP194" s="181" t="s">
        <v>485</v>
      </c>
      <c r="AQ194" s="181" t="s">
        <v>2203</v>
      </c>
      <c r="AR194" s="183">
        <v>46258</v>
      </c>
      <c r="AS194" s="181" t="s">
        <v>54</v>
      </c>
      <c r="AT194" s="181" t="s">
        <v>678</v>
      </c>
      <c r="AU194" s="181"/>
      <c r="AV194" s="181" t="s">
        <v>2204</v>
      </c>
      <c r="AW194" s="181"/>
      <c r="AX194" s="181"/>
      <c r="AY194" s="181"/>
      <c r="AZ194" s="181"/>
      <c r="BA194" s="181"/>
      <c r="BB194" s="181"/>
      <c r="BC194" s="181"/>
      <c r="BD194" s="181" t="s">
        <v>54</v>
      </c>
      <c r="BE194" s="181">
        <v>39</v>
      </c>
      <c r="BF194" s="181"/>
      <c r="BG194" s="181"/>
      <c r="BH194" s="181" t="s">
        <v>658</v>
      </c>
      <c r="BI194" s="181">
        <v>921943435</v>
      </c>
      <c r="BJ194" s="181"/>
      <c r="BK194" s="181"/>
      <c r="BL194" s="181"/>
      <c r="BM194" s="181"/>
      <c r="BN194" s="181"/>
      <c r="BO194" s="181"/>
      <c r="BP194" s="181"/>
      <c r="BQ194" s="181"/>
      <c r="BR194" s="181"/>
      <c r="BS194" s="181"/>
      <c r="BT194" s="181"/>
      <c r="BU194" s="181"/>
      <c r="BV194" s="181"/>
      <c r="BW194" s="181"/>
      <c r="BX194" s="181"/>
      <c r="BY194" s="181"/>
      <c r="BZ194" s="181"/>
      <c r="CA194" s="190">
        <v>46281.666666666701</v>
      </c>
      <c r="CB194" s="3"/>
      <c r="CC194" s="16"/>
      <c r="CD194" s="16"/>
      <c r="CE194" s="16"/>
      <c r="CF194" s="16"/>
      <c r="CG194" s="16"/>
      <c r="CH194" s="16"/>
      <c r="CI194" s="16" t="s">
        <v>2205</v>
      </c>
    </row>
    <row r="195" spans="1:87">
      <c r="A195" s="16" t="s">
        <v>5</v>
      </c>
      <c r="B195" s="16" t="s">
        <v>719</v>
      </c>
      <c r="C195" s="3">
        <v>46272</v>
      </c>
      <c r="D195" s="26" t="s">
        <v>14</v>
      </c>
      <c r="E195" s="180" t="s">
        <v>2206</v>
      </c>
      <c r="F195" s="181">
        <v>2026215510442</v>
      </c>
      <c r="G195" s="181">
        <v>40</v>
      </c>
      <c r="H195" s="181">
        <v>35</v>
      </c>
      <c r="I195" s="181" t="s">
        <v>460</v>
      </c>
      <c r="J195" s="181" t="s">
        <v>2206</v>
      </c>
      <c r="K195" s="181" t="s">
        <v>1040</v>
      </c>
      <c r="L195" s="181" t="s">
        <v>17</v>
      </c>
      <c r="M195" s="181">
        <v>32</v>
      </c>
      <c r="N195" s="181" t="s">
        <v>462</v>
      </c>
      <c r="O195" s="181" t="s">
        <v>606</v>
      </c>
      <c r="P195" s="181">
        <v>127943894</v>
      </c>
      <c r="Q195" s="181" t="s">
        <v>465</v>
      </c>
      <c r="R195" s="181" t="s">
        <v>466</v>
      </c>
      <c r="S195" s="181" t="s">
        <v>2207</v>
      </c>
      <c r="T195" s="181">
        <v>173326</v>
      </c>
      <c r="U195" s="182">
        <v>46240.647916666669</v>
      </c>
      <c r="V195" s="181" t="s">
        <v>469</v>
      </c>
      <c r="W195" s="181" t="s">
        <v>651</v>
      </c>
      <c r="X195" s="181" t="s">
        <v>652</v>
      </c>
      <c r="Y195" s="181" t="s">
        <v>653</v>
      </c>
      <c r="Z195" s="181" t="s">
        <v>473</v>
      </c>
      <c r="AA195" s="181" t="s">
        <v>474</v>
      </c>
      <c r="AB195" s="181" t="s">
        <v>684</v>
      </c>
      <c r="AC195" s="181" t="s">
        <v>476</v>
      </c>
      <c r="AD195" s="181">
        <v>391824445</v>
      </c>
      <c r="AE195" s="181">
        <v>1598784555</v>
      </c>
      <c r="AF195" s="181">
        <v>1689887986</v>
      </c>
      <c r="AG195" s="181">
        <v>4.58202533208184E+16</v>
      </c>
      <c r="AH195" s="181"/>
      <c r="AI195" s="181" t="s">
        <v>173</v>
      </c>
      <c r="AJ195" s="181" t="s">
        <v>481</v>
      </c>
      <c r="AK195" s="181" t="s">
        <v>2208</v>
      </c>
      <c r="AL195" s="181">
        <v>31711</v>
      </c>
      <c r="AM195" s="181"/>
      <c r="AN195" s="181"/>
      <c r="AO195" s="181">
        <v>127</v>
      </c>
      <c r="AP195" s="181" t="s">
        <v>485</v>
      </c>
      <c r="AQ195" s="181" t="s">
        <v>2209</v>
      </c>
      <c r="AR195" s="183">
        <v>46240</v>
      </c>
      <c r="AS195" s="181" t="s">
        <v>173</v>
      </c>
      <c r="AT195" s="181" t="s">
        <v>1047</v>
      </c>
      <c r="AU195" s="181"/>
      <c r="AV195" s="181" t="s">
        <v>2210</v>
      </c>
      <c r="AW195" s="181"/>
      <c r="AX195" s="181"/>
      <c r="AY195" s="181"/>
      <c r="AZ195" s="181"/>
      <c r="BA195" s="181"/>
      <c r="BB195" s="181"/>
      <c r="BC195" s="181"/>
      <c r="BD195" s="181" t="s">
        <v>173</v>
      </c>
      <c r="BE195" s="181">
        <v>35</v>
      </c>
      <c r="BF195" s="181"/>
      <c r="BG195" s="181"/>
      <c r="BH195" s="181" t="s">
        <v>658</v>
      </c>
      <c r="BI195" s="181">
        <v>127943894</v>
      </c>
      <c r="BJ195" s="181"/>
      <c r="BK195" s="181"/>
      <c r="BL195" s="181"/>
      <c r="BM195" s="181"/>
      <c r="BN195" s="181"/>
      <c r="BO195" s="181"/>
      <c r="BP195" s="181"/>
      <c r="BQ195" s="181"/>
      <c r="BR195" s="181"/>
      <c r="BS195" s="181"/>
      <c r="BT195" s="181"/>
      <c r="BU195" s="181"/>
      <c r="BV195" s="181"/>
      <c r="BW195" s="181"/>
      <c r="BX195" s="181"/>
      <c r="BY195" s="181"/>
      <c r="BZ195" s="181"/>
      <c r="CA195" s="190">
        <v>46282.666666666701</v>
      </c>
      <c r="CB195" s="3"/>
      <c r="CC195" s="16"/>
      <c r="CD195" s="16"/>
      <c r="CE195" s="16"/>
      <c r="CF195" s="16"/>
      <c r="CG195" s="16"/>
      <c r="CH195" s="16"/>
      <c r="CI195" s="16" t="s">
        <v>2211</v>
      </c>
    </row>
    <row r="196" spans="1:87">
      <c r="A196" s="16"/>
      <c r="B196" s="16"/>
      <c r="C196" s="3">
        <v>46272</v>
      </c>
      <c r="D196" s="26" t="s">
        <v>14</v>
      </c>
      <c r="E196" s="180" t="s">
        <v>2212</v>
      </c>
      <c r="F196" s="181"/>
      <c r="G196" s="181">
        <v>40</v>
      </c>
      <c r="H196" s="181">
        <v>31</v>
      </c>
      <c r="I196" s="181" t="s">
        <v>460</v>
      </c>
      <c r="J196" s="181" t="s">
        <v>2212</v>
      </c>
      <c r="K196" s="181" t="s">
        <v>854</v>
      </c>
      <c r="L196" s="181" t="s">
        <v>18</v>
      </c>
      <c r="M196" s="181">
        <v>7</v>
      </c>
      <c r="N196" s="181" t="s">
        <v>462</v>
      </c>
      <c r="O196" s="181" t="s">
        <v>606</v>
      </c>
      <c r="P196" s="181">
        <v>978611332</v>
      </c>
      <c r="Q196" s="181" t="s">
        <v>1055</v>
      </c>
      <c r="R196" s="181" t="s">
        <v>1350</v>
      </c>
      <c r="S196" s="181" t="s">
        <v>2213</v>
      </c>
      <c r="T196" s="181">
        <v>173326</v>
      </c>
      <c r="U196" s="182">
        <v>46265.175000000003</v>
      </c>
      <c r="V196" s="181" t="s">
        <v>469</v>
      </c>
      <c r="W196" s="181" t="s">
        <v>651</v>
      </c>
      <c r="X196" s="181" t="s">
        <v>652</v>
      </c>
      <c r="Y196" s="181" t="s">
        <v>653</v>
      </c>
      <c r="Z196" s="181" t="s">
        <v>473</v>
      </c>
      <c r="AA196" s="181" t="s">
        <v>2201</v>
      </c>
      <c r="AB196" s="181" t="s">
        <v>684</v>
      </c>
      <c r="AC196" s="181" t="s">
        <v>476</v>
      </c>
      <c r="AD196" s="181">
        <v>390806261</v>
      </c>
      <c r="AE196" s="181">
        <v>1699720086</v>
      </c>
      <c r="AF196" s="181">
        <v>1124481254</v>
      </c>
      <c r="AG196" s="181">
        <v>4.5820252520153104E+16</v>
      </c>
      <c r="AH196" s="181"/>
      <c r="AI196" s="181" t="s">
        <v>21</v>
      </c>
      <c r="AJ196" s="181" t="s">
        <v>481</v>
      </c>
      <c r="AK196" s="181" t="s">
        <v>2214</v>
      </c>
      <c r="AL196" s="181">
        <v>101920</v>
      </c>
      <c r="AM196" s="181"/>
      <c r="AN196" s="181"/>
      <c r="AO196" s="181">
        <v>978</v>
      </c>
      <c r="AP196" s="181" t="s">
        <v>485</v>
      </c>
      <c r="AQ196" s="181" t="s">
        <v>2215</v>
      </c>
      <c r="AR196" s="183">
        <v>46265</v>
      </c>
      <c r="AS196" s="181" t="s">
        <v>21</v>
      </c>
      <c r="AT196" s="181" t="s">
        <v>859</v>
      </c>
      <c r="AU196" s="181"/>
      <c r="AV196" s="181" t="s">
        <v>2216</v>
      </c>
      <c r="AW196" s="181"/>
      <c r="AX196" s="181"/>
      <c r="AY196" s="181"/>
      <c r="AZ196" s="181"/>
      <c r="BA196" s="181"/>
      <c r="BB196" s="181"/>
      <c r="BC196" s="181"/>
      <c r="BD196" s="181" t="s">
        <v>21</v>
      </c>
      <c r="BE196" s="181">
        <v>31</v>
      </c>
      <c r="BF196" s="181"/>
      <c r="BG196" s="181"/>
      <c r="BH196" s="181" t="s">
        <v>658</v>
      </c>
      <c r="BI196" s="181">
        <v>978611332</v>
      </c>
      <c r="BJ196" s="181"/>
      <c r="BK196" s="181"/>
      <c r="BL196" s="181"/>
      <c r="BM196" s="181"/>
      <c r="BN196" s="181"/>
      <c r="BO196" s="181"/>
      <c r="BP196" s="181"/>
      <c r="BQ196" s="181"/>
      <c r="BR196" s="181"/>
      <c r="BS196" s="181"/>
      <c r="BT196" s="181"/>
      <c r="BU196" s="181"/>
      <c r="BV196" s="181"/>
      <c r="BW196" s="181"/>
      <c r="BX196" s="181"/>
      <c r="BY196" s="181"/>
      <c r="BZ196" s="181"/>
      <c r="CA196" s="190"/>
      <c r="CB196" s="3"/>
      <c r="CC196" s="16"/>
      <c r="CD196" s="16"/>
      <c r="CE196" s="16"/>
      <c r="CF196" s="16"/>
      <c r="CG196" s="16"/>
      <c r="CH196" s="16"/>
      <c r="CI196" s="16" t="s">
        <v>2217</v>
      </c>
    </row>
    <row r="197" spans="1:87">
      <c r="A197" s="16" t="s">
        <v>5</v>
      </c>
      <c r="B197" s="16" t="s">
        <v>719</v>
      </c>
      <c r="C197" s="3">
        <v>46272</v>
      </c>
      <c r="D197" s="26" t="s">
        <v>14</v>
      </c>
      <c r="E197" s="180" t="s">
        <v>2218</v>
      </c>
      <c r="F197" s="181">
        <v>2026211790360</v>
      </c>
      <c r="G197" s="181">
        <v>40</v>
      </c>
      <c r="H197" s="181">
        <v>39</v>
      </c>
      <c r="I197" s="181" t="s">
        <v>460</v>
      </c>
      <c r="J197" s="181" t="s">
        <v>2218</v>
      </c>
      <c r="K197" s="181" t="s">
        <v>496</v>
      </c>
      <c r="L197" s="181" t="s">
        <v>17</v>
      </c>
      <c r="M197" s="181">
        <v>14</v>
      </c>
      <c r="N197" s="181" t="s">
        <v>462</v>
      </c>
      <c r="O197" s="181" t="s">
        <v>606</v>
      </c>
      <c r="P197" s="181">
        <v>806065578</v>
      </c>
      <c r="Q197" s="181" t="s">
        <v>465</v>
      </c>
      <c r="R197" s="181" t="s">
        <v>466</v>
      </c>
      <c r="S197" s="181" t="s">
        <v>2219</v>
      </c>
      <c r="T197" s="181">
        <v>173326</v>
      </c>
      <c r="U197" s="182">
        <v>46257.883333333331</v>
      </c>
      <c r="V197" s="181" t="s">
        <v>469</v>
      </c>
      <c r="W197" s="181" t="s">
        <v>651</v>
      </c>
      <c r="X197" s="181" t="s">
        <v>652</v>
      </c>
      <c r="Y197" s="181" t="s">
        <v>653</v>
      </c>
      <c r="Z197" s="181" t="s">
        <v>473</v>
      </c>
      <c r="AA197" s="181" t="s">
        <v>474</v>
      </c>
      <c r="AB197" s="181" t="s">
        <v>684</v>
      </c>
      <c r="AC197" s="181" t="s">
        <v>476</v>
      </c>
      <c r="AD197" s="181">
        <v>390806261</v>
      </c>
      <c r="AE197" s="181">
        <v>1699720086</v>
      </c>
      <c r="AF197" s="181">
        <v>1538542519</v>
      </c>
      <c r="AG197" s="181">
        <v>4.5820253070123504E+16</v>
      </c>
      <c r="AH197" s="181"/>
      <c r="AI197" s="181" t="s">
        <v>91</v>
      </c>
      <c r="AJ197" s="181" t="s">
        <v>481</v>
      </c>
      <c r="AK197" s="181" t="s">
        <v>2220</v>
      </c>
      <c r="AL197" s="181">
        <v>26585</v>
      </c>
      <c r="AM197" s="181"/>
      <c r="AN197" s="181"/>
      <c r="AO197" s="181">
        <v>806</v>
      </c>
      <c r="AP197" s="181" t="s">
        <v>485</v>
      </c>
      <c r="AQ197" s="181" t="s">
        <v>2221</v>
      </c>
      <c r="AR197" s="183">
        <v>46258</v>
      </c>
      <c r="AS197" s="181" t="s">
        <v>91</v>
      </c>
      <c r="AT197" s="181" t="s">
        <v>2222</v>
      </c>
      <c r="AU197" s="181"/>
      <c r="AV197" s="181" t="s">
        <v>2223</v>
      </c>
      <c r="AW197" s="181"/>
      <c r="AX197" s="181"/>
      <c r="AY197" s="181"/>
      <c r="AZ197" s="181"/>
      <c r="BA197" s="181"/>
      <c r="BB197" s="181"/>
      <c r="BC197" s="181"/>
      <c r="BD197" s="181" t="s">
        <v>91</v>
      </c>
      <c r="BE197" s="181">
        <v>39</v>
      </c>
      <c r="BF197" s="181"/>
      <c r="BG197" s="181" t="s">
        <v>490</v>
      </c>
      <c r="BH197" s="181" t="s">
        <v>658</v>
      </c>
      <c r="BI197" s="181">
        <v>806065578</v>
      </c>
      <c r="BJ197" s="181"/>
      <c r="BK197" s="181"/>
      <c r="BL197" s="181"/>
      <c r="BM197" s="181"/>
      <c r="BN197" s="181"/>
      <c r="BO197" s="181"/>
      <c r="BP197" s="181"/>
      <c r="BQ197" s="181"/>
      <c r="BR197" s="181"/>
      <c r="BS197" s="181"/>
      <c r="BT197" s="181"/>
      <c r="BU197" s="181"/>
      <c r="BV197" s="181"/>
      <c r="BW197" s="181"/>
      <c r="BX197" s="181"/>
      <c r="BY197" s="181"/>
      <c r="BZ197" s="181"/>
      <c r="CA197" s="190">
        <v>46281.666666666701</v>
      </c>
      <c r="CB197" s="3"/>
      <c r="CC197" s="16"/>
      <c r="CD197" s="16"/>
      <c r="CE197" s="16"/>
      <c r="CF197" s="16"/>
      <c r="CG197" s="16"/>
      <c r="CH197" s="16"/>
      <c r="CI197" s="16" t="s">
        <v>2224</v>
      </c>
    </row>
    <row r="198" spans="1:87">
      <c r="A198" s="16"/>
      <c r="B198" s="16"/>
      <c r="C198" s="3">
        <v>46272</v>
      </c>
      <c r="D198" s="26" t="s">
        <v>14</v>
      </c>
      <c r="E198" s="180" t="s">
        <v>2225</v>
      </c>
      <c r="F198" s="181">
        <v>2026215910683</v>
      </c>
      <c r="G198" s="181">
        <v>40</v>
      </c>
      <c r="H198" s="181">
        <v>35</v>
      </c>
      <c r="I198" s="181" t="s">
        <v>460</v>
      </c>
      <c r="J198" s="181" t="s">
        <v>2225</v>
      </c>
      <c r="K198" s="181" t="s">
        <v>1512</v>
      </c>
      <c r="L198" s="181" t="s">
        <v>17</v>
      </c>
      <c r="M198" s="181">
        <v>12</v>
      </c>
      <c r="N198" s="181" t="s">
        <v>462</v>
      </c>
      <c r="O198" s="181" t="s">
        <v>606</v>
      </c>
      <c r="P198" s="181">
        <v>833588638</v>
      </c>
      <c r="Q198" s="181" t="s">
        <v>465</v>
      </c>
      <c r="R198" s="181" t="s">
        <v>466</v>
      </c>
      <c r="S198" s="181" t="s">
        <v>2226</v>
      </c>
      <c r="T198" s="181">
        <v>173326</v>
      </c>
      <c r="U198" s="182">
        <v>46259.815972222219</v>
      </c>
      <c r="V198" s="181" t="s">
        <v>469</v>
      </c>
      <c r="W198" s="181" t="s">
        <v>651</v>
      </c>
      <c r="X198" s="181" t="s">
        <v>652</v>
      </c>
      <c r="Y198" s="181" t="s">
        <v>653</v>
      </c>
      <c r="Z198" s="181" t="s">
        <v>473</v>
      </c>
      <c r="AA198" s="181" t="s">
        <v>474</v>
      </c>
      <c r="AB198" s="181" t="s">
        <v>2129</v>
      </c>
      <c r="AC198" s="181" t="s">
        <v>476</v>
      </c>
      <c r="AD198" s="181">
        <v>391824445</v>
      </c>
      <c r="AE198" s="181">
        <v>1598784555</v>
      </c>
      <c r="AF198" s="181">
        <v>1518595958</v>
      </c>
      <c r="AG198" s="181">
        <v>4.5820252961349504E+16</v>
      </c>
      <c r="AH198" s="181"/>
      <c r="AI198" s="181" t="s">
        <v>149</v>
      </c>
      <c r="AJ198" s="181" t="s">
        <v>481</v>
      </c>
      <c r="AK198" s="181" t="s">
        <v>2227</v>
      </c>
      <c r="AL198" s="181">
        <v>12135</v>
      </c>
      <c r="AM198" s="181"/>
      <c r="AN198" s="181"/>
      <c r="AO198" s="181">
        <v>833</v>
      </c>
      <c r="AP198" s="181" t="s">
        <v>485</v>
      </c>
      <c r="AQ198" s="181" t="s">
        <v>2228</v>
      </c>
      <c r="AR198" s="183">
        <v>46260</v>
      </c>
      <c r="AS198" s="181" t="s">
        <v>149</v>
      </c>
      <c r="AT198" s="181" t="s">
        <v>516</v>
      </c>
      <c r="AU198" s="181"/>
      <c r="AV198" s="181" t="s">
        <v>2229</v>
      </c>
      <c r="AW198" s="181"/>
      <c r="AX198" s="181"/>
      <c r="AY198" s="181"/>
      <c r="AZ198" s="181"/>
      <c r="BA198" s="181"/>
      <c r="BB198" s="181"/>
      <c r="BC198" s="181"/>
      <c r="BD198" s="181" t="s">
        <v>149</v>
      </c>
      <c r="BE198" s="181">
        <v>35</v>
      </c>
      <c r="BF198" s="181"/>
      <c r="BG198" s="181"/>
      <c r="BH198" s="181" t="s">
        <v>658</v>
      </c>
      <c r="BI198" s="181">
        <v>833588638</v>
      </c>
      <c r="BJ198" s="181"/>
      <c r="BK198" s="181"/>
      <c r="BL198" s="181"/>
      <c r="BM198" s="181"/>
      <c r="BN198" s="181"/>
      <c r="BO198" s="181"/>
      <c r="BP198" s="181"/>
      <c r="BQ198" s="181"/>
      <c r="BR198" s="181"/>
      <c r="BS198" s="181"/>
      <c r="BT198" s="181"/>
      <c r="BU198" s="181"/>
      <c r="BV198" s="181"/>
      <c r="BW198" s="181"/>
      <c r="BX198" s="181"/>
      <c r="BY198" s="181"/>
      <c r="BZ198" s="181"/>
      <c r="CA198" s="190"/>
      <c r="CB198" s="3"/>
      <c r="CC198" s="16"/>
      <c r="CD198" s="16"/>
      <c r="CE198" s="16"/>
      <c r="CF198" s="16"/>
      <c r="CG198" s="16"/>
      <c r="CH198" s="16"/>
      <c r="CI198" s="16" t="s">
        <v>2230</v>
      </c>
    </row>
    <row r="199" spans="1:87">
      <c r="A199" s="16"/>
      <c r="B199" s="16"/>
      <c r="C199" s="3">
        <v>46272</v>
      </c>
      <c r="D199" s="26" t="s">
        <v>14</v>
      </c>
      <c r="E199" s="180" t="s">
        <v>2231</v>
      </c>
      <c r="F199" s="181">
        <v>2026215480342</v>
      </c>
      <c r="G199" s="181">
        <v>40</v>
      </c>
      <c r="H199" s="181">
        <v>35</v>
      </c>
      <c r="I199" s="181" t="s">
        <v>460</v>
      </c>
      <c r="J199" s="181" t="s">
        <v>2231</v>
      </c>
      <c r="K199" s="181" t="s">
        <v>625</v>
      </c>
      <c r="L199" s="181" t="s">
        <v>17</v>
      </c>
      <c r="M199" s="181">
        <v>33</v>
      </c>
      <c r="N199" s="181" t="s">
        <v>462</v>
      </c>
      <c r="O199" s="181" t="s">
        <v>606</v>
      </c>
      <c r="P199" s="181">
        <v>805550808</v>
      </c>
      <c r="Q199" s="181" t="s">
        <v>465</v>
      </c>
      <c r="R199" s="181" t="s">
        <v>466</v>
      </c>
      <c r="S199" s="181" t="s">
        <v>2232</v>
      </c>
      <c r="T199" s="181">
        <v>173326</v>
      </c>
      <c r="U199" s="182">
        <v>46238.799305555556</v>
      </c>
      <c r="V199" s="181" t="s">
        <v>469</v>
      </c>
      <c r="W199" s="181" t="s">
        <v>651</v>
      </c>
      <c r="X199" s="181" t="s">
        <v>652</v>
      </c>
      <c r="Y199" s="181" t="s">
        <v>653</v>
      </c>
      <c r="Z199" s="181" t="s">
        <v>473</v>
      </c>
      <c r="AA199" s="181" t="s">
        <v>474</v>
      </c>
      <c r="AB199" s="181" t="s">
        <v>2129</v>
      </c>
      <c r="AC199" s="181" t="s">
        <v>476</v>
      </c>
      <c r="AD199" s="181">
        <v>391824445</v>
      </c>
      <c r="AE199" s="181">
        <v>1598784555</v>
      </c>
      <c r="AF199" s="181">
        <v>1073660940</v>
      </c>
      <c r="AG199" s="181">
        <v>4.58202529613576E+16</v>
      </c>
      <c r="AH199" s="181"/>
      <c r="AI199" s="181" t="s">
        <v>70</v>
      </c>
      <c r="AJ199" s="181" t="s">
        <v>481</v>
      </c>
      <c r="AK199" s="181" t="s">
        <v>2233</v>
      </c>
      <c r="AL199" s="181">
        <v>11700</v>
      </c>
      <c r="AM199" s="181"/>
      <c r="AN199" s="181"/>
      <c r="AO199" s="181">
        <v>805</v>
      </c>
      <c r="AP199" s="181" t="s">
        <v>485</v>
      </c>
      <c r="AQ199" s="181" t="s">
        <v>2234</v>
      </c>
      <c r="AR199" s="183">
        <v>46239</v>
      </c>
      <c r="AS199" s="181" t="s">
        <v>625</v>
      </c>
      <c r="AT199" s="181" t="s">
        <v>1142</v>
      </c>
      <c r="AU199" s="181"/>
      <c r="AV199" s="181" t="s">
        <v>2235</v>
      </c>
      <c r="AW199" s="181"/>
      <c r="AX199" s="181"/>
      <c r="AY199" s="181"/>
      <c r="AZ199" s="181"/>
      <c r="BA199" s="181"/>
      <c r="BB199" s="181"/>
      <c r="BC199" s="181"/>
      <c r="BD199" s="181" t="s">
        <v>70</v>
      </c>
      <c r="BE199" s="181">
        <v>35</v>
      </c>
      <c r="BF199" s="181"/>
      <c r="BG199" s="181"/>
      <c r="BH199" s="181" t="s">
        <v>658</v>
      </c>
      <c r="BI199" s="181">
        <v>805550808</v>
      </c>
      <c r="BJ199" s="181"/>
      <c r="BK199" s="181"/>
      <c r="BL199" s="181"/>
      <c r="BM199" s="181"/>
      <c r="BN199" s="181"/>
      <c r="BO199" s="181"/>
      <c r="BP199" s="181"/>
      <c r="BQ199" s="181"/>
      <c r="BR199" s="181"/>
      <c r="BS199" s="181"/>
      <c r="BT199" s="181"/>
      <c r="BU199" s="181"/>
      <c r="BV199" s="181"/>
      <c r="BW199" s="181"/>
      <c r="BX199" s="181"/>
      <c r="BY199" s="181"/>
      <c r="BZ199" s="181"/>
      <c r="CA199" s="190"/>
      <c r="CB199" s="3"/>
      <c r="CC199" s="16"/>
      <c r="CD199" s="16"/>
      <c r="CE199" s="16"/>
      <c r="CF199" s="16"/>
      <c r="CG199" s="16"/>
      <c r="CH199" s="16"/>
      <c r="CI199" s="16" t="s">
        <v>2236</v>
      </c>
    </row>
    <row r="200" spans="1:87">
      <c r="A200" s="16"/>
      <c r="B200" s="16"/>
      <c r="C200" s="3">
        <v>46272</v>
      </c>
      <c r="D200" s="26" t="s">
        <v>14</v>
      </c>
      <c r="E200" s="180" t="s">
        <v>2237</v>
      </c>
      <c r="F200" s="181">
        <v>2026217860729</v>
      </c>
      <c r="G200" s="181">
        <v>40</v>
      </c>
      <c r="H200" s="181">
        <v>33</v>
      </c>
      <c r="I200" s="181" t="s">
        <v>460</v>
      </c>
      <c r="J200" s="181" t="s">
        <v>2237</v>
      </c>
      <c r="K200" s="181" t="s">
        <v>674</v>
      </c>
      <c r="L200" s="181" t="s">
        <v>16</v>
      </c>
      <c r="M200" s="181">
        <v>9</v>
      </c>
      <c r="N200" s="181" t="s">
        <v>462</v>
      </c>
      <c r="O200" s="181" t="s">
        <v>606</v>
      </c>
      <c r="P200" s="181">
        <v>825063739</v>
      </c>
      <c r="Q200" s="181" t="s">
        <v>465</v>
      </c>
      <c r="R200" s="181" t="s">
        <v>466</v>
      </c>
      <c r="S200" s="181" t="s">
        <v>2238</v>
      </c>
      <c r="T200" s="181">
        <v>173326</v>
      </c>
      <c r="U200" s="182">
        <v>46263.220138888886</v>
      </c>
      <c r="V200" s="181" t="s">
        <v>469</v>
      </c>
      <c r="W200" s="181" t="s">
        <v>651</v>
      </c>
      <c r="X200" s="181" t="s">
        <v>652</v>
      </c>
      <c r="Y200" s="181" t="s">
        <v>653</v>
      </c>
      <c r="Z200" s="181" t="s">
        <v>473</v>
      </c>
      <c r="AA200" s="181" t="s">
        <v>474</v>
      </c>
      <c r="AB200" s="181" t="s">
        <v>684</v>
      </c>
      <c r="AC200" s="181" t="s">
        <v>476</v>
      </c>
      <c r="AD200" s="181">
        <v>390813416</v>
      </c>
      <c r="AE200" s="181">
        <v>1376593442</v>
      </c>
      <c r="AF200" s="181">
        <v>1225006646</v>
      </c>
      <c r="AG200" s="181">
        <v>4.5820253500775696E+16</v>
      </c>
      <c r="AH200" s="181"/>
      <c r="AI200" s="181" t="s">
        <v>54</v>
      </c>
      <c r="AJ200" s="181" t="s">
        <v>481</v>
      </c>
      <c r="AK200" s="181" t="s">
        <v>2239</v>
      </c>
      <c r="AL200" s="181">
        <v>19273</v>
      </c>
      <c r="AM200" s="181"/>
      <c r="AN200" s="181"/>
      <c r="AO200" s="181">
        <v>825</v>
      </c>
      <c r="AP200" s="181" t="s">
        <v>485</v>
      </c>
      <c r="AQ200" s="181" t="s">
        <v>2240</v>
      </c>
      <c r="AR200" s="183">
        <v>46263</v>
      </c>
      <c r="AS200" s="181" t="s">
        <v>54</v>
      </c>
      <c r="AT200" s="181" t="s">
        <v>678</v>
      </c>
      <c r="AU200" s="181"/>
      <c r="AV200" s="181" t="s">
        <v>1909</v>
      </c>
      <c r="AW200" s="181"/>
      <c r="AX200" s="181"/>
      <c r="AY200" s="181"/>
      <c r="AZ200" s="181"/>
      <c r="BA200" s="181"/>
      <c r="BB200" s="181"/>
      <c r="BC200" s="181"/>
      <c r="BD200" s="181" t="s">
        <v>54</v>
      </c>
      <c r="BE200" s="181">
        <v>33</v>
      </c>
      <c r="BF200" s="181"/>
      <c r="BG200" s="181"/>
      <c r="BH200" s="181" t="s">
        <v>658</v>
      </c>
      <c r="BI200" s="181">
        <v>825063739</v>
      </c>
      <c r="BJ200" s="181"/>
      <c r="BK200" s="181"/>
      <c r="BL200" s="181"/>
      <c r="BM200" s="181"/>
      <c r="BN200" s="181"/>
      <c r="BO200" s="181"/>
      <c r="BP200" s="181"/>
      <c r="BQ200" s="181"/>
      <c r="BR200" s="181"/>
      <c r="BS200" s="181"/>
      <c r="BT200" s="181"/>
      <c r="BU200" s="181"/>
      <c r="BV200" s="181"/>
      <c r="BW200" s="181"/>
      <c r="BX200" s="181"/>
      <c r="BY200" s="181"/>
      <c r="BZ200" s="181"/>
      <c r="CA200" s="190"/>
      <c r="CB200" s="3"/>
      <c r="CC200" s="16"/>
      <c r="CD200" s="16"/>
      <c r="CE200" s="16"/>
      <c r="CF200" s="16"/>
      <c r="CG200" s="16"/>
      <c r="CH200" s="16"/>
      <c r="CI200" s="16" t="s">
        <v>2241</v>
      </c>
    </row>
    <row r="201" spans="1:87">
      <c r="A201" s="16"/>
      <c r="B201" s="16"/>
      <c r="C201" s="3">
        <v>46272</v>
      </c>
      <c r="D201" s="26" t="s">
        <v>14</v>
      </c>
      <c r="E201" s="180" t="s">
        <v>2242</v>
      </c>
      <c r="F201" s="181"/>
      <c r="G201" s="181">
        <v>40</v>
      </c>
      <c r="H201" s="181">
        <v>37</v>
      </c>
      <c r="I201" s="181" t="s">
        <v>460</v>
      </c>
      <c r="J201" s="181" t="s">
        <v>2242</v>
      </c>
      <c r="K201" s="181" t="s">
        <v>625</v>
      </c>
      <c r="L201" s="181" t="s">
        <v>17</v>
      </c>
      <c r="M201" s="181">
        <v>13</v>
      </c>
      <c r="N201" s="181" t="s">
        <v>462</v>
      </c>
      <c r="O201" s="181" t="s">
        <v>606</v>
      </c>
      <c r="P201" s="181">
        <v>275369560</v>
      </c>
      <c r="Q201" s="181" t="s">
        <v>1055</v>
      </c>
      <c r="R201" s="181" t="s">
        <v>1350</v>
      </c>
      <c r="S201" s="181" t="s">
        <v>2243</v>
      </c>
      <c r="T201" s="181">
        <v>173326</v>
      </c>
      <c r="U201" s="182">
        <v>46258.957638888889</v>
      </c>
      <c r="V201" s="181" t="s">
        <v>469</v>
      </c>
      <c r="W201" s="181" t="s">
        <v>651</v>
      </c>
      <c r="X201" s="181" t="s">
        <v>652</v>
      </c>
      <c r="Y201" s="181" t="s">
        <v>653</v>
      </c>
      <c r="Z201" s="181" t="s">
        <v>473</v>
      </c>
      <c r="AA201" s="181" t="s">
        <v>1354</v>
      </c>
      <c r="AB201" s="181" t="s">
        <v>684</v>
      </c>
      <c r="AC201" s="181" t="s">
        <v>476</v>
      </c>
      <c r="AD201" s="181">
        <v>390806374</v>
      </c>
      <c r="AE201" s="181">
        <v>1801874227</v>
      </c>
      <c r="AF201" s="181"/>
      <c r="AG201" s="181">
        <v>4.5820260080732896E+16</v>
      </c>
      <c r="AH201" s="181"/>
      <c r="AI201" s="181" t="s">
        <v>70</v>
      </c>
      <c r="AJ201" s="181" t="s">
        <v>481</v>
      </c>
      <c r="AK201" s="181" t="s">
        <v>2244</v>
      </c>
      <c r="AL201" s="181">
        <v>42539.05</v>
      </c>
      <c r="AM201" s="181"/>
      <c r="AN201" s="181"/>
      <c r="AO201" s="181">
        <v>275</v>
      </c>
      <c r="AP201" s="181" t="s">
        <v>485</v>
      </c>
      <c r="AQ201" s="181" t="s">
        <v>2245</v>
      </c>
      <c r="AR201" s="183">
        <v>46259</v>
      </c>
      <c r="AS201" s="181" t="s">
        <v>70</v>
      </c>
      <c r="AT201" s="181" t="s">
        <v>1142</v>
      </c>
      <c r="AU201" s="181"/>
      <c r="AV201" s="181" t="s">
        <v>2246</v>
      </c>
      <c r="AW201" s="181"/>
      <c r="AX201" s="181"/>
      <c r="AY201" s="181"/>
      <c r="AZ201" s="181"/>
      <c r="BA201" s="181"/>
      <c r="BB201" s="181"/>
      <c r="BC201" s="181"/>
      <c r="BD201" s="181" t="s">
        <v>70</v>
      </c>
      <c r="BE201" s="181">
        <v>37</v>
      </c>
      <c r="BF201" s="181"/>
      <c r="BG201" s="181"/>
      <c r="BH201" s="181" t="s">
        <v>658</v>
      </c>
      <c r="BI201" s="181">
        <v>275369560</v>
      </c>
      <c r="BJ201" s="181"/>
      <c r="BK201" s="181"/>
      <c r="BL201" s="181"/>
      <c r="BM201" s="181"/>
      <c r="BN201" s="181"/>
      <c r="BO201" s="181"/>
      <c r="BP201" s="181"/>
      <c r="BQ201" s="181"/>
      <c r="BR201" s="181"/>
      <c r="BS201" s="181"/>
      <c r="BT201" s="181"/>
      <c r="BU201" s="181"/>
      <c r="BV201" s="181"/>
      <c r="BW201" s="181"/>
      <c r="BX201" s="181"/>
      <c r="BY201" s="181"/>
      <c r="BZ201" s="181"/>
      <c r="CA201" s="190"/>
      <c r="CB201" s="3"/>
      <c r="CC201" s="16"/>
      <c r="CD201" s="16"/>
      <c r="CE201" s="16"/>
      <c r="CF201" s="16"/>
      <c r="CG201" s="16"/>
      <c r="CH201" s="16"/>
      <c r="CI201" s="16" t="s">
        <v>2247</v>
      </c>
    </row>
    <row r="202" spans="1:87">
      <c r="A202" s="16"/>
      <c r="B202" s="16"/>
      <c r="C202" s="3">
        <v>46272</v>
      </c>
      <c r="D202" s="26" t="s">
        <v>14</v>
      </c>
      <c r="E202" s="180" t="s">
        <v>2248</v>
      </c>
      <c r="F202" s="181">
        <v>2026217040745</v>
      </c>
      <c r="G202" s="181">
        <v>40</v>
      </c>
      <c r="H202" s="181">
        <v>33</v>
      </c>
      <c r="I202" s="181" t="s">
        <v>460</v>
      </c>
      <c r="J202" s="181" t="s">
        <v>2248</v>
      </c>
      <c r="K202" s="181" t="s">
        <v>1083</v>
      </c>
      <c r="L202" s="181" t="s">
        <v>17</v>
      </c>
      <c r="M202" s="181">
        <v>32</v>
      </c>
      <c r="N202" s="181" t="s">
        <v>462</v>
      </c>
      <c r="O202" s="181" t="s">
        <v>606</v>
      </c>
      <c r="P202" s="181">
        <v>801170203</v>
      </c>
      <c r="Q202" s="181" t="s">
        <v>465</v>
      </c>
      <c r="R202" s="181" t="s">
        <v>466</v>
      </c>
      <c r="S202" s="181" t="s">
        <v>2249</v>
      </c>
      <c r="T202" s="181">
        <v>173326</v>
      </c>
      <c r="U202" s="182">
        <v>46240.033333333333</v>
      </c>
      <c r="V202" s="181" t="s">
        <v>469</v>
      </c>
      <c r="W202" s="181" t="s">
        <v>651</v>
      </c>
      <c r="X202" s="181" t="s">
        <v>652</v>
      </c>
      <c r="Y202" s="181" t="s">
        <v>653</v>
      </c>
      <c r="Z202" s="181" t="s">
        <v>473</v>
      </c>
      <c r="AA202" s="181" t="s">
        <v>474</v>
      </c>
      <c r="AB202" s="181" t="s">
        <v>684</v>
      </c>
      <c r="AC202" s="181" t="s">
        <v>476</v>
      </c>
      <c r="AD202" s="181">
        <v>390806261</v>
      </c>
      <c r="AE202" s="181">
        <v>1699720086</v>
      </c>
      <c r="AF202" s="181">
        <v>1619504537</v>
      </c>
      <c r="AG202" s="181">
        <v>4.58202531007628E+16</v>
      </c>
      <c r="AH202" s="181"/>
      <c r="AI202" s="181" t="s">
        <v>48</v>
      </c>
      <c r="AJ202" s="181" t="s">
        <v>481</v>
      </c>
      <c r="AK202" s="181" t="s">
        <v>2250</v>
      </c>
      <c r="AL202" s="181">
        <v>18112</v>
      </c>
      <c r="AM202" s="181"/>
      <c r="AN202" s="181"/>
      <c r="AO202" s="181">
        <v>801</v>
      </c>
      <c r="AP202" s="181" t="s">
        <v>485</v>
      </c>
      <c r="AQ202" s="181" t="s">
        <v>2251</v>
      </c>
      <c r="AR202" s="183">
        <v>46240</v>
      </c>
      <c r="AS202" s="181" t="s">
        <v>48</v>
      </c>
      <c r="AT202" s="181" t="s">
        <v>2252</v>
      </c>
      <c r="AU202" s="181"/>
      <c r="AV202" s="181" t="s">
        <v>900</v>
      </c>
      <c r="AW202" s="181"/>
      <c r="AX202" s="181"/>
      <c r="AY202" s="181"/>
      <c r="AZ202" s="181"/>
      <c r="BA202" s="181"/>
      <c r="BB202" s="181"/>
      <c r="BC202" s="181"/>
      <c r="BD202" s="181" t="s">
        <v>48</v>
      </c>
      <c r="BE202" s="181">
        <v>33</v>
      </c>
      <c r="BF202" s="181"/>
      <c r="BG202" s="181"/>
      <c r="BH202" s="181" t="s">
        <v>658</v>
      </c>
      <c r="BI202" s="181">
        <v>801170203</v>
      </c>
      <c r="BJ202" s="181"/>
      <c r="BK202" s="181"/>
      <c r="BL202" s="181"/>
      <c r="BM202" s="181"/>
      <c r="BN202" s="181"/>
      <c r="BO202" s="181"/>
      <c r="BP202" s="181"/>
      <c r="BQ202" s="181"/>
      <c r="BR202" s="181"/>
      <c r="BS202" s="181"/>
      <c r="BT202" s="181"/>
      <c r="BU202" s="181"/>
      <c r="BV202" s="181"/>
      <c r="BW202" s="181"/>
      <c r="BX202" s="181"/>
      <c r="BY202" s="181"/>
      <c r="BZ202" s="181"/>
      <c r="CA202" s="190"/>
      <c r="CB202" s="3"/>
      <c r="CC202" s="16"/>
      <c r="CD202" s="16"/>
      <c r="CE202" s="16"/>
      <c r="CF202" s="16"/>
      <c r="CG202" s="16"/>
      <c r="CH202" s="16"/>
      <c r="CI202" s="16" t="s">
        <v>2253</v>
      </c>
    </row>
    <row r="203" spans="1:87">
      <c r="A203" s="16"/>
      <c r="B203" s="16"/>
      <c r="C203" s="3">
        <v>46272</v>
      </c>
      <c r="D203" s="26" t="s">
        <v>14</v>
      </c>
      <c r="E203" s="180" t="s">
        <v>2254</v>
      </c>
      <c r="F203" s="181"/>
      <c r="G203" s="181">
        <v>40</v>
      </c>
      <c r="H203" s="181">
        <v>40</v>
      </c>
      <c r="I203" s="181" t="s">
        <v>460</v>
      </c>
      <c r="J203" s="181" t="s">
        <v>2254</v>
      </c>
      <c r="K203" s="181" t="s">
        <v>625</v>
      </c>
      <c r="L203" s="181" t="s">
        <v>17</v>
      </c>
      <c r="M203" s="181">
        <v>17</v>
      </c>
      <c r="N203" s="181" t="s">
        <v>462</v>
      </c>
      <c r="O203" s="181" t="s">
        <v>606</v>
      </c>
      <c r="P203" s="181" t="s">
        <v>2255</v>
      </c>
      <c r="Q203" s="181" t="s">
        <v>1055</v>
      </c>
      <c r="R203" s="181" t="s">
        <v>1350</v>
      </c>
      <c r="S203" s="181" t="s">
        <v>2256</v>
      </c>
      <c r="T203" s="181">
        <v>173326</v>
      </c>
      <c r="U203" s="182">
        <v>46254.820833333331</v>
      </c>
      <c r="V203" s="181" t="s">
        <v>469</v>
      </c>
      <c r="W203" s="181" t="s">
        <v>651</v>
      </c>
      <c r="X203" s="181" t="s">
        <v>652</v>
      </c>
      <c r="Y203" s="181" t="s">
        <v>653</v>
      </c>
      <c r="Z203" s="181" t="s">
        <v>473</v>
      </c>
      <c r="AA203" s="181" t="s">
        <v>1354</v>
      </c>
      <c r="AB203" s="181" t="s">
        <v>2257</v>
      </c>
      <c r="AC203" s="181" t="s">
        <v>476</v>
      </c>
      <c r="AD203" s="181">
        <v>391824445</v>
      </c>
      <c r="AE203" s="181">
        <v>1598784555</v>
      </c>
      <c r="AF203" s="181">
        <v>1972899938</v>
      </c>
      <c r="AG203" s="181">
        <v>4.58202518929848E+16</v>
      </c>
      <c r="AH203" s="181"/>
      <c r="AI203" s="181" t="s">
        <v>70</v>
      </c>
      <c r="AJ203" s="181" t="s">
        <v>481</v>
      </c>
      <c r="AK203" s="181" t="s">
        <v>2258</v>
      </c>
      <c r="AL203" s="181">
        <v>14702</v>
      </c>
      <c r="AM203" s="181"/>
      <c r="AN203" s="181"/>
      <c r="AO203" s="181" t="s">
        <v>2162</v>
      </c>
      <c r="AP203" s="181" t="s">
        <v>485</v>
      </c>
      <c r="AQ203" s="181" t="s">
        <v>2259</v>
      </c>
      <c r="AR203" s="183">
        <v>46255</v>
      </c>
      <c r="AS203" s="181" t="s">
        <v>70</v>
      </c>
      <c r="AT203" s="181" t="s">
        <v>1142</v>
      </c>
      <c r="AU203" s="181"/>
      <c r="AV203" s="181" t="s">
        <v>2260</v>
      </c>
      <c r="AW203" s="181"/>
      <c r="AX203" s="181"/>
      <c r="AY203" s="181"/>
      <c r="AZ203" s="181"/>
      <c r="BA203" s="181"/>
      <c r="BB203" s="181"/>
      <c r="BC203" s="181"/>
      <c r="BD203" s="181" t="s">
        <v>70</v>
      </c>
      <c r="BE203" s="181">
        <v>40</v>
      </c>
      <c r="BF203" s="181"/>
      <c r="BG203" s="181"/>
      <c r="BH203" s="181" t="s">
        <v>658</v>
      </c>
      <c r="BI203" s="181" t="s">
        <v>2255</v>
      </c>
      <c r="BJ203" s="181"/>
      <c r="BK203" s="181"/>
      <c r="BL203" s="181"/>
      <c r="BM203" s="181"/>
      <c r="BN203" s="181"/>
      <c r="BO203" s="181"/>
      <c r="BP203" s="181"/>
      <c r="BQ203" s="181"/>
      <c r="BR203" s="181"/>
      <c r="BS203" s="181"/>
      <c r="BT203" s="181"/>
      <c r="BU203" s="181"/>
      <c r="BV203" s="181"/>
      <c r="BW203" s="181"/>
      <c r="BX203" s="181"/>
      <c r="BY203" s="181"/>
      <c r="BZ203" s="181"/>
      <c r="CA203" s="190"/>
      <c r="CB203" s="3"/>
      <c r="CC203" s="16"/>
      <c r="CD203" s="16"/>
      <c r="CE203" s="16"/>
      <c r="CF203" s="16"/>
      <c r="CG203" s="16"/>
      <c r="CH203" s="16"/>
      <c r="CI203" s="16" t="s">
        <v>2261</v>
      </c>
    </row>
    <row r="204" spans="1:87">
      <c r="A204" s="16"/>
      <c r="B204" s="16"/>
      <c r="C204" s="3">
        <v>46272</v>
      </c>
      <c r="D204" s="26" t="s">
        <v>14</v>
      </c>
      <c r="E204" s="180" t="s">
        <v>2262</v>
      </c>
      <c r="F204" s="181">
        <v>2026217260720</v>
      </c>
      <c r="G204" s="181">
        <v>40</v>
      </c>
      <c r="H204" s="181">
        <v>33</v>
      </c>
      <c r="I204" s="181" t="s">
        <v>460</v>
      </c>
      <c r="J204" s="181" t="s">
        <v>2262</v>
      </c>
      <c r="K204" s="181" t="s">
        <v>674</v>
      </c>
      <c r="L204" s="181" t="s">
        <v>16</v>
      </c>
      <c r="M204" s="181">
        <v>9</v>
      </c>
      <c r="N204" s="181" t="s">
        <v>462</v>
      </c>
      <c r="O204" s="181" t="s">
        <v>606</v>
      </c>
      <c r="P204" s="181" t="s">
        <v>2263</v>
      </c>
      <c r="Q204" s="181" t="s">
        <v>465</v>
      </c>
      <c r="R204" s="181" t="s">
        <v>466</v>
      </c>
      <c r="S204" s="181" t="s">
        <v>2264</v>
      </c>
      <c r="T204" s="181">
        <v>173326</v>
      </c>
      <c r="U204" s="182">
        <v>46263.218055555553</v>
      </c>
      <c r="V204" s="181" t="s">
        <v>469</v>
      </c>
      <c r="W204" s="181" t="s">
        <v>651</v>
      </c>
      <c r="X204" s="181" t="s">
        <v>652</v>
      </c>
      <c r="Y204" s="181" t="s">
        <v>653</v>
      </c>
      <c r="Z204" s="181" t="s">
        <v>473</v>
      </c>
      <c r="AA204" s="181" t="s">
        <v>474</v>
      </c>
      <c r="AB204" s="181" t="s">
        <v>684</v>
      </c>
      <c r="AC204" s="181" t="s">
        <v>476</v>
      </c>
      <c r="AD204" s="181">
        <v>390813416</v>
      </c>
      <c r="AE204" s="181">
        <v>1376593442</v>
      </c>
      <c r="AF204" s="181">
        <v>1669087763</v>
      </c>
      <c r="AG204" s="181">
        <v>4.5820253372087296E+16</v>
      </c>
      <c r="AH204" s="181"/>
      <c r="AI204" s="181" t="s">
        <v>54</v>
      </c>
      <c r="AJ204" s="181" t="s">
        <v>481</v>
      </c>
      <c r="AK204" s="181" t="s">
        <v>2265</v>
      </c>
      <c r="AL204" s="181">
        <v>16925</v>
      </c>
      <c r="AM204" s="181"/>
      <c r="AN204" s="181"/>
      <c r="AO204" s="181" t="s">
        <v>2154</v>
      </c>
      <c r="AP204" s="181" t="s">
        <v>485</v>
      </c>
      <c r="AQ204" s="181" t="s">
        <v>2266</v>
      </c>
      <c r="AR204" s="183">
        <v>46263</v>
      </c>
      <c r="AS204" s="181" t="s">
        <v>54</v>
      </c>
      <c r="AT204" s="181" t="s">
        <v>678</v>
      </c>
      <c r="AU204" s="181"/>
      <c r="AV204" s="181" t="s">
        <v>2267</v>
      </c>
      <c r="AW204" s="181"/>
      <c r="AX204" s="181"/>
      <c r="AY204" s="181"/>
      <c r="AZ204" s="181"/>
      <c r="BA204" s="181"/>
      <c r="BB204" s="181"/>
      <c r="BC204" s="181"/>
      <c r="BD204" s="181" t="s">
        <v>54</v>
      </c>
      <c r="BE204" s="181">
        <v>33</v>
      </c>
      <c r="BF204" s="181"/>
      <c r="BG204" s="181"/>
      <c r="BH204" s="181" t="s">
        <v>658</v>
      </c>
      <c r="BI204" s="181" t="s">
        <v>2263</v>
      </c>
      <c r="BJ204" s="181"/>
      <c r="BK204" s="181"/>
      <c r="BL204" s="181"/>
      <c r="BM204" s="181"/>
      <c r="BN204" s="181"/>
      <c r="BO204" s="181"/>
      <c r="BP204" s="181"/>
      <c r="BQ204" s="181"/>
      <c r="BR204" s="181"/>
      <c r="BS204" s="181"/>
      <c r="BT204" s="181"/>
      <c r="BU204" s="181"/>
      <c r="BV204" s="181"/>
      <c r="BW204" s="181"/>
      <c r="BX204" s="181"/>
      <c r="BY204" s="181"/>
      <c r="BZ204" s="181"/>
      <c r="CA204" s="190"/>
      <c r="CB204" s="3"/>
      <c r="CC204" s="16"/>
      <c r="CD204" s="16"/>
      <c r="CE204" s="16"/>
      <c r="CF204" s="16"/>
      <c r="CG204" s="16"/>
      <c r="CH204" s="16"/>
      <c r="CI204" s="16" t="s">
        <v>2268</v>
      </c>
    </row>
    <row r="205" spans="1:87">
      <c r="A205" s="16" t="s">
        <v>5</v>
      </c>
      <c r="B205" s="16" t="s">
        <v>976</v>
      </c>
      <c r="C205" s="3">
        <v>46272</v>
      </c>
      <c r="D205" s="26" t="s">
        <v>14</v>
      </c>
      <c r="E205" s="180" t="s">
        <v>2269</v>
      </c>
      <c r="F205" s="181">
        <v>2026215210244</v>
      </c>
      <c r="G205" s="181">
        <v>40</v>
      </c>
      <c r="H205" s="181">
        <v>35</v>
      </c>
      <c r="I205" s="181" t="s">
        <v>460</v>
      </c>
      <c r="J205" s="181" t="s">
        <v>2269</v>
      </c>
      <c r="K205" s="181" t="s">
        <v>2270</v>
      </c>
      <c r="L205" s="181" t="s">
        <v>13</v>
      </c>
      <c r="M205" s="181">
        <v>12</v>
      </c>
      <c r="N205" s="181" t="s">
        <v>462</v>
      </c>
      <c r="O205" s="181" t="s">
        <v>606</v>
      </c>
      <c r="P205" s="181">
        <v>834330348</v>
      </c>
      <c r="Q205" s="181" t="s">
        <v>465</v>
      </c>
      <c r="R205" s="181" t="s">
        <v>466</v>
      </c>
      <c r="S205" s="181" t="s">
        <v>2271</v>
      </c>
      <c r="T205" s="181">
        <v>173326</v>
      </c>
      <c r="U205" s="182">
        <v>46259.789583333331</v>
      </c>
      <c r="V205" s="181" t="s">
        <v>469</v>
      </c>
      <c r="W205" s="181" t="s">
        <v>651</v>
      </c>
      <c r="X205" s="181" t="s">
        <v>652</v>
      </c>
      <c r="Y205" s="181" t="s">
        <v>653</v>
      </c>
      <c r="Z205" s="181" t="s">
        <v>473</v>
      </c>
      <c r="AA205" s="181" t="s">
        <v>474</v>
      </c>
      <c r="AB205" s="181" t="s">
        <v>684</v>
      </c>
      <c r="AC205" s="181" t="s">
        <v>476</v>
      </c>
      <c r="AD205" s="181">
        <v>391824445</v>
      </c>
      <c r="AE205" s="181">
        <v>1598784555</v>
      </c>
      <c r="AF205" s="181">
        <v>1689255663</v>
      </c>
      <c r="AG205" s="181">
        <v>4.58202528310818E+16</v>
      </c>
      <c r="AH205" s="181"/>
      <c r="AI205" s="181" t="s">
        <v>28</v>
      </c>
      <c r="AJ205" s="181" t="s">
        <v>481</v>
      </c>
      <c r="AK205" s="181" t="s">
        <v>2272</v>
      </c>
      <c r="AL205" s="181">
        <v>10960</v>
      </c>
      <c r="AM205" s="181"/>
      <c r="AN205" s="181"/>
      <c r="AO205" s="181">
        <v>834</v>
      </c>
      <c r="AP205" s="181" t="s">
        <v>485</v>
      </c>
      <c r="AQ205" s="181" t="s">
        <v>2273</v>
      </c>
      <c r="AR205" s="183">
        <v>46260</v>
      </c>
      <c r="AS205" s="181" t="s">
        <v>28</v>
      </c>
      <c r="AT205" s="181" t="s">
        <v>976</v>
      </c>
      <c r="AU205" s="181"/>
      <c r="AV205" s="181" t="s">
        <v>2140</v>
      </c>
      <c r="AW205" s="181"/>
      <c r="AX205" s="181"/>
      <c r="AY205" s="181"/>
      <c r="AZ205" s="181"/>
      <c r="BA205" s="181"/>
      <c r="BB205" s="181"/>
      <c r="BC205" s="181"/>
      <c r="BD205" s="181" t="s">
        <v>28</v>
      </c>
      <c r="BE205" s="181">
        <v>35</v>
      </c>
      <c r="BF205" s="181"/>
      <c r="BG205" s="181"/>
      <c r="BH205" s="181" t="s">
        <v>658</v>
      </c>
      <c r="BI205" s="181">
        <v>834330348</v>
      </c>
      <c r="BJ205" s="181"/>
      <c r="BK205" s="181"/>
      <c r="BL205" s="181"/>
      <c r="BM205" s="181"/>
      <c r="BN205" s="181"/>
      <c r="BO205" s="181"/>
      <c r="BP205" s="181"/>
      <c r="BQ205" s="181"/>
      <c r="BR205" s="181"/>
      <c r="BS205" s="181"/>
      <c r="BT205" s="181"/>
      <c r="BU205" s="181"/>
      <c r="BV205" s="181"/>
      <c r="BW205" s="181"/>
      <c r="BX205" s="181"/>
      <c r="BY205" s="181"/>
      <c r="BZ205" s="181"/>
      <c r="CA205" s="190">
        <v>46280.666666666701</v>
      </c>
      <c r="CB205" s="3"/>
      <c r="CC205" s="16"/>
      <c r="CD205" s="16"/>
      <c r="CE205" s="16"/>
      <c r="CF205" s="16"/>
      <c r="CG205" s="16"/>
      <c r="CH205" s="16"/>
      <c r="CI205" s="16" t="s">
        <v>2274</v>
      </c>
    </row>
    <row r="206" spans="1:87">
      <c r="A206" s="16"/>
      <c r="B206" s="16"/>
      <c r="C206" s="3">
        <v>46272</v>
      </c>
      <c r="D206" s="26" t="s">
        <v>14</v>
      </c>
      <c r="E206" s="180" t="s">
        <v>2275</v>
      </c>
      <c r="F206" s="181">
        <v>2026212550386</v>
      </c>
      <c r="G206" s="181">
        <v>40</v>
      </c>
      <c r="H206" s="181">
        <v>38</v>
      </c>
      <c r="I206" s="181" t="s">
        <v>460</v>
      </c>
      <c r="J206" s="181" t="s">
        <v>2275</v>
      </c>
      <c r="K206" s="181" t="s">
        <v>810</v>
      </c>
      <c r="L206" s="181" t="s">
        <v>17</v>
      </c>
      <c r="M206" s="181">
        <v>13</v>
      </c>
      <c r="N206" s="181" t="s">
        <v>462</v>
      </c>
      <c r="O206" s="181" t="s">
        <v>606</v>
      </c>
      <c r="P206" s="181">
        <v>821481342</v>
      </c>
      <c r="Q206" s="181" t="s">
        <v>465</v>
      </c>
      <c r="R206" s="181" t="s">
        <v>466</v>
      </c>
      <c r="S206" s="181" t="s">
        <v>2276</v>
      </c>
      <c r="T206" s="181">
        <v>173325</v>
      </c>
      <c r="U206" s="182">
        <v>46258.813888888886</v>
      </c>
      <c r="V206" s="181" t="s">
        <v>469</v>
      </c>
      <c r="W206" s="181" t="s">
        <v>651</v>
      </c>
      <c r="X206" s="181" t="s">
        <v>652</v>
      </c>
      <c r="Y206" s="181" t="s">
        <v>653</v>
      </c>
      <c r="Z206" s="181" t="s">
        <v>731</v>
      </c>
      <c r="AA206" s="181" t="s">
        <v>474</v>
      </c>
      <c r="AB206" s="181" t="s">
        <v>732</v>
      </c>
      <c r="AC206" s="181" t="s">
        <v>733</v>
      </c>
      <c r="AD206" s="181">
        <v>205044859</v>
      </c>
      <c r="AE206" s="181">
        <v>1457552846</v>
      </c>
      <c r="AF206" s="181"/>
      <c r="AG206" s="181">
        <v>7.4820251961062E+16</v>
      </c>
      <c r="AH206" s="181"/>
      <c r="AI206" s="181" t="s">
        <v>37</v>
      </c>
      <c r="AJ206" s="181" t="s">
        <v>481</v>
      </c>
      <c r="AK206" s="181" t="s">
        <v>2277</v>
      </c>
      <c r="AL206" s="181">
        <v>141056.13</v>
      </c>
      <c r="AM206" s="181"/>
      <c r="AN206" s="181"/>
      <c r="AO206" s="181">
        <v>821</v>
      </c>
      <c r="AP206" s="181" t="s">
        <v>485</v>
      </c>
      <c r="AQ206" s="181" t="s">
        <v>2278</v>
      </c>
      <c r="AR206" s="183">
        <v>46259</v>
      </c>
      <c r="AS206" s="181" t="s">
        <v>37</v>
      </c>
      <c r="AT206" s="181" t="s">
        <v>814</v>
      </c>
      <c r="AU206" s="181"/>
      <c r="AV206" s="181" t="s">
        <v>2279</v>
      </c>
      <c r="AW206" s="181"/>
      <c r="AX206" s="181"/>
      <c r="AY206" s="181"/>
      <c r="AZ206" s="181"/>
      <c r="BA206" s="181"/>
      <c r="BB206" s="181"/>
      <c r="BC206" s="181"/>
      <c r="BD206" s="181" t="s">
        <v>37</v>
      </c>
      <c r="BE206" s="181">
        <v>38</v>
      </c>
      <c r="BF206" s="181"/>
      <c r="BG206" s="181"/>
      <c r="BH206" s="181" t="s">
        <v>658</v>
      </c>
      <c r="BI206" s="181">
        <v>821481342</v>
      </c>
      <c r="BJ206" s="181"/>
      <c r="BK206" s="181"/>
      <c r="BL206" s="181"/>
      <c r="BM206" s="181"/>
      <c r="BN206" s="181"/>
      <c r="BO206" s="181"/>
      <c r="BP206" s="181"/>
      <c r="BQ206" s="181"/>
      <c r="BR206" s="181"/>
      <c r="BS206" s="181"/>
      <c r="BT206" s="181"/>
      <c r="BU206" s="181"/>
      <c r="BV206" s="181"/>
      <c r="BW206" s="181"/>
      <c r="BX206" s="181"/>
      <c r="BY206" s="181"/>
      <c r="BZ206" s="181"/>
      <c r="CA206" s="190"/>
      <c r="CB206" s="3"/>
      <c r="CC206" s="16"/>
      <c r="CD206" s="16"/>
      <c r="CE206" s="16"/>
      <c r="CF206" s="16"/>
      <c r="CG206" s="16"/>
      <c r="CH206" s="16"/>
      <c r="CI206" s="16" t="s">
        <v>2280</v>
      </c>
    </row>
    <row r="207" spans="1:87">
      <c r="A207" s="16"/>
      <c r="B207" s="16"/>
      <c r="C207" s="3">
        <v>46272</v>
      </c>
      <c r="D207" s="26" t="s">
        <v>14</v>
      </c>
      <c r="E207" s="180" t="s">
        <v>2281</v>
      </c>
      <c r="F207" s="181">
        <v>2026218470494</v>
      </c>
      <c r="G207" s="181">
        <v>40</v>
      </c>
      <c r="H207" s="181">
        <v>32</v>
      </c>
      <c r="I207" s="181" t="s">
        <v>460</v>
      </c>
      <c r="J207" s="181" t="s">
        <v>2281</v>
      </c>
      <c r="K207" s="181" t="s">
        <v>648</v>
      </c>
      <c r="L207" s="181" t="s">
        <v>17</v>
      </c>
      <c r="M207" s="181">
        <v>7</v>
      </c>
      <c r="N207" s="181" t="s">
        <v>462</v>
      </c>
      <c r="O207" s="181" t="s">
        <v>606</v>
      </c>
      <c r="P207" s="181">
        <v>822250620</v>
      </c>
      <c r="Q207" s="181" t="s">
        <v>465</v>
      </c>
      <c r="R207" s="181" t="s">
        <v>466</v>
      </c>
      <c r="S207" s="181" t="s">
        <v>2282</v>
      </c>
      <c r="T207" s="181">
        <v>173325</v>
      </c>
      <c r="U207" s="182">
        <v>46264.853472222225</v>
      </c>
      <c r="V207" s="181" t="s">
        <v>469</v>
      </c>
      <c r="W207" s="181" t="s">
        <v>651</v>
      </c>
      <c r="X207" s="181" t="s">
        <v>652</v>
      </c>
      <c r="Y207" s="181" t="s">
        <v>653</v>
      </c>
      <c r="Z207" s="181" t="s">
        <v>731</v>
      </c>
      <c r="AA207" s="181" t="s">
        <v>474</v>
      </c>
      <c r="AB207" s="181" t="s">
        <v>732</v>
      </c>
      <c r="AC207" s="181" t="s">
        <v>733</v>
      </c>
      <c r="AD207" s="181">
        <v>430653611</v>
      </c>
      <c r="AE207" s="181">
        <v>1134169568</v>
      </c>
      <c r="AF207" s="181">
        <v>1952337222</v>
      </c>
      <c r="AG207" s="181">
        <v>7.4820250581173904E+16</v>
      </c>
      <c r="AH207" s="181"/>
      <c r="AI207" s="181" t="s">
        <v>201</v>
      </c>
      <c r="AJ207" s="181" t="s">
        <v>481</v>
      </c>
      <c r="AK207" s="181" t="s">
        <v>2283</v>
      </c>
      <c r="AL207" s="181">
        <v>4800</v>
      </c>
      <c r="AM207" s="181"/>
      <c r="AN207" s="181"/>
      <c r="AO207" s="181">
        <v>822</v>
      </c>
      <c r="AP207" s="181" t="s">
        <v>485</v>
      </c>
      <c r="AQ207" s="181" t="s">
        <v>2284</v>
      </c>
      <c r="AR207" s="183">
        <v>46265</v>
      </c>
      <c r="AS207" s="181" t="s">
        <v>201</v>
      </c>
      <c r="AT207" s="181" t="s">
        <v>2285</v>
      </c>
      <c r="AU207" s="181"/>
      <c r="AV207" s="181" t="s">
        <v>2286</v>
      </c>
      <c r="AW207" s="181"/>
      <c r="AX207" s="181"/>
      <c r="AY207" s="181"/>
      <c r="AZ207" s="181"/>
      <c r="BA207" s="181"/>
      <c r="BB207" s="181"/>
      <c r="BC207" s="181"/>
      <c r="BD207" s="181" t="s">
        <v>201</v>
      </c>
      <c r="BE207" s="181">
        <v>32</v>
      </c>
      <c r="BF207" s="181"/>
      <c r="BG207" s="181"/>
      <c r="BH207" s="181" t="s">
        <v>658</v>
      </c>
      <c r="BI207" s="181">
        <v>822250620</v>
      </c>
      <c r="BJ207" s="181"/>
      <c r="BK207" s="181"/>
      <c r="BL207" s="181"/>
      <c r="BM207" s="181"/>
      <c r="BN207" s="181"/>
      <c r="BO207" s="181"/>
      <c r="BP207" s="181"/>
      <c r="BQ207" s="181"/>
      <c r="BR207" s="181"/>
      <c r="BS207" s="181"/>
      <c r="BT207" s="181"/>
      <c r="BU207" s="181"/>
      <c r="BV207" s="181"/>
      <c r="BW207" s="181"/>
      <c r="BX207" s="181"/>
      <c r="BY207" s="181"/>
      <c r="BZ207" s="181"/>
      <c r="CA207" s="190"/>
      <c r="CB207" s="3"/>
      <c r="CC207" s="16"/>
      <c r="CD207" s="16"/>
      <c r="CE207" s="16"/>
      <c r="CF207" s="16"/>
      <c r="CG207" s="16"/>
      <c r="CH207" s="16"/>
      <c r="CI207" s="16" t="s">
        <v>2287</v>
      </c>
    </row>
    <row r="208" spans="1:87">
      <c r="A208" s="16"/>
      <c r="B208" s="16"/>
      <c r="C208" s="3">
        <v>46272</v>
      </c>
      <c r="D208" s="26" t="s">
        <v>14</v>
      </c>
      <c r="E208" s="180" t="s">
        <v>2288</v>
      </c>
      <c r="F208" s="181">
        <v>2026205840452</v>
      </c>
      <c r="G208" s="181">
        <v>40</v>
      </c>
      <c r="H208" s="181">
        <v>45</v>
      </c>
      <c r="I208" s="181" t="s">
        <v>460</v>
      </c>
      <c r="J208" s="181" t="s">
        <v>2288</v>
      </c>
      <c r="K208" s="181" t="s">
        <v>674</v>
      </c>
      <c r="L208" s="181" t="s">
        <v>16</v>
      </c>
      <c r="M208" s="181">
        <v>13</v>
      </c>
      <c r="N208" s="181" t="s">
        <v>462</v>
      </c>
      <c r="O208" s="181" t="s">
        <v>606</v>
      </c>
      <c r="P208" s="181">
        <v>841786437</v>
      </c>
      <c r="Q208" s="181" t="s">
        <v>465</v>
      </c>
      <c r="R208" s="181" t="s">
        <v>466</v>
      </c>
      <c r="S208" s="181" t="s">
        <v>2289</v>
      </c>
      <c r="T208" s="181">
        <v>173325</v>
      </c>
      <c r="U208" s="182">
        <v>46259.39166666667</v>
      </c>
      <c r="V208" s="181" t="s">
        <v>469</v>
      </c>
      <c r="W208" s="181" t="s">
        <v>651</v>
      </c>
      <c r="X208" s="181" t="s">
        <v>652</v>
      </c>
      <c r="Y208" s="181" t="s">
        <v>653</v>
      </c>
      <c r="Z208" s="181" t="s">
        <v>731</v>
      </c>
      <c r="AA208" s="181" t="s">
        <v>474</v>
      </c>
      <c r="AB208" s="181" t="s">
        <v>732</v>
      </c>
      <c r="AC208" s="181" t="s">
        <v>733</v>
      </c>
      <c r="AD208" s="181">
        <v>430653611</v>
      </c>
      <c r="AE208" s="181">
        <v>1134169568</v>
      </c>
      <c r="AF208" s="181">
        <v>1093078115</v>
      </c>
      <c r="AG208" s="181">
        <v>7.4820250621527808E+16</v>
      </c>
      <c r="AH208" s="181"/>
      <c r="AI208" s="181" t="s">
        <v>54</v>
      </c>
      <c r="AJ208" s="181" t="s">
        <v>481</v>
      </c>
      <c r="AK208" s="181" t="s">
        <v>2290</v>
      </c>
      <c r="AL208" s="181">
        <v>8240</v>
      </c>
      <c r="AM208" s="181"/>
      <c r="AN208" s="181"/>
      <c r="AO208" s="181">
        <v>841</v>
      </c>
      <c r="AP208" s="181" t="s">
        <v>485</v>
      </c>
      <c r="AQ208" s="181" t="s">
        <v>2291</v>
      </c>
      <c r="AR208" s="183">
        <v>46259</v>
      </c>
      <c r="AS208" s="181" t="s">
        <v>54</v>
      </c>
      <c r="AT208" s="181" t="s">
        <v>2292</v>
      </c>
      <c r="AU208" s="181"/>
      <c r="AV208" s="181" t="s">
        <v>2293</v>
      </c>
      <c r="AW208" s="181"/>
      <c r="AX208" s="181"/>
      <c r="AY208" s="181"/>
      <c r="AZ208" s="181"/>
      <c r="BA208" s="181"/>
      <c r="BB208" s="181"/>
      <c r="BC208" s="181"/>
      <c r="BD208" s="181" t="s">
        <v>54</v>
      </c>
      <c r="BE208" s="181">
        <v>45</v>
      </c>
      <c r="BF208" s="181"/>
      <c r="BG208" s="181"/>
      <c r="BH208" s="181" t="s">
        <v>658</v>
      </c>
      <c r="BI208" s="181">
        <v>841786437</v>
      </c>
      <c r="BJ208" s="181"/>
      <c r="BK208" s="181"/>
      <c r="BL208" s="181"/>
      <c r="BM208" s="181"/>
      <c r="BN208" s="181"/>
      <c r="BO208" s="181"/>
      <c r="BP208" s="181"/>
      <c r="BQ208" s="181"/>
      <c r="BR208" s="181"/>
      <c r="BS208" s="181"/>
      <c r="BT208" s="181"/>
      <c r="BU208" s="181"/>
      <c r="BV208" s="181"/>
      <c r="BW208" s="181"/>
      <c r="BX208" s="181"/>
      <c r="BY208" s="181"/>
      <c r="BZ208" s="181"/>
      <c r="CA208" s="190"/>
      <c r="CB208" s="3"/>
      <c r="CC208" s="16"/>
      <c r="CD208" s="16"/>
      <c r="CE208" s="16"/>
      <c r="CF208" s="16"/>
      <c r="CG208" s="16"/>
      <c r="CH208" s="16"/>
      <c r="CI208" s="16" t="s">
        <v>2294</v>
      </c>
    </row>
    <row r="209" spans="1:87">
      <c r="A209" s="16"/>
      <c r="B209" s="16"/>
      <c r="C209" s="3">
        <v>46272</v>
      </c>
      <c r="D209" s="26" t="s">
        <v>14</v>
      </c>
      <c r="E209" s="180" t="s">
        <v>2295</v>
      </c>
      <c r="F209" s="181"/>
      <c r="G209" s="181">
        <v>40</v>
      </c>
      <c r="H209" s="181">
        <v>39</v>
      </c>
      <c r="I209" s="181" t="s">
        <v>460</v>
      </c>
      <c r="J209" s="181" t="s">
        <v>2295</v>
      </c>
      <c r="K209" s="181" t="s">
        <v>983</v>
      </c>
      <c r="L209" s="181" t="s">
        <v>17</v>
      </c>
      <c r="M209" s="181">
        <v>12</v>
      </c>
      <c r="N209" s="181" t="s">
        <v>462</v>
      </c>
      <c r="O209" s="181" t="s">
        <v>606</v>
      </c>
      <c r="P209" s="181">
        <v>78320488</v>
      </c>
      <c r="Q209" s="181" t="s">
        <v>1055</v>
      </c>
      <c r="R209" s="181" t="s">
        <v>1350</v>
      </c>
      <c r="S209" s="181" t="s">
        <v>2296</v>
      </c>
      <c r="T209" s="181">
        <v>173325</v>
      </c>
      <c r="U209" s="182">
        <v>46260.049305555556</v>
      </c>
      <c r="V209" s="181" t="s">
        <v>469</v>
      </c>
      <c r="W209" s="181" t="s">
        <v>651</v>
      </c>
      <c r="X209" s="181" t="s">
        <v>652</v>
      </c>
      <c r="Y209" s="181" t="s">
        <v>653</v>
      </c>
      <c r="Z209" s="181" t="s">
        <v>731</v>
      </c>
      <c r="AA209" s="181" t="s">
        <v>1354</v>
      </c>
      <c r="AB209" s="181" t="s">
        <v>732</v>
      </c>
      <c r="AC209" s="181" t="s">
        <v>733</v>
      </c>
      <c r="AD209" s="181">
        <v>430653611</v>
      </c>
      <c r="AE209" s="181">
        <v>1356381842</v>
      </c>
      <c r="AF209" s="181">
        <v>1700205630</v>
      </c>
      <c r="AG209" s="181">
        <v>7.4820253170019104E+16</v>
      </c>
      <c r="AH209" s="181"/>
      <c r="AI209" s="181" t="s">
        <v>34</v>
      </c>
      <c r="AJ209" s="181" t="s">
        <v>481</v>
      </c>
      <c r="AK209" s="181" t="s">
        <v>2297</v>
      </c>
      <c r="AL209" s="181">
        <v>10331</v>
      </c>
      <c r="AM209" s="181"/>
      <c r="AN209" s="181"/>
      <c r="AO209" s="181">
        <v>78</v>
      </c>
      <c r="AP209" s="181" t="s">
        <v>1063</v>
      </c>
      <c r="AQ209" s="181" t="s">
        <v>2298</v>
      </c>
      <c r="AR209" s="183">
        <v>46260</v>
      </c>
      <c r="AS209" s="181" t="s">
        <v>34</v>
      </c>
      <c r="AT209" s="181" t="s">
        <v>976</v>
      </c>
      <c r="AU209" s="181"/>
      <c r="AV209" s="181" t="s">
        <v>2299</v>
      </c>
      <c r="AW209" s="181"/>
      <c r="AX209" s="181"/>
      <c r="AY209" s="181"/>
      <c r="AZ209" s="181"/>
      <c r="BA209" s="181"/>
      <c r="BB209" s="181"/>
      <c r="BC209" s="181"/>
      <c r="BD209" s="181" t="s">
        <v>34</v>
      </c>
      <c r="BE209" s="181">
        <v>39</v>
      </c>
      <c r="BF209" s="181"/>
      <c r="BG209" s="181"/>
      <c r="BH209" s="181" t="s">
        <v>658</v>
      </c>
      <c r="BI209" s="181">
        <v>78320488</v>
      </c>
      <c r="BJ209" s="181"/>
      <c r="BK209" s="181"/>
      <c r="BL209" s="181"/>
      <c r="BM209" s="181"/>
      <c r="BN209" s="181"/>
      <c r="BO209" s="181"/>
      <c r="BP209" s="181"/>
      <c r="BQ209" s="181"/>
      <c r="BR209" s="181"/>
      <c r="BS209" s="181"/>
      <c r="BT209" s="181"/>
      <c r="BU209" s="181"/>
      <c r="BV209" s="181"/>
      <c r="BW209" s="181"/>
      <c r="BX209" s="181"/>
      <c r="BY209" s="181"/>
      <c r="BZ209" s="181"/>
      <c r="CA209" s="190"/>
      <c r="CB209" s="3"/>
      <c r="CC209" s="16"/>
      <c r="CD209" s="16"/>
      <c r="CE209" s="16"/>
      <c r="CF209" s="16"/>
      <c r="CG209" s="16"/>
      <c r="CH209" s="16"/>
      <c r="CI209" s="16" t="s">
        <v>2300</v>
      </c>
    </row>
    <row r="210" spans="1:87">
      <c r="A210" s="16"/>
      <c r="B210" s="16"/>
      <c r="C210" s="3">
        <v>46272</v>
      </c>
      <c r="D210" s="26" t="s">
        <v>14</v>
      </c>
      <c r="E210" s="180" t="s">
        <v>2301</v>
      </c>
      <c r="F210" s="181">
        <v>2026210730290</v>
      </c>
      <c r="G210" s="181">
        <v>40</v>
      </c>
      <c r="H210" s="181">
        <v>40</v>
      </c>
      <c r="I210" s="181" t="s">
        <v>460</v>
      </c>
      <c r="J210" s="181" t="s">
        <v>2301</v>
      </c>
      <c r="K210" s="181" t="s">
        <v>625</v>
      </c>
      <c r="L210" s="181" t="s">
        <v>17</v>
      </c>
      <c r="M210" s="181">
        <v>17</v>
      </c>
      <c r="N210" s="181" t="s">
        <v>462</v>
      </c>
      <c r="O210" s="181" t="s">
        <v>606</v>
      </c>
      <c r="P210" s="181">
        <v>811398837</v>
      </c>
      <c r="Q210" s="181" t="s">
        <v>465</v>
      </c>
      <c r="R210" s="181" t="s">
        <v>466</v>
      </c>
      <c r="S210" s="181" t="s">
        <v>2302</v>
      </c>
      <c r="T210" s="181">
        <v>173323</v>
      </c>
      <c r="U210" s="182">
        <v>46254.854166666664</v>
      </c>
      <c r="V210" s="181" t="s">
        <v>469</v>
      </c>
      <c r="W210" s="181" t="s">
        <v>651</v>
      </c>
      <c r="X210" s="181" t="s">
        <v>652</v>
      </c>
      <c r="Y210" s="181" t="s">
        <v>653</v>
      </c>
      <c r="Z210" s="181" t="s">
        <v>590</v>
      </c>
      <c r="AA210" s="181" t="s">
        <v>474</v>
      </c>
      <c r="AB210" s="181" t="s">
        <v>2303</v>
      </c>
      <c r="AC210" s="181" t="s">
        <v>592</v>
      </c>
      <c r="AD210" s="181">
        <v>840166760</v>
      </c>
      <c r="AE210" s="181">
        <v>1336637438</v>
      </c>
      <c r="AF210" s="181"/>
      <c r="AG210" s="181">
        <v>5120251431575400</v>
      </c>
      <c r="AH210" s="181"/>
      <c r="AI210" s="181" t="s">
        <v>70</v>
      </c>
      <c r="AJ210" s="181" t="s">
        <v>481</v>
      </c>
      <c r="AK210" s="181" t="s">
        <v>2304</v>
      </c>
      <c r="AL210" s="181">
        <v>76166.19</v>
      </c>
      <c r="AM210" s="181"/>
      <c r="AN210" s="181"/>
      <c r="AO210" s="181">
        <v>811</v>
      </c>
      <c r="AP210" s="181" t="s">
        <v>485</v>
      </c>
      <c r="AQ210" s="181" t="s">
        <v>2305</v>
      </c>
      <c r="AR210" s="183">
        <v>46255</v>
      </c>
      <c r="AS210" s="181" t="s">
        <v>70</v>
      </c>
      <c r="AT210" s="181" t="s">
        <v>2306</v>
      </c>
      <c r="AU210" s="181"/>
      <c r="AV210" s="181" t="s">
        <v>2307</v>
      </c>
      <c r="AW210" s="181"/>
      <c r="AX210" s="181"/>
      <c r="AY210" s="181"/>
      <c r="AZ210" s="181"/>
      <c r="BA210" s="181"/>
      <c r="BB210" s="181"/>
      <c r="BC210" s="181"/>
      <c r="BD210" s="181" t="s">
        <v>70</v>
      </c>
      <c r="BE210" s="181">
        <v>40</v>
      </c>
      <c r="BF210" s="181"/>
      <c r="BG210" s="181"/>
      <c r="BH210" s="181" t="s">
        <v>658</v>
      </c>
      <c r="BI210" s="181">
        <v>811398837</v>
      </c>
      <c r="BJ210" s="181"/>
      <c r="BK210" s="181"/>
      <c r="BL210" s="181"/>
      <c r="BM210" s="181"/>
      <c r="BN210" s="181"/>
      <c r="BO210" s="181"/>
      <c r="BP210" s="181"/>
      <c r="BQ210" s="181"/>
      <c r="BR210" s="181"/>
      <c r="BS210" s="181"/>
      <c r="BT210" s="181"/>
      <c r="BU210" s="181"/>
      <c r="BV210" s="181"/>
      <c r="BW210" s="181"/>
      <c r="BX210" s="181"/>
      <c r="BY210" s="181"/>
      <c r="BZ210" s="181"/>
      <c r="CA210" s="190"/>
      <c r="CB210" s="3"/>
      <c r="CC210" s="16"/>
      <c r="CD210" s="16"/>
      <c r="CE210" s="16"/>
      <c r="CF210" s="16"/>
      <c r="CG210" s="16"/>
      <c r="CH210" s="16"/>
      <c r="CI210" s="16" t="s">
        <v>2308</v>
      </c>
    </row>
    <row r="211" spans="1:87">
      <c r="A211" s="16"/>
      <c r="B211" s="16"/>
      <c r="C211" s="3">
        <v>46272</v>
      </c>
      <c r="D211" s="26" t="s">
        <v>14</v>
      </c>
      <c r="E211" s="180" t="s">
        <v>2309</v>
      </c>
      <c r="F211" s="181">
        <v>2026214260050</v>
      </c>
      <c r="G211" s="181">
        <v>40</v>
      </c>
      <c r="H211" s="181">
        <v>36</v>
      </c>
      <c r="I211" s="181" t="s">
        <v>460</v>
      </c>
      <c r="J211" s="181" t="s">
        <v>2309</v>
      </c>
      <c r="K211" s="181" t="s">
        <v>674</v>
      </c>
      <c r="L211" s="181" t="s">
        <v>16</v>
      </c>
      <c r="M211" s="181">
        <v>13</v>
      </c>
      <c r="N211" s="181" t="s">
        <v>462</v>
      </c>
      <c r="O211" s="181" t="s">
        <v>606</v>
      </c>
      <c r="P211" s="181">
        <v>832987823</v>
      </c>
      <c r="Q211" s="181" t="s">
        <v>465</v>
      </c>
      <c r="R211" s="181" t="s">
        <v>466</v>
      </c>
      <c r="S211" s="181" t="s">
        <v>2310</v>
      </c>
      <c r="T211" s="181">
        <v>173323</v>
      </c>
      <c r="U211" s="182">
        <v>46259.424305555556</v>
      </c>
      <c r="V211" s="181" t="s">
        <v>469</v>
      </c>
      <c r="W211" s="181" t="s">
        <v>651</v>
      </c>
      <c r="X211" s="181" t="s">
        <v>652</v>
      </c>
      <c r="Y211" s="181" t="s">
        <v>653</v>
      </c>
      <c r="Z211" s="181" t="s">
        <v>590</v>
      </c>
      <c r="AA211" s="181" t="s">
        <v>474</v>
      </c>
      <c r="AB211" s="181" t="s">
        <v>2303</v>
      </c>
      <c r="AC211" s="181" t="s">
        <v>592</v>
      </c>
      <c r="AD211" s="181">
        <v>841415470</v>
      </c>
      <c r="AE211" s="181">
        <v>1952327835</v>
      </c>
      <c r="AF211" s="181">
        <v>1598704454</v>
      </c>
      <c r="AG211" s="181">
        <v>5120250981141800</v>
      </c>
      <c r="AH211" s="181"/>
      <c r="AI211" s="181" t="s">
        <v>54</v>
      </c>
      <c r="AJ211" s="181" t="s">
        <v>481</v>
      </c>
      <c r="AK211" s="181" t="s">
        <v>2311</v>
      </c>
      <c r="AL211" s="181">
        <v>13942</v>
      </c>
      <c r="AM211" s="181"/>
      <c r="AN211" s="181"/>
      <c r="AO211" s="181">
        <v>832</v>
      </c>
      <c r="AP211" s="181" t="s">
        <v>485</v>
      </c>
      <c r="AQ211" s="181" t="s">
        <v>2312</v>
      </c>
      <c r="AR211" s="183">
        <v>46259</v>
      </c>
      <c r="AS211" s="181" t="s">
        <v>54</v>
      </c>
      <c r="AT211" s="181" t="s">
        <v>678</v>
      </c>
      <c r="AU211" s="181"/>
      <c r="AV211" s="181" t="s">
        <v>2313</v>
      </c>
      <c r="AW211" s="181"/>
      <c r="AX211" s="181"/>
      <c r="AY211" s="181"/>
      <c r="AZ211" s="181"/>
      <c r="BA211" s="181"/>
      <c r="BB211" s="181"/>
      <c r="BC211" s="181"/>
      <c r="BD211" s="181" t="s">
        <v>54</v>
      </c>
      <c r="BE211" s="181">
        <v>36</v>
      </c>
      <c r="BF211" s="181"/>
      <c r="BG211" s="181"/>
      <c r="BH211" s="181" t="s">
        <v>658</v>
      </c>
      <c r="BI211" s="181">
        <v>832987823</v>
      </c>
      <c r="BJ211" s="181"/>
      <c r="BK211" s="181"/>
      <c r="BL211" s="181"/>
      <c r="BM211" s="181"/>
      <c r="BN211" s="181"/>
      <c r="BO211" s="181"/>
      <c r="BP211" s="181"/>
      <c r="BQ211" s="181"/>
      <c r="BR211" s="181"/>
      <c r="BS211" s="181"/>
      <c r="BT211" s="181"/>
      <c r="BU211" s="181"/>
      <c r="BV211" s="181"/>
      <c r="BW211" s="181"/>
      <c r="BX211" s="181"/>
      <c r="BY211" s="181"/>
      <c r="BZ211" s="181"/>
      <c r="CA211" s="190"/>
      <c r="CB211" s="3"/>
      <c r="CC211" s="16"/>
      <c r="CD211" s="16"/>
      <c r="CE211" s="16"/>
      <c r="CF211" s="16"/>
      <c r="CG211" s="16"/>
      <c r="CH211" s="16"/>
      <c r="CI211" s="16" t="s">
        <v>2314</v>
      </c>
    </row>
    <row r="212" spans="1:87">
      <c r="A212" s="16" t="s">
        <v>5</v>
      </c>
      <c r="B212" s="16" t="s">
        <v>992</v>
      </c>
      <c r="C212" s="3">
        <v>46272</v>
      </c>
      <c r="D212" s="26" t="s">
        <v>14</v>
      </c>
      <c r="E212" s="180" t="s">
        <v>2315</v>
      </c>
      <c r="F212" s="181">
        <v>2026217450172</v>
      </c>
      <c r="G212" s="181">
        <v>40</v>
      </c>
      <c r="H212" s="181">
        <v>33</v>
      </c>
      <c r="I212" s="181" t="s">
        <v>460</v>
      </c>
      <c r="J212" s="181" t="s">
        <v>2315</v>
      </c>
      <c r="K212" s="181" t="s">
        <v>1884</v>
      </c>
      <c r="L212" s="181" t="s">
        <v>17</v>
      </c>
      <c r="M212" s="181">
        <v>11</v>
      </c>
      <c r="N212" s="181" t="s">
        <v>462</v>
      </c>
      <c r="O212" s="181" t="s">
        <v>606</v>
      </c>
      <c r="P212" s="181" t="s">
        <v>2316</v>
      </c>
      <c r="Q212" s="181" t="s">
        <v>465</v>
      </c>
      <c r="R212" s="181" t="s">
        <v>466</v>
      </c>
      <c r="S212" s="181" t="s">
        <v>2317</v>
      </c>
      <c r="T212" s="181" t="s">
        <v>2318</v>
      </c>
      <c r="U212" s="182">
        <v>46261.67291666667</v>
      </c>
      <c r="V212" s="181" t="s">
        <v>469</v>
      </c>
      <c r="W212" s="181" t="s">
        <v>470</v>
      </c>
      <c r="X212" s="181" t="s">
        <v>471</v>
      </c>
      <c r="Y212" s="181" t="s">
        <v>628</v>
      </c>
      <c r="Z212" s="181" t="s">
        <v>501</v>
      </c>
      <c r="AA212" s="181" t="s">
        <v>474</v>
      </c>
      <c r="AB212" s="181" t="s">
        <v>2319</v>
      </c>
      <c r="AC212" s="181" t="s">
        <v>503</v>
      </c>
      <c r="AD212" s="181">
        <v>540885859</v>
      </c>
      <c r="AE212" s="181">
        <v>1144054792</v>
      </c>
      <c r="AF212" s="181">
        <v>1386276848</v>
      </c>
      <c r="AG212" s="181"/>
      <c r="AH212" s="181"/>
      <c r="AI212" s="181" t="s">
        <v>318</v>
      </c>
      <c r="AJ212" s="181" t="s">
        <v>481</v>
      </c>
      <c r="AK212" s="181" t="s">
        <v>2320</v>
      </c>
      <c r="AL212" s="181">
        <v>2103.5</v>
      </c>
      <c r="AM212" s="181"/>
      <c r="AN212" s="181"/>
      <c r="AO212" s="181">
        <v>147</v>
      </c>
      <c r="AP212" s="181" t="s">
        <v>485</v>
      </c>
      <c r="AQ212" s="181" t="s">
        <v>2321</v>
      </c>
      <c r="AR212" s="183">
        <v>46261</v>
      </c>
      <c r="AS212" s="181" t="s">
        <v>318</v>
      </c>
      <c r="AT212" s="181" t="s">
        <v>2322</v>
      </c>
      <c r="AU212" s="181"/>
      <c r="AV212" s="181" t="s">
        <v>2323</v>
      </c>
      <c r="AW212" s="181"/>
      <c r="AX212" s="181"/>
      <c r="AY212" s="181"/>
      <c r="AZ212" s="181"/>
      <c r="BA212" s="181"/>
      <c r="BB212" s="181"/>
      <c r="BC212" s="181"/>
      <c r="BD212" s="181" t="s">
        <v>318</v>
      </c>
      <c r="BE212" s="181">
        <v>33</v>
      </c>
      <c r="BF212" s="181"/>
      <c r="BG212" s="181"/>
      <c r="BH212" s="181" t="s">
        <v>491</v>
      </c>
      <c r="BI212" s="181">
        <v>213763945</v>
      </c>
      <c r="BJ212" s="181"/>
      <c r="BK212" s="181"/>
      <c r="BL212" s="181"/>
      <c r="BM212" s="181"/>
      <c r="BN212" s="181"/>
      <c r="BO212" s="181"/>
      <c r="BP212" s="181"/>
      <c r="BQ212" s="181"/>
      <c r="BR212" s="181"/>
      <c r="BS212" s="181"/>
      <c r="BT212" s="181"/>
      <c r="BU212" s="181"/>
      <c r="BV212" s="181"/>
      <c r="BW212" s="181"/>
      <c r="BX212" s="181"/>
      <c r="BY212" s="181"/>
      <c r="BZ212" s="181"/>
      <c r="CA212" s="190">
        <v>46285.666666666701</v>
      </c>
      <c r="CB212" s="3"/>
      <c r="CC212" s="16"/>
      <c r="CD212" s="16"/>
      <c r="CE212" s="16"/>
      <c r="CF212" s="16"/>
      <c r="CG212" s="16"/>
      <c r="CH212" s="16"/>
      <c r="CI212" s="16" t="s">
        <v>2324</v>
      </c>
    </row>
    <row r="213" spans="1:87">
      <c r="A213" s="16"/>
      <c r="B213" s="16"/>
      <c r="C213" s="3">
        <v>46272</v>
      </c>
      <c r="D213" s="26" t="s">
        <v>14</v>
      </c>
      <c r="E213" s="180" t="s">
        <v>2325</v>
      </c>
      <c r="F213" s="181">
        <v>2026206430269</v>
      </c>
      <c r="G213" s="181">
        <v>40</v>
      </c>
      <c r="H213" s="181">
        <v>44</v>
      </c>
      <c r="I213" s="181" t="s">
        <v>460</v>
      </c>
      <c r="J213" s="181" t="s">
        <v>2325</v>
      </c>
      <c r="K213" s="181" t="s">
        <v>729</v>
      </c>
      <c r="L213" s="181" t="s">
        <v>13</v>
      </c>
      <c r="M213" s="181">
        <v>19</v>
      </c>
      <c r="N213" s="181" t="s">
        <v>462</v>
      </c>
      <c r="O213" s="181" t="s">
        <v>606</v>
      </c>
      <c r="P213" s="181">
        <v>971990882</v>
      </c>
      <c r="Q213" s="181" t="s">
        <v>465</v>
      </c>
      <c r="R213" s="181" t="s">
        <v>466</v>
      </c>
      <c r="S213" s="181" t="s">
        <v>2326</v>
      </c>
      <c r="T213" s="181">
        <v>4715</v>
      </c>
      <c r="U213" s="182">
        <v>46252.824999999997</v>
      </c>
      <c r="V213" s="181" t="s">
        <v>469</v>
      </c>
      <c r="W213" s="181" t="s">
        <v>470</v>
      </c>
      <c r="X213" s="181" t="s">
        <v>471</v>
      </c>
      <c r="Y213" s="181" t="s">
        <v>628</v>
      </c>
      <c r="Z213" s="181" t="s">
        <v>1338</v>
      </c>
      <c r="AA213" s="181" t="s">
        <v>474</v>
      </c>
      <c r="AB213" s="181" t="s">
        <v>2327</v>
      </c>
      <c r="AC213" s="181" t="s">
        <v>1429</v>
      </c>
      <c r="AD213" s="181">
        <v>820880104</v>
      </c>
      <c r="AE213" s="181">
        <v>1396267126</v>
      </c>
      <c r="AF213" s="181">
        <v>1578013074</v>
      </c>
      <c r="AG213" s="181"/>
      <c r="AH213" s="181"/>
      <c r="AI213" s="181" t="s">
        <v>66</v>
      </c>
      <c r="AJ213" s="181" t="s">
        <v>481</v>
      </c>
      <c r="AK213" s="181" t="s">
        <v>2328</v>
      </c>
      <c r="AL213" s="181">
        <v>330</v>
      </c>
      <c r="AM213" s="181"/>
      <c r="AN213" s="181"/>
      <c r="AO213" s="181">
        <v>971</v>
      </c>
      <c r="AP213" s="181" t="s">
        <v>485</v>
      </c>
      <c r="AQ213" s="181" t="s">
        <v>2329</v>
      </c>
      <c r="AR213" s="183">
        <v>46253</v>
      </c>
      <c r="AS213" s="181" t="s">
        <v>66</v>
      </c>
      <c r="AT213" s="181" t="s">
        <v>1953</v>
      </c>
      <c r="AU213" s="181"/>
      <c r="AV213" s="181" t="s">
        <v>2330</v>
      </c>
      <c r="AW213" s="181"/>
      <c r="AX213" s="181"/>
      <c r="AY213" s="181"/>
      <c r="AZ213" s="181"/>
      <c r="BA213" s="181"/>
      <c r="BB213" s="181"/>
      <c r="BC213" s="181"/>
      <c r="BD213" s="181" t="s">
        <v>66</v>
      </c>
      <c r="BE213" s="181">
        <v>44</v>
      </c>
      <c r="BF213" s="181"/>
      <c r="BG213" s="181"/>
      <c r="BH213" s="181" t="s">
        <v>491</v>
      </c>
      <c r="BI213" s="181">
        <v>227456930</v>
      </c>
      <c r="BJ213" s="181"/>
      <c r="BK213" s="181"/>
      <c r="BL213" s="181"/>
      <c r="BM213" s="181"/>
      <c r="BN213" s="181"/>
      <c r="BO213" s="181"/>
      <c r="BP213" s="181"/>
      <c r="BQ213" s="181"/>
      <c r="BR213" s="181"/>
      <c r="BS213" s="181"/>
      <c r="BT213" s="181"/>
      <c r="BU213" s="181"/>
      <c r="BV213" s="181"/>
      <c r="BW213" s="181"/>
      <c r="BX213" s="181"/>
      <c r="BY213" s="181"/>
      <c r="BZ213" s="181"/>
      <c r="CA213" s="190"/>
      <c r="CB213" s="3"/>
      <c r="CC213" s="16"/>
      <c r="CD213" s="16"/>
      <c r="CE213" s="16"/>
      <c r="CF213" s="16"/>
      <c r="CG213" s="16"/>
      <c r="CH213" s="16"/>
      <c r="CI213" s="16" t="s">
        <v>2331</v>
      </c>
    </row>
    <row r="214" spans="1:87">
      <c r="A214" s="16"/>
      <c r="B214" s="16"/>
      <c r="C214" s="3">
        <v>46272</v>
      </c>
      <c r="D214" s="26" t="s">
        <v>14</v>
      </c>
      <c r="E214" s="180" t="s">
        <v>2332</v>
      </c>
      <c r="F214" s="181">
        <v>2026213100148</v>
      </c>
      <c r="G214" s="181">
        <v>40</v>
      </c>
      <c r="H214" s="181">
        <v>38</v>
      </c>
      <c r="I214" s="181" t="s">
        <v>460</v>
      </c>
      <c r="J214" s="181" t="s">
        <v>2332</v>
      </c>
      <c r="K214" s="181" t="s">
        <v>682</v>
      </c>
      <c r="L214" s="181" t="s">
        <v>18</v>
      </c>
      <c r="M214" s="181">
        <v>12</v>
      </c>
      <c r="N214" s="181" t="s">
        <v>462</v>
      </c>
      <c r="O214" s="181" t="s">
        <v>606</v>
      </c>
      <c r="P214" s="181">
        <v>971856401</v>
      </c>
      <c r="Q214" s="181" t="s">
        <v>465</v>
      </c>
      <c r="R214" s="181" t="s">
        <v>466</v>
      </c>
      <c r="S214" s="181" t="s">
        <v>2333</v>
      </c>
      <c r="T214" s="181">
        <v>2088</v>
      </c>
      <c r="U214" s="182">
        <v>46260.00277777778</v>
      </c>
      <c r="V214" s="181" t="s">
        <v>469</v>
      </c>
      <c r="W214" s="181" t="s">
        <v>470</v>
      </c>
      <c r="X214" s="181" t="s">
        <v>471</v>
      </c>
      <c r="Y214" s="181" t="s">
        <v>523</v>
      </c>
      <c r="Z214" s="181" t="s">
        <v>1338</v>
      </c>
      <c r="AA214" s="181" t="s">
        <v>474</v>
      </c>
      <c r="AB214" s="181" t="s">
        <v>2334</v>
      </c>
      <c r="AC214" s="181" t="s">
        <v>1429</v>
      </c>
      <c r="AD214" s="181">
        <v>61313038</v>
      </c>
      <c r="AE214" s="181">
        <v>1972604338</v>
      </c>
      <c r="AF214" s="181">
        <v>1386719060</v>
      </c>
      <c r="AG214" s="181"/>
      <c r="AH214" s="181"/>
      <c r="AI214" s="181" t="s">
        <v>19</v>
      </c>
      <c r="AJ214" s="181" t="s">
        <v>481</v>
      </c>
      <c r="AK214" s="181" t="s">
        <v>2335</v>
      </c>
      <c r="AL214" s="181">
        <v>659</v>
      </c>
      <c r="AM214" s="181"/>
      <c r="AN214" s="181"/>
      <c r="AO214" s="181">
        <v>971</v>
      </c>
      <c r="AP214" s="181" t="s">
        <v>485</v>
      </c>
      <c r="AQ214" s="181" t="s">
        <v>2336</v>
      </c>
      <c r="AR214" s="183">
        <v>46260</v>
      </c>
      <c r="AS214" s="181" t="s">
        <v>19</v>
      </c>
      <c r="AT214" s="181" t="s">
        <v>516</v>
      </c>
      <c r="AU214" s="181"/>
      <c r="AV214" s="181" t="s">
        <v>2337</v>
      </c>
      <c r="AW214" s="181"/>
      <c r="AX214" s="181"/>
      <c r="AY214" s="181"/>
      <c r="AZ214" s="181"/>
      <c r="BA214" s="181"/>
      <c r="BB214" s="181"/>
      <c r="BC214" s="181"/>
      <c r="BD214" s="181" t="s">
        <v>19</v>
      </c>
      <c r="BE214" s="181">
        <v>37</v>
      </c>
      <c r="BF214" s="181"/>
      <c r="BG214" s="181"/>
      <c r="BH214" s="181" t="s">
        <v>491</v>
      </c>
      <c r="BI214" s="181">
        <v>41764718</v>
      </c>
      <c r="BJ214" s="181"/>
      <c r="BK214" s="181"/>
      <c r="BL214" s="181"/>
      <c r="BM214" s="181"/>
      <c r="BN214" s="181"/>
      <c r="BO214" s="181"/>
      <c r="BP214" s="181"/>
      <c r="BQ214" s="181"/>
      <c r="BR214" s="181"/>
      <c r="BS214" s="181"/>
      <c r="BT214" s="181"/>
      <c r="BU214" s="181"/>
      <c r="BV214" s="181"/>
      <c r="BW214" s="181"/>
      <c r="BX214" s="181"/>
      <c r="BY214" s="181"/>
      <c r="BZ214" s="181"/>
      <c r="CA214" s="190"/>
      <c r="CB214" s="3"/>
      <c r="CC214" s="16"/>
      <c r="CD214" s="16"/>
      <c r="CE214" s="16"/>
      <c r="CF214" s="16"/>
      <c r="CG214" s="16"/>
      <c r="CH214" s="16"/>
      <c r="CI214" s="16" t="s">
        <v>2338</v>
      </c>
    </row>
    <row r="215" spans="1:87">
      <c r="A215" s="16"/>
      <c r="B215" s="16"/>
      <c r="C215" s="3">
        <v>46272</v>
      </c>
      <c r="D215" s="26" t="s">
        <v>14</v>
      </c>
      <c r="E215" s="180" t="s">
        <v>2339</v>
      </c>
      <c r="F215" s="181">
        <v>2026216270570</v>
      </c>
      <c r="G215" s="181">
        <v>40</v>
      </c>
      <c r="H215" s="181">
        <v>34</v>
      </c>
      <c r="I215" s="181" t="s">
        <v>460</v>
      </c>
      <c r="J215" s="181" t="s">
        <v>2339</v>
      </c>
      <c r="K215" s="181" t="s">
        <v>560</v>
      </c>
      <c r="L215" s="181" t="s">
        <v>13</v>
      </c>
      <c r="M215" s="181">
        <v>11</v>
      </c>
      <c r="N215" s="181" t="s">
        <v>462</v>
      </c>
      <c r="O215" s="181" t="s">
        <v>606</v>
      </c>
      <c r="P215" s="181">
        <v>971763341</v>
      </c>
      <c r="Q215" s="181" t="s">
        <v>465</v>
      </c>
      <c r="R215" s="181" t="s">
        <v>466</v>
      </c>
      <c r="S215" s="181" t="s">
        <v>2340</v>
      </c>
      <c r="T215" s="181">
        <v>1159</v>
      </c>
      <c r="U215" s="182">
        <v>46261.275694444441</v>
      </c>
      <c r="V215" s="181" t="s">
        <v>469</v>
      </c>
      <c r="W215" s="181" t="s">
        <v>470</v>
      </c>
      <c r="X215" s="181" t="s">
        <v>471</v>
      </c>
      <c r="Y215" s="181" t="s">
        <v>628</v>
      </c>
      <c r="Z215" s="181" t="s">
        <v>1338</v>
      </c>
      <c r="AA215" s="181" t="s">
        <v>474</v>
      </c>
      <c r="AB215" s="181" t="s">
        <v>2341</v>
      </c>
      <c r="AC215" s="181" t="s">
        <v>1429</v>
      </c>
      <c r="AD215" s="181">
        <v>812637261</v>
      </c>
      <c r="AE215" s="181">
        <v>1336695188</v>
      </c>
      <c r="AF215" s="181"/>
      <c r="AG215" s="181"/>
      <c r="AH215" s="181"/>
      <c r="AI215" s="181" t="s">
        <v>59</v>
      </c>
      <c r="AJ215" s="181" t="s">
        <v>481</v>
      </c>
      <c r="AK215" s="181" t="s">
        <v>2342</v>
      </c>
      <c r="AL215" s="181">
        <v>160779.4</v>
      </c>
      <c r="AM215" s="181"/>
      <c r="AN215" s="181"/>
      <c r="AO215" s="181">
        <v>971</v>
      </c>
      <c r="AP215" s="181" t="s">
        <v>485</v>
      </c>
      <c r="AQ215" s="181" t="s">
        <v>2343</v>
      </c>
      <c r="AR215" s="183">
        <v>46261</v>
      </c>
      <c r="AS215" s="181" t="s">
        <v>59</v>
      </c>
      <c r="AT215" s="181" t="s">
        <v>606</v>
      </c>
      <c r="AU215" s="181"/>
      <c r="AV215" s="181" t="s">
        <v>2344</v>
      </c>
      <c r="AW215" s="181"/>
      <c r="AX215" s="181"/>
      <c r="AY215" s="181"/>
      <c r="AZ215" s="181"/>
      <c r="BA215" s="181"/>
      <c r="BB215" s="181"/>
      <c r="BC215" s="181"/>
      <c r="BD215" s="181" t="s">
        <v>59</v>
      </c>
      <c r="BE215" s="181">
        <v>34</v>
      </c>
      <c r="BF215" s="181"/>
      <c r="BG215" s="181"/>
      <c r="BH215" s="181" t="s">
        <v>491</v>
      </c>
      <c r="BI215" s="181">
        <v>46721968</v>
      </c>
      <c r="BJ215" s="181"/>
      <c r="BK215" s="181"/>
      <c r="BL215" s="181"/>
      <c r="BM215" s="181"/>
      <c r="BN215" s="181"/>
      <c r="BO215" s="181"/>
      <c r="BP215" s="181"/>
      <c r="BQ215" s="181"/>
      <c r="BR215" s="181"/>
      <c r="BS215" s="181"/>
      <c r="BT215" s="181"/>
      <c r="BU215" s="181"/>
      <c r="BV215" s="181"/>
      <c r="BW215" s="181"/>
      <c r="BX215" s="181"/>
      <c r="BY215" s="181"/>
      <c r="BZ215" s="181"/>
      <c r="CA215" s="190"/>
      <c r="CB215" s="3"/>
      <c r="CC215" s="16"/>
      <c r="CD215" s="16"/>
      <c r="CE215" s="16"/>
      <c r="CF215" s="16"/>
      <c r="CG215" s="16"/>
      <c r="CH215" s="16"/>
      <c r="CI215" s="16" t="s">
        <v>2345</v>
      </c>
    </row>
    <row r="216" spans="1:87">
      <c r="A216" s="16"/>
      <c r="B216" s="16"/>
      <c r="C216" s="3">
        <v>46272</v>
      </c>
      <c r="D216" s="26" t="s">
        <v>14</v>
      </c>
      <c r="E216" s="180" t="s">
        <v>2346</v>
      </c>
      <c r="F216" s="181">
        <v>2026191720235</v>
      </c>
      <c r="G216" s="181">
        <v>40</v>
      </c>
      <c r="H216" s="181">
        <v>59</v>
      </c>
      <c r="I216" s="181" t="s">
        <v>559</v>
      </c>
      <c r="J216" s="181" t="s">
        <v>2346</v>
      </c>
      <c r="K216" s="181" t="s">
        <v>1070</v>
      </c>
      <c r="L216" s="181" t="s">
        <v>16</v>
      </c>
      <c r="M216" s="181">
        <v>20</v>
      </c>
      <c r="N216" s="181" t="s">
        <v>462</v>
      </c>
      <c r="O216" s="181" t="s">
        <v>606</v>
      </c>
      <c r="P216" s="181" t="s">
        <v>2347</v>
      </c>
      <c r="Q216" s="181" t="s">
        <v>465</v>
      </c>
      <c r="R216" s="181" t="s">
        <v>466</v>
      </c>
      <c r="S216" s="181" t="s">
        <v>2348</v>
      </c>
      <c r="T216" s="181" t="s">
        <v>2349</v>
      </c>
      <c r="U216" s="182">
        <v>46245.68472222222</v>
      </c>
      <c r="V216" s="181" t="s">
        <v>469</v>
      </c>
      <c r="W216" s="181" t="s">
        <v>568</v>
      </c>
      <c r="X216" s="181" t="s">
        <v>471</v>
      </c>
      <c r="Y216" s="181" t="s">
        <v>628</v>
      </c>
      <c r="Z216" s="181" t="s">
        <v>524</v>
      </c>
      <c r="AA216" s="181" t="s">
        <v>474</v>
      </c>
      <c r="AB216" s="181" t="s">
        <v>2350</v>
      </c>
      <c r="AC216" s="181" t="s">
        <v>526</v>
      </c>
      <c r="AD216" s="181">
        <v>263070266</v>
      </c>
      <c r="AE216" s="181">
        <v>1497901458</v>
      </c>
      <c r="AF216" s="181">
        <v>1235104985</v>
      </c>
      <c r="AG216" s="181"/>
      <c r="AH216" s="181" t="s">
        <v>1076</v>
      </c>
      <c r="AI216" s="181" t="s">
        <v>366</v>
      </c>
      <c r="AJ216" s="181" t="s">
        <v>481</v>
      </c>
      <c r="AK216" s="181" t="s">
        <v>2351</v>
      </c>
      <c r="AL216" s="181">
        <v>3899</v>
      </c>
      <c r="AM216" s="181"/>
      <c r="AN216" s="181"/>
      <c r="AO216" s="181" t="s">
        <v>2352</v>
      </c>
      <c r="AP216" s="181" t="s">
        <v>485</v>
      </c>
      <c r="AQ216" s="181" t="s">
        <v>2353</v>
      </c>
      <c r="AR216" s="183">
        <v>46252</v>
      </c>
      <c r="AS216" s="181" t="s">
        <v>366</v>
      </c>
      <c r="AT216" s="181" t="s">
        <v>2354</v>
      </c>
      <c r="AU216" s="181"/>
      <c r="AV216" s="181" t="s">
        <v>2355</v>
      </c>
      <c r="AW216" s="181"/>
      <c r="AX216" s="181"/>
      <c r="AY216" s="181"/>
      <c r="AZ216" s="181"/>
      <c r="BA216" s="181"/>
      <c r="BB216" s="181"/>
      <c r="BC216" s="181"/>
      <c r="BD216" s="181" t="s">
        <v>366</v>
      </c>
      <c r="BE216" s="181">
        <v>59</v>
      </c>
      <c r="BF216" s="181"/>
      <c r="BG216" s="181"/>
      <c r="BH216" s="181" t="s">
        <v>491</v>
      </c>
      <c r="BI216" s="181">
        <v>300609075</v>
      </c>
      <c r="BJ216" s="181"/>
      <c r="BK216" s="181"/>
      <c r="BL216" s="181"/>
      <c r="BM216" s="181"/>
      <c r="BN216" s="181"/>
      <c r="BO216" s="181"/>
      <c r="BP216" s="181"/>
      <c r="BQ216" s="181"/>
      <c r="BR216" s="181"/>
      <c r="BS216" s="181"/>
      <c r="BT216" s="181"/>
      <c r="BU216" s="181"/>
      <c r="BV216" s="181"/>
      <c r="BW216" s="181"/>
      <c r="BX216" s="181"/>
      <c r="BY216" s="181"/>
      <c r="BZ216" s="181"/>
      <c r="CA216" s="190"/>
      <c r="CB216" s="3"/>
      <c r="CC216" s="16"/>
      <c r="CD216" s="16"/>
      <c r="CE216" s="16"/>
      <c r="CF216" s="16"/>
      <c r="CG216" s="16"/>
      <c r="CH216" s="16"/>
      <c r="CI216" s="16" t="s">
        <v>2356</v>
      </c>
    </row>
    <row r="217" spans="1:87">
      <c r="A217" s="16" t="s">
        <v>5</v>
      </c>
      <c r="B217" s="16" t="s">
        <v>719</v>
      </c>
      <c r="C217" s="3">
        <v>46272</v>
      </c>
      <c r="D217" s="26" t="s">
        <v>14</v>
      </c>
      <c r="E217" s="180" t="s">
        <v>2357</v>
      </c>
      <c r="F217" s="181">
        <v>2026200060054</v>
      </c>
      <c r="G217" s="181">
        <v>40</v>
      </c>
      <c r="H217" s="181">
        <v>52</v>
      </c>
      <c r="I217" s="181" t="s">
        <v>559</v>
      </c>
      <c r="J217" s="181" t="s">
        <v>2357</v>
      </c>
      <c r="K217" s="181" t="s">
        <v>496</v>
      </c>
      <c r="L217" s="181" t="s">
        <v>17</v>
      </c>
      <c r="M217" s="181">
        <v>26</v>
      </c>
      <c r="N217" s="181" t="s">
        <v>462</v>
      </c>
      <c r="O217" s="181" t="s">
        <v>606</v>
      </c>
      <c r="P217" s="181" t="s">
        <v>2358</v>
      </c>
      <c r="Q217" s="181" t="s">
        <v>465</v>
      </c>
      <c r="R217" s="181" t="s">
        <v>466</v>
      </c>
      <c r="S217" s="181" t="s">
        <v>2359</v>
      </c>
      <c r="T217" s="181" t="s">
        <v>2360</v>
      </c>
      <c r="U217" s="182">
        <v>46246.365972222222</v>
      </c>
      <c r="V217" s="181" t="s">
        <v>469</v>
      </c>
      <c r="W217" s="181" t="s">
        <v>568</v>
      </c>
      <c r="X217" s="181" t="s">
        <v>471</v>
      </c>
      <c r="Y217" s="181" t="s">
        <v>628</v>
      </c>
      <c r="Z217" s="181" t="s">
        <v>524</v>
      </c>
      <c r="AA217" s="181" t="s">
        <v>474</v>
      </c>
      <c r="AB217" s="181" t="s">
        <v>2361</v>
      </c>
      <c r="AC217" s="181" t="s">
        <v>526</v>
      </c>
      <c r="AD217" s="181">
        <v>314379509</v>
      </c>
      <c r="AE217" s="181">
        <v>1215936927</v>
      </c>
      <c r="AF217" s="181">
        <v>1639326804</v>
      </c>
      <c r="AG217" s="181"/>
      <c r="AH217" s="181"/>
      <c r="AI217" s="181" t="s">
        <v>91</v>
      </c>
      <c r="AJ217" s="181" t="s">
        <v>481</v>
      </c>
      <c r="AK217" s="181" t="s">
        <v>2362</v>
      </c>
      <c r="AL217" s="181">
        <v>333.11</v>
      </c>
      <c r="AM217" s="181"/>
      <c r="AN217" s="181"/>
      <c r="AO217" s="181" t="s">
        <v>2363</v>
      </c>
      <c r="AP217" s="181" t="s">
        <v>485</v>
      </c>
      <c r="AQ217" s="181" t="s">
        <v>2364</v>
      </c>
      <c r="AR217" s="183">
        <v>46246</v>
      </c>
      <c r="AS217" s="181" t="s">
        <v>91</v>
      </c>
      <c r="AT217" s="181" t="s">
        <v>579</v>
      </c>
      <c r="AU217" s="181"/>
      <c r="AV217" s="181" t="s">
        <v>2365</v>
      </c>
      <c r="AW217" s="181"/>
      <c r="AX217" s="181"/>
      <c r="AY217" s="181"/>
      <c r="AZ217" s="181"/>
      <c r="BA217" s="181"/>
      <c r="BB217" s="181"/>
      <c r="BC217" s="181"/>
      <c r="BD217" s="181" t="s">
        <v>91</v>
      </c>
      <c r="BE217" s="181">
        <v>50</v>
      </c>
      <c r="BF217" s="181"/>
      <c r="BG217" s="181"/>
      <c r="BH217" s="181" t="s">
        <v>491</v>
      </c>
      <c r="BI217" s="181">
        <v>157747933</v>
      </c>
      <c r="BJ217" s="181"/>
      <c r="BK217" s="181"/>
      <c r="BL217" s="181"/>
      <c r="BM217" s="181"/>
      <c r="BN217" s="181"/>
      <c r="BO217" s="181"/>
      <c r="BP217" s="181"/>
      <c r="BQ217" s="181"/>
      <c r="BR217" s="181"/>
      <c r="BS217" s="181"/>
      <c r="BT217" s="181"/>
      <c r="BU217" s="181"/>
      <c r="BV217" s="181"/>
      <c r="BW217" s="181"/>
      <c r="BX217" s="181"/>
      <c r="BY217" s="181"/>
      <c r="BZ217" s="181"/>
      <c r="CA217" s="190">
        <v>46281.666666666701</v>
      </c>
      <c r="CB217" s="3"/>
      <c r="CC217" s="16"/>
      <c r="CD217" s="16"/>
      <c r="CE217" s="16"/>
      <c r="CF217" s="16"/>
      <c r="CG217" s="16"/>
      <c r="CH217" s="16"/>
      <c r="CI217" s="16" t="s">
        <v>2366</v>
      </c>
    </row>
    <row r="218" spans="1:87" ht="29.25">
      <c r="A218" s="16" t="s">
        <v>5</v>
      </c>
      <c r="B218" s="25" t="s">
        <v>2367</v>
      </c>
      <c r="C218" s="3">
        <v>46272</v>
      </c>
      <c r="D218" s="26" t="s">
        <v>14</v>
      </c>
      <c r="E218" s="180" t="s">
        <v>2368</v>
      </c>
      <c r="F218" s="181">
        <v>2026202740326</v>
      </c>
      <c r="G218" s="181">
        <v>40</v>
      </c>
      <c r="H218" s="181">
        <v>48</v>
      </c>
      <c r="I218" s="181" t="s">
        <v>559</v>
      </c>
      <c r="J218" s="181" t="s">
        <v>2368</v>
      </c>
      <c r="K218" s="181" t="s">
        <v>2369</v>
      </c>
      <c r="L218" s="181" t="s">
        <v>18</v>
      </c>
      <c r="M218" s="181">
        <v>24</v>
      </c>
      <c r="N218" s="181" t="s">
        <v>462</v>
      </c>
      <c r="O218" s="181" t="s">
        <v>606</v>
      </c>
      <c r="P218" s="181" t="s">
        <v>2370</v>
      </c>
      <c r="Q218" s="181" t="s">
        <v>465</v>
      </c>
      <c r="R218" s="181" t="s">
        <v>466</v>
      </c>
      <c r="S218" s="181" t="s">
        <v>2371</v>
      </c>
      <c r="T218" s="181" t="s">
        <v>2372</v>
      </c>
      <c r="U218" s="182">
        <v>46248.073611111111</v>
      </c>
      <c r="V218" s="181" t="s">
        <v>469</v>
      </c>
      <c r="W218" s="181" t="s">
        <v>470</v>
      </c>
      <c r="X218" s="181" t="s">
        <v>471</v>
      </c>
      <c r="Y218" s="181" t="s">
        <v>523</v>
      </c>
      <c r="Z218" s="181" t="s">
        <v>524</v>
      </c>
      <c r="AA218" s="181" t="s">
        <v>474</v>
      </c>
      <c r="AB218" s="181" t="s">
        <v>2373</v>
      </c>
      <c r="AC218" s="181" t="s">
        <v>526</v>
      </c>
      <c r="AD218" s="181">
        <v>310833936</v>
      </c>
      <c r="AE218" s="181">
        <v>1609915784</v>
      </c>
      <c r="AF218" s="181">
        <v>1205110848</v>
      </c>
      <c r="AG218" s="181"/>
      <c r="AH218" s="181" t="s">
        <v>1076</v>
      </c>
      <c r="AI218" s="181" t="s">
        <v>225</v>
      </c>
      <c r="AJ218" s="181" t="s">
        <v>481</v>
      </c>
      <c r="AK218" s="181" t="s">
        <v>2374</v>
      </c>
      <c r="AL218" s="181">
        <v>24125</v>
      </c>
      <c r="AM218" s="181"/>
      <c r="AN218" s="181"/>
      <c r="AO218" s="181">
        <v>791</v>
      </c>
      <c r="AP218" s="181" t="s">
        <v>485</v>
      </c>
      <c r="AQ218" s="181" t="s">
        <v>2375</v>
      </c>
      <c r="AR218" s="183">
        <v>46248</v>
      </c>
      <c r="AS218" s="181" t="s">
        <v>225</v>
      </c>
      <c r="AT218" s="181" t="s">
        <v>2376</v>
      </c>
      <c r="AU218" s="181"/>
      <c r="AV218" s="181" t="s">
        <v>2377</v>
      </c>
      <c r="AW218" s="181"/>
      <c r="AX218" s="181"/>
      <c r="AY218" s="181"/>
      <c r="AZ218" s="181"/>
      <c r="BA218" s="181"/>
      <c r="BB218" s="181"/>
      <c r="BC218" s="181"/>
      <c r="BD218" s="181" t="s">
        <v>225</v>
      </c>
      <c r="BE218" s="181">
        <v>48</v>
      </c>
      <c r="BF218" s="181"/>
      <c r="BG218" s="181"/>
      <c r="BH218" s="181" t="s">
        <v>491</v>
      </c>
      <c r="BI218" s="181">
        <v>276767105</v>
      </c>
      <c r="BJ218" s="181"/>
      <c r="BK218" s="181"/>
      <c r="BL218" s="181"/>
      <c r="BM218" s="181"/>
      <c r="BN218" s="181"/>
      <c r="BO218" s="181"/>
      <c r="BP218" s="181"/>
      <c r="BQ218" s="181"/>
      <c r="BR218" s="181"/>
      <c r="BS218" s="181"/>
      <c r="BT218" s="181"/>
      <c r="BU218" s="181"/>
      <c r="BV218" s="181"/>
      <c r="BW218" s="181"/>
      <c r="BX218" s="181"/>
      <c r="BY218" s="181"/>
      <c r="BZ218" s="181"/>
      <c r="CA218" s="190">
        <v>46281.666666666701</v>
      </c>
      <c r="CB218" s="3"/>
      <c r="CC218" s="16"/>
      <c r="CD218" s="16"/>
      <c r="CE218" s="16"/>
      <c r="CF218" s="16"/>
      <c r="CG218" s="16"/>
      <c r="CH218" s="16"/>
      <c r="CI218" s="16" t="s">
        <v>2378</v>
      </c>
    </row>
    <row r="219" spans="1:87">
      <c r="A219" s="16" t="s">
        <v>4</v>
      </c>
      <c r="B219" s="16" t="s">
        <v>2379</v>
      </c>
      <c r="C219" s="3">
        <v>46272</v>
      </c>
      <c r="D219" s="26" t="s">
        <v>14</v>
      </c>
      <c r="E219" s="180" t="s">
        <v>2380</v>
      </c>
      <c r="F219" s="181">
        <v>2026201850306</v>
      </c>
      <c r="G219" s="181">
        <v>40</v>
      </c>
      <c r="H219" s="181">
        <v>49</v>
      </c>
      <c r="I219" s="181" t="s">
        <v>559</v>
      </c>
      <c r="J219" s="181" t="s">
        <v>2380</v>
      </c>
      <c r="K219" s="181" t="s">
        <v>1874</v>
      </c>
      <c r="L219" s="181" t="s">
        <v>17</v>
      </c>
      <c r="M219" s="181">
        <v>15</v>
      </c>
      <c r="N219" s="181" t="s">
        <v>462</v>
      </c>
      <c r="O219" s="181" t="s">
        <v>497</v>
      </c>
      <c r="P219" s="181" t="s">
        <v>2381</v>
      </c>
      <c r="Q219" s="181" t="s">
        <v>465</v>
      </c>
      <c r="R219" s="181" t="s">
        <v>466</v>
      </c>
      <c r="S219" s="181" t="s">
        <v>2382</v>
      </c>
      <c r="T219" s="181" t="s">
        <v>2383</v>
      </c>
      <c r="U219" s="182">
        <v>46257.006249999999</v>
      </c>
      <c r="V219" s="181" t="s">
        <v>469</v>
      </c>
      <c r="W219" s="181" t="s">
        <v>470</v>
      </c>
      <c r="X219" s="181" t="s">
        <v>471</v>
      </c>
      <c r="Y219" s="181" t="s">
        <v>523</v>
      </c>
      <c r="Z219" s="181" t="s">
        <v>1292</v>
      </c>
      <c r="AA219" s="181" t="s">
        <v>474</v>
      </c>
      <c r="AB219" s="181" t="s">
        <v>2384</v>
      </c>
      <c r="AC219" s="181" t="s">
        <v>1294</v>
      </c>
      <c r="AD219" s="181">
        <v>208016687</v>
      </c>
      <c r="AE219" s="181">
        <v>1174091383</v>
      </c>
      <c r="AF219" s="181">
        <v>1629075296</v>
      </c>
      <c r="AG219" s="181"/>
      <c r="AH219" s="181" t="s">
        <v>1076</v>
      </c>
      <c r="AI219" s="181" t="s">
        <v>93</v>
      </c>
      <c r="AJ219" s="181" t="s">
        <v>481</v>
      </c>
      <c r="AK219" s="181" t="s">
        <v>2385</v>
      </c>
      <c r="AL219" s="181">
        <v>736</v>
      </c>
      <c r="AM219" s="181"/>
      <c r="AN219" s="181"/>
      <c r="AO219" s="181">
        <v>293</v>
      </c>
      <c r="AP219" s="181" t="s">
        <v>485</v>
      </c>
      <c r="AQ219" s="181" t="s">
        <v>2386</v>
      </c>
      <c r="AR219" s="183">
        <v>46257</v>
      </c>
      <c r="AS219" s="181" t="s">
        <v>93</v>
      </c>
      <c r="AT219" s="181" t="s">
        <v>2387</v>
      </c>
      <c r="AU219" s="181"/>
      <c r="AV219" s="181" t="s">
        <v>2388</v>
      </c>
      <c r="AW219" s="181"/>
      <c r="AX219" s="181"/>
      <c r="AY219" s="181"/>
      <c r="AZ219" s="181"/>
      <c r="BA219" s="181"/>
      <c r="BB219" s="181"/>
      <c r="BC219" s="181"/>
      <c r="BD219" s="181" t="s">
        <v>93</v>
      </c>
      <c r="BE219" s="181">
        <v>49</v>
      </c>
      <c r="BF219" s="181"/>
      <c r="BG219" s="181" t="s">
        <v>490</v>
      </c>
      <c r="BH219" s="181" t="s">
        <v>491</v>
      </c>
      <c r="BI219" s="181">
        <v>400112847</v>
      </c>
      <c r="BJ219" s="181"/>
      <c r="BK219" s="181"/>
      <c r="BL219" s="181"/>
      <c r="BM219" s="181"/>
      <c r="BN219" s="181"/>
      <c r="BO219" s="181"/>
      <c r="BP219" s="181"/>
      <c r="BQ219" s="181"/>
      <c r="BR219" s="181"/>
      <c r="BS219" s="181"/>
      <c r="BT219" s="181"/>
      <c r="BU219" s="181"/>
      <c r="BV219" s="181"/>
      <c r="BW219" s="181"/>
      <c r="BX219" s="181"/>
      <c r="BY219" s="181"/>
      <c r="BZ219" s="181"/>
      <c r="CA219" s="190">
        <v>46285.666666666701</v>
      </c>
      <c r="CB219" s="3"/>
      <c r="CC219" s="16"/>
      <c r="CD219" s="16"/>
      <c r="CE219" s="16"/>
      <c r="CF219" s="16"/>
      <c r="CG219" s="16"/>
      <c r="CH219" s="16"/>
      <c r="CI219" s="16" t="s">
        <v>2389</v>
      </c>
    </row>
    <row r="220" spans="1:87" ht="29.25">
      <c r="A220" s="16" t="s">
        <v>5</v>
      </c>
      <c r="B220" s="25" t="s">
        <v>2390</v>
      </c>
      <c r="C220" s="3">
        <v>46272</v>
      </c>
      <c r="D220" s="26" t="s">
        <v>14</v>
      </c>
      <c r="E220" s="180" t="s">
        <v>2391</v>
      </c>
      <c r="F220" s="181">
        <v>2026204850250</v>
      </c>
      <c r="G220" s="181">
        <v>40</v>
      </c>
      <c r="H220" s="181">
        <v>46</v>
      </c>
      <c r="I220" s="181" t="s">
        <v>559</v>
      </c>
      <c r="J220" s="181" t="s">
        <v>2391</v>
      </c>
      <c r="K220" s="181" t="s">
        <v>1555</v>
      </c>
      <c r="L220" s="181" t="s">
        <v>17</v>
      </c>
      <c r="M220" s="181">
        <v>20</v>
      </c>
      <c r="N220" s="181" t="s">
        <v>462</v>
      </c>
      <c r="O220" s="181" t="s">
        <v>606</v>
      </c>
      <c r="P220" s="181">
        <v>120281914</v>
      </c>
      <c r="Q220" s="181" t="s">
        <v>465</v>
      </c>
      <c r="R220" s="181" t="s">
        <v>466</v>
      </c>
      <c r="S220" s="181" t="s">
        <v>2392</v>
      </c>
      <c r="T220" s="181" t="s">
        <v>650</v>
      </c>
      <c r="U220" s="182">
        <v>46251.765972222223</v>
      </c>
      <c r="V220" s="181" t="s">
        <v>469</v>
      </c>
      <c r="W220" s="181" t="s">
        <v>651</v>
      </c>
      <c r="X220" s="181" t="s">
        <v>652</v>
      </c>
      <c r="Y220" s="181" t="s">
        <v>653</v>
      </c>
      <c r="Z220" s="181" t="s">
        <v>501</v>
      </c>
      <c r="AA220" s="181" t="s">
        <v>474</v>
      </c>
      <c r="AB220" s="181" t="s">
        <v>654</v>
      </c>
      <c r="AC220" s="181" t="s">
        <v>503</v>
      </c>
      <c r="AD220" s="181">
        <v>541124769</v>
      </c>
      <c r="AE220" s="181">
        <v>1033138250</v>
      </c>
      <c r="AF220" s="181">
        <v>1376609610</v>
      </c>
      <c r="AG220" s="181">
        <v>4.2520260061126304E+16</v>
      </c>
      <c r="AH220" s="181"/>
      <c r="AI220" s="181" t="s">
        <v>32</v>
      </c>
      <c r="AJ220" s="181" t="s">
        <v>481</v>
      </c>
      <c r="AK220" s="181" t="s">
        <v>2393</v>
      </c>
      <c r="AL220" s="181">
        <v>5554</v>
      </c>
      <c r="AM220" s="181"/>
      <c r="AN220" s="181"/>
      <c r="AO220" s="181">
        <v>120</v>
      </c>
      <c r="AP220" s="181" t="s">
        <v>485</v>
      </c>
      <c r="AQ220" s="181" t="s">
        <v>2394</v>
      </c>
      <c r="AR220" s="183">
        <v>46252</v>
      </c>
      <c r="AS220" s="181" t="s">
        <v>32</v>
      </c>
      <c r="AT220" s="181" t="s">
        <v>2395</v>
      </c>
      <c r="AU220" s="181"/>
      <c r="AV220" s="181" t="s">
        <v>2396</v>
      </c>
      <c r="AW220" s="181"/>
      <c r="AX220" s="181"/>
      <c r="AY220" s="181"/>
      <c r="AZ220" s="181"/>
      <c r="BA220" s="181"/>
      <c r="BB220" s="181"/>
      <c r="BC220" s="181"/>
      <c r="BD220" s="181" t="s">
        <v>32</v>
      </c>
      <c r="BE220" s="181">
        <v>46</v>
      </c>
      <c r="BF220" s="181"/>
      <c r="BG220" s="181"/>
      <c r="BH220" s="181" t="s">
        <v>658</v>
      </c>
      <c r="BI220" s="181">
        <v>120281914</v>
      </c>
      <c r="BJ220" s="181"/>
      <c r="BK220" s="181"/>
      <c r="BL220" s="181"/>
      <c r="BM220" s="181"/>
      <c r="BN220" s="181"/>
      <c r="BO220" s="181"/>
      <c r="BP220" s="181"/>
      <c r="BQ220" s="181"/>
      <c r="BR220" s="181"/>
      <c r="BS220" s="181"/>
      <c r="BT220" s="181"/>
      <c r="BU220" s="181"/>
      <c r="BV220" s="181"/>
      <c r="BW220" s="181"/>
      <c r="BX220" s="181"/>
      <c r="BY220" s="181"/>
      <c r="BZ220" s="181"/>
      <c r="CA220" s="190">
        <v>46285.666666666701</v>
      </c>
      <c r="CB220" s="3"/>
      <c r="CC220" s="16"/>
      <c r="CD220" s="16"/>
      <c r="CE220" s="16"/>
      <c r="CF220" s="16"/>
      <c r="CG220" s="16"/>
      <c r="CH220" s="16"/>
      <c r="CI220" s="16" t="s">
        <v>2397</v>
      </c>
    </row>
    <row r="221" spans="1:87">
      <c r="A221" s="16"/>
      <c r="B221" s="16"/>
      <c r="C221" s="3">
        <v>46272</v>
      </c>
      <c r="D221" s="26" t="s">
        <v>14</v>
      </c>
      <c r="E221" s="180" t="s">
        <v>2398</v>
      </c>
      <c r="F221" s="181">
        <v>2026199010367</v>
      </c>
      <c r="G221" s="181">
        <v>40</v>
      </c>
      <c r="H221" s="181">
        <v>53</v>
      </c>
      <c r="I221" s="181" t="s">
        <v>559</v>
      </c>
      <c r="J221" s="181" t="s">
        <v>2398</v>
      </c>
      <c r="K221" s="181" t="s">
        <v>1083</v>
      </c>
      <c r="L221" s="181" t="s">
        <v>17</v>
      </c>
      <c r="M221" s="181">
        <v>26</v>
      </c>
      <c r="N221" s="181" t="s">
        <v>462</v>
      </c>
      <c r="O221" s="181" t="s">
        <v>606</v>
      </c>
      <c r="P221" s="181" t="s">
        <v>2399</v>
      </c>
      <c r="Q221" s="181" t="s">
        <v>465</v>
      </c>
      <c r="R221" s="181" t="s">
        <v>466</v>
      </c>
      <c r="S221" s="181" t="s">
        <v>2400</v>
      </c>
      <c r="T221" s="181" t="s">
        <v>2401</v>
      </c>
      <c r="U221" s="182">
        <v>46245.964583333334</v>
      </c>
      <c r="V221" s="181" t="s">
        <v>469</v>
      </c>
      <c r="W221" s="181" t="s">
        <v>470</v>
      </c>
      <c r="X221" s="181" t="s">
        <v>471</v>
      </c>
      <c r="Y221" s="181" t="s">
        <v>523</v>
      </c>
      <c r="Z221" s="181" t="s">
        <v>731</v>
      </c>
      <c r="AA221" s="181" t="s">
        <v>474</v>
      </c>
      <c r="AB221" s="181" t="s">
        <v>2402</v>
      </c>
      <c r="AC221" s="181" t="s">
        <v>733</v>
      </c>
      <c r="AD221" s="181">
        <v>431427548</v>
      </c>
      <c r="AE221" s="181">
        <v>1851392542</v>
      </c>
      <c r="AF221" s="181">
        <v>1184967218</v>
      </c>
      <c r="AG221" s="181"/>
      <c r="AH221" s="181"/>
      <c r="AI221" s="181" t="s">
        <v>48</v>
      </c>
      <c r="AJ221" s="181" t="s">
        <v>481</v>
      </c>
      <c r="AK221" s="181" t="s">
        <v>2403</v>
      </c>
      <c r="AL221" s="181">
        <v>13963</v>
      </c>
      <c r="AM221" s="181"/>
      <c r="AN221" s="181"/>
      <c r="AO221" s="181">
        <v>140</v>
      </c>
      <c r="AP221" s="181" t="s">
        <v>485</v>
      </c>
      <c r="AQ221" s="181" t="s">
        <v>2404</v>
      </c>
      <c r="AR221" s="183">
        <v>46246</v>
      </c>
      <c r="AS221" s="181" t="s">
        <v>48</v>
      </c>
      <c r="AT221" s="181" t="s">
        <v>2252</v>
      </c>
      <c r="AU221" s="181"/>
      <c r="AV221" s="181" t="s">
        <v>2405</v>
      </c>
      <c r="AW221" s="181"/>
      <c r="AX221" s="181"/>
      <c r="AY221" s="181"/>
      <c r="AZ221" s="181"/>
      <c r="BA221" s="181"/>
      <c r="BB221" s="181"/>
      <c r="BC221" s="181"/>
      <c r="BD221" s="181" t="s">
        <v>48</v>
      </c>
      <c r="BE221" s="181">
        <v>51</v>
      </c>
      <c r="BF221" s="181"/>
      <c r="BG221" s="181"/>
      <c r="BH221" s="181" t="s">
        <v>491</v>
      </c>
      <c r="BI221" s="181">
        <v>494767716</v>
      </c>
      <c r="BJ221" s="181"/>
      <c r="BK221" s="181"/>
      <c r="BL221" s="181"/>
      <c r="BM221" s="181"/>
      <c r="BN221" s="181"/>
      <c r="BO221" s="181"/>
      <c r="BP221" s="181"/>
      <c r="BQ221" s="181"/>
      <c r="BR221" s="181"/>
      <c r="BS221" s="181"/>
      <c r="BT221" s="181"/>
      <c r="BU221" s="181"/>
      <c r="BV221" s="181"/>
      <c r="BW221" s="181"/>
      <c r="BX221" s="181"/>
      <c r="BY221" s="181"/>
      <c r="BZ221" s="181"/>
      <c r="CA221" s="190"/>
      <c r="CB221" s="3"/>
      <c r="CC221" s="16"/>
      <c r="CD221" s="16"/>
      <c r="CE221" s="16"/>
      <c r="CF221" s="16"/>
      <c r="CG221" s="16"/>
      <c r="CH221" s="16"/>
      <c r="CI221" s="16" t="s">
        <v>2406</v>
      </c>
    </row>
    <row r="222" spans="1:87">
      <c r="A222" s="16"/>
      <c r="B222" s="16"/>
      <c r="C222" s="3">
        <v>46272</v>
      </c>
      <c r="D222" s="26" t="s">
        <v>14</v>
      </c>
      <c r="E222" s="180" t="s">
        <v>2407</v>
      </c>
      <c r="F222" s="181">
        <v>2026198390011</v>
      </c>
      <c r="G222" s="181">
        <v>40</v>
      </c>
      <c r="H222" s="181">
        <v>52</v>
      </c>
      <c r="I222" s="181" t="s">
        <v>559</v>
      </c>
      <c r="J222" s="181" t="s">
        <v>2407</v>
      </c>
      <c r="K222" s="181" t="s">
        <v>1083</v>
      </c>
      <c r="L222" s="181" t="s">
        <v>17</v>
      </c>
      <c r="M222" s="181">
        <v>26</v>
      </c>
      <c r="N222" s="181" t="s">
        <v>462</v>
      </c>
      <c r="O222" s="181" t="s">
        <v>606</v>
      </c>
      <c r="P222" s="181" t="s">
        <v>2408</v>
      </c>
      <c r="Q222" s="181" t="s">
        <v>465</v>
      </c>
      <c r="R222" s="181" t="s">
        <v>466</v>
      </c>
      <c r="S222" s="181" t="s">
        <v>2409</v>
      </c>
      <c r="T222" s="181" t="s">
        <v>2410</v>
      </c>
      <c r="U222" s="182">
        <v>46245.786111111112</v>
      </c>
      <c r="V222" s="181" t="s">
        <v>469</v>
      </c>
      <c r="W222" s="181" t="s">
        <v>470</v>
      </c>
      <c r="X222" s="181" t="s">
        <v>471</v>
      </c>
      <c r="Y222" s="181" t="s">
        <v>472</v>
      </c>
      <c r="Z222" s="181" t="s">
        <v>473</v>
      </c>
      <c r="AA222" s="181" t="s">
        <v>474</v>
      </c>
      <c r="AB222" s="181" t="s">
        <v>2411</v>
      </c>
      <c r="AC222" s="181" t="s">
        <v>476</v>
      </c>
      <c r="AD222" s="181">
        <v>390806261</v>
      </c>
      <c r="AE222" s="181">
        <v>1699720086</v>
      </c>
      <c r="AF222" s="181">
        <v>1659382117</v>
      </c>
      <c r="AG222" s="181"/>
      <c r="AH222" s="181"/>
      <c r="AI222" s="181" t="s">
        <v>48</v>
      </c>
      <c r="AJ222" s="181" t="s">
        <v>481</v>
      </c>
      <c r="AK222" s="181" t="s">
        <v>2412</v>
      </c>
      <c r="AL222" s="181">
        <v>25456</v>
      </c>
      <c r="AM222" s="181"/>
      <c r="AN222" s="181"/>
      <c r="AO222" s="181">
        <v>465</v>
      </c>
      <c r="AP222" s="181" t="s">
        <v>485</v>
      </c>
      <c r="AQ222" s="181" t="s">
        <v>2413</v>
      </c>
      <c r="AR222" s="183">
        <v>46246</v>
      </c>
      <c r="AS222" s="181" t="s">
        <v>48</v>
      </c>
      <c r="AT222" s="181" t="s">
        <v>2252</v>
      </c>
      <c r="AU222" s="181"/>
      <c r="AV222" s="181" t="s">
        <v>2414</v>
      </c>
      <c r="AW222" s="181"/>
      <c r="AX222" s="181"/>
      <c r="AY222" s="181"/>
      <c r="AZ222" s="181"/>
      <c r="BA222" s="181"/>
      <c r="BB222" s="181"/>
      <c r="BC222" s="181"/>
      <c r="BD222" s="181" t="s">
        <v>48</v>
      </c>
      <c r="BE222" s="181">
        <v>52</v>
      </c>
      <c r="BF222" s="181"/>
      <c r="BG222" s="181"/>
      <c r="BH222" s="181" t="s">
        <v>491</v>
      </c>
      <c r="BI222" s="181">
        <v>388025225</v>
      </c>
      <c r="BJ222" s="181"/>
      <c r="BK222" s="181"/>
      <c r="BL222" s="181"/>
      <c r="BM222" s="181"/>
      <c r="BN222" s="181"/>
      <c r="BO222" s="181"/>
      <c r="BP222" s="181"/>
      <c r="BQ222" s="181"/>
      <c r="BR222" s="181"/>
      <c r="BS222" s="181"/>
      <c r="BT222" s="181"/>
      <c r="BU222" s="181"/>
      <c r="BV222" s="181"/>
      <c r="BW222" s="181"/>
      <c r="BX222" s="181"/>
      <c r="BY222" s="181"/>
      <c r="BZ222" s="181"/>
      <c r="CA222" s="190"/>
      <c r="CB222" s="3"/>
      <c r="CC222" s="16"/>
      <c r="CD222" s="16"/>
      <c r="CE222" s="16"/>
      <c r="CF222" s="16"/>
      <c r="CG222" s="16"/>
      <c r="CH222" s="16"/>
      <c r="CI222" s="16" t="s">
        <v>2415</v>
      </c>
    </row>
    <row r="223" spans="1:87">
      <c r="A223" s="16"/>
      <c r="B223" s="16"/>
      <c r="C223" s="3">
        <v>46272</v>
      </c>
      <c r="D223" s="26" t="s">
        <v>14</v>
      </c>
      <c r="E223" s="180" t="s">
        <v>2416</v>
      </c>
      <c r="F223" s="181">
        <v>2026203070308</v>
      </c>
      <c r="G223" s="181">
        <v>40</v>
      </c>
      <c r="H223" s="181">
        <v>47</v>
      </c>
      <c r="I223" s="181" t="s">
        <v>559</v>
      </c>
      <c r="J223" s="181" t="s">
        <v>2416</v>
      </c>
      <c r="K223" s="181" t="s">
        <v>1512</v>
      </c>
      <c r="L223" s="181" t="s">
        <v>17</v>
      </c>
      <c r="M223" s="181">
        <v>21</v>
      </c>
      <c r="N223" s="181" t="s">
        <v>462</v>
      </c>
      <c r="O223" s="181" t="s">
        <v>606</v>
      </c>
      <c r="P223" s="181" t="s">
        <v>2417</v>
      </c>
      <c r="Q223" s="181" t="s">
        <v>465</v>
      </c>
      <c r="R223" s="181" t="s">
        <v>466</v>
      </c>
      <c r="S223" s="181" t="s">
        <v>2418</v>
      </c>
      <c r="T223" s="181" t="s">
        <v>2419</v>
      </c>
      <c r="U223" s="182">
        <v>46250.979861111111</v>
      </c>
      <c r="V223" s="181" t="s">
        <v>469</v>
      </c>
      <c r="W223" s="181" t="s">
        <v>470</v>
      </c>
      <c r="X223" s="181" t="s">
        <v>471</v>
      </c>
      <c r="Y223" s="181" t="s">
        <v>472</v>
      </c>
      <c r="Z223" s="181" t="s">
        <v>473</v>
      </c>
      <c r="AA223" s="181" t="s">
        <v>474</v>
      </c>
      <c r="AB223" s="181" t="s">
        <v>2420</v>
      </c>
      <c r="AC223" s="181" t="s">
        <v>476</v>
      </c>
      <c r="AD223" s="181">
        <v>810977948</v>
      </c>
      <c r="AE223" s="181">
        <v>1093221434</v>
      </c>
      <c r="AF223" s="181">
        <v>1033383104</v>
      </c>
      <c r="AG223" s="181"/>
      <c r="AH223" s="181"/>
      <c r="AI223" s="181" t="s">
        <v>149</v>
      </c>
      <c r="AJ223" s="181" t="s">
        <v>481</v>
      </c>
      <c r="AK223" s="181" t="s">
        <v>2421</v>
      </c>
      <c r="AL223" s="181">
        <v>51956</v>
      </c>
      <c r="AM223" s="181"/>
      <c r="AN223" s="181"/>
      <c r="AO223" s="181">
        <v>905</v>
      </c>
      <c r="AP223" s="181" t="s">
        <v>485</v>
      </c>
      <c r="AQ223" s="181" t="s">
        <v>2422</v>
      </c>
      <c r="AR223" s="183">
        <v>46251</v>
      </c>
      <c r="AS223" s="181" t="s">
        <v>149</v>
      </c>
      <c r="AT223" s="181" t="s">
        <v>1518</v>
      </c>
      <c r="AU223" s="181"/>
      <c r="AV223" s="181" t="s">
        <v>2423</v>
      </c>
      <c r="AW223" s="181"/>
      <c r="AX223" s="181"/>
      <c r="AY223" s="181"/>
      <c r="AZ223" s="181"/>
      <c r="BA223" s="181"/>
      <c r="BB223" s="181"/>
      <c r="BC223" s="181"/>
      <c r="BD223" s="181" t="s">
        <v>149</v>
      </c>
      <c r="BE223" s="181">
        <v>47</v>
      </c>
      <c r="BF223" s="181"/>
      <c r="BG223" s="181"/>
      <c r="BH223" s="181" t="s">
        <v>491</v>
      </c>
      <c r="BI223" s="181">
        <v>391704952</v>
      </c>
      <c r="BJ223" s="181"/>
      <c r="BK223" s="181"/>
      <c r="BL223" s="181"/>
      <c r="BM223" s="181"/>
      <c r="BN223" s="181"/>
      <c r="BO223" s="181"/>
      <c r="BP223" s="181"/>
      <c r="BQ223" s="181"/>
      <c r="BR223" s="181"/>
      <c r="BS223" s="181"/>
      <c r="BT223" s="181"/>
      <c r="BU223" s="181"/>
      <c r="BV223" s="181"/>
      <c r="BW223" s="181"/>
      <c r="BX223" s="181"/>
      <c r="BY223" s="181"/>
      <c r="BZ223" s="181"/>
      <c r="CA223" s="190"/>
      <c r="CB223" s="3"/>
      <c r="CC223" s="16"/>
      <c r="CD223" s="16"/>
      <c r="CE223" s="16"/>
      <c r="CF223" s="16"/>
      <c r="CG223" s="16"/>
      <c r="CH223" s="16"/>
      <c r="CI223" s="16" t="s">
        <v>2424</v>
      </c>
    </row>
    <row r="224" spans="1:87">
      <c r="A224" s="16"/>
      <c r="B224" s="16"/>
      <c r="C224" s="3">
        <v>46272</v>
      </c>
      <c r="D224" s="26" t="s">
        <v>14</v>
      </c>
      <c r="E224" s="180" t="s">
        <v>2425</v>
      </c>
      <c r="F224" s="181">
        <v>2026191850358</v>
      </c>
      <c r="G224" s="181">
        <v>40</v>
      </c>
      <c r="H224" s="181">
        <v>60</v>
      </c>
      <c r="I224" s="181" t="s">
        <v>559</v>
      </c>
      <c r="J224" s="181" t="s">
        <v>2425</v>
      </c>
      <c r="K224" s="181" t="s">
        <v>1083</v>
      </c>
      <c r="L224" s="181" t="s">
        <v>17</v>
      </c>
      <c r="M224" s="181">
        <v>32</v>
      </c>
      <c r="N224" s="181" t="s">
        <v>462</v>
      </c>
      <c r="O224" s="181" t="s">
        <v>606</v>
      </c>
      <c r="P224" s="181" t="s">
        <v>2426</v>
      </c>
      <c r="Q224" s="181" t="s">
        <v>465</v>
      </c>
      <c r="R224" s="181" t="s">
        <v>466</v>
      </c>
      <c r="S224" s="181" t="s">
        <v>2427</v>
      </c>
      <c r="T224" s="181" t="s">
        <v>2428</v>
      </c>
      <c r="U224" s="182">
        <v>46239.982638888891</v>
      </c>
      <c r="V224" s="181" t="s">
        <v>469</v>
      </c>
      <c r="W224" s="181" t="s">
        <v>470</v>
      </c>
      <c r="X224" s="181" t="s">
        <v>471</v>
      </c>
      <c r="Y224" s="181" t="s">
        <v>472</v>
      </c>
      <c r="Z224" s="181" t="s">
        <v>473</v>
      </c>
      <c r="AA224" s="181" t="s">
        <v>474</v>
      </c>
      <c r="AB224" s="181" t="s">
        <v>2429</v>
      </c>
      <c r="AC224" s="181" t="s">
        <v>476</v>
      </c>
      <c r="AD224" s="181">
        <v>391083015</v>
      </c>
      <c r="AE224" s="181">
        <v>1356322440</v>
      </c>
      <c r="AF224" s="181">
        <v>1134535735</v>
      </c>
      <c r="AG224" s="181"/>
      <c r="AH224" s="181"/>
      <c r="AI224" s="181" t="s">
        <v>48</v>
      </c>
      <c r="AJ224" s="181" t="s">
        <v>481</v>
      </c>
      <c r="AK224" s="181" t="s">
        <v>2430</v>
      </c>
      <c r="AL224" s="181">
        <v>15817.5</v>
      </c>
      <c r="AM224" s="181"/>
      <c r="AN224" s="181"/>
      <c r="AO224" s="181">
        <v>64</v>
      </c>
      <c r="AP224" s="181" t="s">
        <v>485</v>
      </c>
      <c r="AQ224" s="181" t="s">
        <v>2431</v>
      </c>
      <c r="AR224" s="183">
        <v>46240</v>
      </c>
      <c r="AS224" s="181" t="s">
        <v>48</v>
      </c>
      <c r="AT224" s="181" t="s">
        <v>2252</v>
      </c>
      <c r="AU224" s="181"/>
      <c r="AV224" s="181" t="s">
        <v>2432</v>
      </c>
      <c r="AW224" s="181"/>
      <c r="AX224" s="181"/>
      <c r="AY224" s="181"/>
      <c r="AZ224" s="181"/>
      <c r="BA224" s="181"/>
      <c r="BB224" s="181"/>
      <c r="BC224" s="181"/>
      <c r="BD224" s="181" t="s">
        <v>48</v>
      </c>
      <c r="BE224" s="181">
        <v>59</v>
      </c>
      <c r="BF224" s="181"/>
      <c r="BG224" s="181"/>
      <c r="BH224" s="181" t="s">
        <v>491</v>
      </c>
      <c r="BI224" s="181">
        <v>393900515</v>
      </c>
      <c r="BJ224" s="181"/>
      <c r="BK224" s="181"/>
      <c r="BL224" s="181"/>
      <c r="BM224" s="181"/>
      <c r="BN224" s="181"/>
      <c r="BO224" s="181"/>
      <c r="BP224" s="181"/>
      <c r="BQ224" s="181"/>
      <c r="BR224" s="181"/>
      <c r="BS224" s="181"/>
      <c r="BT224" s="181"/>
      <c r="BU224" s="181"/>
      <c r="BV224" s="181"/>
      <c r="BW224" s="181"/>
      <c r="BX224" s="181"/>
      <c r="BY224" s="181"/>
      <c r="BZ224" s="181"/>
      <c r="CA224" s="190"/>
      <c r="CB224" s="3"/>
      <c r="CC224" s="16"/>
      <c r="CD224" s="16"/>
      <c r="CE224" s="16"/>
      <c r="CF224" s="16"/>
      <c r="CG224" s="16"/>
      <c r="CH224" s="16"/>
      <c r="CI224" s="16" t="s">
        <v>2433</v>
      </c>
    </row>
    <row r="225" spans="1:87">
      <c r="A225" s="16" t="s">
        <v>5</v>
      </c>
      <c r="B225" s="16" t="s">
        <v>719</v>
      </c>
      <c r="C225" s="3">
        <v>46272</v>
      </c>
      <c r="D225" s="26" t="s">
        <v>14</v>
      </c>
      <c r="E225" s="180" t="s">
        <v>2434</v>
      </c>
      <c r="F225" s="181">
        <v>2026202160475</v>
      </c>
      <c r="G225" s="181">
        <v>40</v>
      </c>
      <c r="H225" s="181">
        <v>48</v>
      </c>
      <c r="I225" s="181" t="s">
        <v>559</v>
      </c>
      <c r="J225" s="181" t="s">
        <v>2434</v>
      </c>
      <c r="K225" s="181" t="s">
        <v>1040</v>
      </c>
      <c r="L225" s="181" t="s">
        <v>17</v>
      </c>
      <c r="M225" s="181">
        <v>21</v>
      </c>
      <c r="N225" s="181" t="s">
        <v>462</v>
      </c>
      <c r="O225" s="181" t="s">
        <v>606</v>
      </c>
      <c r="P225" s="181">
        <v>807777979</v>
      </c>
      <c r="Q225" s="181" t="s">
        <v>465</v>
      </c>
      <c r="R225" s="181" t="s">
        <v>466</v>
      </c>
      <c r="S225" s="181" t="s">
        <v>2435</v>
      </c>
      <c r="T225" s="181" t="s">
        <v>664</v>
      </c>
      <c r="U225" s="182">
        <v>46250.746527777781</v>
      </c>
      <c r="V225" s="181" t="s">
        <v>469</v>
      </c>
      <c r="W225" s="181" t="s">
        <v>651</v>
      </c>
      <c r="X225" s="181" t="s">
        <v>652</v>
      </c>
      <c r="Y225" s="181" t="s">
        <v>653</v>
      </c>
      <c r="Z225" s="181" t="s">
        <v>665</v>
      </c>
      <c r="AA225" s="181" t="s">
        <v>474</v>
      </c>
      <c r="AB225" s="181" t="s">
        <v>666</v>
      </c>
      <c r="AC225" s="181" t="s">
        <v>640</v>
      </c>
      <c r="AD225" s="181">
        <v>134010372</v>
      </c>
      <c r="AE225" s="181">
        <v>1699766261</v>
      </c>
      <c r="AF225" s="181">
        <v>1194986612</v>
      </c>
      <c r="AG225" s="181">
        <v>2.54202530700571E+16</v>
      </c>
      <c r="AH225" s="181"/>
      <c r="AI225" s="181" t="s">
        <v>173</v>
      </c>
      <c r="AJ225" s="181" t="s">
        <v>481</v>
      </c>
      <c r="AK225" s="181" t="s">
        <v>2436</v>
      </c>
      <c r="AL225" s="181">
        <v>5394.4</v>
      </c>
      <c r="AM225" s="181"/>
      <c r="AN225" s="181"/>
      <c r="AO225" s="181">
        <v>807</v>
      </c>
      <c r="AP225" s="181" t="s">
        <v>485</v>
      </c>
      <c r="AQ225" s="181" t="s">
        <v>2437</v>
      </c>
      <c r="AR225" s="183">
        <v>46251</v>
      </c>
      <c r="AS225" s="181" t="s">
        <v>173</v>
      </c>
      <c r="AT225" s="181" t="s">
        <v>1047</v>
      </c>
      <c r="AU225" s="181"/>
      <c r="AV225" s="181" t="s">
        <v>2438</v>
      </c>
      <c r="AW225" s="181"/>
      <c r="AX225" s="181"/>
      <c r="AY225" s="181"/>
      <c r="AZ225" s="181"/>
      <c r="BA225" s="181"/>
      <c r="BB225" s="181"/>
      <c r="BC225" s="181"/>
      <c r="BD225" s="181" t="s">
        <v>173</v>
      </c>
      <c r="BE225" s="181">
        <v>48</v>
      </c>
      <c r="BF225" s="181"/>
      <c r="BG225" s="181" t="s">
        <v>490</v>
      </c>
      <c r="BH225" s="181" t="s">
        <v>658</v>
      </c>
      <c r="BI225" s="181">
        <v>807777979</v>
      </c>
      <c r="BJ225" s="181"/>
      <c r="BK225" s="181"/>
      <c r="BL225" s="181" t="s">
        <v>1151</v>
      </c>
      <c r="BM225" s="181"/>
      <c r="BN225" s="181"/>
      <c r="BO225" s="181"/>
      <c r="BP225" s="181"/>
      <c r="BQ225" s="181"/>
      <c r="BR225" s="181"/>
      <c r="BS225" s="181"/>
      <c r="BT225" s="181"/>
      <c r="BU225" s="181"/>
      <c r="BV225" s="181"/>
      <c r="BW225" s="181"/>
      <c r="BX225" s="181"/>
      <c r="BY225" s="181"/>
      <c r="BZ225" s="181"/>
      <c r="CA225" s="190">
        <v>46282.666666666701</v>
      </c>
      <c r="CB225" s="3"/>
      <c r="CC225" s="16"/>
      <c r="CD225" s="16"/>
      <c r="CE225" s="16"/>
      <c r="CF225" s="16"/>
      <c r="CG225" s="16"/>
      <c r="CH225" s="16"/>
      <c r="CI225" s="16" t="s">
        <v>2439</v>
      </c>
    </row>
    <row r="226" spans="1:87">
      <c r="A226" s="16"/>
      <c r="B226" s="16"/>
      <c r="C226" s="3">
        <v>46272</v>
      </c>
      <c r="D226" s="26" t="s">
        <v>14</v>
      </c>
      <c r="E226" s="180" t="s">
        <v>2440</v>
      </c>
      <c r="F226" s="181">
        <v>2026202990468</v>
      </c>
      <c r="G226" s="181">
        <v>40</v>
      </c>
      <c r="H226" s="181">
        <v>48</v>
      </c>
      <c r="I226" s="181" t="s">
        <v>559</v>
      </c>
      <c r="J226" s="181" t="s">
        <v>2440</v>
      </c>
      <c r="K226" s="181" t="s">
        <v>1512</v>
      </c>
      <c r="L226" s="181" t="s">
        <v>17</v>
      </c>
      <c r="M226" s="181">
        <v>21</v>
      </c>
      <c r="N226" s="181" t="s">
        <v>462</v>
      </c>
      <c r="O226" s="181" t="s">
        <v>606</v>
      </c>
      <c r="P226" s="181">
        <v>129009801</v>
      </c>
      <c r="Q226" s="181" t="s">
        <v>465</v>
      </c>
      <c r="R226" s="181" t="s">
        <v>466</v>
      </c>
      <c r="S226" s="181" t="s">
        <v>2441</v>
      </c>
      <c r="T226" s="181" t="s">
        <v>664</v>
      </c>
      <c r="U226" s="182">
        <v>46250.727083333331</v>
      </c>
      <c r="V226" s="181" t="s">
        <v>469</v>
      </c>
      <c r="W226" s="181" t="s">
        <v>651</v>
      </c>
      <c r="X226" s="181" t="s">
        <v>652</v>
      </c>
      <c r="Y226" s="181" t="s">
        <v>653</v>
      </c>
      <c r="Z226" s="181" t="s">
        <v>665</v>
      </c>
      <c r="AA226" s="181" t="s">
        <v>474</v>
      </c>
      <c r="AB226" s="181" t="s">
        <v>666</v>
      </c>
      <c r="AC226" s="181" t="s">
        <v>640</v>
      </c>
      <c r="AD226" s="181">
        <v>126621464</v>
      </c>
      <c r="AE226" s="181">
        <v>1568618742</v>
      </c>
      <c r="AF226" s="181">
        <v>1568618742</v>
      </c>
      <c r="AG226" s="181">
        <v>2.54202502421876E+16</v>
      </c>
      <c r="AH226" s="181"/>
      <c r="AI226" s="181" t="s">
        <v>149</v>
      </c>
      <c r="AJ226" s="181" t="s">
        <v>481</v>
      </c>
      <c r="AK226" s="181" t="s">
        <v>2442</v>
      </c>
      <c r="AL226" s="181">
        <v>360</v>
      </c>
      <c r="AM226" s="181"/>
      <c r="AN226" s="181"/>
      <c r="AO226" s="181">
        <v>129</v>
      </c>
      <c r="AP226" s="181" t="s">
        <v>485</v>
      </c>
      <c r="AQ226" s="181" t="s">
        <v>2443</v>
      </c>
      <c r="AR226" s="183">
        <v>46251</v>
      </c>
      <c r="AS226" s="181" t="s">
        <v>149</v>
      </c>
      <c r="AT226" s="181" t="s">
        <v>1518</v>
      </c>
      <c r="AU226" s="181"/>
      <c r="AV226" s="181" t="s">
        <v>2444</v>
      </c>
      <c r="AW226" s="181"/>
      <c r="AX226" s="181"/>
      <c r="AY226" s="181"/>
      <c r="AZ226" s="181"/>
      <c r="BA226" s="181"/>
      <c r="BB226" s="181"/>
      <c r="BC226" s="181"/>
      <c r="BD226" s="181" t="s">
        <v>149</v>
      </c>
      <c r="BE226" s="181">
        <v>48</v>
      </c>
      <c r="BF226" s="181"/>
      <c r="BG226" s="181" t="s">
        <v>490</v>
      </c>
      <c r="BH226" s="181" t="s">
        <v>658</v>
      </c>
      <c r="BI226" s="181">
        <v>129009801</v>
      </c>
      <c r="BJ226" s="181"/>
      <c r="BK226" s="181"/>
      <c r="BL226" s="181"/>
      <c r="BM226" s="181"/>
      <c r="BN226" s="181"/>
      <c r="BO226" s="181"/>
      <c r="BP226" s="181"/>
      <c r="BQ226" s="181"/>
      <c r="BR226" s="181"/>
      <c r="BS226" s="181"/>
      <c r="BT226" s="181"/>
      <c r="BU226" s="181"/>
      <c r="BV226" s="181"/>
      <c r="BW226" s="181"/>
      <c r="BX226" s="181"/>
      <c r="BY226" s="181"/>
      <c r="BZ226" s="181"/>
      <c r="CA226" s="190"/>
      <c r="CB226" s="3"/>
      <c r="CC226" s="16"/>
      <c r="CD226" s="16"/>
      <c r="CE226" s="16"/>
      <c r="CF226" s="16"/>
      <c r="CG226" s="16"/>
      <c r="CH226" s="16"/>
      <c r="CI226" s="16" t="s">
        <v>2445</v>
      </c>
    </row>
    <row r="227" spans="1:87">
      <c r="A227" s="16"/>
      <c r="B227" s="16"/>
      <c r="C227" s="3">
        <v>46272</v>
      </c>
      <c r="D227" s="26" t="s">
        <v>14</v>
      </c>
      <c r="E227" s="180" t="s">
        <v>2446</v>
      </c>
      <c r="F227" s="181">
        <v>2026204810422</v>
      </c>
      <c r="G227" s="181">
        <v>40</v>
      </c>
      <c r="H227" s="181">
        <v>46</v>
      </c>
      <c r="I227" s="181" t="s">
        <v>559</v>
      </c>
      <c r="J227" s="181" t="s">
        <v>2446</v>
      </c>
      <c r="K227" s="181" t="s">
        <v>983</v>
      </c>
      <c r="L227" s="181" t="s">
        <v>17</v>
      </c>
      <c r="M227" s="181">
        <v>18</v>
      </c>
      <c r="N227" s="181" t="s">
        <v>462</v>
      </c>
      <c r="O227" s="181" t="s">
        <v>606</v>
      </c>
      <c r="P227" s="181">
        <v>100011666</v>
      </c>
      <c r="Q227" s="181" t="s">
        <v>465</v>
      </c>
      <c r="R227" s="181" t="s">
        <v>466</v>
      </c>
      <c r="S227" s="181" t="s">
        <v>2447</v>
      </c>
      <c r="T227" s="181" t="s">
        <v>664</v>
      </c>
      <c r="U227" s="182">
        <v>46253.740972222222</v>
      </c>
      <c r="V227" s="181" t="s">
        <v>469</v>
      </c>
      <c r="W227" s="181" t="s">
        <v>651</v>
      </c>
      <c r="X227" s="181" t="s">
        <v>652</v>
      </c>
      <c r="Y227" s="181" t="s">
        <v>653</v>
      </c>
      <c r="Z227" s="181" t="s">
        <v>665</v>
      </c>
      <c r="AA227" s="181" t="s">
        <v>474</v>
      </c>
      <c r="AB227" s="181" t="s">
        <v>666</v>
      </c>
      <c r="AC227" s="181" t="s">
        <v>640</v>
      </c>
      <c r="AD227" s="181">
        <v>135562308</v>
      </c>
      <c r="AE227" s="181">
        <v>1285826438</v>
      </c>
      <c r="AF227" s="181">
        <v>1902867393</v>
      </c>
      <c r="AG227" s="181">
        <v>2.54202534906558E+16</v>
      </c>
      <c r="AH227" s="181"/>
      <c r="AI227" s="181" t="s">
        <v>34</v>
      </c>
      <c r="AJ227" s="181" t="s">
        <v>481</v>
      </c>
      <c r="AK227" s="181" t="s">
        <v>2448</v>
      </c>
      <c r="AL227" s="181">
        <v>102258</v>
      </c>
      <c r="AM227" s="181"/>
      <c r="AN227" s="181"/>
      <c r="AO227" s="181">
        <v>100</v>
      </c>
      <c r="AP227" s="181" t="s">
        <v>485</v>
      </c>
      <c r="AQ227" s="181" t="s">
        <v>2449</v>
      </c>
      <c r="AR227" s="183">
        <v>46254</v>
      </c>
      <c r="AS227" s="181" t="s">
        <v>34</v>
      </c>
      <c r="AT227" s="181" t="s">
        <v>794</v>
      </c>
      <c r="AU227" s="181"/>
      <c r="AV227" s="181" t="s">
        <v>1120</v>
      </c>
      <c r="AW227" s="181"/>
      <c r="AX227" s="181"/>
      <c r="AY227" s="181"/>
      <c r="AZ227" s="181"/>
      <c r="BA227" s="181"/>
      <c r="BB227" s="181"/>
      <c r="BC227" s="181"/>
      <c r="BD227" s="181" t="s">
        <v>34</v>
      </c>
      <c r="BE227" s="181">
        <v>46</v>
      </c>
      <c r="BF227" s="181"/>
      <c r="BG227" s="181" t="s">
        <v>490</v>
      </c>
      <c r="BH227" s="181" t="s">
        <v>658</v>
      </c>
      <c r="BI227" s="181">
        <v>100011666</v>
      </c>
      <c r="BJ227" s="181"/>
      <c r="BK227" s="181"/>
      <c r="BL227" s="181"/>
      <c r="BM227" s="181"/>
      <c r="BN227" s="181"/>
      <c r="BO227" s="181"/>
      <c r="BP227" s="181"/>
      <c r="BQ227" s="181"/>
      <c r="BR227" s="181"/>
      <c r="BS227" s="181"/>
      <c r="BT227" s="181"/>
      <c r="BU227" s="181"/>
      <c r="BV227" s="181"/>
      <c r="BW227" s="181"/>
      <c r="BX227" s="181"/>
      <c r="BY227" s="181"/>
      <c r="BZ227" s="181"/>
      <c r="CA227" s="190"/>
      <c r="CB227" s="3"/>
      <c r="CC227" s="16"/>
      <c r="CD227" s="16"/>
      <c r="CE227" s="16"/>
      <c r="CF227" s="16"/>
      <c r="CG227" s="16"/>
      <c r="CH227" s="16"/>
      <c r="CI227" s="16" t="s">
        <v>2450</v>
      </c>
    </row>
    <row r="228" spans="1:87">
      <c r="A228" s="16"/>
      <c r="B228" s="16"/>
      <c r="C228" s="3">
        <v>46272</v>
      </c>
      <c r="D228" s="26" t="s">
        <v>14</v>
      </c>
      <c r="E228" s="180" t="s">
        <v>2451</v>
      </c>
      <c r="F228" s="181">
        <v>2026202670116</v>
      </c>
      <c r="G228" s="181">
        <v>40</v>
      </c>
      <c r="H228" s="181">
        <v>48</v>
      </c>
      <c r="I228" s="181" t="s">
        <v>559</v>
      </c>
      <c r="J228" s="181" t="s">
        <v>2451</v>
      </c>
      <c r="K228" s="181" t="s">
        <v>983</v>
      </c>
      <c r="L228" s="181" t="s">
        <v>17</v>
      </c>
      <c r="M228" s="181">
        <v>20</v>
      </c>
      <c r="N228" s="181" t="s">
        <v>462</v>
      </c>
      <c r="O228" s="181" t="s">
        <v>606</v>
      </c>
      <c r="P228" s="181">
        <v>816594258</v>
      </c>
      <c r="Q228" s="181" t="s">
        <v>465</v>
      </c>
      <c r="R228" s="181" t="s">
        <v>466</v>
      </c>
      <c r="S228" s="181" t="s">
        <v>2452</v>
      </c>
      <c r="T228" s="181" t="s">
        <v>664</v>
      </c>
      <c r="U228" s="182">
        <v>46252.068749999999</v>
      </c>
      <c r="V228" s="181" t="s">
        <v>469</v>
      </c>
      <c r="W228" s="181" t="s">
        <v>651</v>
      </c>
      <c r="X228" s="181" t="s">
        <v>652</v>
      </c>
      <c r="Y228" s="181" t="s">
        <v>653</v>
      </c>
      <c r="Z228" s="181" t="s">
        <v>665</v>
      </c>
      <c r="AA228" s="181" t="s">
        <v>474</v>
      </c>
      <c r="AB228" s="181" t="s">
        <v>666</v>
      </c>
      <c r="AC228" s="181" t="s">
        <v>640</v>
      </c>
      <c r="AD228" s="181">
        <v>135598093</v>
      </c>
      <c r="AE228" s="181">
        <v>1508266347</v>
      </c>
      <c r="AF228" s="181">
        <v>1962480319</v>
      </c>
      <c r="AG228" s="181">
        <v>2.54202534644898E+16</v>
      </c>
      <c r="AH228" s="181"/>
      <c r="AI228" s="181" t="s">
        <v>34</v>
      </c>
      <c r="AJ228" s="181" t="s">
        <v>481</v>
      </c>
      <c r="AK228" s="181" t="s">
        <v>2453</v>
      </c>
      <c r="AL228" s="181">
        <v>3825</v>
      </c>
      <c r="AM228" s="181"/>
      <c r="AN228" s="181"/>
      <c r="AO228" s="181">
        <v>816</v>
      </c>
      <c r="AP228" s="181" t="s">
        <v>485</v>
      </c>
      <c r="AQ228" s="181" t="s">
        <v>2454</v>
      </c>
      <c r="AR228" s="183">
        <v>46252</v>
      </c>
      <c r="AS228" s="181" t="s">
        <v>34</v>
      </c>
      <c r="AT228" s="181" t="s">
        <v>794</v>
      </c>
      <c r="AU228" s="181"/>
      <c r="AV228" s="181" t="s">
        <v>1235</v>
      </c>
      <c r="AW228" s="181"/>
      <c r="AX228" s="181"/>
      <c r="AY228" s="181"/>
      <c r="AZ228" s="181"/>
      <c r="BA228" s="181"/>
      <c r="BB228" s="181"/>
      <c r="BC228" s="181"/>
      <c r="BD228" s="181" t="s">
        <v>34</v>
      </c>
      <c r="BE228" s="181">
        <v>48</v>
      </c>
      <c r="BF228" s="181"/>
      <c r="BG228" s="181" t="s">
        <v>490</v>
      </c>
      <c r="BH228" s="181" t="s">
        <v>658</v>
      </c>
      <c r="BI228" s="181">
        <v>816594258</v>
      </c>
      <c r="BJ228" s="181"/>
      <c r="BK228" s="181"/>
      <c r="BL228" s="181"/>
      <c r="BM228" s="181"/>
      <c r="BN228" s="181"/>
      <c r="BO228" s="181"/>
      <c r="BP228" s="181"/>
      <c r="BQ228" s="181"/>
      <c r="BR228" s="181"/>
      <c r="BS228" s="181"/>
      <c r="BT228" s="181"/>
      <c r="BU228" s="181"/>
      <c r="BV228" s="181"/>
      <c r="BW228" s="181"/>
      <c r="BX228" s="181"/>
      <c r="BY228" s="181"/>
      <c r="BZ228" s="181"/>
      <c r="CA228" s="190"/>
      <c r="CB228" s="3"/>
      <c r="CC228" s="16"/>
      <c r="CD228" s="16"/>
      <c r="CE228" s="16"/>
      <c r="CF228" s="16"/>
      <c r="CG228" s="16"/>
      <c r="CH228" s="16"/>
      <c r="CI228" s="16" t="s">
        <v>2455</v>
      </c>
    </row>
    <row r="229" spans="1:87">
      <c r="A229" s="16"/>
      <c r="B229" s="16"/>
      <c r="C229" s="3">
        <v>46272</v>
      </c>
      <c r="D229" s="26" t="s">
        <v>14</v>
      </c>
      <c r="E229" s="180" t="s">
        <v>2456</v>
      </c>
      <c r="F229" s="181">
        <v>2026201130009</v>
      </c>
      <c r="G229" s="181">
        <v>40</v>
      </c>
      <c r="H229" s="181">
        <v>49</v>
      </c>
      <c r="I229" s="181" t="s">
        <v>559</v>
      </c>
      <c r="J229" s="181" t="s">
        <v>2456</v>
      </c>
      <c r="K229" s="181" t="s">
        <v>810</v>
      </c>
      <c r="L229" s="181" t="s">
        <v>17</v>
      </c>
      <c r="M229" s="181">
        <v>25</v>
      </c>
      <c r="N229" s="181" t="s">
        <v>462</v>
      </c>
      <c r="O229" s="181" t="s">
        <v>606</v>
      </c>
      <c r="P229" s="181">
        <v>102144018</v>
      </c>
      <c r="Q229" s="181" t="s">
        <v>465</v>
      </c>
      <c r="R229" s="181" t="s">
        <v>466</v>
      </c>
      <c r="S229" s="181" t="s">
        <v>2457</v>
      </c>
      <c r="T229" s="181" t="s">
        <v>664</v>
      </c>
      <c r="U229" s="182">
        <v>46246.843055555553</v>
      </c>
      <c r="V229" s="181" t="s">
        <v>469</v>
      </c>
      <c r="W229" s="181" t="s">
        <v>651</v>
      </c>
      <c r="X229" s="181" t="s">
        <v>652</v>
      </c>
      <c r="Y229" s="181" t="s">
        <v>653</v>
      </c>
      <c r="Z229" s="181" t="s">
        <v>665</v>
      </c>
      <c r="AA229" s="181" t="s">
        <v>474</v>
      </c>
      <c r="AB229" s="181" t="s">
        <v>666</v>
      </c>
      <c r="AC229" s="181" t="s">
        <v>640</v>
      </c>
      <c r="AD229" s="181">
        <v>135562308</v>
      </c>
      <c r="AE229" s="181">
        <v>1285826438</v>
      </c>
      <c r="AF229" s="181">
        <v>1902867393</v>
      </c>
      <c r="AG229" s="181">
        <v>2.54202526521247E+16</v>
      </c>
      <c r="AH229" s="181"/>
      <c r="AI229" s="181" t="s">
        <v>37</v>
      </c>
      <c r="AJ229" s="181" t="s">
        <v>481</v>
      </c>
      <c r="AK229" s="181" t="s">
        <v>2458</v>
      </c>
      <c r="AL229" s="181">
        <v>158913</v>
      </c>
      <c r="AM229" s="181"/>
      <c r="AN229" s="181"/>
      <c r="AO229" s="181">
        <v>102</v>
      </c>
      <c r="AP229" s="181" t="s">
        <v>485</v>
      </c>
      <c r="AQ229" s="181" t="s">
        <v>2459</v>
      </c>
      <c r="AR229" s="183">
        <v>46247</v>
      </c>
      <c r="AS229" s="181" t="s">
        <v>37</v>
      </c>
      <c r="AT229" s="181" t="s">
        <v>814</v>
      </c>
      <c r="AU229" s="181"/>
      <c r="AV229" s="181" t="s">
        <v>1120</v>
      </c>
      <c r="AW229" s="181"/>
      <c r="AX229" s="181"/>
      <c r="AY229" s="181"/>
      <c r="AZ229" s="181"/>
      <c r="BA229" s="181"/>
      <c r="BB229" s="181"/>
      <c r="BC229" s="181"/>
      <c r="BD229" s="181" t="s">
        <v>37</v>
      </c>
      <c r="BE229" s="181">
        <v>49</v>
      </c>
      <c r="BF229" s="181"/>
      <c r="BG229" s="181" t="s">
        <v>490</v>
      </c>
      <c r="BH229" s="181" t="s">
        <v>658</v>
      </c>
      <c r="BI229" s="181">
        <v>102144018</v>
      </c>
      <c r="BJ229" s="181"/>
      <c r="BK229" s="181"/>
      <c r="BL229" s="181"/>
      <c r="BM229" s="181"/>
      <c r="BN229" s="181"/>
      <c r="BO229" s="181"/>
      <c r="BP229" s="181"/>
      <c r="BQ229" s="181"/>
      <c r="BR229" s="181"/>
      <c r="BS229" s="181"/>
      <c r="BT229" s="181"/>
      <c r="BU229" s="181"/>
      <c r="BV229" s="181"/>
      <c r="BW229" s="181"/>
      <c r="BX229" s="181"/>
      <c r="BY229" s="181"/>
      <c r="BZ229" s="181"/>
      <c r="CA229" s="190"/>
      <c r="CB229" s="3"/>
      <c r="CC229" s="16"/>
      <c r="CD229" s="16"/>
      <c r="CE229" s="16"/>
      <c r="CF229" s="16"/>
      <c r="CG229" s="16"/>
      <c r="CH229" s="16"/>
      <c r="CI229" s="16" t="s">
        <v>2460</v>
      </c>
    </row>
    <row r="230" spans="1:87">
      <c r="A230" s="16"/>
      <c r="B230" s="16"/>
      <c r="C230" s="3">
        <v>46272</v>
      </c>
      <c r="D230" s="26" t="s">
        <v>14</v>
      </c>
      <c r="E230" s="180" t="s">
        <v>2461</v>
      </c>
      <c r="F230" s="181">
        <v>2026203290479</v>
      </c>
      <c r="G230" s="181">
        <v>40</v>
      </c>
      <c r="H230" s="181">
        <v>47</v>
      </c>
      <c r="I230" s="181" t="s">
        <v>559</v>
      </c>
      <c r="J230" s="181" t="s">
        <v>2461</v>
      </c>
      <c r="K230" s="181" t="s">
        <v>674</v>
      </c>
      <c r="L230" s="181" t="s">
        <v>16</v>
      </c>
      <c r="M230" s="181">
        <v>21</v>
      </c>
      <c r="N230" s="181" t="s">
        <v>462</v>
      </c>
      <c r="O230" s="181" t="s">
        <v>606</v>
      </c>
      <c r="P230" s="181">
        <v>801069885</v>
      </c>
      <c r="Q230" s="181" t="s">
        <v>465</v>
      </c>
      <c r="R230" s="181" t="s">
        <v>466</v>
      </c>
      <c r="S230" s="181" t="s">
        <v>2462</v>
      </c>
      <c r="T230" s="181" t="s">
        <v>664</v>
      </c>
      <c r="U230" s="182">
        <v>46251.381944444445</v>
      </c>
      <c r="V230" s="181" t="s">
        <v>469</v>
      </c>
      <c r="W230" s="181" t="s">
        <v>651</v>
      </c>
      <c r="X230" s="181" t="s">
        <v>652</v>
      </c>
      <c r="Y230" s="181" t="s">
        <v>653</v>
      </c>
      <c r="Z230" s="181" t="s">
        <v>665</v>
      </c>
      <c r="AA230" s="181" t="s">
        <v>474</v>
      </c>
      <c r="AB230" s="181" t="s">
        <v>666</v>
      </c>
      <c r="AC230" s="181" t="s">
        <v>640</v>
      </c>
      <c r="AD230" s="181">
        <v>141364536</v>
      </c>
      <c r="AE230" s="181">
        <v>1609875772</v>
      </c>
      <c r="AF230" s="181"/>
      <c r="AG230" s="181">
        <v>2.54202504806769E+16</v>
      </c>
      <c r="AH230" s="181"/>
      <c r="AI230" s="181" t="s">
        <v>54</v>
      </c>
      <c r="AJ230" s="181" t="s">
        <v>481</v>
      </c>
      <c r="AK230" s="181" t="s">
        <v>2463</v>
      </c>
      <c r="AL230" s="181">
        <v>26660.2</v>
      </c>
      <c r="AM230" s="181"/>
      <c r="AN230" s="181"/>
      <c r="AO230" s="181">
        <v>801</v>
      </c>
      <c r="AP230" s="181" t="s">
        <v>485</v>
      </c>
      <c r="AQ230" s="181" t="s">
        <v>2464</v>
      </c>
      <c r="AR230" s="183">
        <v>46251</v>
      </c>
      <c r="AS230" s="181" t="s">
        <v>54</v>
      </c>
      <c r="AT230" s="181" t="s">
        <v>678</v>
      </c>
      <c r="AU230" s="181"/>
      <c r="AV230" s="181" t="s">
        <v>2465</v>
      </c>
      <c r="AW230" s="181"/>
      <c r="AX230" s="181"/>
      <c r="AY230" s="181"/>
      <c r="AZ230" s="181"/>
      <c r="BA230" s="181"/>
      <c r="BB230" s="181"/>
      <c r="BC230" s="181"/>
      <c r="BD230" s="181" t="s">
        <v>54</v>
      </c>
      <c r="BE230" s="181">
        <v>47</v>
      </c>
      <c r="BF230" s="181"/>
      <c r="BG230" s="181" t="s">
        <v>490</v>
      </c>
      <c r="BH230" s="181" t="s">
        <v>658</v>
      </c>
      <c r="BI230" s="181">
        <v>801069885</v>
      </c>
      <c r="BJ230" s="181"/>
      <c r="BK230" s="181"/>
      <c r="BL230" s="181"/>
      <c r="BM230" s="181"/>
      <c r="BN230" s="181"/>
      <c r="BO230" s="181"/>
      <c r="BP230" s="181"/>
      <c r="BQ230" s="181"/>
      <c r="BR230" s="181"/>
      <c r="BS230" s="181"/>
      <c r="BT230" s="181"/>
      <c r="BU230" s="181"/>
      <c r="BV230" s="181"/>
      <c r="BW230" s="181"/>
      <c r="BX230" s="181"/>
      <c r="BY230" s="181"/>
      <c r="BZ230" s="181"/>
      <c r="CA230" s="190"/>
      <c r="CB230" s="3"/>
      <c r="CC230" s="16"/>
      <c r="CD230" s="16"/>
      <c r="CE230" s="16"/>
      <c r="CF230" s="16"/>
      <c r="CG230" s="16"/>
      <c r="CH230" s="16"/>
      <c r="CI230" s="16" t="s">
        <v>2466</v>
      </c>
    </row>
    <row r="231" spans="1:87">
      <c r="A231" s="16" t="s">
        <v>5</v>
      </c>
      <c r="B231" s="16" t="s">
        <v>719</v>
      </c>
      <c r="C231" s="3">
        <v>46272</v>
      </c>
      <c r="D231" s="26" t="s">
        <v>14</v>
      </c>
      <c r="E231" s="180" t="s">
        <v>2467</v>
      </c>
      <c r="F231" s="181">
        <v>2026190730498</v>
      </c>
      <c r="G231" s="181">
        <v>40</v>
      </c>
      <c r="H231" s="181">
        <v>60</v>
      </c>
      <c r="I231" s="181" t="s">
        <v>559</v>
      </c>
      <c r="J231" s="181" t="s">
        <v>2467</v>
      </c>
      <c r="K231" s="181" t="s">
        <v>1040</v>
      </c>
      <c r="L231" s="181" t="s">
        <v>17</v>
      </c>
      <c r="M231" s="181">
        <v>32</v>
      </c>
      <c r="N231" s="181" t="s">
        <v>462</v>
      </c>
      <c r="O231" s="181" t="s">
        <v>606</v>
      </c>
      <c r="P231" s="181">
        <v>812172756</v>
      </c>
      <c r="Q231" s="181" t="s">
        <v>465</v>
      </c>
      <c r="R231" s="181" t="s">
        <v>466</v>
      </c>
      <c r="S231" s="181" t="s">
        <v>2468</v>
      </c>
      <c r="T231" s="181" t="s">
        <v>664</v>
      </c>
      <c r="U231" s="182">
        <v>46239.896527777775</v>
      </c>
      <c r="V231" s="181" t="s">
        <v>469</v>
      </c>
      <c r="W231" s="181" t="s">
        <v>651</v>
      </c>
      <c r="X231" s="181" t="s">
        <v>652</v>
      </c>
      <c r="Y231" s="181" t="s">
        <v>653</v>
      </c>
      <c r="Z231" s="181" t="s">
        <v>665</v>
      </c>
      <c r="AA231" s="181" t="s">
        <v>474</v>
      </c>
      <c r="AB231" s="181" t="s">
        <v>666</v>
      </c>
      <c r="AC231" s="181" t="s">
        <v>640</v>
      </c>
      <c r="AD231" s="181">
        <v>135598093</v>
      </c>
      <c r="AE231" s="181">
        <v>1508266347</v>
      </c>
      <c r="AF231" s="181">
        <v>1396372157</v>
      </c>
      <c r="AG231" s="181">
        <v>2.54202526212407E+16</v>
      </c>
      <c r="AH231" s="181"/>
      <c r="AI231" s="181" t="s">
        <v>173</v>
      </c>
      <c r="AJ231" s="181" t="s">
        <v>481</v>
      </c>
      <c r="AK231" s="181" t="s">
        <v>2469</v>
      </c>
      <c r="AL231" s="181">
        <v>57424</v>
      </c>
      <c r="AM231" s="181"/>
      <c r="AN231" s="181"/>
      <c r="AO231" s="181">
        <v>812</v>
      </c>
      <c r="AP231" s="181" t="s">
        <v>485</v>
      </c>
      <c r="AQ231" s="181" t="s">
        <v>2470</v>
      </c>
      <c r="AR231" s="183">
        <v>46240</v>
      </c>
      <c r="AS231" s="181" t="s">
        <v>173</v>
      </c>
      <c r="AT231" s="181" t="s">
        <v>1047</v>
      </c>
      <c r="AU231" s="181"/>
      <c r="AV231" s="181" t="s">
        <v>2471</v>
      </c>
      <c r="AW231" s="181"/>
      <c r="AX231" s="181"/>
      <c r="AY231" s="181"/>
      <c r="AZ231" s="181"/>
      <c r="BA231" s="181"/>
      <c r="BB231" s="181"/>
      <c r="BC231" s="181"/>
      <c r="BD231" s="181" t="s">
        <v>173</v>
      </c>
      <c r="BE231" s="181">
        <v>60</v>
      </c>
      <c r="BF231" s="181"/>
      <c r="BG231" s="181" t="s">
        <v>490</v>
      </c>
      <c r="BH231" s="181" t="s">
        <v>658</v>
      </c>
      <c r="BI231" s="181">
        <v>812172756</v>
      </c>
      <c r="BJ231" s="181"/>
      <c r="BK231" s="181"/>
      <c r="BL231" s="181"/>
      <c r="BM231" s="181"/>
      <c r="BN231" s="181"/>
      <c r="BO231" s="181"/>
      <c r="BP231" s="181"/>
      <c r="BQ231" s="181"/>
      <c r="BR231" s="181"/>
      <c r="BS231" s="181"/>
      <c r="BT231" s="181"/>
      <c r="BU231" s="181"/>
      <c r="BV231" s="181"/>
      <c r="BW231" s="181"/>
      <c r="BX231" s="181"/>
      <c r="BY231" s="181"/>
      <c r="BZ231" s="181"/>
      <c r="CA231" s="190">
        <v>46282.666666666701</v>
      </c>
      <c r="CB231" s="3"/>
      <c r="CC231" s="16"/>
      <c r="CD231" s="16"/>
      <c r="CE231" s="16"/>
      <c r="CF231" s="16"/>
      <c r="CG231" s="16"/>
      <c r="CH231" s="16"/>
      <c r="CI231" s="16" t="s">
        <v>2472</v>
      </c>
    </row>
    <row r="232" spans="1:87">
      <c r="A232" s="16"/>
      <c r="B232" s="16"/>
      <c r="C232" s="3">
        <v>46272</v>
      </c>
      <c r="D232" s="26" t="s">
        <v>14</v>
      </c>
      <c r="E232" s="180" t="s">
        <v>2473</v>
      </c>
      <c r="F232" s="181"/>
      <c r="G232" s="181">
        <v>40</v>
      </c>
      <c r="H232" s="181">
        <v>47</v>
      </c>
      <c r="I232" s="181" t="s">
        <v>559</v>
      </c>
      <c r="J232" s="181" t="s">
        <v>2473</v>
      </c>
      <c r="K232" s="181" t="s">
        <v>983</v>
      </c>
      <c r="L232" s="181" t="s">
        <v>17</v>
      </c>
      <c r="M232" s="181">
        <v>20</v>
      </c>
      <c r="N232" s="181" t="s">
        <v>462</v>
      </c>
      <c r="O232" s="181" t="s">
        <v>606</v>
      </c>
      <c r="P232" s="181">
        <v>814413800</v>
      </c>
      <c r="Q232" s="181" t="s">
        <v>1055</v>
      </c>
      <c r="R232" s="181" t="s">
        <v>1350</v>
      </c>
      <c r="S232" s="181" t="s">
        <v>2474</v>
      </c>
      <c r="T232" s="181" t="s">
        <v>664</v>
      </c>
      <c r="U232" s="182">
        <v>46252.082638888889</v>
      </c>
      <c r="V232" s="181" t="s">
        <v>469</v>
      </c>
      <c r="W232" s="181" t="s">
        <v>651</v>
      </c>
      <c r="X232" s="181" t="s">
        <v>652</v>
      </c>
      <c r="Y232" s="181" t="s">
        <v>653</v>
      </c>
      <c r="Z232" s="181" t="s">
        <v>665</v>
      </c>
      <c r="AA232" s="181" t="s">
        <v>1354</v>
      </c>
      <c r="AB232" s="181" t="s">
        <v>666</v>
      </c>
      <c r="AC232" s="181" t="s">
        <v>640</v>
      </c>
      <c r="AD232" s="181">
        <v>135562308</v>
      </c>
      <c r="AE232" s="181">
        <v>1285826438</v>
      </c>
      <c r="AF232" s="181">
        <v>1174780498</v>
      </c>
      <c r="AG232" s="181">
        <v>2.54202535301895E+16</v>
      </c>
      <c r="AH232" s="181"/>
      <c r="AI232" s="181" t="s">
        <v>34</v>
      </c>
      <c r="AJ232" s="181" t="s">
        <v>481</v>
      </c>
      <c r="AK232" s="181" t="s">
        <v>2475</v>
      </c>
      <c r="AL232" s="181">
        <v>35857</v>
      </c>
      <c r="AM232" s="181"/>
      <c r="AN232" s="181"/>
      <c r="AO232" s="181">
        <v>814</v>
      </c>
      <c r="AP232" s="181" t="s">
        <v>1063</v>
      </c>
      <c r="AQ232" s="181" t="s">
        <v>2476</v>
      </c>
      <c r="AR232" s="183">
        <v>46252</v>
      </c>
      <c r="AS232" s="181" t="s">
        <v>34</v>
      </c>
      <c r="AT232" s="181" t="s">
        <v>794</v>
      </c>
      <c r="AU232" s="181"/>
      <c r="AV232" s="181" t="s">
        <v>2477</v>
      </c>
      <c r="AW232" s="181"/>
      <c r="AX232" s="181"/>
      <c r="AY232" s="181"/>
      <c r="AZ232" s="181"/>
      <c r="BA232" s="181"/>
      <c r="BB232" s="181"/>
      <c r="BC232" s="181"/>
      <c r="BD232" s="181" t="s">
        <v>34</v>
      </c>
      <c r="BE232" s="181">
        <v>47</v>
      </c>
      <c r="BF232" s="181"/>
      <c r="BG232" s="181"/>
      <c r="BH232" s="181" t="s">
        <v>658</v>
      </c>
      <c r="BI232" s="181">
        <v>814413800</v>
      </c>
      <c r="BJ232" s="181"/>
      <c r="BK232" s="181"/>
      <c r="BL232" s="181"/>
      <c r="BM232" s="181"/>
      <c r="BN232" s="181"/>
      <c r="BO232" s="181"/>
      <c r="BP232" s="181"/>
      <c r="BQ232" s="181"/>
      <c r="BR232" s="181"/>
      <c r="BS232" s="181"/>
      <c r="BT232" s="181"/>
      <c r="BU232" s="181"/>
      <c r="BV232" s="181"/>
      <c r="BW232" s="181"/>
      <c r="BX232" s="181"/>
      <c r="BY232" s="181"/>
      <c r="BZ232" s="181"/>
      <c r="CA232" s="190"/>
      <c r="CB232" s="3"/>
      <c r="CC232" s="16"/>
      <c r="CD232" s="16"/>
      <c r="CE232" s="16"/>
      <c r="CF232" s="16"/>
      <c r="CG232" s="16"/>
      <c r="CH232" s="16"/>
      <c r="CI232" s="16" t="s">
        <v>2478</v>
      </c>
    </row>
    <row r="233" spans="1:87">
      <c r="A233" s="16"/>
      <c r="B233" s="16"/>
      <c r="C233" s="3">
        <v>46272</v>
      </c>
      <c r="D233" s="26" t="s">
        <v>14</v>
      </c>
      <c r="E233" s="180" t="s">
        <v>2479</v>
      </c>
      <c r="F233" s="181">
        <v>2026194330491</v>
      </c>
      <c r="G233" s="181">
        <v>40</v>
      </c>
      <c r="H233" s="181">
        <v>56</v>
      </c>
      <c r="I233" s="181" t="s">
        <v>559</v>
      </c>
      <c r="J233" s="181" t="s">
        <v>2479</v>
      </c>
      <c r="K233" s="181" t="s">
        <v>1083</v>
      </c>
      <c r="L233" s="181" t="s">
        <v>17</v>
      </c>
      <c r="M233" s="181">
        <v>28</v>
      </c>
      <c r="N233" s="181" t="s">
        <v>462</v>
      </c>
      <c r="O233" s="181" t="s">
        <v>606</v>
      </c>
      <c r="P233" s="181">
        <v>981493475</v>
      </c>
      <c r="Q233" s="181" t="s">
        <v>465</v>
      </c>
      <c r="R233" s="181" t="s">
        <v>466</v>
      </c>
      <c r="S233" s="181" t="s">
        <v>2480</v>
      </c>
      <c r="T233" s="181" t="s">
        <v>664</v>
      </c>
      <c r="U233" s="182">
        <v>46243.755555555559</v>
      </c>
      <c r="V233" s="181" t="s">
        <v>469</v>
      </c>
      <c r="W233" s="181" t="s">
        <v>651</v>
      </c>
      <c r="X233" s="181" t="s">
        <v>652</v>
      </c>
      <c r="Y233" s="181" t="s">
        <v>653</v>
      </c>
      <c r="Z233" s="181" t="s">
        <v>665</v>
      </c>
      <c r="AA233" s="181" t="s">
        <v>474</v>
      </c>
      <c r="AB233" s="181" t="s">
        <v>666</v>
      </c>
      <c r="AC233" s="181" t="s">
        <v>640</v>
      </c>
      <c r="AD233" s="181">
        <v>134010372</v>
      </c>
      <c r="AE233" s="181">
        <v>1699766261</v>
      </c>
      <c r="AF233" s="181">
        <v>1669981650</v>
      </c>
      <c r="AG233" s="181">
        <v>2.54202525202069E+16</v>
      </c>
      <c r="AH233" s="181"/>
      <c r="AI233" s="181" t="s">
        <v>48</v>
      </c>
      <c r="AJ233" s="181" t="s">
        <v>481</v>
      </c>
      <c r="AK233" s="181" t="s">
        <v>2481</v>
      </c>
      <c r="AL233" s="181">
        <v>4973.6000000000004</v>
      </c>
      <c r="AM233" s="181"/>
      <c r="AN233" s="181"/>
      <c r="AO233" s="181">
        <v>981</v>
      </c>
      <c r="AP233" s="181" t="s">
        <v>485</v>
      </c>
      <c r="AQ233" s="181" t="s">
        <v>2482</v>
      </c>
      <c r="AR233" s="183">
        <v>46244</v>
      </c>
      <c r="AS233" s="181" t="s">
        <v>48</v>
      </c>
      <c r="AT233" s="181" t="s">
        <v>2252</v>
      </c>
      <c r="AU233" s="181"/>
      <c r="AV233" s="181" t="s">
        <v>2483</v>
      </c>
      <c r="AW233" s="181"/>
      <c r="AX233" s="181"/>
      <c r="AY233" s="181"/>
      <c r="AZ233" s="181"/>
      <c r="BA233" s="181"/>
      <c r="BB233" s="181"/>
      <c r="BC233" s="181"/>
      <c r="BD233" s="181" t="s">
        <v>48</v>
      </c>
      <c r="BE233" s="181">
        <v>56</v>
      </c>
      <c r="BF233" s="181"/>
      <c r="BG233" s="181"/>
      <c r="BH233" s="181" t="s">
        <v>658</v>
      </c>
      <c r="BI233" s="181">
        <v>981493475</v>
      </c>
      <c r="BJ233" s="181"/>
      <c r="BK233" s="181"/>
      <c r="BL233" s="181"/>
      <c r="BM233" s="181"/>
      <c r="BN233" s="181"/>
      <c r="BO233" s="181"/>
      <c r="BP233" s="181"/>
      <c r="BQ233" s="181"/>
      <c r="BR233" s="181"/>
      <c r="BS233" s="181"/>
      <c r="BT233" s="181"/>
      <c r="BU233" s="181"/>
      <c r="BV233" s="181"/>
      <c r="BW233" s="181"/>
      <c r="BX233" s="181"/>
      <c r="BY233" s="181"/>
      <c r="BZ233" s="181"/>
      <c r="CA233" s="190"/>
      <c r="CB233" s="3"/>
      <c r="CC233" s="16"/>
      <c r="CD233" s="16"/>
      <c r="CE233" s="16"/>
      <c r="CF233" s="16"/>
      <c r="CG233" s="16"/>
      <c r="CH233" s="16"/>
      <c r="CI233" s="16" t="s">
        <v>2484</v>
      </c>
    </row>
    <row r="234" spans="1:87">
      <c r="A234" s="16"/>
      <c r="B234" s="16"/>
      <c r="C234" s="3">
        <v>46272</v>
      </c>
      <c r="D234" s="26" t="s">
        <v>14</v>
      </c>
      <c r="E234" s="180" t="s">
        <v>2485</v>
      </c>
      <c r="F234" s="181" t="s">
        <v>2486</v>
      </c>
      <c r="G234" s="181">
        <v>40</v>
      </c>
      <c r="H234" s="181">
        <v>60</v>
      </c>
      <c r="I234" s="181" t="s">
        <v>559</v>
      </c>
      <c r="J234" s="181" t="s">
        <v>2485</v>
      </c>
      <c r="K234" s="181" t="s">
        <v>1083</v>
      </c>
      <c r="L234" s="181" t="s">
        <v>17</v>
      </c>
      <c r="M234" s="181">
        <v>32</v>
      </c>
      <c r="N234" s="181" t="s">
        <v>462</v>
      </c>
      <c r="O234" s="181" t="s">
        <v>606</v>
      </c>
      <c r="P234" s="181" t="s">
        <v>2487</v>
      </c>
      <c r="Q234" s="181" t="s">
        <v>1055</v>
      </c>
      <c r="R234" s="181" t="s">
        <v>1056</v>
      </c>
      <c r="S234" s="181" t="s">
        <v>2488</v>
      </c>
      <c r="T234" s="181" t="s">
        <v>664</v>
      </c>
      <c r="U234" s="182">
        <v>46239.723611111112</v>
      </c>
      <c r="V234" s="181" t="s">
        <v>469</v>
      </c>
      <c r="W234" s="181" t="s">
        <v>651</v>
      </c>
      <c r="X234" s="181" t="s">
        <v>652</v>
      </c>
      <c r="Y234" s="181" t="s">
        <v>653</v>
      </c>
      <c r="Z234" s="181" t="s">
        <v>665</v>
      </c>
      <c r="AA234" s="181" t="s">
        <v>1059</v>
      </c>
      <c r="AB234" s="181" t="s">
        <v>666</v>
      </c>
      <c r="AC234" s="181" t="s">
        <v>640</v>
      </c>
      <c r="AD234" s="181">
        <v>371732938</v>
      </c>
      <c r="AE234" s="181">
        <v>1902243488</v>
      </c>
      <c r="AF234" s="181">
        <v>1689459943</v>
      </c>
      <c r="AG234" s="181">
        <v>2.54202523111941E+16</v>
      </c>
      <c r="AH234" s="181"/>
      <c r="AI234" s="181" t="s">
        <v>48</v>
      </c>
      <c r="AJ234" s="181" t="s">
        <v>481</v>
      </c>
      <c r="AK234" s="181" t="s">
        <v>2489</v>
      </c>
      <c r="AL234" s="181">
        <v>26351</v>
      </c>
      <c r="AM234" s="181"/>
      <c r="AN234" s="181"/>
      <c r="AO234" s="181" t="s">
        <v>2490</v>
      </c>
      <c r="AP234" s="181" t="s">
        <v>485</v>
      </c>
      <c r="AQ234" s="181" t="s">
        <v>2491</v>
      </c>
      <c r="AR234" s="183">
        <v>46240</v>
      </c>
      <c r="AS234" s="181" t="s">
        <v>48</v>
      </c>
      <c r="AT234" s="181" t="s">
        <v>2492</v>
      </c>
      <c r="AU234" s="181"/>
      <c r="AV234" s="181" t="s">
        <v>2493</v>
      </c>
      <c r="AW234" s="181"/>
      <c r="AX234" s="181"/>
      <c r="AY234" s="181"/>
      <c r="AZ234" s="181"/>
      <c r="BA234" s="181"/>
      <c r="BB234" s="181" t="s">
        <v>2494</v>
      </c>
      <c r="BC234" s="181"/>
      <c r="BD234" s="181" t="s">
        <v>48</v>
      </c>
      <c r="BE234" s="181">
        <v>60</v>
      </c>
      <c r="BF234" s="181"/>
      <c r="BG234" s="181" t="s">
        <v>1067</v>
      </c>
      <c r="BH234" s="181" t="s">
        <v>658</v>
      </c>
      <c r="BI234" s="181">
        <v>909321133</v>
      </c>
      <c r="BJ234" s="181"/>
      <c r="BK234" s="181"/>
      <c r="BL234" s="181"/>
      <c r="BM234" s="181"/>
      <c r="BN234" s="181"/>
      <c r="BO234" s="181"/>
      <c r="BP234" s="181"/>
      <c r="BQ234" s="181"/>
      <c r="BR234" s="181"/>
      <c r="BS234" s="181"/>
      <c r="BT234" s="181"/>
      <c r="BU234" s="181"/>
      <c r="BV234" s="181"/>
      <c r="BW234" s="181"/>
      <c r="BX234" s="181"/>
      <c r="BY234" s="181"/>
      <c r="BZ234" s="181"/>
      <c r="CA234" s="190"/>
      <c r="CB234" s="3"/>
      <c r="CC234" s="16"/>
      <c r="CD234" s="16"/>
      <c r="CE234" s="16"/>
      <c r="CF234" s="16"/>
      <c r="CG234" s="16"/>
      <c r="CH234" s="16"/>
      <c r="CI234" s="16" t="s">
        <v>2495</v>
      </c>
    </row>
    <row r="235" spans="1:87">
      <c r="A235" s="16"/>
      <c r="B235" s="16"/>
      <c r="C235" s="3">
        <v>46272</v>
      </c>
      <c r="D235" s="26" t="s">
        <v>14</v>
      </c>
      <c r="E235" s="180" t="s">
        <v>2496</v>
      </c>
      <c r="F235" s="181">
        <v>2026197280617</v>
      </c>
      <c r="G235" s="181">
        <v>40</v>
      </c>
      <c r="H235" s="181">
        <v>53</v>
      </c>
      <c r="I235" s="181" t="s">
        <v>559</v>
      </c>
      <c r="J235" s="181" t="s">
        <v>2496</v>
      </c>
      <c r="K235" s="181" t="s">
        <v>1512</v>
      </c>
      <c r="L235" s="181" t="s">
        <v>17</v>
      </c>
      <c r="M235" s="181">
        <v>26</v>
      </c>
      <c r="N235" s="181" t="s">
        <v>462</v>
      </c>
      <c r="O235" s="181" t="s">
        <v>606</v>
      </c>
      <c r="P235" s="181">
        <v>180181674</v>
      </c>
      <c r="Q235" s="181" t="s">
        <v>465</v>
      </c>
      <c r="R235" s="181" t="s">
        <v>466</v>
      </c>
      <c r="S235" s="181" t="s">
        <v>2497</v>
      </c>
      <c r="T235" s="181" t="s">
        <v>664</v>
      </c>
      <c r="U235" s="182">
        <v>46245.933333333334</v>
      </c>
      <c r="V235" s="181" t="s">
        <v>469</v>
      </c>
      <c r="W235" s="181" t="s">
        <v>651</v>
      </c>
      <c r="X235" s="181" t="s">
        <v>652</v>
      </c>
      <c r="Y235" s="181" t="s">
        <v>653</v>
      </c>
      <c r="Z235" s="181" t="s">
        <v>665</v>
      </c>
      <c r="AA235" s="181" t="s">
        <v>474</v>
      </c>
      <c r="AB235" s="181" t="s">
        <v>666</v>
      </c>
      <c r="AC235" s="181" t="s">
        <v>640</v>
      </c>
      <c r="AD235" s="181">
        <v>135562308</v>
      </c>
      <c r="AE235" s="181">
        <v>1285826438</v>
      </c>
      <c r="AF235" s="181">
        <v>1770519761</v>
      </c>
      <c r="AG235" s="181">
        <v>2.54202526118912E+16</v>
      </c>
      <c r="AH235" s="181"/>
      <c r="AI235" s="181" t="s">
        <v>149</v>
      </c>
      <c r="AJ235" s="181" t="s">
        <v>481</v>
      </c>
      <c r="AK235" s="181" t="s">
        <v>2498</v>
      </c>
      <c r="AL235" s="181">
        <v>56821</v>
      </c>
      <c r="AM235" s="181"/>
      <c r="AN235" s="181"/>
      <c r="AO235" s="181">
        <v>180</v>
      </c>
      <c r="AP235" s="181" t="s">
        <v>485</v>
      </c>
      <c r="AQ235" s="181" t="s">
        <v>2499</v>
      </c>
      <c r="AR235" s="183">
        <v>46246</v>
      </c>
      <c r="AS235" s="181" t="s">
        <v>149</v>
      </c>
      <c r="AT235" s="181" t="s">
        <v>1518</v>
      </c>
      <c r="AU235" s="181"/>
      <c r="AV235" s="181" t="s">
        <v>2500</v>
      </c>
      <c r="AW235" s="181"/>
      <c r="AX235" s="181"/>
      <c r="AY235" s="181"/>
      <c r="AZ235" s="181"/>
      <c r="BA235" s="181"/>
      <c r="BB235" s="181"/>
      <c r="BC235" s="181"/>
      <c r="BD235" s="181" t="s">
        <v>149</v>
      </c>
      <c r="BE235" s="181">
        <v>53</v>
      </c>
      <c r="BF235" s="181"/>
      <c r="BG235" s="181" t="s">
        <v>490</v>
      </c>
      <c r="BH235" s="181" t="s">
        <v>658</v>
      </c>
      <c r="BI235" s="181">
        <v>180181674</v>
      </c>
      <c r="BJ235" s="181"/>
      <c r="BK235" s="181"/>
      <c r="BL235" s="181"/>
      <c r="BM235" s="181"/>
      <c r="BN235" s="181"/>
      <c r="BO235" s="181"/>
      <c r="BP235" s="181"/>
      <c r="BQ235" s="181"/>
      <c r="BR235" s="181"/>
      <c r="BS235" s="181"/>
      <c r="BT235" s="181"/>
      <c r="BU235" s="181"/>
      <c r="BV235" s="181"/>
      <c r="BW235" s="181"/>
      <c r="BX235" s="181"/>
      <c r="BY235" s="181"/>
      <c r="BZ235" s="181"/>
      <c r="CA235" s="190"/>
      <c r="CB235" s="3"/>
      <c r="CC235" s="16"/>
      <c r="CD235" s="16"/>
      <c r="CE235" s="16"/>
      <c r="CF235" s="16"/>
      <c r="CG235" s="16"/>
      <c r="CH235" s="16"/>
      <c r="CI235" s="16" t="s">
        <v>2501</v>
      </c>
    </row>
    <row r="236" spans="1:87">
      <c r="A236" s="16"/>
      <c r="B236" s="16"/>
      <c r="C236" s="3">
        <v>46272</v>
      </c>
      <c r="D236" s="26" t="s">
        <v>14</v>
      </c>
      <c r="E236" s="180" t="s">
        <v>2502</v>
      </c>
      <c r="F236" s="181">
        <v>2026198870215</v>
      </c>
      <c r="G236" s="181">
        <v>40</v>
      </c>
      <c r="H236" s="181">
        <v>52</v>
      </c>
      <c r="I236" s="181" t="s">
        <v>559</v>
      </c>
      <c r="J236" s="181" t="s">
        <v>2502</v>
      </c>
      <c r="K236" s="181" t="s">
        <v>983</v>
      </c>
      <c r="L236" s="181" t="s">
        <v>17</v>
      </c>
      <c r="M236" s="181">
        <v>10</v>
      </c>
      <c r="N236" s="181" t="s">
        <v>462</v>
      </c>
      <c r="O236" s="181" t="s">
        <v>606</v>
      </c>
      <c r="P236" s="181">
        <v>995000101</v>
      </c>
      <c r="Q236" s="181" t="s">
        <v>465</v>
      </c>
      <c r="R236" s="181" t="s">
        <v>466</v>
      </c>
      <c r="S236" s="181" t="s">
        <v>2503</v>
      </c>
      <c r="T236" s="181" t="s">
        <v>664</v>
      </c>
      <c r="U236" s="182">
        <v>46246.069444444445</v>
      </c>
      <c r="V236" s="181" t="s">
        <v>469</v>
      </c>
      <c r="W236" s="181" t="s">
        <v>651</v>
      </c>
      <c r="X236" s="181" t="s">
        <v>652</v>
      </c>
      <c r="Y236" s="181" t="s">
        <v>653</v>
      </c>
      <c r="Z236" s="181" t="s">
        <v>665</v>
      </c>
      <c r="AA236" s="181" t="s">
        <v>474</v>
      </c>
      <c r="AB236" s="181" t="s">
        <v>666</v>
      </c>
      <c r="AC236" s="181" t="s">
        <v>640</v>
      </c>
      <c r="AD236" s="181">
        <v>135598093</v>
      </c>
      <c r="AE236" s="181">
        <v>1508266347</v>
      </c>
      <c r="AF236" s="181">
        <v>1457430837</v>
      </c>
      <c r="AG236" s="181">
        <v>2.54202533303301E+16</v>
      </c>
      <c r="AH236" s="181"/>
      <c r="AI236" s="181" t="s">
        <v>34</v>
      </c>
      <c r="AJ236" s="181" t="s">
        <v>481</v>
      </c>
      <c r="AK236" s="181" t="s">
        <v>2504</v>
      </c>
      <c r="AL236" s="181">
        <v>7590</v>
      </c>
      <c r="AM236" s="181"/>
      <c r="AN236" s="181"/>
      <c r="AO236" s="181">
        <v>995</v>
      </c>
      <c r="AP236" s="181" t="s">
        <v>485</v>
      </c>
      <c r="AQ236" s="181" t="s">
        <v>2505</v>
      </c>
      <c r="AR236" s="183">
        <v>46262</v>
      </c>
      <c r="AS236" s="181" t="s">
        <v>2506</v>
      </c>
      <c r="AT236" s="181" t="s">
        <v>2507</v>
      </c>
      <c r="AU236" s="181"/>
      <c r="AV236" s="181" t="s">
        <v>2508</v>
      </c>
      <c r="AW236" s="181"/>
      <c r="AX236" s="181"/>
      <c r="AY236" s="181"/>
      <c r="AZ236" s="181"/>
      <c r="BA236" s="181"/>
      <c r="BB236" s="181"/>
      <c r="BC236" s="181"/>
      <c r="BD236" s="181" t="s">
        <v>34</v>
      </c>
      <c r="BE236" s="181">
        <v>52</v>
      </c>
      <c r="BF236" s="181"/>
      <c r="BG236" s="181" t="s">
        <v>490</v>
      </c>
      <c r="BH236" s="181" t="s">
        <v>658</v>
      </c>
      <c r="BI236" s="181">
        <v>995000101</v>
      </c>
      <c r="BJ236" s="181"/>
      <c r="BK236" s="181"/>
      <c r="BL236" s="181"/>
      <c r="BM236" s="181"/>
      <c r="BN236" s="181"/>
      <c r="BO236" s="181"/>
      <c r="BP236" s="181"/>
      <c r="BQ236" s="181"/>
      <c r="BR236" s="181"/>
      <c r="BS236" s="181"/>
      <c r="BT236" s="181"/>
      <c r="BU236" s="181"/>
      <c r="BV236" s="181"/>
      <c r="BW236" s="181"/>
      <c r="BX236" s="181"/>
      <c r="BY236" s="181"/>
      <c r="BZ236" s="181"/>
      <c r="CA236" s="190"/>
      <c r="CB236" s="3"/>
      <c r="CC236" s="16"/>
      <c r="CD236" s="16"/>
      <c r="CE236" s="16"/>
      <c r="CF236" s="16"/>
      <c r="CG236" s="16"/>
      <c r="CH236" s="16"/>
      <c r="CI236" s="16" t="s">
        <v>2509</v>
      </c>
    </row>
    <row r="237" spans="1:87">
      <c r="A237" s="16" t="s">
        <v>4</v>
      </c>
      <c r="B237" s="16" t="s">
        <v>4</v>
      </c>
      <c r="C237" s="3">
        <v>46272</v>
      </c>
      <c r="D237" s="26" t="s">
        <v>14</v>
      </c>
      <c r="E237" s="180" t="s">
        <v>2510</v>
      </c>
      <c r="F237" s="181"/>
      <c r="G237" s="181">
        <v>40</v>
      </c>
      <c r="H237" s="181">
        <v>46</v>
      </c>
      <c r="I237" s="181" t="s">
        <v>559</v>
      </c>
      <c r="J237" s="181" t="s">
        <v>2510</v>
      </c>
      <c r="K237" s="181" t="s">
        <v>1201</v>
      </c>
      <c r="L237" s="181" t="s">
        <v>17</v>
      </c>
      <c r="M237" s="181">
        <v>20</v>
      </c>
      <c r="N237" s="181" t="s">
        <v>462</v>
      </c>
      <c r="O237" s="181" t="s">
        <v>606</v>
      </c>
      <c r="P237" s="181">
        <v>909578045</v>
      </c>
      <c r="Q237" s="181" t="s">
        <v>1055</v>
      </c>
      <c r="R237" s="181" t="s">
        <v>1350</v>
      </c>
      <c r="S237" s="181" t="s">
        <v>2511</v>
      </c>
      <c r="T237" s="181" t="s">
        <v>664</v>
      </c>
      <c r="U237" s="182">
        <v>46251.930555555555</v>
      </c>
      <c r="V237" s="181" t="s">
        <v>469</v>
      </c>
      <c r="W237" s="181" t="s">
        <v>651</v>
      </c>
      <c r="X237" s="181" t="s">
        <v>652</v>
      </c>
      <c r="Y237" s="181" t="s">
        <v>653</v>
      </c>
      <c r="Z237" s="181" t="s">
        <v>665</v>
      </c>
      <c r="AA237" s="181" t="s">
        <v>1354</v>
      </c>
      <c r="AB237" s="181" t="s">
        <v>666</v>
      </c>
      <c r="AC237" s="181" t="s">
        <v>640</v>
      </c>
      <c r="AD237" s="181">
        <v>135562308</v>
      </c>
      <c r="AE237" s="181">
        <v>1285826438</v>
      </c>
      <c r="AF237" s="181">
        <v>1801138060</v>
      </c>
      <c r="AG237" s="181">
        <v>2.5420252762441E+16</v>
      </c>
      <c r="AH237" s="181"/>
      <c r="AI237" s="181" t="s">
        <v>150</v>
      </c>
      <c r="AJ237" s="181" t="s">
        <v>481</v>
      </c>
      <c r="AK237" s="181" t="s">
        <v>2512</v>
      </c>
      <c r="AL237" s="181">
        <v>79757</v>
      </c>
      <c r="AM237" s="181"/>
      <c r="AN237" s="181"/>
      <c r="AO237" s="181">
        <v>909</v>
      </c>
      <c r="AP237" s="181" t="s">
        <v>1063</v>
      </c>
      <c r="AQ237" s="181" t="s">
        <v>2513</v>
      </c>
      <c r="AR237" s="183">
        <v>46252</v>
      </c>
      <c r="AS237" s="181" t="s">
        <v>150</v>
      </c>
      <c r="AT237" s="181" t="s">
        <v>2514</v>
      </c>
      <c r="AU237" s="181"/>
      <c r="AV237" s="181" t="s">
        <v>2515</v>
      </c>
      <c r="AW237" s="181"/>
      <c r="AX237" s="181"/>
      <c r="AY237" s="181"/>
      <c r="AZ237" s="181"/>
      <c r="BA237" s="181"/>
      <c r="BB237" s="181"/>
      <c r="BC237" s="181"/>
      <c r="BD237" s="181" t="s">
        <v>150</v>
      </c>
      <c r="BE237" s="181">
        <v>46</v>
      </c>
      <c r="BF237" s="181"/>
      <c r="BG237" s="181"/>
      <c r="BH237" s="181" t="s">
        <v>658</v>
      </c>
      <c r="BI237" s="181">
        <v>909578045</v>
      </c>
      <c r="BJ237" s="181"/>
      <c r="BK237" s="181"/>
      <c r="BL237" s="181"/>
      <c r="BM237" s="181"/>
      <c r="BN237" s="181"/>
      <c r="BO237" s="181"/>
      <c r="BP237" s="181"/>
      <c r="BQ237" s="181"/>
      <c r="BR237" s="181"/>
      <c r="BS237" s="181"/>
      <c r="BT237" s="181"/>
      <c r="BU237" s="181"/>
      <c r="BV237" s="181"/>
      <c r="BW237" s="181"/>
      <c r="BX237" s="181"/>
      <c r="BY237" s="181"/>
      <c r="BZ237" s="181"/>
      <c r="CA237" s="190">
        <v>46285.166666666701</v>
      </c>
      <c r="CB237" s="3"/>
      <c r="CC237" s="16"/>
      <c r="CD237" s="16"/>
      <c r="CE237" s="16"/>
      <c r="CF237" s="16"/>
      <c r="CG237" s="16"/>
      <c r="CH237" s="16"/>
      <c r="CI237" s="16" t="s">
        <v>2516</v>
      </c>
    </row>
    <row r="238" spans="1:87">
      <c r="A238" s="16" t="s">
        <v>5</v>
      </c>
      <c r="B238" s="16" t="s">
        <v>2517</v>
      </c>
      <c r="C238" s="3">
        <v>46272</v>
      </c>
      <c r="D238" s="26" t="s">
        <v>14</v>
      </c>
      <c r="E238" s="180" t="s">
        <v>2518</v>
      </c>
      <c r="F238" s="181">
        <v>2026194310636</v>
      </c>
      <c r="G238" s="181">
        <v>40</v>
      </c>
      <c r="H238" s="181">
        <v>56</v>
      </c>
      <c r="I238" s="181" t="s">
        <v>559</v>
      </c>
      <c r="J238" s="181" t="s">
        <v>2518</v>
      </c>
      <c r="K238" s="181" t="s">
        <v>1371</v>
      </c>
      <c r="L238" s="181" t="s">
        <v>17</v>
      </c>
      <c r="M238" s="181">
        <v>28</v>
      </c>
      <c r="N238" s="181" t="s">
        <v>462</v>
      </c>
      <c r="O238" s="181" t="s">
        <v>606</v>
      </c>
      <c r="P238" s="181">
        <v>172817730</v>
      </c>
      <c r="Q238" s="181" t="s">
        <v>465</v>
      </c>
      <c r="R238" s="181" t="s">
        <v>466</v>
      </c>
      <c r="S238" s="181" t="s">
        <v>2519</v>
      </c>
      <c r="T238" s="181" t="s">
        <v>664</v>
      </c>
      <c r="U238" s="182">
        <v>46243.763194444444</v>
      </c>
      <c r="V238" s="181" t="s">
        <v>469</v>
      </c>
      <c r="W238" s="181" t="s">
        <v>651</v>
      </c>
      <c r="X238" s="181" t="s">
        <v>652</v>
      </c>
      <c r="Y238" s="181" t="s">
        <v>653</v>
      </c>
      <c r="Z238" s="181" t="s">
        <v>665</v>
      </c>
      <c r="AA238" s="181" t="s">
        <v>474</v>
      </c>
      <c r="AB238" s="181" t="s">
        <v>666</v>
      </c>
      <c r="AC238" s="181" t="s">
        <v>640</v>
      </c>
      <c r="AD238" s="181">
        <v>134010372</v>
      </c>
      <c r="AE238" s="181">
        <v>1699766261</v>
      </c>
      <c r="AF238" s="181">
        <v>1780219600</v>
      </c>
      <c r="AG238" s="181">
        <v>2.54202535000441E+16</v>
      </c>
      <c r="AH238" s="181"/>
      <c r="AI238" s="181" t="s">
        <v>164</v>
      </c>
      <c r="AJ238" s="181" t="s">
        <v>481</v>
      </c>
      <c r="AK238" s="181" t="s">
        <v>2520</v>
      </c>
      <c r="AL238" s="181">
        <v>2285.4</v>
      </c>
      <c r="AM238" s="181"/>
      <c r="AN238" s="181"/>
      <c r="AO238" s="181">
        <v>172</v>
      </c>
      <c r="AP238" s="181" t="s">
        <v>485</v>
      </c>
      <c r="AQ238" s="181" t="s">
        <v>2521</v>
      </c>
      <c r="AR238" s="183">
        <v>46244</v>
      </c>
      <c r="AS238" s="181" t="s">
        <v>164</v>
      </c>
      <c r="AT238" s="181" t="s">
        <v>1493</v>
      </c>
      <c r="AU238" s="181"/>
      <c r="AV238" s="181" t="s">
        <v>2522</v>
      </c>
      <c r="AW238" s="181"/>
      <c r="AX238" s="181"/>
      <c r="AY238" s="181"/>
      <c r="AZ238" s="181"/>
      <c r="BA238" s="181"/>
      <c r="BB238" s="181"/>
      <c r="BC238" s="181"/>
      <c r="BD238" s="181" t="s">
        <v>164</v>
      </c>
      <c r="BE238" s="181">
        <v>56</v>
      </c>
      <c r="BF238" s="181"/>
      <c r="BG238" s="181" t="s">
        <v>490</v>
      </c>
      <c r="BH238" s="181" t="s">
        <v>658</v>
      </c>
      <c r="BI238" s="181">
        <v>172817730</v>
      </c>
      <c r="BJ238" s="181"/>
      <c r="BK238" s="181"/>
      <c r="BL238" s="181"/>
      <c r="BM238" s="181"/>
      <c r="BN238" s="181"/>
      <c r="BO238" s="181"/>
      <c r="BP238" s="181"/>
      <c r="BQ238" s="181"/>
      <c r="BR238" s="181"/>
      <c r="BS238" s="181"/>
      <c r="BT238" s="181"/>
      <c r="BU238" s="181"/>
      <c r="BV238" s="181"/>
      <c r="BW238" s="181"/>
      <c r="BX238" s="181"/>
      <c r="BY238" s="181"/>
      <c r="BZ238" s="181"/>
      <c r="CA238" s="190">
        <v>46280.666666666701</v>
      </c>
      <c r="CB238" s="3"/>
      <c r="CC238" s="16"/>
      <c r="CD238" s="16"/>
      <c r="CE238" s="16"/>
      <c r="CF238" s="16"/>
      <c r="CG238" s="16"/>
      <c r="CH238" s="16"/>
      <c r="CI238" s="16" t="s">
        <v>2523</v>
      </c>
    </row>
    <row r="239" spans="1:87">
      <c r="A239" s="16" t="s">
        <v>5</v>
      </c>
      <c r="B239" s="16" t="s">
        <v>1038</v>
      </c>
      <c r="C239" s="3">
        <v>46272</v>
      </c>
      <c r="D239" s="26" t="s">
        <v>14</v>
      </c>
      <c r="E239" s="180" t="s">
        <v>2524</v>
      </c>
      <c r="F239" s="181">
        <v>2026204410434</v>
      </c>
      <c r="G239" s="181">
        <v>40</v>
      </c>
      <c r="H239" s="181">
        <v>46</v>
      </c>
      <c r="I239" s="181" t="s">
        <v>559</v>
      </c>
      <c r="J239" s="181" t="s">
        <v>2524</v>
      </c>
      <c r="K239" s="181" t="s">
        <v>1040</v>
      </c>
      <c r="L239" s="181" t="s">
        <v>17</v>
      </c>
      <c r="M239" s="181">
        <v>14</v>
      </c>
      <c r="N239" s="181" t="s">
        <v>462</v>
      </c>
      <c r="O239" s="181" t="s">
        <v>606</v>
      </c>
      <c r="P239" s="181" t="s">
        <v>2525</v>
      </c>
      <c r="Q239" s="181" t="s">
        <v>465</v>
      </c>
      <c r="R239" s="181" t="s">
        <v>466</v>
      </c>
      <c r="S239" s="181" t="s">
        <v>2526</v>
      </c>
      <c r="T239" s="181" t="s">
        <v>664</v>
      </c>
      <c r="U239" s="182">
        <v>46257.750694444447</v>
      </c>
      <c r="V239" s="181" t="s">
        <v>469</v>
      </c>
      <c r="W239" s="181" t="s">
        <v>651</v>
      </c>
      <c r="X239" s="181" t="s">
        <v>652</v>
      </c>
      <c r="Y239" s="181" t="s">
        <v>653</v>
      </c>
      <c r="Z239" s="181" t="s">
        <v>665</v>
      </c>
      <c r="AA239" s="181" t="s">
        <v>474</v>
      </c>
      <c r="AB239" s="181" t="s">
        <v>666</v>
      </c>
      <c r="AC239" s="181" t="s">
        <v>640</v>
      </c>
      <c r="AD239" s="181">
        <v>135598093</v>
      </c>
      <c r="AE239" s="181">
        <v>1508266347</v>
      </c>
      <c r="AF239" s="181">
        <v>1699939249</v>
      </c>
      <c r="AG239" s="181">
        <v>2.54202531025637E+16</v>
      </c>
      <c r="AH239" s="181"/>
      <c r="AI239" s="181" t="s">
        <v>173</v>
      </c>
      <c r="AJ239" s="181" t="s">
        <v>481</v>
      </c>
      <c r="AK239" s="181" t="s">
        <v>2527</v>
      </c>
      <c r="AL239" s="181">
        <v>12610</v>
      </c>
      <c r="AM239" s="181"/>
      <c r="AN239" s="181"/>
      <c r="AO239" s="181" t="s">
        <v>1133</v>
      </c>
      <c r="AP239" s="181" t="s">
        <v>485</v>
      </c>
      <c r="AQ239" s="181" t="s">
        <v>2528</v>
      </c>
      <c r="AR239" s="183">
        <v>46258</v>
      </c>
      <c r="AS239" s="181" t="s">
        <v>173</v>
      </c>
      <c r="AT239" s="181" t="s">
        <v>1047</v>
      </c>
      <c r="AU239" s="181"/>
      <c r="AV239" s="181" t="s">
        <v>2529</v>
      </c>
      <c r="AW239" s="181"/>
      <c r="AX239" s="181"/>
      <c r="AY239" s="181"/>
      <c r="AZ239" s="181"/>
      <c r="BA239" s="181"/>
      <c r="BB239" s="181"/>
      <c r="BC239" s="181"/>
      <c r="BD239" s="181" t="s">
        <v>173</v>
      </c>
      <c r="BE239" s="181">
        <v>46</v>
      </c>
      <c r="BF239" s="181"/>
      <c r="BG239" s="181"/>
      <c r="BH239" s="181" t="s">
        <v>658</v>
      </c>
      <c r="BI239" s="181" t="s">
        <v>2525</v>
      </c>
      <c r="BJ239" s="181"/>
      <c r="BK239" s="181"/>
      <c r="BL239" s="181"/>
      <c r="BM239" s="181"/>
      <c r="BN239" s="181"/>
      <c r="BO239" s="181"/>
      <c r="BP239" s="181"/>
      <c r="BQ239" s="181"/>
      <c r="BR239" s="181"/>
      <c r="BS239" s="181"/>
      <c r="BT239" s="181"/>
      <c r="BU239" s="181"/>
      <c r="BV239" s="181"/>
      <c r="BW239" s="181"/>
      <c r="BX239" s="181"/>
      <c r="BY239" s="181"/>
      <c r="BZ239" s="181"/>
      <c r="CA239" s="190">
        <v>46282.666666666701</v>
      </c>
      <c r="CB239" s="3"/>
      <c r="CC239" s="16"/>
      <c r="CD239" s="16"/>
      <c r="CE239" s="16"/>
      <c r="CF239" s="16"/>
      <c r="CG239" s="16"/>
      <c r="CH239" s="16"/>
      <c r="CI239" s="16" t="s">
        <v>2530</v>
      </c>
    </row>
    <row r="240" spans="1:87">
      <c r="A240" s="16"/>
      <c r="B240" s="16"/>
      <c r="C240" s="3">
        <v>46272</v>
      </c>
      <c r="D240" s="26" t="s">
        <v>14</v>
      </c>
      <c r="E240" s="180" t="s">
        <v>2531</v>
      </c>
      <c r="F240" s="181">
        <v>2026197850017</v>
      </c>
      <c r="G240" s="181">
        <v>40</v>
      </c>
      <c r="H240" s="181">
        <v>53</v>
      </c>
      <c r="I240" s="181" t="s">
        <v>559</v>
      </c>
      <c r="J240" s="181" t="s">
        <v>2531</v>
      </c>
      <c r="K240" s="181" t="s">
        <v>810</v>
      </c>
      <c r="L240" s="181" t="s">
        <v>17</v>
      </c>
      <c r="M240" s="181">
        <v>27</v>
      </c>
      <c r="N240" s="181" t="s">
        <v>462</v>
      </c>
      <c r="O240" s="181" t="s">
        <v>606</v>
      </c>
      <c r="P240" s="181">
        <v>284704160</v>
      </c>
      <c r="Q240" s="181" t="s">
        <v>465</v>
      </c>
      <c r="R240" s="181" t="s">
        <v>466</v>
      </c>
      <c r="S240" s="181" t="s">
        <v>2532</v>
      </c>
      <c r="T240" s="181" t="s">
        <v>664</v>
      </c>
      <c r="U240" s="182">
        <v>46244.955555555556</v>
      </c>
      <c r="V240" s="181" t="s">
        <v>469</v>
      </c>
      <c r="W240" s="181" t="s">
        <v>651</v>
      </c>
      <c r="X240" s="181" t="s">
        <v>652</v>
      </c>
      <c r="Y240" s="181" t="s">
        <v>653</v>
      </c>
      <c r="Z240" s="181" t="s">
        <v>665</v>
      </c>
      <c r="AA240" s="181" t="s">
        <v>474</v>
      </c>
      <c r="AB240" s="181" t="s">
        <v>666</v>
      </c>
      <c r="AC240" s="181" t="s">
        <v>640</v>
      </c>
      <c r="AD240" s="181">
        <v>862921356</v>
      </c>
      <c r="AE240" s="181">
        <v>1306193156</v>
      </c>
      <c r="AF240" s="181">
        <v>1306193156</v>
      </c>
      <c r="AG240" s="181">
        <v>2.54202528124674E+16</v>
      </c>
      <c r="AH240" s="181"/>
      <c r="AI240" s="181" t="s">
        <v>37</v>
      </c>
      <c r="AJ240" s="181" t="s">
        <v>481</v>
      </c>
      <c r="AK240" s="181" t="s">
        <v>2533</v>
      </c>
      <c r="AL240" s="181">
        <v>29055</v>
      </c>
      <c r="AM240" s="181"/>
      <c r="AN240" s="181"/>
      <c r="AO240" s="181">
        <v>284</v>
      </c>
      <c r="AP240" s="181" t="s">
        <v>485</v>
      </c>
      <c r="AQ240" s="181" t="s">
        <v>2534</v>
      </c>
      <c r="AR240" s="183">
        <v>46245</v>
      </c>
      <c r="AS240" s="181" t="s">
        <v>37</v>
      </c>
      <c r="AT240" s="181" t="s">
        <v>814</v>
      </c>
      <c r="AU240" s="181"/>
      <c r="AV240" s="181" t="s">
        <v>2535</v>
      </c>
      <c r="AW240" s="181"/>
      <c r="AX240" s="181"/>
      <c r="AY240" s="181"/>
      <c r="AZ240" s="181"/>
      <c r="BA240" s="181"/>
      <c r="BB240" s="181"/>
      <c r="BC240" s="181"/>
      <c r="BD240" s="181" t="s">
        <v>37</v>
      </c>
      <c r="BE240" s="181">
        <v>53</v>
      </c>
      <c r="BF240" s="181"/>
      <c r="BG240" s="181" t="s">
        <v>490</v>
      </c>
      <c r="BH240" s="181" t="s">
        <v>658</v>
      </c>
      <c r="BI240" s="181">
        <v>284704160</v>
      </c>
      <c r="BJ240" s="181"/>
      <c r="BK240" s="181"/>
      <c r="BL240" s="181"/>
      <c r="BM240" s="181"/>
      <c r="BN240" s="181"/>
      <c r="BO240" s="181"/>
      <c r="BP240" s="181"/>
      <c r="BQ240" s="181"/>
      <c r="BR240" s="181"/>
      <c r="BS240" s="181"/>
      <c r="BT240" s="181"/>
      <c r="BU240" s="181"/>
      <c r="BV240" s="181"/>
      <c r="BW240" s="181"/>
      <c r="BX240" s="181"/>
      <c r="BY240" s="181"/>
      <c r="BZ240" s="181"/>
      <c r="CA240" s="190"/>
      <c r="CB240" s="3"/>
      <c r="CC240" s="16"/>
      <c r="CD240" s="16"/>
      <c r="CE240" s="16"/>
      <c r="CF240" s="16"/>
      <c r="CG240" s="16"/>
      <c r="CH240" s="16"/>
      <c r="CI240" s="16" t="s">
        <v>2536</v>
      </c>
    </row>
    <row r="241" spans="1:87">
      <c r="A241" s="16" t="s">
        <v>5</v>
      </c>
      <c r="B241" s="16"/>
      <c r="C241" s="3">
        <v>46272</v>
      </c>
      <c r="D241" s="26" t="s">
        <v>14</v>
      </c>
      <c r="E241" s="180" t="s">
        <v>2537</v>
      </c>
      <c r="F241" s="181">
        <v>2026202070229</v>
      </c>
      <c r="G241" s="181">
        <v>40</v>
      </c>
      <c r="H241" s="181">
        <v>48</v>
      </c>
      <c r="I241" s="181" t="s">
        <v>559</v>
      </c>
      <c r="J241" s="181" t="s">
        <v>2537</v>
      </c>
      <c r="K241" s="181" t="s">
        <v>1252</v>
      </c>
      <c r="L241" s="181" t="s">
        <v>17</v>
      </c>
      <c r="M241" s="181">
        <v>8</v>
      </c>
      <c r="N241" s="181" t="s">
        <v>462</v>
      </c>
      <c r="O241" s="181" t="s">
        <v>606</v>
      </c>
      <c r="P241" s="181" t="s">
        <v>2538</v>
      </c>
      <c r="Q241" s="181" t="s">
        <v>465</v>
      </c>
      <c r="R241" s="181" t="s">
        <v>466</v>
      </c>
      <c r="S241" s="181" t="s">
        <v>2539</v>
      </c>
      <c r="T241" s="181" t="s">
        <v>664</v>
      </c>
      <c r="U241" s="182">
        <v>46264.640277777777</v>
      </c>
      <c r="V241" s="181" t="s">
        <v>469</v>
      </c>
      <c r="W241" s="181" t="s">
        <v>651</v>
      </c>
      <c r="X241" s="181" t="s">
        <v>652</v>
      </c>
      <c r="Y241" s="181" t="s">
        <v>653</v>
      </c>
      <c r="Z241" s="181" t="s">
        <v>665</v>
      </c>
      <c r="AA241" s="181" t="s">
        <v>474</v>
      </c>
      <c r="AB241" s="181" t="s">
        <v>666</v>
      </c>
      <c r="AC241" s="181" t="s">
        <v>640</v>
      </c>
      <c r="AD241" s="181">
        <v>135598093</v>
      </c>
      <c r="AE241" s="181">
        <v>1508266347</v>
      </c>
      <c r="AF241" s="181">
        <v>1235792615</v>
      </c>
      <c r="AG241" s="181">
        <v>2.54202510801375E+16</v>
      </c>
      <c r="AH241" s="181"/>
      <c r="AI241" s="181" t="s">
        <v>154</v>
      </c>
      <c r="AJ241" s="181" t="s">
        <v>481</v>
      </c>
      <c r="AK241" s="181" t="s">
        <v>2540</v>
      </c>
      <c r="AL241" s="181">
        <v>61014</v>
      </c>
      <c r="AM241" s="181"/>
      <c r="AN241" s="181"/>
      <c r="AO241" s="181" t="s">
        <v>1133</v>
      </c>
      <c r="AP241" s="181" t="s">
        <v>485</v>
      </c>
      <c r="AQ241" s="181" t="s">
        <v>2541</v>
      </c>
      <c r="AR241" s="183">
        <v>46264</v>
      </c>
      <c r="AS241" s="181" t="s">
        <v>154</v>
      </c>
      <c r="AT241" s="181" t="s">
        <v>976</v>
      </c>
      <c r="AU241" s="181"/>
      <c r="AV241" s="181" t="s">
        <v>2542</v>
      </c>
      <c r="AW241" s="181"/>
      <c r="AX241" s="181"/>
      <c r="AY241" s="181"/>
      <c r="AZ241" s="181"/>
      <c r="BA241" s="181"/>
      <c r="BB241" s="181"/>
      <c r="BC241" s="181"/>
      <c r="BD241" s="181" t="s">
        <v>154</v>
      </c>
      <c r="BE241" s="181">
        <v>48</v>
      </c>
      <c r="BF241" s="181"/>
      <c r="BG241" s="181" t="s">
        <v>490</v>
      </c>
      <c r="BH241" s="181" t="s">
        <v>658</v>
      </c>
      <c r="BI241" s="181" t="s">
        <v>2538</v>
      </c>
      <c r="BJ241" s="181"/>
      <c r="BK241" s="181"/>
      <c r="BL241" s="181"/>
      <c r="BM241" s="181"/>
      <c r="BN241" s="181"/>
      <c r="BO241" s="181"/>
      <c r="BP241" s="181"/>
      <c r="BQ241" s="181"/>
      <c r="BR241" s="181"/>
      <c r="BS241" s="181"/>
      <c r="BT241" s="181"/>
      <c r="BU241" s="181"/>
      <c r="BV241" s="181"/>
      <c r="BW241" s="181"/>
      <c r="BX241" s="181"/>
      <c r="BY241" s="181"/>
      <c r="BZ241" s="181"/>
      <c r="CA241" s="190" t="s">
        <v>514</v>
      </c>
      <c r="CB241" s="3"/>
      <c r="CC241" s="16"/>
      <c r="CD241" s="16"/>
      <c r="CE241" s="16"/>
      <c r="CF241" s="16"/>
      <c r="CG241" s="16"/>
      <c r="CH241" s="16"/>
      <c r="CI241" s="16" t="s">
        <v>2543</v>
      </c>
    </row>
    <row r="242" spans="1:87">
      <c r="A242" s="16"/>
      <c r="B242" s="16"/>
      <c r="C242" s="3">
        <v>46272</v>
      </c>
      <c r="D242" s="26" t="s">
        <v>14</v>
      </c>
      <c r="E242" s="180" t="s">
        <v>2544</v>
      </c>
      <c r="F242" s="181">
        <v>2026205070247</v>
      </c>
      <c r="G242" s="181">
        <v>40</v>
      </c>
      <c r="H242" s="181">
        <v>46</v>
      </c>
      <c r="I242" s="181" t="s">
        <v>559</v>
      </c>
      <c r="J242" s="181" t="s">
        <v>2544</v>
      </c>
      <c r="K242" s="181" t="s">
        <v>983</v>
      </c>
      <c r="L242" s="181" t="s">
        <v>17</v>
      </c>
      <c r="M242" s="181">
        <v>18</v>
      </c>
      <c r="N242" s="181" t="s">
        <v>462</v>
      </c>
      <c r="O242" s="181" t="s">
        <v>606</v>
      </c>
      <c r="P242" s="181" t="s">
        <v>2545</v>
      </c>
      <c r="Q242" s="181" t="s">
        <v>465</v>
      </c>
      <c r="R242" s="181" t="s">
        <v>466</v>
      </c>
      <c r="S242" s="181" t="s">
        <v>2546</v>
      </c>
      <c r="T242" s="181" t="s">
        <v>2547</v>
      </c>
      <c r="U242" s="182">
        <v>46254.008333333331</v>
      </c>
      <c r="V242" s="181" t="s">
        <v>469</v>
      </c>
      <c r="W242" s="181" t="s">
        <v>470</v>
      </c>
      <c r="X242" s="181" t="s">
        <v>471</v>
      </c>
      <c r="Y242" s="181" t="s">
        <v>523</v>
      </c>
      <c r="Z242" s="181" t="s">
        <v>524</v>
      </c>
      <c r="AA242" s="181" t="s">
        <v>474</v>
      </c>
      <c r="AB242" s="181" t="s">
        <v>2548</v>
      </c>
      <c r="AC242" s="181" t="s">
        <v>526</v>
      </c>
      <c r="AD242" s="181">
        <v>461282897</v>
      </c>
      <c r="AE242" s="181">
        <v>1689919599</v>
      </c>
      <c r="AF242" s="181">
        <v>1568410033</v>
      </c>
      <c r="AG242" s="181"/>
      <c r="AH242" s="181"/>
      <c r="AI242" s="181" t="s">
        <v>34</v>
      </c>
      <c r="AJ242" s="181" t="s">
        <v>481</v>
      </c>
      <c r="AK242" s="181" t="s">
        <v>2549</v>
      </c>
      <c r="AL242" s="181">
        <v>615</v>
      </c>
      <c r="AM242" s="181"/>
      <c r="AN242" s="181"/>
      <c r="AO242" s="181">
        <v>306</v>
      </c>
      <c r="AP242" s="181" t="s">
        <v>485</v>
      </c>
      <c r="AQ242" s="181" t="s">
        <v>2550</v>
      </c>
      <c r="AR242" s="183">
        <v>46254</v>
      </c>
      <c r="AS242" s="181" t="s">
        <v>34</v>
      </c>
      <c r="AT242" s="181" t="s">
        <v>794</v>
      </c>
      <c r="AU242" s="181"/>
      <c r="AV242" s="181" t="s">
        <v>2551</v>
      </c>
      <c r="AW242" s="181"/>
      <c r="AX242" s="181"/>
      <c r="AY242" s="181"/>
      <c r="AZ242" s="181"/>
      <c r="BA242" s="181"/>
      <c r="BB242" s="181"/>
      <c r="BC242" s="181"/>
      <c r="BD242" s="181" t="s">
        <v>34</v>
      </c>
      <c r="BE242" s="181">
        <v>45</v>
      </c>
      <c r="BF242" s="181"/>
      <c r="BG242" s="181"/>
      <c r="BH242" s="181" t="s">
        <v>491</v>
      </c>
      <c r="BI242" s="181">
        <v>292087864</v>
      </c>
      <c r="BJ242" s="181"/>
      <c r="BK242" s="181"/>
      <c r="BL242" s="181"/>
      <c r="BM242" s="181"/>
      <c r="BN242" s="181"/>
      <c r="BO242" s="181"/>
      <c r="BP242" s="181"/>
      <c r="BQ242" s="181"/>
      <c r="BR242" s="181"/>
      <c r="BS242" s="181"/>
      <c r="BT242" s="181"/>
      <c r="BU242" s="181"/>
      <c r="BV242" s="181"/>
      <c r="BW242" s="181"/>
      <c r="BX242" s="181"/>
      <c r="BY242" s="181"/>
      <c r="BZ242" s="181"/>
      <c r="CA242" s="190"/>
      <c r="CB242" s="3"/>
      <c r="CC242" s="16"/>
      <c r="CD242" s="16"/>
      <c r="CE242" s="16"/>
      <c r="CF242" s="16"/>
      <c r="CG242" s="16"/>
      <c r="CH242" s="16"/>
      <c r="CI242" s="16" t="s">
        <v>2552</v>
      </c>
    </row>
    <row r="243" spans="1:87">
      <c r="A243" s="16"/>
      <c r="B243" s="16"/>
      <c r="C243" s="3">
        <v>46272</v>
      </c>
      <c r="D243" s="26" t="s">
        <v>14</v>
      </c>
      <c r="E243" s="180" t="s">
        <v>2553</v>
      </c>
      <c r="F243" s="181">
        <v>2026197820453</v>
      </c>
      <c r="G243" s="181">
        <v>40</v>
      </c>
      <c r="H243" s="181">
        <v>53</v>
      </c>
      <c r="I243" s="181" t="s">
        <v>559</v>
      </c>
      <c r="J243" s="181" t="s">
        <v>2553</v>
      </c>
      <c r="K243" s="181" t="s">
        <v>560</v>
      </c>
      <c r="L243" s="181" t="s">
        <v>13</v>
      </c>
      <c r="M243" s="181">
        <v>25</v>
      </c>
      <c r="N243" s="181" t="s">
        <v>462</v>
      </c>
      <c r="O243" s="181" t="s">
        <v>562</v>
      </c>
      <c r="P243" s="181" t="s">
        <v>2554</v>
      </c>
      <c r="Q243" s="181" t="s">
        <v>465</v>
      </c>
      <c r="R243" s="181" t="s">
        <v>466</v>
      </c>
      <c r="S243" s="181" t="s">
        <v>2555</v>
      </c>
      <c r="T243" s="181" t="s">
        <v>2556</v>
      </c>
      <c r="U243" s="182">
        <v>46246.802777777775</v>
      </c>
      <c r="V243" s="181" t="s">
        <v>469</v>
      </c>
      <c r="W243" s="181" t="s">
        <v>568</v>
      </c>
      <c r="X243" s="181" t="s">
        <v>471</v>
      </c>
      <c r="Y243" s="181" t="s">
        <v>628</v>
      </c>
      <c r="Z243" s="181" t="s">
        <v>473</v>
      </c>
      <c r="AA243" s="181" t="s">
        <v>474</v>
      </c>
      <c r="AB243" s="181" t="s">
        <v>2557</v>
      </c>
      <c r="AC243" s="181" t="s">
        <v>476</v>
      </c>
      <c r="AD243" s="181">
        <v>391128616</v>
      </c>
      <c r="AE243" s="181">
        <v>1053358846</v>
      </c>
      <c r="AF243" s="181">
        <v>1447481056</v>
      </c>
      <c r="AG243" s="181"/>
      <c r="AH243" s="181" t="s">
        <v>1076</v>
      </c>
      <c r="AI243" s="181" t="s">
        <v>59</v>
      </c>
      <c r="AJ243" s="181" t="s">
        <v>481</v>
      </c>
      <c r="AK243" s="181" t="s">
        <v>2558</v>
      </c>
      <c r="AL243" s="181">
        <v>19010</v>
      </c>
      <c r="AM243" s="181"/>
      <c r="AN243" s="181"/>
      <c r="AO243" s="181">
        <v>905</v>
      </c>
      <c r="AP243" s="181" t="s">
        <v>485</v>
      </c>
      <c r="AQ243" s="181" t="s">
        <v>2559</v>
      </c>
      <c r="AR243" s="183">
        <v>46247</v>
      </c>
      <c r="AS243" s="181" t="s">
        <v>59</v>
      </c>
      <c r="AT243" s="181" t="s">
        <v>2560</v>
      </c>
      <c r="AU243" s="181"/>
      <c r="AV243" s="181" t="s">
        <v>2561</v>
      </c>
      <c r="AW243" s="181"/>
      <c r="AX243" s="181"/>
      <c r="AY243" s="181"/>
      <c r="AZ243" s="181"/>
      <c r="BA243" s="181"/>
      <c r="BB243" s="181"/>
      <c r="BC243" s="181"/>
      <c r="BD243" s="181" t="s">
        <v>59</v>
      </c>
      <c r="BE243" s="181">
        <v>53</v>
      </c>
      <c r="BF243" s="181"/>
      <c r="BG243" s="181"/>
      <c r="BH243" s="181" t="s">
        <v>491</v>
      </c>
      <c r="BI243" s="181">
        <v>395210977</v>
      </c>
      <c r="BJ243" s="181"/>
      <c r="BK243" s="181"/>
      <c r="BL243" s="181"/>
      <c r="BM243" s="181"/>
      <c r="BN243" s="181"/>
      <c r="BO243" s="181"/>
      <c r="BP243" s="181"/>
      <c r="BQ243" s="181"/>
      <c r="BR243" s="181"/>
      <c r="BS243" s="181"/>
      <c r="BT243" s="181"/>
      <c r="BU243" s="181"/>
      <c r="BV243" s="181"/>
      <c r="BW243" s="181"/>
      <c r="BX243" s="181"/>
      <c r="BY243" s="181"/>
      <c r="BZ243" s="181"/>
      <c r="CA243" s="190"/>
      <c r="CB243" s="3"/>
      <c r="CC243" s="16"/>
      <c r="CD243" s="16"/>
      <c r="CE243" s="16"/>
      <c r="CF243" s="16"/>
      <c r="CG243" s="16"/>
      <c r="CH243" s="16"/>
      <c r="CI243" s="16" t="s">
        <v>2562</v>
      </c>
    </row>
    <row r="244" spans="1:87">
      <c r="A244" s="16" t="s">
        <v>5</v>
      </c>
      <c r="B244" s="16" t="s">
        <v>719</v>
      </c>
      <c r="C244" s="3">
        <v>46272</v>
      </c>
      <c r="D244" s="26" t="s">
        <v>14</v>
      </c>
      <c r="E244" s="180" t="s">
        <v>2563</v>
      </c>
      <c r="F244" s="181">
        <v>2026198560329</v>
      </c>
      <c r="G244" s="181">
        <v>40</v>
      </c>
      <c r="H244" s="181">
        <v>55</v>
      </c>
      <c r="I244" s="181" t="s">
        <v>559</v>
      </c>
      <c r="J244" s="181" t="s">
        <v>2563</v>
      </c>
      <c r="K244" s="181" t="s">
        <v>721</v>
      </c>
      <c r="L244" s="181" t="s">
        <v>13</v>
      </c>
      <c r="M244" s="181">
        <v>26</v>
      </c>
      <c r="N244" s="181" t="s">
        <v>462</v>
      </c>
      <c r="O244" s="181" t="s">
        <v>606</v>
      </c>
      <c r="P244" s="181" t="s">
        <v>2564</v>
      </c>
      <c r="Q244" s="181" t="s">
        <v>465</v>
      </c>
      <c r="R244" s="181" t="s">
        <v>466</v>
      </c>
      <c r="S244" s="181" t="s">
        <v>2565</v>
      </c>
      <c r="T244" s="181" t="s">
        <v>2566</v>
      </c>
      <c r="U244" s="182">
        <v>46246.370833333334</v>
      </c>
      <c r="V244" s="181" t="s">
        <v>469</v>
      </c>
      <c r="W244" s="181" t="s">
        <v>470</v>
      </c>
      <c r="X244" s="181" t="s">
        <v>471</v>
      </c>
      <c r="Y244" s="181" t="s">
        <v>523</v>
      </c>
      <c r="Z244" s="181" t="s">
        <v>524</v>
      </c>
      <c r="AA244" s="181" t="s">
        <v>474</v>
      </c>
      <c r="AB244" s="181" t="s">
        <v>2567</v>
      </c>
      <c r="AC244" s="181" t="s">
        <v>526</v>
      </c>
      <c r="AD244" s="181">
        <v>346004382</v>
      </c>
      <c r="AE244" s="181">
        <v>1700828852</v>
      </c>
      <c r="AF244" s="181"/>
      <c r="AG244" s="181"/>
      <c r="AH244" s="181" t="s">
        <v>1076</v>
      </c>
      <c r="AI244" s="181" t="s">
        <v>75</v>
      </c>
      <c r="AJ244" s="181" t="s">
        <v>481</v>
      </c>
      <c r="AK244" s="181" t="s">
        <v>2568</v>
      </c>
      <c r="AL244" s="181">
        <v>24932</v>
      </c>
      <c r="AM244" s="181"/>
      <c r="AN244" s="181"/>
      <c r="AO244" s="181">
        <v>856</v>
      </c>
      <c r="AP244" s="181" t="s">
        <v>485</v>
      </c>
      <c r="AQ244" s="181" t="s">
        <v>2569</v>
      </c>
      <c r="AR244" s="183">
        <v>46246</v>
      </c>
      <c r="AS244" s="181" t="s">
        <v>75</v>
      </c>
      <c r="AT244" s="181" t="s">
        <v>725</v>
      </c>
      <c r="AU244" s="181"/>
      <c r="AV244" s="181" t="s">
        <v>2570</v>
      </c>
      <c r="AW244" s="181"/>
      <c r="AX244" s="181"/>
      <c r="AY244" s="181"/>
      <c r="AZ244" s="181"/>
      <c r="BA244" s="181"/>
      <c r="BB244" s="181"/>
      <c r="BC244" s="181"/>
      <c r="BD244" s="181" t="s">
        <v>75</v>
      </c>
      <c r="BE244" s="181">
        <v>52</v>
      </c>
      <c r="BF244" s="181"/>
      <c r="BG244" s="181"/>
      <c r="BH244" s="181" t="s">
        <v>491</v>
      </c>
      <c r="BI244" s="181">
        <v>286940723</v>
      </c>
      <c r="BJ244" s="181"/>
      <c r="BK244" s="181"/>
      <c r="BL244" s="181"/>
      <c r="BM244" s="181"/>
      <c r="BN244" s="181"/>
      <c r="BO244" s="181"/>
      <c r="BP244" s="181"/>
      <c r="BQ244" s="181"/>
      <c r="BR244" s="181"/>
      <c r="BS244" s="181"/>
      <c r="BT244" s="181"/>
      <c r="BU244" s="181"/>
      <c r="BV244" s="181"/>
      <c r="BW244" s="181"/>
      <c r="BX244" s="181"/>
      <c r="BY244" s="181"/>
      <c r="BZ244" s="181"/>
      <c r="CA244" s="190">
        <v>46280.666666666701</v>
      </c>
      <c r="CB244" s="3"/>
      <c r="CC244" s="16"/>
      <c r="CD244" s="16"/>
      <c r="CE244" s="16"/>
      <c r="CF244" s="16"/>
      <c r="CG244" s="16"/>
      <c r="CH244" s="16"/>
      <c r="CI244" s="16" t="s">
        <v>2571</v>
      </c>
    </row>
    <row r="245" spans="1:87">
      <c r="A245" s="16" t="s">
        <v>5</v>
      </c>
      <c r="B245" s="16" t="s">
        <v>2572</v>
      </c>
      <c r="C245" s="3">
        <v>46272</v>
      </c>
      <c r="D245" s="26" t="s">
        <v>14</v>
      </c>
      <c r="E245" s="180" t="s">
        <v>2573</v>
      </c>
      <c r="F245" s="181" t="s">
        <v>2574</v>
      </c>
      <c r="G245" s="181">
        <v>40</v>
      </c>
      <c r="H245" s="181">
        <v>54</v>
      </c>
      <c r="I245" s="181" t="s">
        <v>559</v>
      </c>
      <c r="J245" s="181" t="s">
        <v>2573</v>
      </c>
      <c r="K245" s="181" t="s">
        <v>741</v>
      </c>
      <c r="L245" s="181" t="s">
        <v>13</v>
      </c>
      <c r="M245" s="181">
        <v>12</v>
      </c>
      <c r="N245" s="181" t="s">
        <v>462</v>
      </c>
      <c r="O245" s="181" t="s">
        <v>2575</v>
      </c>
      <c r="P245" s="181" t="s">
        <v>2576</v>
      </c>
      <c r="Q245" s="181" t="s">
        <v>1055</v>
      </c>
      <c r="R245" s="181" t="s">
        <v>1056</v>
      </c>
      <c r="S245" s="181" t="s">
        <v>2577</v>
      </c>
      <c r="T245" s="181" t="s">
        <v>2578</v>
      </c>
      <c r="U245" s="182">
        <v>46260.663888888892</v>
      </c>
      <c r="V245" s="181" t="s">
        <v>469</v>
      </c>
      <c r="W245" s="181" t="s">
        <v>470</v>
      </c>
      <c r="X245" s="181" t="s">
        <v>471</v>
      </c>
      <c r="Y245" s="181" t="s">
        <v>523</v>
      </c>
      <c r="Z245" s="181" t="s">
        <v>731</v>
      </c>
      <c r="AA245" s="181" t="s">
        <v>1059</v>
      </c>
      <c r="AB245" s="181" t="s">
        <v>2579</v>
      </c>
      <c r="AC245" s="181" t="s">
        <v>733</v>
      </c>
      <c r="AD245" s="181">
        <v>474196634</v>
      </c>
      <c r="AE245" s="181">
        <v>1942685920</v>
      </c>
      <c r="AF245" s="181"/>
      <c r="AG245" s="181"/>
      <c r="AH245" s="181" t="s">
        <v>1076</v>
      </c>
      <c r="AI245" s="181" t="s">
        <v>290</v>
      </c>
      <c r="AJ245" s="181" t="s">
        <v>481</v>
      </c>
      <c r="AK245" s="181" t="s">
        <v>2580</v>
      </c>
      <c r="AL245" s="181">
        <v>368468.42</v>
      </c>
      <c r="AM245" s="181"/>
      <c r="AN245" s="181"/>
      <c r="AO245" s="181" t="s">
        <v>2581</v>
      </c>
      <c r="AP245" s="181" t="s">
        <v>485</v>
      </c>
      <c r="AQ245" s="181" t="s">
        <v>2582</v>
      </c>
      <c r="AR245" s="183">
        <v>46260</v>
      </c>
      <c r="AS245" s="181" t="s">
        <v>290</v>
      </c>
      <c r="AT245" s="181" t="s">
        <v>2583</v>
      </c>
      <c r="AU245" s="181"/>
      <c r="AV245" s="181" t="s">
        <v>844</v>
      </c>
      <c r="AW245" s="181"/>
      <c r="AX245" s="181"/>
      <c r="AY245" s="181"/>
      <c r="AZ245" s="181"/>
      <c r="BA245" s="181"/>
      <c r="BB245" s="181" t="s">
        <v>2584</v>
      </c>
      <c r="BC245" s="181"/>
      <c r="BD245" s="181" t="s">
        <v>290</v>
      </c>
      <c r="BE245" s="181">
        <v>49</v>
      </c>
      <c r="BF245" s="181"/>
      <c r="BG245" s="181" t="s">
        <v>2585</v>
      </c>
      <c r="BH245" s="181" t="s">
        <v>491</v>
      </c>
      <c r="BI245" s="181">
        <v>553336186</v>
      </c>
      <c r="BJ245" s="181"/>
      <c r="BK245" s="181"/>
      <c r="BL245" s="181"/>
      <c r="BM245" s="181"/>
      <c r="BN245" s="181"/>
      <c r="BO245" s="181"/>
      <c r="BP245" s="181"/>
      <c r="BQ245" s="181"/>
      <c r="BR245" s="181"/>
      <c r="BS245" s="181"/>
      <c r="BT245" s="181"/>
      <c r="BU245" s="181"/>
      <c r="BV245" s="181"/>
      <c r="BW245" s="181"/>
      <c r="BX245" s="181"/>
      <c r="BY245" s="181"/>
      <c r="BZ245" s="181"/>
      <c r="CA245" s="190">
        <v>46280.666666666701</v>
      </c>
      <c r="CB245" s="3"/>
      <c r="CC245" s="16"/>
      <c r="CD245" s="16"/>
      <c r="CE245" s="16"/>
      <c r="CF245" s="16"/>
      <c r="CG245" s="16"/>
      <c r="CH245" s="16"/>
      <c r="CI245" s="16" t="s">
        <v>2586</v>
      </c>
    </row>
    <row r="246" spans="1:87">
      <c r="A246" s="16" t="s">
        <v>5</v>
      </c>
      <c r="B246" s="16" t="s">
        <v>606</v>
      </c>
      <c r="C246" s="3">
        <v>46272</v>
      </c>
      <c r="D246" s="26" t="s">
        <v>14</v>
      </c>
      <c r="E246" s="180" t="s">
        <v>2587</v>
      </c>
      <c r="F246" s="181">
        <v>2026200530219</v>
      </c>
      <c r="G246" s="181">
        <v>40</v>
      </c>
      <c r="H246" s="181">
        <v>52</v>
      </c>
      <c r="I246" s="181" t="s">
        <v>559</v>
      </c>
      <c r="J246" s="181" t="s">
        <v>2587</v>
      </c>
      <c r="K246" s="181" t="s">
        <v>741</v>
      </c>
      <c r="L246" s="181" t="s">
        <v>13</v>
      </c>
      <c r="M246" s="181">
        <v>8</v>
      </c>
      <c r="N246" s="181" t="s">
        <v>462</v>
      </c>
      <c r="O246" s="181" t="s">
        <v>606</v>
      </c>
      <c r="P246" s="181" t="s">
        <v>2588</v>
      </c>
      <c r="Q246" s="181" t="s">
        <v>465</v>
      </c>
      <c r="R246" s="181" t="s">
        <v>466</v>
      </c>
      <c r="S246" s="181" t="s">
        <v>2589</v>
      </c>
      <c r="T246" s="181" t="s">
        <v>2590</v>
      </c>
      <c r="U246" s="182">
        <v>46264.638888888891</v>
      </c>
      <c r="V246" s="181" t="s">
        <v>469</v>
      </c>
      <c r="W246" s="181" t="s">
        <v>470</v>
      </c>
      <c r="X246" s="181" t="s">
        <v>471</v>
      </c>
      <c r="Y246" s="181" t="s">
        <v>523</v>
      </c>
      <c r="Z246" s="181" t="s">
        <v>665</v>
      </c>
      <c r="AA246" s="181" t="s">
        <v>474</v>
      </c>
      <c r="AB246" s="181" t="s">
        <v>2591</v>
      </c>
      <c r="AC246" s="181" t="s">
        <v>572</v>
      </c>
      <c r="AD246" s="181">
        <v>770495522</v>
      </c>
      <c r="AE246" s="181">
        <v>1881662856</v>
      </c>
      <c r="AF246" s="181"/>
      <c r="AG246" s="181"/>
      <c r="AH246" s="181" t="s">
        <v>1798</v>
      </c>
      <c r="AI246" s="181" t="s">
        <v>290</v>
      </c>
      <c r="AJ246" s="181" t="s">
        <v>481</v>
      </c>
      <c r="AK246" s="181" t="s">
        <v>2592</v>
      </c>
      <c r="AL246" s="181">
        <v>24503</v>
      </c>
      <c r="AM246" s="181"/>
      <c r="AN246" s="181"/>
      <c r="AO246" s="181">
        <v>877</v>
      </c>
      <c r="AP246" s="181" t="s">
        <v>485</v>
      </c>
      <c r="AQ246" s="181" t="s">
        <v>2593</v>
      </c>
      <c r="AR246" s="183">
        <v>46264</v>
      </c>
      <c r="AS246" s="181" t="s">
        <v>290</v>
      </c>
      <c r="AT246" s="181" t="s">
        <v>516</v>
      </c>
      <c r="AU246" s="181"/>
      <c r="AV246" s="181" t="s">
        <v>2594</v>
      </c>
      <c r="AW246" s="181"/>
      <c r="AX246" s="181"/>
      <c r="AY246" s="181"/>
      <c r="AZ246" s="181"/>
      <c r="BA246" s="181"/>
      <c r="BB246" s="181"/>
      <c r="BC246" s="181"/>
      <c r="BD246" s="181" t="s">
        <v>290</v>
      </c>
      <c r="BE246" s="181">
        <v>50</v>
      </c>
      <c r="BF246" s="181"/>
      <c r="BG246" s="181"/>
      <c r="BH246" s="181" t="s">
        <v>491</v>
      </c>
      <c r="BI246" s="181">
        <v>545959192</v>
      </c>
      <c r="BJ246" s="181"/>
      <c r="BK246" s="181"/>
      <c r="BL246" s="181"/>
      <c r="BM246" s="181"/>
      <c r="BN246" s="181"/>
      <c r="BO246" s="181"/>
      <c r="BP246" s="181"/>
      <c r="BQ246" s="181"/>
      <c r="BR246" s="181"/>
      <c r="BS246" s="181"/>
      <c r="BT246" s="181"/>
      <c r="BU246" s="181"/>
      <c r="BV246" s="181"/>
      <c r="BW246" s="181"/>
      <c r="BX246" s="181"/>
      <c r="BY246" s="181"/>
      <c r="BZ246" s="181"/>
      <c r="CA246" s="190">
        <v>46280.666666666701</v>
      </c>
      <c r="CB246" s="3"/>
      <c r="CC246" s="16"/>
      <c r="CD246" s="16"/>
      <c r="CE246" s="16"/>
      <c r="CF246" s="16"/>
      <c r="CG246" s="16"/>
      <c r="CH246" s="16"/>
      <c r="CI246" s="16" t="s">
        <v>2595</v>
      </c>
    </row>
    <row r="247" spans="1:87">
      <c r="A247" s="16"/>
      <c r="B247" s="16"/>
      <c r="C247" s="3">
        <v>46272</v>
      </c>
      <c r="D247" s="26" t="s">
        <v>14</v>
      </c>
      <c r="E247" s="180" t="s">
        <v>2596</v>
      </c>
      <c r="F247" s="181">
        <v>2026206040013</v>
      </c>
      <c r="G247" s="181">
        <v>40</v>
      </c>
      <c r="H247" s="181">
        <v>46</v>
      </c>
      <c r="I247" s="181" t="s">
        <v>559</v>
      </c>
      <c r="J247" s="181" t="s">
        <v>2596</v>
      </c>
      <c r="K247" s="181" t="s">
        <v>1083</v>
      </c>
      <c r="L247" s="181" t="s">
        <v>17</v>
      </c>
      <c r="M247" s="181">
        <v>20</v>
      </c>
      <c r="N247" s="181" t="s">
        <v>462</v>
      </c>
      <c r="O247" s="181" t="s">
        <v>606</v>
      </c>
      <c r="P247" s="181" t="s">
        <v>2597</v>
      </c>
      <c r="Q247" s="181" t="s">
        <v>465</v>
      </c>
      <c r="R247" s="181" t="s">
        <v>466</v>
      </c>
      <c r="S247" s="181" t="s">
        <v>2598</v>
      </c>
      <c r="T247" s="181" t="s">
        <v>2599</v>
      </c>
      <c r="U247" s="182">
        <v>46252.193749999999</v>
      </c>
      <c r="V247" s="181" t="s">
        <v>469</v>
      </c>
      <c r="W247" s="181" t="s">
        <v>470</v>
      </c>
      <c r="X247" s="181" t="s">
        <v>471</v>
      </c>
      <c r="Y247" s="181" t="s">
        <v>628</v>
      </c>
      <c r="Z247" s="181" t="s">
        <v>665</v>
      </c>
      <c r="AA247" s="181" t="s">
        <v>474</v>
      </c>
      <c r="AB247" s="181" t="s">
        <v>2600</v>
      </c>
      <c r="AC247" s="181" t="s">
        <v>640</v>
      </c>
      <c r="AD247" s="181">
        <v>135562308</v>
      </c>
      <c r="AE247" s="181">
        <v>1285826438</v>
      </c>
      <c r="AF247" s="181">
        <v>1902867393</v>
      </c>
      <c r="AG247" s="181"/>
      <c r="AH247" s="181"/>
      <c r="AI247" s="181" t="s">
        <v>48</v>
      </c>
      <c r="AJ247" s="181" t="s">
        <v>481</v>
      </c>
      <c r="AK247" s="181" t="s">
        <v>2601</v>
      </c>
      <c r="AL247" s="181">
        <v>158913</v>
      </c>
      <c r="AM247" s="181"/>
      <c r="AN247" s="181"/>
      <c r="AO247" s="181">
        <v>845</v>
      </c>
      <c r="AP247" s="181" t="s">
        <v>485</v>
      </c>
      <c r="AQ247" s="181" t="s">
        <v>2602</v>
      </c>
      <c r="AR247" s="183">
        <v>46252</v>
      </c>
      <c r="AS247" s="181" t="s">
        <v>48</v>
      </c>
      <c r="AT247" s="181" t="s">
        <v>1214</v>
      </c>
      <c r="AU247" s="181"/>
      <c r="AV247" s="181" t="s">
        <v>2603</v>
      </c>
      <c r="AW247" s="181"/>
      <c r="AX247" s="181"/>
      <c r="AY247" s="181"/>
      <c r="AZ247" s="181"/>
      <c r="BA247" s="181"/>
      <c r="BB247" s="181"/>
      <c r="BC247" s="181"/>
      <c r="BD247" s="181" t="s">
        <v>48</v>
      </c>
      <c r="BE247" s="181">
        <v>44</v>
      </c>
      <c r="BF247" s="181"/>
      <c r="BG247" s="181"/>
      <c r="BH247" s="181" t="s">
        <v>491</v>
      </c>
      <c r="BI247" s="181">
        <v>378649860</v>
      </c>
      <c r="BJ247" s="181"/>
      <c r="BK247" s="181"/>
      <c r="BL247" s="181"/>
      <c r="BM247" s="181"/>
      <c r="BN247" s="181"/>
      <c r="BO247" s="181"/>
      <c r="BP247" s="181"/>
      <c r="BQ247" s="181"/>
      <c r="BR247" s="181"/>
      <c r="BS247" s="181"/>
      <c r="BT247" s="181"/>
      <c r="BU247" s="181"/>
      <c r="BV247" s="181"/>
      <c r="BW247" s="181"/>
      <c r="BX247" s="181"/>
      <c r="BY247" s="181"/>
      <c r="BZ247" s="181"/>
      <c r="CA247" s="190"/>
      <c r="CB247" s="3"/>
      <c r="CC247" s="16"/>
      <c r="CD247" s="16"/>
      <c r="CE247" s="16"/>
      <c r="CF247" s="16"/>
      <c r="CG247" s="16"/>
      <c r="CH247" s="16"/>
      <c r="CI247" s="16" t="s">
        <v>2604</v>
      </c>
    </row>
    <row r="248" spans="1:87" ht="29.25">
      <c r="A248" s="16" t="s">
        <v>5</v>
      </c>
      <c r="B248" s="25" t="s">
        <v>2367</v>
      </c>
      <c r="C248" s="3">
        <v>46272</v>
      </c>
      <c r="D248" s="26" t="s">
        <v>14</v>
      </c>
      <c r="E248" s="180" t="s">
        <v>2605</v>
      </c>
      <c r="F248" s="181">
        <v>2026202860328</v>
      </c>
      <c r="G248" s="181">
        <v>40</v>
      </c>
      <c r="H248" s="181">
        <v>48</v>
      </c>
      <c r="I248" s="181" t="s">
        <v>559</v>
      </c>
      <c r="J248" s="181" t="s">
        <v>2605</v>
      </c>
      <c r="K248" s="181" t="s">
        <v>2369</v>
      </c>
      <c r="L248" s="181" t="s">
        <v>18</v>
      </c>
      <c r="M248" s="181">
        <v>24</v>
      </c>
      <c r="N248" s="181" t="s">
        <v>462</v>
      </c>
      <c r="O248" s="181" t="s">
        <v>606</v>
      </c>
      <c r="P248" s="181" t="s">
        <v>2606</v>
      </c>
      <c r="Q248" s="181" t="s">
        <v>465</v>
      </c>
      <c r="R248" s="181" t="s">
        <v>466</v>
      </c>
      <c r="S248" s="181" t="s">
        <v>2607</v>
      </c>
      <c r="T248" s="181" t="s">
        <v>2608</v>
      </c>
      <c r="U248" s="182">
        <v>46248.07708333333</v>
      </c>
      <c r="V248" s="181" t="s">
        <v>469</v>
      </c>
      <c r="W248" s="181" t="s">
        <v>470</v>
      </c>
      <c r="X248" s="181" t="s">
        <v>471</v>
      </c>
      <c r="Y248" s="181" t="s">
        <v>628</v>
      </c>
      <c r="Z248" s="181" t="s">
        <v>665</v>
      </c>
      <c r="AA248" s="181" t="s">
        <v>474</v>
      </c>
      <c r="AB248" s="181" t="s">
        <v>2609</v>
      </c>
      <c r="AC248" s="181" t="s">
        <v>640</v>
      </c>
      <c r="AD248" s="181">
        <v>133544120</v>
      </c>
      <c r="AE248" s="181">
        <v>1982643003</v>
      </c>
      <c r="AF248" s="181">
        <v>1831415090</v>
      </c>
      <c r="AG248" s="181"/>
      <c r="AH248" s="181" t="s">
        <v>1076</v>
      </c>
      <c r="AI248" s="181" t="s">
        <v>225</v>
      </c>
      <c r="AJ248" s="181" t="s">
        <v>481</v>
      </c>
      <c r="AK248" s="181" t="s">
        <v>2610</v>
      </c>
      <c r="AL248" s="181">
        <v>8892</v>
      </c>
      <c r="AM248" s="181"/>
      <c r="AN248" s="181"/>
      <c r="AO248" s="181">
        <v>696</v>
      </c>
      <c r="AP248" s="181" t="s">
        <v>485</v>
      </c>
      <c r="AQ248" s="181" t="s">
        <v>2611</v>
      </c>
      <c r="AR248" s="183">
        <v>46248</v>
      </c>
      <c r="AS248" s="181" t="s">
        <v>225</v>
      </c>
      <c r="AT248" s="181" t="s">
        <v>2376</v>
      </c>
      <c r="AU248" s="181"/>
      <c r="AV248" s="181" t="s">
        <v>2612</v>
      </c>
      <c r="AW248" s="181"/>
      <c r="AX248" s="181"/>
      <c r="AY248" s="181"/>
      <c r="AZ248" s="181"/>
      <c r="BA248" s="181"/>
      <c r="BB248" s="181"/>
      <c r="BC248" s="181"/>
      <c r="BD248" s="181" t="s">
        <v>225</v>
      </c>
      <c r="BE248" s="181">
        <v>48</v>
      </c>
      <c r="BF248" s="181"/>
      <c r="BG248" s="181"/>
      <c r="BH248" s="181" t="s">
        <v>491</v>
      </c>
      <c r="BI248" s="181">
        <v>95543316</v>
      </c>
      <c r="BJ248" s="181"/>
      <c r="BK248" s="181"/>
      <c r="BL248" s="181"/>
      <c r="BM248" s="181"/>
      <c r="BN248" s="181"/>
      <c r="BO248" s="181"/>
      <c r="BP248" s="181"/>
      <c r="BQ248" s="181"/>
      <c r="BR248" s="181"/>
      <c r="BS248" s="181"/>
      <c r="BT248" s="181"/>
      <c r="BU248" s="181"/>
      <c r="BV248" s="181"/>
      <c r="BW248" s="181"/>
      <c r="BX248" s="181"/>
      <c r="BY248" s="181"/>
      <c r="BZ248" s="181"/>
      <c r="CA248" s="190">
        <v>46281.666666666701</v>
      </c>
      <c r="CB248" s="3"/>
      <c r="CC248" s="16"/>
      <c r="CD248" s="16"/>
      <c r="CE248" s="16"/>
      <c r="CF248" s="16"/>
      <c r="CG248" s="16"/>
      <c r="CH248" s="16"/>
      <c r="CI248" s="16" t="s">
        <v>2613</v>
      </c>
    </row>
    <row r="249" spans="1:87">
      <c r="A249" s="16" t="s">
        <v>5</v>
      </c>
      <c r="B249" s="16" t="s">
        <v>2614</v>
      </c>
      <c r="C249" s="3">
        <v>46272</v>
      </c>
      <c r="D249" s="26" t="s">
        <v>14</v>
      </c>
      <c r="E249" s="180" t="s">
        <v>2615</v>
      </c>
      <c r="F249" s="181">
        <v>2026202840456</v>
      </c>
      <c r="G249" s="181">
        <v>40</v>
      </c>
      <c r="H249" s="181">
        <v>49</v>
      </c>
      <c r="I249" s="181" t="s">
        <v>559</v>
      </c>
      <c r="J249" s="181" t="s">
        <v>2615</v>
      </c>
      <c r="K249" s="181" t="s">
        <v>1371</v>
      </c>
      <c r="L249" s="181" t="s">
        <v>17</v>
      </c>
      <c r="M249" s="181">
        <v>7</v>
      </c>
      <c r="N249" s="181" t="s">
        <v>462</v>
      </c>
      <c r="O249" s="181" t="s">
        <v>2575</v>
      </c>
      <c r="P249" s="181" t="s">
        <v>2616</v>
      </c>
      <c r="Q249" s="181" t="s">
        <v>465</v>
      </c>
      <c r="R249" s="181" t="s">
        <v>466</v>
      </c>
      <c r="S249" s="181" t="s">
        <v>2617</v>
      </c>
      <c r="T249" s="181" t="s">
        <v>2618</v>
      </c>
      <c r="U249" s="182">
        <v>46265.618055555555</v>
      </c>
      <c r="V249" s="181" t="s">
        <v>469</v>
      </c>
      <c r="W249" s="181" t="s">
        <v>470</v>
      </c>
      <c r="X249" s="181" t="s">
        <v>471</v>
      </c>
      <c r="Y249" s="181" t="s">
        <v>523</v>
      </c>
      <c r="Z249" s="181" t="s">
        <v>638</v>
      </c>
      <c r="AA249" s="181" t="s">
        <v>474</v>
      </c>
      <c r="AB249" s="181" t="s">
        <v>2619</v>
      </c>
      <c r="AC249" s="181" t="s">
        <v>592</v>
      </c>
      <c r="AD249" s="181">
        <v>840720309</v>
      </c>
      <c r="AE249" s="181">
        <v>1518960814</v>
      </c>
      <c r="AF249" s="181"/>
      <c r="AG249" s="181"/>
      <c r="AH249" s="181"/>
      <c r="AI249" s="181" t="s">
        <v>164</v>
      </c>
      <c r="AJ249" s="181" t="s">
        <v>481</v>
      </c>
      <c r="AK249" s="181" t="s">
        <v>2620</v>
      </c>
      <c r="AL249" s="181">
        <v>73436.789999999994</v>
      </c>
      <c r="AM249" s="181"/>
      <c r="AN249" s="181"/>
      <c r="AO249" s="181">
        <v>72</v>
      </c>
      <c r="AP249" s="181" t="s">
        <v>485</v>
      </c>
      <c r="AQ249" s="181" t="s">
        <v>2621</v>
      </c>
      <c r="AR249" s="183">
        <v>46265</v>
      </c>
      <c r="AS249" s="181" t="s">
        <v>164</v>
      </c>
      <c r="AT249" s="181" t="s">
        <v>2622</v>
      </c>
      <c r="AU249" s="181"/>
      <c r="AV249" s="181" t="s">
        <v>2623</v>
      </c>
      <c r="AW249" s="181"/>
      <c r="AX249" s="181"/>
      <c r="AY249" s="181"/>
      <c r="AZ249" s="181"/>
      <c r="BA249" s="181"/>
      <c r="BB249" s="181"/>
      <c r="BC249" s="181"/>
      <c r="BD249" s="181" t="s">
        <v>164</v>
      </c>
      <c r="BE249" s="181">
        <v>48</v>
      </c>
      <c r="BF249" s="181"/>
      <c r="BG249" s="181"/>
      <c r="BH249" s="181" t="s">
        <v>491</v>
      </c>
      <c r="BI249" s="181">
        <v>316172438</v>
      </c>
      <c r="BJ249" s="181"/>
      <c r="BK249" s="181"/>
      <c r="BL249" s="181"/>
      <c r="BM249" s="181"/>
      <c r="BN249" s="181"/>
      <c r="BO249" s="181"/>
      <c r="BP249" s="181"/>
      <c r="BQ249" s="181"/>
      <c r="BR249" s="181"/>
      <c r="BS249" s="181"/>
      <c r="BT249" s="181"/>
      <c r="BU249" s="181"/>
      <c r="BV249" s="181"/>
      <c r="BW249" s="181"/>
      <c r="BX249" s="181"/>
      <c r="BY249" s="181"/>
      <c r="BZ249" s="181"/>
      <c r="CA249" s="190">
        <v>46280.666666666701</v>
      </c>
      <c r="CB249" s="3"/>
      <c r="CC249" s="16"/>
      <c r="CD249" s="16"/>
      <c r="CE249" s="16"/>
      <c r="CF249" s="16"/>
      <c r="CG249" s="16"/>
      <c r="CH249" s="16"/>
      <c r="CI249" s="16" t="s">
        <v>2624</v>
      </c>
    </row>
    <row r="250" spans="1:87">
      <c r="A250" s="16" t="s">
        <v>5</v>
      </c>
      <c r="B250" s="25" t="s">
        <v>2625</v>
      </c>
      <c r="C250" s="3">
        <v>46272</v>
      </c>
      <c r="D250" s="26" t="s">
        <v>14</v>
      </c>
      <c r="E250" s="180" t="s">
        <v>2626</v>
      </c>
      <c r="F250" s="181">
        <v>2026206820177</v>
      </c>
      <c r="G250" s="181">
        <v>40</v>
      </c>
      <c r="H250" s="181">
        <v>46</v>
      </c>
      <c r="I250" s="181" t="s">
        <v>559</v>
      </c>
      <c r="J250" s="181" t="s">
        <v>2626</v>
      </c>
      <c r="K250" s="181" t="s">
        <v>585</v>
      </c>
      <c r="L250" s="181" t="s">
        <v>17</v>
      </c>
      <c r="M250" s="181">
        <v>20</v>
      </c>
      <c r="N250" s="181" t="s">
        <v>462</v>
      </c>
      <c r="O250" s="181" t="s">
        <v>606</v>
      </c>
      <c r="P250" s="181" t="s">
        <v>2627</v>
      </c>
      <c r="Q250" s="181" t="s">
        <v>465</v>
      </c>
      <c r="R250" s="181" t="s">
        <v>466</v>
      </c>
      <c r="S250" s="181" t="s">
        <v>2628</v>
      </c>
      <c r="T250" s="181" t="s">
        <v>2629</v>
      </c>
      <c r="U250" s="182">
        <v>46252.25277777778</v>
      </c>
      <c r="V250" s="181" t="s">
        <v>469</v>
      </c>
      <c r="W250" s="181" t="s">
        <v>470</v>
      </c>
      <c r="X250" s="181" t="s">
        <v>471</v>
      </c>
      <c r="Y250" s="181" t="s">
        <v>523</v>
      </c>
      <c r="Z250" s="181" t="s">
        <v>731</v>
      </c>
      <c r="AA250" s="181" t="s">
        <v>474</v>
      </c>
      <c r="AB250" s="181" t="s">
        <v>2630</v>
      </c>
      <c r="AC250" s="181" t="s">
        <v>733</v>
      </c>
      <c r="AD250" s="181">
        <v>430653611</v>
      </c>
      <c r="AE250" s="181">
        <v>1679516033</v>
      </c>
      <c r="AF250" s="181">
        <v>1063035319</v>
      </c>
      <c r="AG250" s="181"/>
      <c r="AH250" s="181"/>
      <c r="AI250" s="181" t="s">
        <v>22</v>
      </c>
      <c r="AJ250" s="181" t="s">
        <v>481</v>
      </c>
      <c r="AK250" s="181" t="s">
        <v>2631</v>
      </c>
      <c r="AL250" s="181">
        <v>8466.9</v>
      </c>
      <c r="AM250" s="181"/>
      <c r="AN250" s="181"/>
      <c r="AO250" s="181">
        <v>160</v>
      </c>
      <c r="AP250" s="181" t="s">
        <v>485</v>
      </c>
      <c r="AQ250" s="181" t="s">
        <v>2632</v>
      </c>
      <c r="AR250" s="183">
        <v>46252</v>
      </c>
      <c r="AS250" s="181" t="s">
        <v>22</v>
      </c>
      <c r="AT250" s="181" t="s">
        <v>2633</v>
      </c>
      <c r="AU250" s="181"/>
      <c r="AV250" s="181" t="s">
        <v>2634</v>
      </c>
      <c r="AW250" s="181"/>
      <c r="AX250" s="181"/>
      <c r="AY250" s="181"/>
      <c r="AZ250" s="181"/>
      <c r="BA250" s="181"/>
      <c r="BB250" s="181"/>
      <c r="BC250" s="181"/>
      <c r="BD250" s="181" t="s">
        <v>22</v>
      </c>
      <c r="BE250" s="181">
        <v>44</v>
      </c>
      <c r="BF250" s="181"/>
      <c r="BG250" s="181"/>
      <c r="BH250" s="181" t="s">
        <v>491</v>
      </c>
      <c r="BI250" s="181">
        <v>486887306</v>
      </c>
      <c r="BJ250" s="181"/>
      <c r="BK250" s="181"/>
      <c r="BL250" s="181"/>
      <c r="BM250" s="181"/>
      <c r="BN250" s="181"/>
      <c r="BO250" s="181"/>
      <c r="BP250" s="181"/>
      <c r="BQ250" s="181"/>
      <c r="BR250" s="181"/>
      <c r="BS250" s="181"/>
      <c r="BT250" s="181"/>
      <c r="BU250" s="181"/>
      <c r="BV250" s="181"/>
      <c r="BW250" s="181"/>
      <c r="BX250" s="181"/>
      <c r="BY250" s="181"/>
      <c r="BZ250" s="181"/>
      <c r="CA250" s="190">
        <v>46285.166666666701</v>
      </c>
      <c r="CB250" s="3"/>
      <c r="CC250" s="16"/>
      <c r="CD250" s="16"/>
      <c r="CE250" s="16"/>
      <c r="CF250" s="16"/>
      <c r="CG250" s="16"/>
      <c r="CH250" s="16"/>
      <c r="CI250" s="16" t="s">
        <v>2635</v>
      </c>
    </row>
    <row r="251" spans="1:87">
      <c r="A251" s="16" t="s">
        <v>4</v>
      </c>
      <c r="B251" s="16" t="s">
        <v>2636</v>
      </c>
      <c r="C251" s="3">
        <v>46272</v>
      </c>
      <c r="D251" s="26" t="s">
        <v>14</v>
      </c>
      <c r="E251" s="180" t="s">
        <v>2637</v>
      </c>
      <c r="F251" s="181">
        <v>2026202910945</v>
      </c>
      <c r="G251" s="181">
        <v>40</v>
      </c>
      <c r="H251" s="181">
        <v>48</v>
      </c>
      <c r="I251" s="181" t="s">
        <v>559</v>
      </c>
      <c r="J251" s="181" t="s">
        <v>2637</v>
      </c>
      <c r="K251" s="181" t="s">
        <v>994</v>
      </c>
      <c r="L251" s="181" t="s">
        <v>17</v>
      </c>
      <c r="M251" s="181">
        <v>24</v>
      </c>
      <c r="N251" s="181" t="s">
        <v>462</v>
      </c>
      <c r="O251" s="181" t="s">
        <v>606</v>
      </c>
      <c r="P251" s="181">
        <v>972265020</v>
      </c>
      <c r="Q251" s="181" t="s">
        <v>465</v>
      </c>
      <c r="R251" s="181" t="s">
        <v>466</v>
      </c>
      <c r="S251" s="181" t="s">
        <v>2638</v>
      </c>
      <c r="T251" s="181" t="s">
        <v>2639</v>
      </c>
      <c r="U251" s="182">
        <v>46247.980555555558</v>
      </c>
      <c r="V251" s="181" t="s">
        <v>469</v>
      </c>
      <c r="W251" s="181" t="s">
        <v>470</v>
      </c>
      <c r="X251" s="181" t="s">
        <v>471</v>
      </c>
      <c r="Y251" s="181" t="s">
        <v>628</v>
      </c>
      <c r="Z251" s="181" t="s">
        <v>612</v>
      </c>
      <c r="AA251" s="181" t="s">
        <v>474</v>
      </c>
      <c r="AB251" s="181" t="s">
        <v>2640</v>
      </c>
      <c r="AC251" s="181" t="s">
        <v>614</v>
      </c>
      <c r="AD251" s="181">
        <v>222519596</v>
      </c>
      <c r="AE251" s="181">
        <v>1548210198</v>
      </c>
      <c r="AF251" s="181">
        <v>1366827891</v>
      </c>
      <c r="AG251" s="181"/>
      <c r="AH251" s="181"/>
      <c r="AI251" s="181" t="s">
        <v>107</v>
      </c>
      <c r="AJ251" s="181" t="s">
        <v>481</v>
      </c>
      <c r="AK251" s="181" t="s">
        <v>2641</v>
      </c>
      <c r="AL251" s="181">
        <v>11798.75</v>
      </c>
      <c r="AM251" s="181"/>
      <c r="AN251" s="181"/>
      <c r="AO251" s="181">
        <v>972</v>
      </c>
      <c r="AP251" s="181" t="s">
        <v>485</v>
      </c>
      <c r="AQ251" s="181" t="s">
        <v>2642</v>
      </c>
      <c r="AR251" s="183">
        <v>46248</v>
      </c>
      <c r="AS251" s="181" t="s">
        <v>107</v>
      </c>
      <c r="AT251" s="181" t="s">
        <v>998</v>
      </c>
      <c r="AU251" s="181"/>
      <c r="AV251" s="181" t="s">
        <v>2643</v>
      </c>
      <c r="AW251" s="181"/>
      <c r="AX251" s="181"/>
      <c r="AY251" s="181"/>
      <c r="AZ251" s="181"/>
      <c r="BA251" s="181"/>
      <c r="BB251" s="181"/>
      <c r="BC251" s="181"/>
      <c r="BD251" s="181" t="s">
        <v>107</v>
      </c>
      <c r="BE251" s="181">
        <v>48</v>
      </c>
      <c r="BF251" s="181"/>
      <c r="BG251" s="181"/>
      <c r="BH251" s="181" t="s">
        <v>491</v>
      </c>
      <c r="BI251" s="181">
        <v>1481978</v>
      </c>
      <c r="BJ251" s="181"/>
      <c r="BK251" s="181"/>
      <c r="BL251" s="181"/>
      <c r="BM251" s="181"/>
      <c r="BN251" s="181"/>
      <c r="BO251" s="181"/>
      <c r="BP251" s="181"/>
      <c r="BQ251" s="181"/>
      <c r="BR251" s="181"/>
      <c r="BS251" s="181"/>
      <c r="BT251" s="181"/>
      <c r="BU251" s="181"/>
      <c r="BV251" s="181"/>
      <c r="BW251" s="181"/>
      <c r="BX251" s="181"/>
      <c r="BY251" s="181"/>
      <c r="BZ251" s="181"/>
      <c r="CA251" s="190">
        <v>46285.666666666701</v>
      </c>
      <c r="CB251" s="3"/>
      <c r="CC251" s="16"/>
      <c r="CD251" s="16"/>
      <c r="CE251" s="16"/>
      <c r="CF251" s="16"/>
      <c r="CG251" s="16"/>
      <c r="CH251" s="16"/>
      <c r="CI251" s="16" t="s">
        <v>2644</v>
      </c>
    </row>
    <row r="252" spans="1:87">
      <c r="A252" s="16" t="s">
        <v>5</v>
      </c>
      <c r="B252" s="16" t="s">
        <v>2645</v>
      </c>
      <c r="C252" s="3">
        <v>46272</v>
      </c>
      <c r="D252" s="26" t="s">
        <v>14</v>
      </c>
      <c r="E252" s="180" t="s">
        <v>2646</v>
      </c>
      <c r="F252" s="181">
        <v>2026204210490</v>
      </c>
      <c r="G252" s="181">
        <v>40</v>
      </c>
      <c r="H252" s="181">
        <v>46</v>
      </c>
      <c r="I252" s="181" t="s">
        <v>559</v>
      </c>
      <c r="J252" s="181" t="s">
        <v>2646</v>
      </c>
      <c r="K252" s="181" t="s">
        <v>2647</v>
      </c>
      <c r="L252" s="181" t="s">
        <v>18</v>
      </c>
      <c r="M252" s="181">
        <v>20</v>
      </c>
      <c r="N252" s="181" t="s">
        <v>462</v>
      </c>
      <c r="O252" s="181" t="s">
        <v>606</v>
      </c>
      <c r="P252" s="181" t="s">
        <v>2648</v>
      </c>
      <c r="Q252" s="181" t="s">
        <v>465</v>
      </c>
      <c r="R252" s="181" t="s">
        <v>466</v>
      </c>
      <c r="S252" s="181" t="s">
        <v>2649</v>
      </c>
      <c r="T252" s="181" t="s">
        <v>2650</v>
      </c>
      <c r="U252" s="182">
        <v>46252.023611111108</v>
      </c>
      <c r="V252" s="181" t="s">
        <v>469</v>
      </c>
      <c r="W252" s="181" t="s">
        <v>568</v>
      </c>
      <c r="X252" s="181" t="s">
        <v>471</v>
      </c>
      <c r="Y252" s="181" t="s">
        <v>628</v>
      </c>
      <c r="Z252" s="181" t="s">
        <v>473</v>
      </c>
      <c r="AA252" s="181" t="s">
        <v>474</v>
      </c>
      <c r="AB252" s="181" t="s">
        <v>2651</v>
      </c>
      <c r="AC252" s="181" t="s">
        <v>476</v>
      </c>
      <c r="AD252" s="181">
        <v>391128616</v>
      </c>
      <c r="AE252" s="181">
        <v>1053358846</v>
      </c>
      <c r="AF252" s="181">
        <v>1548403231</v>
      </c>
      <c r="AG252" s="181"/>
      <c r="AH252" s="181" t="s">
        <v>1076</v>
      </c>
      <c r="AI252" s="181" t="s">
        <v>241</v>
      </c>
      <c r="AJ252" s="181" t="s">
        <v>481</v>
      </c>
      <c r="AK252" s="181" t="s">
        <v>2652</v>
      </c>
      <c r="AL252" s="181">
        <v>16264</v>
      </c>
      <c r="AM252" s="181"/>
      <c r="AN252" s="181"/>
      <c r="AO252" s="181">
        <v>942</v>
      </c>
      <c r="AP252" s="181" t="s">
        <v>485</v>
      </c>
      <c r="AQ252" s="181" t="s">
        <v>2653</v>
      </c>
      <c r="AR252" s="183">
        <v>46252</v>
      </c>
      <c r="AS252" s="181" t="s">
        <v>241</v>
      </c>
      <c r="AT252" s="181" t="s">
        <v>2654</v>
      </c>
      <c r="AU252" s="181"/>
      <c r="AV252" s="181" t="s">
        <v>2655</v>
      </c>
      <c r="AW252" s="181"/>
      <c r="AX252" s="181"/>
      <c r="AY252" s="181"/>
      <c r="AZ252" s="181"/>
      <c r="BA252" s="181"/>
      <c r="BB252" s="181"/>
      <c r="BC252" s="181"/>
      <c r="BD252" s="181" t="s">
        <v>241</v>
      </c>
      <c r="BE252" s="181">
        <v>46</v>
      </c>
      <c r="BF252" s="181"/>
      <c r="BG252" s="181"/>
      <c r="BH252" s="181" t="s">
        <v>491</v>
      </c>
      <c r="BI252" s="181">
        <v>337601842</v>
      </c>
      <c r="BJ252" s="181"/>
      <c r="BK252" s="181"/>
      <c r="BL252" s="181"/>
      <c r="BM252" s="181"/>
      <c r="BN252" s="181"/>
      <c r="BO252" s="181"/>
      <c r="BP252" s="181"/>
      <c r="BQ252" s="181"/>
      <c r="BR252" s="181"/>
      <c r="BS252" s="181"/>
      <c r="BT252" s="181"/>
      <c r="BU252" s="181"/>
      <c r="BV252" s="181"/>
      <c r="BW252" s="181"/>
      <c r="BX252" s="181"/>
      <c r="BY252" s="181"/>
      <c r="BZ252" s="181"/>
      <c r="CA252" s="190">
        <v>46281.666666666701</v>
      </c>
      <c r="CB252" s="3"/>
      <c r="CC252" s="16"/>
      <c r="CD252" s="16"/>
      <c r="CE252" s="16"/>
      <c r="CF252" s="16"/>
      <c r="CG252" s="16"/>
      <c r="CH252" s="16"/>
      <c r="CI252" s="16" t="s">
        <v>2656</v>
      </c>
    </row>
    <row r="253" spans="1:87">
      <c r="A253" s="16"/>
      <c r="B253" s="16"/>
      <c r="C253" s="3">
        <v>46272</v>
      </c>
      <c r="D253" s="26" t="s">
        <v>14</v>
      </c>
      <c r="E253" s="180" t="s">
        <v>2657</v>
      </c>
      <c r="F253" s="181">
        <v>2026197420417</v>
      </c>
      <c r="G253" s="181">
        <v>40</v>
      </c>
      <c r="H253" s="181">
        <v>53</v>
      </c>
      <c r="I253" s="181" t="s">
        <v>559</v>
      </c>
      <c r="J253" s="181" t="s">
        <v>2657</v>
      </c>
      <c r="K253" s="181" t="s">
        <v>648</v>
      </c>
      <c r="L253" s="181" t="s">
        <v>17</v>
      </c>
      <c r="M253" s="181">
        <v>26</v>
      </c>
      <c r="N253" s="181" t="s">
        <v>462</v>
      </c>
      <c r="O253" s="181" t="s">
        <v>606</v>
      </c>
      <c r="P253" s="181">
        <v>972186360</v>
      </c>
      <c r="Q253" s="181" t="s">
        <v>465</v>
      </c>
      <c r="R253" s="181" t="s">
        <v>466</v>
      </c>
      <c r="S253" s="181" t="s">
        <v>2658</v>
      </c>
      <c r="T253" s="181" t="s">
        <v>1418</v>
      </c>
      <c r="U253" s="182">
        <v>46245.728472222225</v>
      </c>
      <c r="V253" s="181" t="s">
        <v>469</v>
      </c>
      <c r="W253" s="181" t="s">
        <v>589</v>
      </c>
      <c r="X253" s="181" t="s">
        <v>471</v>
      </c>
      <c r="Y253" s="181" t="s">
        <v>523</v>
      </c>
      <c r="Z253" s="181" t="s">
        <v>612</v>
      </c>
      <c r="AA253" s="181" t="s">
        <v>474</v>
      </c>
      <c r="AB253" s="181" t="s">
        <v>1419</v>
      </c>
      <c r="AC253" s="181" t="s">
        <v>614</v>
      </c>
      <c r="AD253" s="181">
        <v>222519596</v>
      </c>
      <c r="AE253" s="181">
        <v>1548210198</v>
      </c>
      <c r="AF253" s="181">
        <v>1891938395</v>
      </c>
      <c r="AG253" s="181"/>
      <c r="AH253" s="181"/>
      <c r="AI253" s="181" t="s">
        <v>201</v>
      </c>
      <c r="AJ253" s="181" t="s">
        <v>481</v>
      </c>
      <c r="AK253" s="181" t="s">
        <v>2659</v>
      </c>
      <c r="AL253" s="181">
        <v>19365</v>
      </c>
      <c r="AM253" s="181"/>
      <c r="AN253" s="181"/>
      <c r="AO253" s="181">
        <v>972</v>
      </c>
      <c r="AP253" s="181" t="s">
        <v>485</v>
      </c>
      <c r="AQ253" s="181" t="s">
        <v>2660</v>
      </c>
      <c r="AR253" s="183">
        <v>46246</v>
      </c>
      <c r="AS253" s="181" t="s">
        <v>201</v>
      </c>
      <c r="AT253" s="181" t="s">
        <v>835</v>
      </c>
      <c r="AU253" s="181"/>
      <c r="AV253" s="181" t="s">
        <v>2661</v>
      </c>
      <c r="AW253" s="181"/>
      <c r="AX253" s="181"/>
      <c r="AY253" s="181"/>
      <c r="AZ253" s="181"/>
      <c r="BA253" s="181"/>
      <c r="BB253" s="181"/>
      <c r="BC253" s="181"/>
      <c r="BD253" s="181" t="s">
        <v>201</v>
      </c>
      <c r="BE253" s="181">
        <v>53</v>
      </c>
      <c r="BF253" s="181"/>
      <c r="BG253" s="181"/>
      <c r="BH253" s="181" t="s">
        <v>491</v>
      </c>
      <c r="BI253" s="181">
        <v>2645886</v>
      </c>
      <c r="BJ253" s="181"/>
      <c r="BK253" s="181"/>
      <c r="BL253" s="181"/>
      <c r="BM253" s="181"/>
      <c r="BN253" s="181"/>
      <c r="BO253" s="181"/>
      <c r="BP253" s="181"/>
      <c r="BQ253" s="181"/>
      <c r="BR253" s="181"/>
      <c r="BS253" s="181"/>
      <c r="BT253" s="181"/>
      <c r="BU253" s="181"/>
      <c r="BV253" s="181"/>
      <c r="BW253" s="181"/>
      <c r="BX253" s="181"/>
      <c r="BY253" s="181"/>
      <c r="BZ253" s="181"/>
      <c r="CA253" s="190"/>
      <c r="CB253" s="3"/>
      <c r="CC253" s="16"/>
      <c r="CD253" s="16"/>
      <c r="CE253" s="16"/>
      <c r="CF253" s="16"/>
      <c r="CG253" s="16"/>
      <c r="CH253" s="16"/>
      <c r="CI253" s="16" t="s">
        <v>2662</v>
      </c>
    </row>
    <row r="254" spans="1:87">
      <c r="A254" s="16"/>
      <c r="B254" s="16"/>
      <c r="C254" s="3">
        <v>46272</v>
      </c>
      <c r="D254" s="26" t="s">
        <v>14</v>
      </c>
      <c r="E254" s="180" t="s">
        <v>131</v>
      </c>
      <c r="F254" s="181">
        <v>2026203750228</v>
      </c>
      <c r="G254" s="181">
        <v>40</v>
      </c>
      <c r="H254" s="181">
        <v>47</v>
      </c>
      <c r="I254" s="181" t="s">
        <v>559</v>
      </c>
      <c r="J254" s="181" t="s">
        <v>131</v>
      </c>
      <c r="K254" s="181" t="s">
        <v>691</v>
      </c>
      <c r="L254" s="181" t="s">
        <v>13</v>
      </c>
      <c r="M254" s="181">
        <v>7</v>
      </c>
      <c r="N254" s="181" t="s">
        <v>462</v>
      </c>
      <c r="O254" s="181" t="s">
        <v>606</v>
      </c>
      <c r="P254" s="181" t="s">
        <v>2663</v>
      </c>
      <c r="Q254" s="181" t="s">
        <v>465</v>
      </c>
      <c r="R254" s="181" t="s">
        <v>466</v>
      </c>
      <c r="S254" s="181" t="s">
        <v>2664</v>
      </c>
      <c r="T254" s="181" t="s">
        <v>2665</v>
      </c>
      <c r="U254" s="182">
        <v>46265.074999999997</v>
      </c>
      <c r="V254" s="181" t="s">
        <v>469</v>
      </c>
      <c r="W254" s="181" t="s">
        <v>568</v>
      </c>
      <c r="X254" s="181" t="s">
        <v>471</v>
      </c>
      <c r="Y254" s="181" t="s">
        <v>569</v>
      </c>
      <c r="Z254" s="181" t="s">
        <v>731</v>
      </c>
      <c r="AA254" s="181" t="s">
        <v>474</v>
      </c>
      <c r="AB254" s="181" t="s">
        <v>2666</v>
      </c>
      <c r="AC254" s="181" t="s">
        <v>733</v>
      </c>
      <c r="AD254" s="181">
        <v>430653611</v>
      </c>
      <c r="AE254" s="181">
        <v>1356381842</v>
      </c>
      <c r="AF254" s="181">
        <v>1255330650</v>
      </c>
      <c r="AG254" s="181"/>
      <c r="AH254" s="181"/>
      <c r="AI254" s="181" t="s">
        <v>128</v>
      </c>
      <c r="AJ254" s="181" t="s">
        <v>481</v>
      </c>
      <c r="AK254" s="181" t="s">
        <v>2667</v>
      </c>
      <c r="AL254" s="181">
        <v>12940</v>
      </c>
      <c r="AM254" s="181"/>
      <c r="AN254" s="181"/>
      <c r="AO254" s="181">
        <v>211</v>
      </c>
      <c r="AP254" s="181" t="s">
        <v>485</v>
      </c>
      <c r="AQ254" s="181" t="s">
        <v>2668</v>
      </c>
      <c r="AR254" s="183">
        <v>46265</v>
      </c>
      <c r="AS254" s="181" t="s">
        <v>128</v>
      </c>
      <c r="AT254" s="181" t="s">
        <v>2669</v>
      </c>
      <c r="AU254" s="181"/>
      <c r="AV254" s="181" t="s">
        <v>2670</v>
      </c>
      <c r="AW254" s="181"/>
      <c r="AX254" s="181"/>
      <c r="AY254" s="181"/>
      <c r="AZ254" s="181"/>
      <c r="BA254" s="181"/>
      <c r="BB254" s="181"/>
      <c r="BC254" s="181"/>
      <c r="BD254" s="181" t="s">
        <v>128</v>
      </c>
      <c r="BE254" s="181">
        <v>42</v>
      </c>
      <c r="BF254" s="181" t="s">
        <v>2671</v>
      </c>
      <c r="BG254" s="181"/>
      <c r="BH254" s="181" t="s">
        <v>491</v>
      </c>
      <c r="BI254" s="181" t="s">
        <v>2663</v>
      </c>
      <c r="BJ254" s="181"/>
      <c r="BK254" s="181"/>
      <c r="BL254" s="181"/>
      <c r="BM254" s="181"/>
      <c r="BN254" s="181"/>
      <c r="BO254" s="181"/>
      <c r="BP254" s="181"/>
      <c r="BQ254" s="181"/>
      <c r="BR254" s="181"/>
      <c r="BS254" s="181"/>
      <c r="BT254" s="181"/>
      <c r="BU254" s="181"/>
      <c r="BV254" s="181"/>
      <c r="BW254" s="181"/>
      <c r="BX254" s="181"/>
      <c r="BY254" s="181"/>
      <c r="BZ254" s="181"/>
      <c r="CA254" s="190"/>
      <c r="CB254" s="3"/>
      <c r="CC254" s="16"/>
      <c r="CD254" s="16"/>
      <c r="CE254" s="16"/>
      <c r="CF254" s="16"/>
      <c r="CG254" s="16"/>
      <c r="CH254" s="16"/>
      <c r="CI254" s="16" t="s">
        <v>2672</v>
      </c>
    </row>
    <row r="255" spans="1:87">
      <c r="A255" s="16"/>
      <c r="B255" s="16"/>
      <c r="C255" s="3">
        <v>46272</v>
      </c>
      <c r="D255" s="26" t="s">
        <v>14</v>
      </c>
      <c r="E255" s="180" t="s">
        <v>2673</v>
      </c>
      <c r="F255" s="181">
        <v>2026202230411</v>
      </c>
      <c r="G255" s="181">
        <v>40</v>
      </c>
      <c r="H255" s="181">
        <v>48</v>
      </c>
      <c r="I255" s="181" t="s">
        <v>559</v>
      </c>
      <c r="J255" s="181" t="s">
        <v>2673</v>
      </c>
      <c r="K255" s="181" t="s">
        <v>729</v>
      </c>
      <c r="L255" s="181" t="s">
        <v>13</v>
      </c>
      <c r="M255" s="181">
        <v>21</v>
      </c>
      <c r="N255" s="181" t="s">
        <v>462</v>
      </c>
      <c r="O255" s="181" t="s">
        <v>606</v>
      </c>
      <c r="P255" s="181" t="s">
        <v>2674</v>
      </c>
      <c r="Q255" s="181" t="s">
        <v>465</v>
      </c>
      <c r="R255" s="181" t="s">
        <v>466</v>
      </c>
      <c r="S255" s="181" t="s">
        <v>2675</v>
      </c>
      <c r="T255" s="181" t="s">
        <v>465</v>
      </c>
      <c r="U255" s="182">
        <v>46250.738888888889</v>
      </c>
      <c r="V255" s="181" t="s">
        <v>469</v>
      </c>
      <c r="W255" s="181" t="s">
        <v>470</v>
      </c>
      <c r="X255" s="181" t="s">
        <v>471</v>
      </c>
      <c r="Y255" s="181" t="s">
        <v>472</v>
      </c>
      <c r="Z255" s="181" t="s">
        <v>1338</v>
      </c>
      <c r="AA255" s="181" t="s">
        <v>474</v>
      </c>
      <c r="AB255" s="181" t="s">
        <v>2676</v>
      </c>
      <c r="AC255" s="181" t="s">
        <v>1429</v>
      </c>
      <c r="AD255" s="181">
        <v>61310502</v>
      </c>
      <c r="AE255" s="181">
        <v>1558494575</v>
      </c>
      <c r="AF255" s="181">
        <v>1497790026</v>
      </c>
      <c r="AG255" s="181"/>
      <c r="AH255" s="181" t="s">
        <v>1076</v>
      </c>
      <c r="AI255" s="181" t="s">
        <v>66</v>
      </c>
      <c r="AJ255" s="181" t="s">
        <v>481</v>
      </c>
      <c r="AK255" s="181" t="s">
        <v>2677</v>
      </c>
      <c r="AL255" s="181">
        <v>3000</v>
      </c>
      <c r="AM255" s="181"/>
      <c r="AN255" s="181"/>
      <c r="AO255" s="181">
        <v>635</v>
      </c>
      <c r="AP255" s="181" t="s">
        <v>485</v>
      </c>
      <c r="AQ255" s="181" t="s">
        <v>2678</v>
      </c>
      <c r="AR255" s="183">
        <v>46251</v>
      </c>
      <c r="AS255" s="181" t="s">
        <v>66</v>
      </c>
      <c r="AT255" s="181" t="s">
        <v>1953</v>
      </c>
      <c r="AU255" s="181"/>
      <c r="AV255" s="181" t="s">
        <v>2679</v>
      </c>
      <c r="AW255" s="181"/>
      <c r="AX255" s="181"/>
      <c r="AY255" s="181"/>
      <c r="AZ255" s="181"/>
      <c r="BA255" s="181"/>
      <c r="BB255" s="181"/>
      <c r="BC255" s="181"/>
      <c r="BD255" s="181" t="s">
        <v>66</v>
      </c>
      <c r="BE255" s="181">
        <v>48</v>
      </c>
      <c r="BF255" s="181"/>
      <c r="BG255" s="181"/>
      <c r="BH255" s="181" t="s">
        <v>491</v>
      </c>
      <c r="BI255" s="181">
        <v>43664812</v>
      </c>
      <c r="BJ255" s="181"/>
      <c r="BK255" s="181"/>
      <c r="BL255" s="181"/>
      <c r="BM255" s="181"/>
      <c r="BN255" s="181"/>
      <c r="BO255" s="181"/>
      <c r="BP255" s="181"/>
      <c r="BQ255" s="181"/>
      <c r="BR255" s="181"/>
      <c r="BS255" s="181"/>
      <c r="BT255" s="181"/>
      <c r="BU255" s="181"/>
      <c r="BV255" s="181"/>
      <c r="BW255" s="181"/>
      <c r="BX255" s="181"/>
      <c r="BY255" s="181"/>
      <c r="BZ255" s="181"/>
      <c r="CA255" s="190"/>
      <c r="CB255" s="3"/>
      <c r="CC255" s="16"/>
      <c r="CD255" s="16"/>
      <c r="CE255" s="16"/>
      <c r="CF255" s="16"/>
      <c r="CG255" s="16"/>
      <c r="CH255" s="16"/>
      <c r="CI255" s="16" t="s">
        <v>2680</v>
      </c>
    </row>
    <row r="256" spans="1:87" ht="29.25">
      <c r="A256" s="16" t="s">
        <v>5</v>
      </c>
      <c r="B256" s="25" t="s">
        <v>2112</v>
      </c>
      <c r="C256" s="3">
        <v>46272</v>
      </c>
      <c r="D256" s="26" t="s">
        <v>14</v>
      </c>
      <c r="E256" s="180" t="s">
        <v>2681</v>
      </c>
      <c r="F256" s="181">
        <v>2026202380124</v>
      </c>
      <c r="G256" s="181">
        <v>40</v>
      </c>
      <c r="H256" s="181">
        <v>48</v>
      </c>
      <c r="I256" s="181" t="s">
        <v>559</v>
      </c>
      <c r="J256" s="181" t="s">
        <v>2681</v>
      </c>
      <c r="K256" s="181" t="s">
        <v>1040</v>
      </c>
      <c r="L256" s="181" t="s">
        <v>17</v>
      </c>
      <c r="M256" s="181">
        <v>24</v>
      </c>
      <c r="N256" s="181" t="s">
        <v>462</v>
      </c>
      <c r="O256" s="181" t="s">
        <v>606</v>
      </c>
      <c r="P256" s="181" t="s">
        <v>2682</v>
      </c>
      <c r="Q256" s="181" t="s">
        <v>465</v>
      </c>
      <c r="R256" s="181" t="s">
        <v>466</v>
      </c>
      <c r="S256" s="181" t="s">
        <v>2683</v>
      </c>
      <c r="T256" s="181" t="s">
        <v>465</v>
      </c>
      <c r="U256" s="182">
        <v>46247.76458333333</v>
      </c>
      <c r="V256" s="181" t="s">
        <v>469</v>
      </c>
      <c r="W256" s="181" t="s">
        <v>470</v>
      </c>
      <c r="X256" s="181" t="s">
        <v>471</v>
      </c>
      <c r="Y256" s="181" t="s">
        <v>472</v>
      </c>
      <c r="Z256" s="181" t="s">
        <v>473</v>
      </c>
      <c r="AA256" s="181" t="s">
        <v>474</v>
      </c>
      <c r="AB256" s="181" t="s">
        <v>2684</v>
      </c>
      <c r="AC256" s="181" t="s">
        <v>476</v>
      </c>
      <c r="AD256" s="181">
        <v>391130341</v>
      </c>
      <c r="AE256" s="181">
        <v>1902850696</v>
      </c>
      <c r="AF256" s="181">
        <v>1013307297</v>
      </c>
      <c r="AG256" s="181"/>
      <c r="AH256" s="181"/>
      <c r="AI256" s="181" t="s">
        <v>173</v>
      </c>
      <c r="AJ256" s="181" t="s">
        <v>481</v>
      </c>
      <c r="AK256" s="181" t="s">
        <v>2685</v>
      </c>
      <c r="AL256" s="181">
        <v>14611</v>
      </c>
      <c r="AM256" s="181"/>
      <c r="AN256" s="181"/>
      <c r="AO256" s="181">
        <v>656</v>
      </c>
      <c r="AP256" s="181" t="s">
        <v>485</v>
      </c>
      <c r="AQ256" s="181" t="s">
        <v>2686</v>
      </c>
      <c r="AR256" s="183">
        <v>46248</v>
      </c>
      <c r="AS256" s="181" t="s">
        <v>173</v>
      </c>
      <c r="AT256" s="181" t="s">
        <v>1047</v>
      </c>
      <c r="AU256" s="181"/>
      <c r="AV256" s="181" t="s">
        <v>2687</v>
      </c>
      <c r="AW256" s="181"/>
      <c r="AX256" s="181"/>
      <c r="AY256" s="181"/>
      <c r="AZ256" s="181"/>
      <c r="BA256" s="181"/>
      <c r="BB256" s="181"/>
      <c r="BC256" s="181"/>
      <c r="BD256" s="181" t="s">
        <v>173</v>
      </c>
      <c r="BE256" s="181">
        <v>48</v>
      </c>
      <c r="BF256" s="181"/>
      <c r="BG256" s="181"/>
      <c r="BH256" s="181" t="s">
        <v>491</v>
      </c>
      <c r="BI256" s="181">
        <v>263695678</v>
      </c>
      <c r="BJ256" s="181"/>
      <c r="BK256" s="181"/>
      <c r="BL256" s="181"/>
      <c r="BM256" s="181"/>
      <c r="BN256" s="181"/>
      <c r="BO256" s="181"/>
      <c r="BP256" s="181"/>
      <c r="BQ256" s="181"/>
      <c r="BR256" s="181"/>
      <c r="BS256" s="181"/>
      <c r="BT256" s="181"/>
      <c r="BU256" s="181"/>
      <c r="BV256" s="181"/>
      <c r="BW256" s="181"/>
      <c r="BX256" s="181"/>
      <c r="BY256" s="181"/>
      <c r="BZ256" s="181"/>
      <c r="CA256" s="190">
        <v>46282.666666666701</v>
      </c>
      <c r="CB256" s="3"/>
      <c r="CC256" s="16"/>
      <c r="CD256" s="16"/>
      <c r="CE256" s="16"/>
      <c r="CF256" s="16"/>
      <c r="CG256" s="16"/>
      <c r="CH256" s="16"/>
      <c r="CI256" s="16" t="s">
        <v>2688</v>
      </c>
    </row>
    <row r="257" spans="1:87">
      <c r="A257" s="16" t="s">
        <v>5</v>
      </c>
      <c r="B257" s="16" t="s">
        <v>2689</v>
      </c>
      <c r="C257" s="3">
        <v>46272</v>
      </c>
      <c r="D257" s="26" t="s">
        <v>14</v>
      </c>
      <c r="E257" s="180" t="s">
        <v>2690</v>
      </c>
      <c r="F257" s="181">
        <v>2026196560003</v>
      </c>
      <c r="G257" s="181">
        <v>40</v>
      </c>
      <c r="H257" s="181">
        <v>54</v>
      </c>
      <c r="I257" s="181" t="s">
        <v>559</v>
      </c>
      <c r="J257" s="181" t="s">
        <v>2690</v>
      </c>
      <c r="K257" s="181" t="s">
        <v>662</v>
      </c>
      <c r="L257" s="181" t="s">
        <v>13</v>
      </c>
      <c r="M257" s="181">
        <v>12</v>
      </c>
      <c r="N257" s="181" t="s">
        <v>462</v>
      </c>
      <c r="O257" s="181" t="s">
        <v>562</v>
      </c>
      <c r="P257" s="181" t="s">
        <v>2691</v>
      </c>
      <c r="Q257" s="181" t="s">
        <v>465</v>
      </c>
      <c r="R257" s="181" t="s">
        <v>466</v>
      </c>
      <c r="S257" s="181" t="s">
        <v>2692</v>
      </c>
      <c r="T257" s="181" t="s">
        <v>465</v>
      </c>
      <c r="U257" s="182">
        <v>46259.95416666667</v>
      </c>
      <c r="V257" s="181" t="s">
        <v>469</v>
      </c>
      <c r="W257" s="181" t="s">
        <v>589</v>
      </c>
      <c r="X257" s="181" t="s">
        <v>471</v>
      </c>
      <c r="Y257" s="181" t="s">
        <v>472</v>
      </c>
      <c r="Z257" s="181" t="s">
        <v>590</v>
      </c>
      <c r="AA257" s="181" t="s">
        <v>474</v>
      </c>
      <c r="AB257" s="181" t="s">
        <v>2693</v>
      </c>
      <c r="AC257" s="181" t="s">
        <v>592</v>
      </c>
      <c r="AD257" s="181">
        <v>30419967</v>
      </c>
      <c r="AE257" s="181">
        <v>1447539861</v>
      </c>
      <c r="AF257" s="181"/>
      <c r="AG257" s="181"/>
      <c r="AH257" s="181" t="s">
        <v>1076</v>
      </c>
      <c r="AI257" s="181" t="s">
        <v>138</v>
      </c>
      <c r="AJ257" s="181" t="s">
        <v>481</v>
      </c>
      <c r="AK257" s="181" t="s">
        <v>2694</v>
      </c>
      <c r="AL257" s="181">
        <v>79466</v>
      </c>
      <c r="AM257" s="181"/>
      <c r="AN257" s="181"/>
      <c r="AO257" s="181">
        <v>522</v>
      </c>
      <c r="AP257" s="181" t="s">
        <v>485</v>
      </c>
      <c r="AQ257" s="181" t="s">
        <v>2695</v>
      </c>
      <c r="AR257" s="183">
        <v>46260</v>
      </c>
      <c r="AS257" s="181" t="s">
        <v>138</v>
      </c>
      <c r="AT257" s="181" t="s">
        <v>2696</v>
      </c>
      <c r="AU257" s="181"/>
      <c r="AV257" s="181" t="s">
        <v>1623</v>
      </c>
      <c r="AW257" s="181"/>
      <c r="AX257" s="181"/>
      <c r="AY257" s="181"/>
      <c r="AZ257" s="181"/>
      <c r="BA257" s="181"/>
      <c r="BB257" s="181"/>
      <c r="BC257" s="181"/>
      <c r="BD257" s="181" t="s">
        <v>138</v>
      </c>
      <c r="BE257" s="181">
        <v>54</v>
      </c>
      <c r="BF257" s="181"/>
      <c r="BG257" s="181"/>
      <c r="BH257" s="181" t="s">
        <v>491</v>
      </c>
      <c r="BI257" s="181">
        <v>522379819</v>
      </c>
      <c r="BJ257" s="181"/>
      <c r="BK257" s="181"/>
      <c r="BL257" s="181"/>
      <c r="BM257" s="181"/>
      <c r="BN257" s="181"/>
      <c r="BO257" s="181"/>
      <c r="BP257" s="181"/>
      <c r="BQ257" s="181"/>
      <c r="BR257" s="181"/>
      <c r="BS257" s="181"/>
      <c r="BT257" s="181"/>
      <c r="BU257" s="181"/>
      <c r="BV257" s="181"/>
      <c r="BW257" s="181"/>
      <c r="BX257" s="181"/>
      <c r="BY257" s="181"/>
      <c r="BZ257" s="181"/>
      <c r="CA257" s="190">
        <v>46281.166666666701</v>
      </c>
      <c r="CB257" s="3"/>
      <c r="CC257" s="16"/>
      <c r="CD257" s="16"/>
      <c r="CE257" s="16"/>
      <c r="CF257" s="16"/>
      <c r="CG257" s="16"/>
      <c r="CH257" s="16"/>
      <c r="CI257" s="16" t="s">
        <v>2697</v>
      </c>
    </row>
    <row r="258" spans="1:87">
      <c r="A258" s="16" t="s">
        <v>5</v>
      </c>
      <c r="B258" s="16" t="s">
        <v>516</v>
      </c>
      <c r="C258" s="3">
        <v>46272</v>
      </c>
      <c r="D258" s="26" t="s">
        <v>14</v>
      </c>
      <c r="E258" s="180" t="s">
        <v>2698</v>
      </c>
      <c r="F258" s="181">
        <v>2026192770258</v>
      </c>
      <c r="G258" s="181">
        <v>40</v>
      </c>
      <c r="H258" s="181">
        <v>58</v>
      </c>
      <c r="I258" s="181" t="s">
        <v>559</v>
      </c>
      <c r="J258" s="181" t="s">
        <v>2698</v>
      </c>
      <c r="K258" s="181" t="s">
        <v>518</v>
      </c>
      <c r="L258" s="181" t="s">
        <v>17</v>
      </c>
      <c r="M258" s="181">
        <v>31</v>
      </c>
      <c r="N258" s="181" t="s">
        <v>462</v>
      </c>
      <c r="O258" s="181" t="s">
        <v>606</v>
      </c>
      <c r="P258" s="181" t="s">
        <v>2699</v>
      </c>
      <c r="Q258" s="181" t="s">
        <v>465</v>
      </c>
      <c r="R258" s="181" t="s">
        <v>466</v>
      </c>
      <c r="S258" s="181" t="s">
        <v>2700</v>
      </c>
      <c r="T258" s="181" t="s">
        <v>465</v>
      </c>
      <c r="U258" s="182">
        <v>46240.79791666667</v>
      </c>
      <c r="V258" s="181" t="s">
        <v>469</v>
      </c>
      <c r="W258" s="181" t="s">
        <v>470</v>
      </c>
      <c r="X258" s="181" t="s">
        <v>471</v>
      </c>
      <c r="Y258" s="181" t="s">
        <v>472</v>
      </c>
      <c r="Z258" s="181" t="s">
        <v>473</v>
      </c>
      <c r="AA258" s="181" t="s">
        <v>474</v>
      </c>
      <c r="AB258" s="181" t="s">
        <v>2701</v>
      </c>
      <c r="AC258" s="181" t="s">
        <v>476</v>
      </c>
      <c r="AD258" s="181">
        <v>390806261</v>
      </c>
      <c r="AE258" s="181">
        <v>1699720086</v>
      </c>
      <c r="AF258" s="181">
        <v>1801282280</v>
      </c>
      <c r="AG258" s="181"/>
      <c r="AH258" s="181"/>
      <c r="AI258" s="181" t="s">
        <v>87</v>
      </c>
      <c r="AJ258" s="181" t="s">
        <v>481</v>
      </c>
      <c r="AK258" s="181" t="s">
        <v>2702</v>
      </c>
      <c r="AL258" s="181">
        <v>73154</v>
      </c>
      <c r="AM258" s="181"/>
      <c r="AN258" s="181"/>
      <c r="AO258" s="181">
        <v>962</v>
      </c>
      <c r="AP258" s="181" t="s">
        <v>485</v>
      </c>
      <c r="AQ258" s="181" t="s">
        <v>2703</v>
      </c>
      <c r="AR258" s="183">
        <v>46241</v>
      </c>
      <c r="AS258" s="181" t="s">
        <v>87</v>
      </c>
      <c r="AT258" s="181" t="s">
        <v>2704</v>
      </c>
      <c r="AU258" s="181"/>
      <c r="AV258" s="181" t="s">
        <v>2705</v>
      </c>
      <c r="AW258" s="181"/>
      <c r="AX258" s="181"/>
      <c r="AY258" s="181"/>
      <c r="AZ258" s="181"/>
      <c r="BA258" s="181"/>
      <c r="BB258" s="181"/>
      <c r="BC258" s="181"/>
      <c r="BD258" s="181" t="s">
        <v>87</v>
      </c>
      <c r="BE258" s="181">
        <v>58</v>
      </c>
      <c r="BF258" s="181"/>
      <c r="BG258" s="181"/>
      <c r="BH258" s="181" t="s">
        <v>491</v>
      </c>
      <c r="BI258" s="181">
        <v>392134047</v>
      </c>
      <c r="BJ258" s="181"/>
      <c r="BK258" s="181"/>
      <c r="BL258" s="181"/>
      <c r="BM258" s="181"/>
      <c r="BN258" s="181"/>
      <c r="BO258" s="181"/>
      <c r="BP258" s="181"/>
      <c r="BQ258" s="181"/>
      <c r="BR258" s="181"/>
      <c r="BS258" s="181"/>
      <c r="BT258" s="181"/>
      <c r="BU258" s="181"/>
      <c r="BV258" s="181"/>
      <c r="BW258" s="181"/>
      <c r="BX258" s="181"/>
      <c r="BY258" s="181"/>
      <c r="BZ258" s="181"/>
      <c r="CA258" s="190">
        <v>46274.666666666701</v>
      </c>
      <c r="CB258" s="3"/>
      <c r="CC258" s="16"/>
      <c r="CD258" s="16"/>
      <c r="CE258" s="16"/>
      <c r="CF258" s="16"/>
      <c r="CG258" s="16"/>
      <c r="CH258" s="16"/>
      <c r="CI258" s="16" t="s">
        <v>2706</v>
      </c>
    </row>
    <row r="259" spans="1:87">
      <c r="A259" s="16"/>
      <c r="B259" s="16"/>
      <c r="C259" s="3">
        <v>46272</v>
      </c>
      <c r="D259" s="26" t="s">
        <v>14</v>
      </c>
      <c r="E259" s="180" t="s">
        <v>2707</v>
      </c>
      <c r="F259" s="181">
        <v>2026206870155</v>
      </c>
      <c r="G259" s="181">
        <v>40</v>
      </c>
      <c r="H259" s="181">
        <v>46</v>
      </c>
      <c r="I259" s="181" t="s">
        <v>559</v>
      </c>
      <c r="J259" s="181" t="s">
        <v>2707</v>
      </c>
      <c r="K259" s="181" t="s">
        <v>895</v>
      </c>
      <c r="L259" s="181" t="s">
        <v>18</v>
      </c>
      <c r="M259" s="181">
        <v>14</v>
      </c>
      <c r="N259" s="181" t="s">
        <v>462</v>
      </c>
      <c r="O259" s="181" t="s">
        <v>606</v>
      </c>
      <c r="P259" s="181" t="s">
        <v>2708</v>
      </c>
      <c r="Q259" s="181" t="s">
        <v>465</v>
      </c>
      <c r="R259" s="181" t="s">
        <v>466</v>
      </c>
      <c r="S259" s="181" t="s">
        <v>2709</v>
      </c>
      <c r="T259" s="181" t="s">
        <v>465</v>
      </c>
      <c r="U259" s="182">
        <v>46257.92291666667</v>
      </c>
      <c r="V259" s="181" t="s">
        <v>469</v>
      </c>
      <c r="W259" s="181" t="s">
        <v>470</v>
      </c>
      <c r="X259" s="181" t="s">
        <v>471</v>
      </c>
      <c r="Y259" s="181" t="s">
        <v>472</v>
      </c>
      <c r="Z259" s="181" t="s">
        <v>731</v>
      </c>
      <c r="AA259" s="181" t="s">
        <v>474</v>
      </c>
      <c r="AB259" s="181" t="s">
        <v>2710</v>
      </c>
      <c r="AC259" s="181" t="s">
        <v>733</v>
      </c>
      <c r="AD259" s="181">
        <v>436003859</v>
      </c>
      <c r="AE259" s="181">
        <v>1699769901</v>
      </c>
      <c r="AF259" s="181"/>
      <c r="AG259" s="181"/>
      <c r="AH259" s="181"/>
      <c r="AI259" s="181" t="s">
        <v>20</v>
      </c>
      <c r="AJ259" s="181" t="s">
        <v>481</v>
      </c>
      <c r="AK259" s="181" t="s">
        <v>2711</v>
      </c>
      <c r="AL259" s="181">
        <v>52443.95</v>
      </c>
      <c r="AM259" s="181"/>
      <c r="AN259" s="181"/>
      <c r="AO259" s="181">
        <v>425</v>
      </c>
      <c r="AP259" s="181" t="s">
        <v>485</v>
      </c>
      <c r="AQ259" s="181" t="s">
        <v>2712</v>
      </c>
      <c r="AR259" s="183">
        <v>46258</v>
      </c>
      <c r="AS259" s="181" t="s">
        <v>20</v>
      </c>
      <c r="AT259" s="181" t="s">
        <v>2713</v>
      </c>
      <c r="AU259" s="181"/>
      <c r="AV259" s="181" t="s">
        <v>2714</v>
      </c>
      <c r="AW259" s="181"/>
      <c r="AX259" s="181"/>
      <c r="AY259" s="181"/>
      <c r="AZ259" s="181"/>
      <c r="BA259" s="181"/>
      <c r="BB259" s="181"/>
      <c r="BC259" s="181"/>
      <c r="BD259" s="181" t="s">
        <v>20</v>
      </c>
      <c r="BE259" s="181">
        <v>44</v>
      </c>
      <c r="BF259" s="181"/>
      <c r="BG259" s="181"/>
      <c r="BH259" s="181" t="s">
        <v>491</v>
      </c>
      <c r="BI259" s="181">
        <v>494968431</v>
      </c>
      <c r="BJ259" s="181"/>
      <c r="BK259" s="181"/>
      <c r="BL259" s="181"/>
      <c r="BM259" s="181"/>
      <c r="BN259" s="181"/>
      <c r="BO259" s="181"/>
      <c r="BP259" s="181"/>
      <c r="BQ259" s="181"/>
      <c r="BR259" s="181"/>
      <c r="BS259" s="181"/>
      <c r="BT259" s="181"/>
      <c r="BU259" s="181"/>
      <c r="BV259" s="181"/>
      <c r="BW259" s="181"/>
      <c r="BX259" s="181"/>
      <c r="BY259" s="181"/>
      <c r="BZ259" s="181"/>
      <c r="CA259" s="190"/>
      <c r="CB259" s="3"/>
      <c r="CC259" s="16"/>
      <c r="CD259" s="16"/>
      <c r="CE259" s="16"/>
      <c r="CF259" s="16"/>
      <c r="CG259" s="16"/>
      <c r="CH259" s="16"/>
      <c r="CI259" s="16" t="s">
        <v>2715</v>
      </c>
    </row>
    <row r="260" spans="1:87">
      <c r="A260" s="16"/>
      <c r="B260" s="16"/>
      <c r="C260" s="3">
        <v>46272</v>
      </c>
      <c r="D260" s="26" t="s">
        <v>14</v>
      </c>
      <c r="E260" s="180" t="s">
        <v>2716</v>
      </c>
      <c r="F260" s="181">
        <v>2026199950396</v>
      </c>
      <c r="G260" s="181">
        <v>40</v>
      </c>
      <c r="H260" s="181">
        <v>51</v>
      </c>
      <c r="I260" s="181" t="s">
        <v>559</v>
      </c>
      <c r="J260" s="181" t="s">
        <v>2716</v>
      </c>
      <c r="K260" s="181" t="s">
        <v>729</v>
      </c>
      <c r="L260" s="181" t="s">
        <v>13</v>
      </c>
      <c r="M260" s="181">
        <v>25</v>
      </c>
      <c r="N260" s="181" t="s">
        <v>462</v>
      </c>
      <c r="O260" s="181" t="s">
        <v>606</v>
      </c>
      <c r="P260" s="181" t="s">
        <v>2717</v>
      </c>
      <c r="Q260" s="181" t="s">
        <v>465</v>
      </c>
      <c r="R260" s="181" t="s">
        <v>466</v>
      </c>
      <c r="S260" s="181" t="s">
        <v>2718</v>
      </c>
      <c r="T260" s="181" t="s">
        <v>465</v>
      </c>
      <c r="U260" s="182">
        <v>46246.789583333331</v>
      </c>
      <c r="V260" s="181" t="s">
        <v>469</v>
      </c>
      <c r="W260" s="181" t="s">
        <v>470</v>
      </c>
      <c r="X260" s="181" t="s">
        <v>471</v>
      </c>
      <c r="Y260" s="181" t="s">
        <v>472</v>
      </c>
      <c r="Z260" s="181" t="s">
        <v>731</v>
      </c>
      <c r="AA260" s="181" t="s">
        <v>474</v>
      </c>
      <c r="AB260" s="181" t="s">
        <v>2710</v>
      </c>
      <c r="AC260" s="181" t="s">
        <v>733</v>
      </c>
      <c r="AD260" s="181">
        <v>474196634</v>
      </c>
      <c r="AE260" s="181">
        <v>1942685920</v>
      </c>
      <c r="AF260" s="181"/>
      <c r="AG260" s="181"/>
      <c r="AH260" s="181" t="s">
        <v>1076</v>
      </c>
      <c r="AI260" s="181" t="s">
        <v>66</v>
      </c>
      <c r="AJ260" s="181" t="s">
        <v>481</v>
      </c>
      <c r="AK260" s="181" t="s">
        <v>2719</v>
      </c>
      <c r="AL260" s="181">
        <v>296053.90000000002</v>
      </c>
      <c r="AM260" s="181"/>
      <c r="AN260" s="181"/>
      <c r="AO260" s="181">
        <v>788</v>
      </c>
      <c r="AP260" s="181" t="s">
        <v>485</v>
      </c>
      <c r="AQ260" s="181" t="s">
        <v>2720</v>
      </c>
      <c r="AR260" s="183">
        <v>46247</v>
      </c>
      <c r="AS260" s="181" t="s">
        <v>66</v>
      </c>
      <c r="AT260" s="181" t="s">
        <v>2721</v>
      </c>
      <c r="AU260" s="181"/>
      <c r="AV260" s="181" t="s">
        <v>844</v>
      </c>
      <c r="AW260" s="181"/>
      <c r="AX260" s="181"/>
      <c r="AY260" s="181"/>
      <c r="AZ260" s="181"/>
      <c r="BA260" s="181"/>
      <c r="BB260" s="181"/>
      <c r="BC260" s="181"/>
      <c r="BD260" s="181" t="s">
        <v>66</v>
      </c>
      <c r="BE260" s="181">
        <v>51</v>
      </c>
      <c r="BF260" s="181"/>
      <c r="BG260" s="181"/>
      <c r="BH260" s="181" t="s">
        <v>491</v>
      </c>
      <c r="BI260" s="181">
        <v>488787600</v>
      </c>
      <c r="BJ260" s="181"/>
      <c r="BK260" s="181"/>
      <c r="BL260" s="181"/>
      <c r="BM260" s="181"/>
      <c r="BN260" s="181"/>
      <c r="BO260" s="181"/>
      <c r="BP260" s="181"/>
      <c r="BQ260" s="181"/>
      <c r="BR260" s="181"/>
      <c r="BS260" s="181"/>
      <c r="BT260" s="181"/>
      <c r="BU260" s="181"/>
      <c r="BV260" s="181"/>
      <c r="BW260" s="181"/>
      <c r="BX260" s="181"/>
      <c r="BY260" s="181"/>
      <c r="BZ260" s="181"/>
      <c r="CA260" s="190"/>
      <c r="CB260" s="3"/>
      <c r="CC260" s="16"/>
      <c r="CD260" s="16"/>
      <c r="CE260" s="16"/>
      <c r="CF260" s="16"/>
      <c r="CG260" s="16"/>
      <c r="CH260" s="16"/>
      <c r="CI260" s="16" t="s">
        <v>2722</v>
      </c>
    </row>
    <row r="261" spans="1:87">
      <c r="A261" s="16"/>
      <c r="B261" s="16"/>
      <c r="C261" s="3">
        <v>46272</v>
      </c>
      <c r="D261" s="26" t="s">
        <v>14</v>
      </c>
      <c r="E261" s="180" t="s">
        <v>2723</v>
      </c>
      <c r="F261" s="181">
        <v>2026203460440</v>
      </c>
      <c r="G261" s="181">
        <v>40</v>
      </c>
      <c r="H261" s="181">
        <v>47</v>
      </c>
      <c r="I261" s="181" t="s">
        <v>559</v>
      </c>
      <c r="J261" s="181" t="s">
        <v>2723</v>
      </c>
      <c r="K261" s="181" t="s">
        <v>810</v>
      </c>
      <c r="L261" s="181" t="s">
        <v>17</v>
      </c>
      <c r="M261" s="181">
        <v>21</v>
      </c>
      <c r="N261" s="181" t="s">
        <v>462</v>
      </c>
      <c r="O261" s="181" t="s">
        <v>606</v>
      </c>
      <c r="P261" s="181">
        <v>122561852</v>
      </c>
      <c r="Q261" s="181" t="s">
        <v>465</v>
      </c>
      <c r="R261" s="181" t="s">
        <v>466</v>
      </c>
      <c r="S261" s="181" t="s">
        <v>2724</v>
      </c>
      <c r="T261" s="181" t="s">
        <v>928</v>
      </c>
      <c r="U261" s="182">
        <v>46251.091666666667</v>
      </c>
      <c r="V261" s="181" t="s">
        <v>469</v>
      </c>
      <c r="W261" s="181" t="s">
        <v>651</v>
      </c>
      <c r="X261" s="181" t="s">
        <v>652</v>
      </c>
      <c r="Y261" s="181" t="s">
        <v>653</v>
      </c>
      <c r="Z261" s="181" t="s">
        <v>544</v>
      </c>
      <c r="AA261" s="181" t="s">
        <v>474</v>
      </c>
      <c r="AB261" s="181" t="s">
        <v>929</v>
      </c>
      <c r="AC261" s="181" t="s">
        <v>546</v>
      </c>
      <c r="AD261" s="181">
        <v>260833842</v>
      </c>
      <c r="AE261" s="181">
        <v>1255475091</v>
      </c>
      <c r="AF261" s="181">
        <v>1326450594</v>
      </c>
      <c r="AG261" s="181">
        <v>1.02202532604981E+16</v>
      </c>
      <c r="AH261" s="181"/>
      <c r="AI261" s="181" t="s">
        <v>37</v>
      </c>
      <c r="AJ261" s="181" t="s">
        <v>481</v>
      </c>
      <c r="AK261" s="181" t="s">
        <v>2725</v>
      </c>
      <c r="AL261" s="181">
        <v>18159.09</v>
      </c>
      <c r="AM261" s="181"/>
      <c r="AN261" s="181"/>
      <c r="AO261" s="181">
        <v>122</v>
      </c>
      <c r="AP261" s="181" t="s">
        <v>485</v>
      </c>
      <c r="AQ261" s="181" t="s">
        <v>2726</v>
      </c>
      <c r="AR261" s="183">
        <v>46251</v>
      </c>
      <c r="AS261" s="181" t="s">
        <v>37</v>
      </c>
      <c r="AT261" s="181" t="s">
        <v>814</v>
      </c>
      <c r="AU261" s="181"/>
      <c r="AV261" s="181" t="s">
        <v>2727</v>
      </c>
      <c r="AW261" s="181"/>
      <c r="AX261" s="181"/>
      <c r="AY261" s="181"/>
      <c r="AZ261" s="181"/>
      <c r="BA261" s="181"/>
      <c r="BB261" s="181"/>
      <c r="BC261" s="181"/>
      <c r="BD261" s="181" t="s">
        <v>37</v>
      </c>
      <c r="BE261" s="181">
        <v>47</v>
      </c>
      <c r="BF261" s="181"/>
      <c r="BG261" s="181" t="s">
        <v>490</v>
      </c>
      <c r="BH261" s="181" t="s">
        <v>658</v>
      </c>
      <c r="BI261" s="181">
        <v>122561852</v>
      </c>
      <c r="BJ261" s="181"/>
      <c r="BK261" s="181"/>
      <c r="BL261" s="181"/>
      <c r="BM261" s="181"/>
      <c r="BN261" s="181"/>
      <c r="BO261" s="181"/>
      <c r="BP261" s="181"/>
      <c r="BQ261" s="181"/>
      <c r="BR261" s="181"/>
      <c r="BS261" s="181"/>
      <c r="BT261" s="181"/>
      <c r="BU261" s="181"/>
      <c r="BV261" s="181"/>
      <c r="BW261" s="181"/>
      <c r="BX261" s="181"/>
      <c r="BY261" s="181"/>
      <c r="BZ261" s="181"/>
      <c r="CA261" s="190"/>
      <c r="CB261" s="3"/>
      <c r="CC261" s="16"/>
      <c r="CD261" s="16"/>
      <c r="CE261" s="16"/>
      <c r="CF261" s="16"/>
      <c r="CG261" s="16"/>
      <c r="CH261" s="16"/>
      <c r="CI261" s="16" t="s">
        <v>2728</v>
      </c>
    </row>
    <row r="262" spans="1:87">
      <c r="A262" s="16" t="s">
        <v>5</v>
      </c>
      <c r="B262" s="16" t="s">
        <v>2729</v>
      </c>
      <c r="C262" s="3">
        <v>46272</v>
      </c>
      <c r="D262" s="26" t="s">
        <v>14</v>
      </c>
      <c r="E262" s="180" t="s">
        <v>2730</v>
      </c>
      <c r="F262" s="181">
        <v>2026203170395</v>
      </c>
      <c r="G262" s="181">
        <v>40</v>
      </c>
      <c r="H262" s="181">
        <v>47</v>
      </c>
      <c r="I262" s="181" t="s">
        <v>559</v>
      </c>
      <c r="J262" s="181" t="s">
        <v>2730</v>
      </c>
      <c r="K262" s="181" t="s">
        <v>2731</v>
      </c>
      <c r="L262" s="181" t="s">
        <v>16</v>
      </c>
      <c r="M262" s="181">
        <v>13</v>
      </c>
      <c r="N262" s="181" t="s">
        <v>462</v>
      </c>
      <c r="O262" s="181" t="s">
        <v>606</v>
      </c>
      <c r="P262" s="181">
        <v>806996057</v>
      </c>
      <c r="Q262" s="181" t="s">
        <v>465</v>
      </c>
      <c r="R262" s="181" t="s">
        <v>466</v>
      </c>
      <c r="S262" s="181" t="s">
        <v>2732</v>
      </c>
      <c r="T262" s="181" t="s">
        <v>928</v>
      </c>
      <c r="U262" s="182">
        <v>46258.868055555555</v>
      </c>
      <c r="V262" s="181" t="s">
        <v>469</v>
      </c>
      <c r="W262" s="181" t="s">
        <v>651</v>
      </c>
      <c r="X262" s="181" t="s">
        <v>652</v>
      </c>
      <c r="Y262" s="181" t="s">
        <v>653</v>
      </c>
      <c r="Z262" s="181" t="s">
        <v>544</v>
      </c>
      <c r="AA262" s="181" t="s">
        <v>474</v>
      </c>
      <c r="AB262" s="181" t="s">
        <v>929</v>
      </c>
      <c r="AC262" s="181" t="s">
        <v>546</v>
      </c>
      <c r="AD262" s="181">
        <v>273818647</v>
      </c>
      <c r="AE262" s="181">
        <v>1275992240</v>
      </c>
      <c r="AF262" s="181">
        <v>1780008995</v>
      </c>
      <c r="AG262" s="181">
        <v>1.02202524121377E+16</v>
      </c>
      <c r="AH262" s="181"/>
      <c r="AI262" s="181" t="s">
        <v>2733</v>
      </c>
      <c r="AJ262" s="181" t="s">
        <v>481</v>
      </c>
      <c r="AK262" s="181" t="s">
        <v>2734</v>
      </c>
      <c r="AL262" s="181">
        <v>5240.6000000000004</v>
      </c>
      <c r="AM262" s="181"/>
      <c r="AN262" s="181"/>
      <c r="AO262" s="181">
        <v>806</v>
      </c>
      <c r="AP262" s="181" t="s">
        <v>485</v>
      </c>
      <c r="AQ262" s="181" t="s">
        <v>2735</v>
      </c>
      <c r="AR262" s="183">
        <v>46259</v>
      </c>
      <c r="AS262" s="181" t="s">
        <v>2733</v>
      </c>
      <c r="AT262" s="181" t="s">
        <v>2736</v>
      </c>
      <c r="AU262" s="181"/>
      <c r="AV262" s="181" t="s">
        <v>2737</v>
      </c>
      <c r="AW262" s="181"/>
      <c r="AX262" s="181"/>
      <c r="AY262" s="181"/>
      <c r="AZ262" s="181"/>
      <c r="BA262" s="181"/>
      <c r="BB262" s="181"/>
      <c r="BC262" s="181"/>
      <c r="BD262" s="181" t="s">
        <v>2733</v>
      </c>
      <c r="BE262" s="181">
        <v>47</v>
      </c>
      <c r="BF262" s="181"/>
      <c r="BG262" s="181"/>
      <c r="BH262" s="181" t="s">
        <v>658</v>
      </c>
      <c r="BI262" s="181">
        <v>806996057</v>
      </c>
      <c r="BJ262" s="181"/>
      <c r="BK262" s="181"/>
      <c r="BL262" s="181"/>
      <c r="BM262" s="181"/>
      <c r="BN262" s="181"/>
      <c r="BO262" s="181"/>
      <c r="BP262" s="181"/>
      <c r="BQ262" s="181"/>
      <c r="BR262" s="181"/>
      <c r="BS262" s="181"/>
      <c r="BT262" s="181"/>
      <c r="BU262" s="181"/>
      <c r="BV262" s="181"/>
      <c r="BW262" s="181"/>
      <c r="BX262" s="181"/>
      <c r="BY262" s="181"/>
      <c r="BZ262" s="181"/>
      <c r="CA262" s="190">
        <v>46282.666666666701</v>
      </c>
      <c r="CB262" s="3"/>
      <c r="CC262" s="16"/>
      <c r="CD262" s="16"/>
      <c r="CE262" s="16"/>
      <c r="CF262" s="16"/>
      <c r="CG262" s="16"/>
      <c r="CH262" s="16"/>
      <c r="CI262" s="16" t="s">
        <v>2738</v>
      </c>
    </row>
    <row r="263" spans="1:87" ht="29.25">
      <c r="A263" s="16" t="s">
        <v>5</v>
      </c>
      <c r="B263" s="25" t="s">
        <v>1179</v>
      </c>
      <c r="C263" s="3">
        <v>46272</v>
      </c>
      <c r="D263" s="26" t="s">
        <v>14</v>
      </c>
      <c r="E263" s="180" t="s">
        <v>2739</v>
      </c>
      <c r="F263" s="181">
        <v>2026203420143</v>
      </c>
      <c r="G263" s="181">
        <v>40</v>
      </c>
      <c r="H263" s="181">
        <v>47</v>
      </c>
      <c r="I263" s="181" t="s">
        <v>559</v>
      </c>
      <c r="J263" s="181" t="s">
        <v>2739</v>
      </c>
      <c r="K263" s="181" t="s">
        <v>1040</v>
      </c>
      <c r="L263" s="181" t="s">
        <v>17</v>
      </c>
      <c r="M263" s="181">
        <v>14</v>
      </c>
      <c r="N263" s="181" t="s">
        <v>462</v>
      </c>
      <c r="O263" s="181" t="s">
        <v>606</v>
      </c>
      <c r="P263" s="181">
        <v>100011602</v>
      </c>
      <c r="Q263" s="181" t="s">
        <v>465</v>
      </c>
      <c r="R263" s="181" t="s">
        <v>466</v>
      </c>
      <c r="S263" s="181" t="s">
        <v>2740</v>
      </c>
      <c r="T263" s="181" t="s">
        <v>928</v>
      </c>
      <c r="U263" s="182">
        <v>46257.738888888889</v>
      </c>
      <c r="V263" s="181" t="s">
        <v>469</v>
      </c>
      <c r="W263" s="181" t="s">
        <v>651</v>
      </c>
      <c r="X263" s="181" t="s">
        <v>652</v>
      </c>
      <c r="Y263" s="181" t="s">
        <v>653</v>
      </c>
      <c r="Z263" s="181" t="s">
        <v>544</v>
      </c>
      <c r="AA263" s="181" t="s">
        <v>474</v>
      </c>
      <c r="AB263" s="181" t="s">
        <v>929</v>
      </c>
      <c r="AC263" s="181" t="s">
        <v>546</v>
      </c>
      <c r="AD263" s="181">
        <v>580566200</v>
      </c>
      <c r="AE263" s="181">
        <v>1144203563</v>
      </c>
      <c r="AF263" s="181"/>
      <c r="AG263" s="181">
        <v>1.02202501419548E+16</v>
      </c>
      <c r="AH263" s="181"/>
      <c r="AI263" s="181" t="s">
        <v>173</v>
      </c>
      <c r="AJ263" s="181" t="s">
        <v>481</v>
      </c>
      <c r="AK263" s="181" t="s">
        <v>2741</v>
      </c>
      <c r="AL263" s="181">
        <v>86669.03</v>
      </c>
      <c r="AM263" s="181"/>
      <c r="AN263" s="181"/>
      <c r="AO263" s="181">
        <v>100</v>
      </c>
      <c r="AP263" s="181" t="s">
        <v>485</v>
      </c>
      <c r="AQ263" s="181" t="s">
        <v>2742</v>
      </c>
      <c r="AR263" s="183">
        <v>46258</v>
      </c>
      <c r="AS263" s="181" t="s">
        <v>173</v>
      </c>
      <c r="AT263" s="181" t="s">
        <v>1047</v>
      </c>
      <c r="AU263" s="181"/>
      <c r="AV263" s="181" t="s">
        <v>2743</v>
      </c>
      <c r="AW263" s="181"/>
      <c r="AX263" s="181"/>
      <c r="AY263" s="181"/>
      <c r="AZ263" s="181"/>
      <c r="BA263" s="181"/>
      <c r="BB263" s="181"/>
      <c r="BC263" s="181"/>
      <c r="BD263" s="181" t="s">
        <v>173</v>
      </c>
      <c r="BE263" s="181">
        <v>47</v>
      </c>
      <c r="BF263" s="181"/>
      <c r="BG263" s="181" t="s">
        <v>490</v>
      </c>
      <c r="BH263" s="181" t="s">
        <v>658</v>
      </c>
      <c r="BI263" s="181">
        <v>100011602</v>
      </c>
      <c r="BJ263" s="181"/>
      <c r="BK263" s="181"/>
      <c r="BL263" s="181"/>
      <c r="BM263" s="181"/>
      <c r="BN263" s="181"/>
      <c r="BO263" s="181"/>
      <c r="BP263" s="181"/>
      <c r="BQ263" s="181"/>
      <c r="BR263" s="181"/>
      <c r="BS263" s="181"/>
      <c r="BT263" s="181"/>
      <c r="BU263" s="181"/>
      <c r="BV263" s="181"/>
      <c r="BW263" s="181"/>
      <c r="BX263" s="181"/>
      <c r="BY263" s="181"/>
      <c r="BZ263" s="181"/>
      <c r="CA263" s="190">
        <v>46285.666666666701</v>
      </c>
      <c r="CB263" s="3"/>
      <c r="CC263" s="16"/>
      <c r="CD263" s="16"/>
      <c r="CE263" s="16"/>
      <c r="CF263" s="16"/>
      <c r="CG263" s="16"/>
      <c r="CH263" s="16"/>
      <c r="CI263" s="16" t="s">
        <v>2744</v>
      </c>
    </row>
    <row r="264" spans="1:87">
      <c r="A264" s="16" t="s">
        <v>5</v>
      </c>
      <c r="B264" s="16" t="s">
        <v>2745</v>
      </c>
      <c r="C264" s="3">
        <v>46272</v>
      </c>
      <c r="D264" s="26" t="s">
        <v>14</v>
      </c>
      <c r="E264" s="180" t="s">
        <v>2746</v>
      </c>
      <c r="F264" s="181">
        <v>2026204070325</v>
      </c>
      <c r="G264" s="181">
        <v>40</v>
      </c>
      <c r="H264" s="181">
        <v>46</v>
      </c>
      <c r="I264" s="181" t="s">
        <v>559</v>
      </c>
      <c r="J264" s="181" t="s">
        <v>2746</v>
      </c>
      <c r="K264" s="181" t="s">
        <v>1109</v>
      </c>
      <c r="L264" s="181" t="s">
        <v>17</v>
      </c>
      <c r="M264" s="181">
        <v>20</v>
      </c>
      <c r="N264" s="181" t="s">
        <v>462</v>
      </c>
      <c r="O264" s="181" t="s">
        <v>606</v>
      </c>
      <c r="P264" s="181">
        <v>967355863</v>
      </c>
      <c r="Q264" s="181" t="s">
        <v>465</v>
      </c>
      <c r="R264" s="181" t="s">
        <v>466</v>
      </c>
      <c r="S264" s="181" t="s">
        <v>2747</v>
      </c>
      <c r="T264" s="181" t="s">
        <v>928</v>
      </c>
      <c r="U264" s="182">
        <v>46251.93472222222</v>
      </c>
      <c r="V264" s="181" t="s">
        <v>469</v>
      </c>
      <c r="W264" s="181" t="s">
        <v>651</v>
      </c>
      <c r="X264" s="181" t="s">
        <v>652</v>
      </c>
      <c r="Y264" s="181" t="s">
        <v>653</v>
      </c>
      <c r="Z264" s="181" t="s">
        <v>544</v>
      </c>
      <c r="AA264" s="181" t="s">
        <v>474</v>
      </c>
      <c r="AB264" s="181" t="s">
        <v>929</v>
      </c>
      <c r="AC264" s="181" t="s">
        <v>546</v>
      </c>
      <c r="AD264" s="181">
        <v>273818647</v>
      </c>
      <c r="AE264" s="181">
        <v>1275992240</v>
      </c>
      <c r="AF264" s="181">
        <v>1134238728</v>
      </c>
      <c r="AG264" s="181">
        <v>1.02202527621228E+16</v>
      </c>
      <c r="AH264" s="181"/>
      <c r="AI264" s="181" t="s">
        <v>25</v>
      </c>
      <c r="AJ264" s="181" t="s">
        <v>481</v>
      </c>
      <c r="AK264" s="181" t="s">
        <v>2748</v>
      </c>
      <c r="AL264" s="181">
        <v>3860</v>
      </c>
      <c r="AM264" s="181"/>
      <c r="AN264" s="181"/>
      <c r="AO264" s="181">
        <v>967</v>
      </c>
      <c r="AP264" s="181" t="s">
        <v>485</v>
      </c>
      <c r="AQ264" s="181" t="s">
        <v>2749</v>
      </c>
      <c r="AR264" s="183">
        <v>46252</v>
      </c>
      <c r="AS264" s="181" t="s">
        <v>25</v>
      </c>
      <c r="AT264" s="181" t="s">
        <v>2750</v>
      </c>
      <c r="AU264" s="181"/>
      <c r="AV264" s="181" t="s">
        <v>2751</v>
      </c>
      <c r="AW264" s="181"/>
      <c r="AX264" s="181"/>
      <c r="AY264" s="181"/>
      <c r="AZ264" s="181"/>
      <c r="BA264" s="181"/>
      <c r="BB264" s="181"/>
      <c r="BC264" s="181"/>
      <c r="BD264" s="181" t="s">
        <v>25</v>
      </c>
      <c r="BE264" s="181">
        <v>46</v>
      </c>
      <c r="BF264" s="181"/>
      <c r="BG264" s="181"/>
      <c r="BH264" s="181" t="s">
        <v>658</v>
      </c>
      <c r="BI264" s="181">
        <v>967355863</v>
      </c>
      <c r="BJ264" s="181"/>
      <c r="BK264" s="181"/>
      <c r="BL264" s="181"/>
      <c r="BM264" s="181"/>
      <c r="BN264" s="181"/>
      <c r="BO264" s="181"/>
      <c r="BP264" s="181"/>
      <c r="BQ264" s="181"/>
      <c r="BR264" s="181"/>
      <c r="BS264" s="181"/>
      <c r="BT264" s="181"/>
      <c r="BU264" s="181"/>
      <c r="BV264" s="181"/>
      <c r="BW264" s="181"/>
      <c r="BX264" s="181"/>
      <c r="BY264" s="181"/>
      <c r="BZ264" s="181"/>
      <c r="CA264" s="190">
        <v>46281.666666666701</v>
      </c>
      <c r="CB264" s="3"/>
      <c r="CC264" s="16"/>
      <c r="CD264" s="16"/>
      <c r="CE264" s="16"/>
      <c r="CF264" s="16"/>
      <c r="CG264" s="16"/>
      <c r="CH264" s="16"/>
      <c r="CI264" s="16" t="s">
        <v>2752</v>
      </c>
    </row>
    <row r="265" spans="1:87">
      <c r="A265" s="16"/>
      <c r="B265" s="16"/>
      <c r="C265" s="3">
        <v>46272</v>
      </c>
      <c r="D265" s="26" t="s">
        <v>14</v>
      </c>
      <c r="E265" s="180" t="s">
        <v>2753</v>
      </c>
      <c r="F265" s="181">
        <v>2026196090568</v>
      </c>
      <c r="G265" s="181">
        <v>40</v>
      </c>
      <c r="H265" s="181">
        <v>54</v>
      </c>
      <c r="I265" s="181" t="s">
        <v>559</v>
      </c>
      <c r="J265" s="181" t="s">
        <v>2753</v>
      </c>
      <c r="K265" s="181" t="s">
        <v>810</v>
      </c>
      <c r="L265" s="181" t="s">
        <v>17</v>
      </c>
      <c r="M265" s="181">
        <v>27</v>
      </c>
      <c r="N265" s="181" t="s">
        <v>462</v>
      </c>
      <c r="O265" s="181" t="s">
        <v>606</v>
      </c>
      <c r="P265" s="181">
        <v>806194732</v>
      </c>
      <c r="Q265" s="181" t="s">
        <v>465</v>
      </c>
      <c r="R265" s="181" t="s">
        <v>466</v>
      </c>
      <c r="S265" s="181" t="s">
        <v>2754</v>
      </c>
      <c r="T265" s="181" t="s">
        <v>928</v>
      </c>
      <c r="U265" s="182">
        <v>46244.877083333333</v>
      </c>
      <c r="V265" s="181" t="s">
        <v>469</v>
      </c>
      <c r="W265" s="181" t="s">
        <v>651</v>
      </c>
      <c r="X265" s="181" t="s">
        <v>652</v>
      </c>
      <c r="Y265" s="181" t="s">
        <v>653</v>
      </c>
      <c r="Z265" s="181" t="s">
        <v>544</v>
      </c>
      <c r="AA265" s="181" t="s">
        <v>474</v>
      </c>
      <c r="AB265" s="181" t="s">
        <v>929</v>
      </c>
      <c r="AC265" s="181" t="s">
        <v>546</v>
      </c>
      <c r="AD265" s="181">
        <v>580566256</v>
      </c>
      <c r="AE265" s="181">
        <v>1588640692</v>
      </c>
      <c r="AF265" s="181"/>
      <c r="AG265" s="181">
        <v>1.02202421928591E+16</v>
      </c>
      <c r="AH265" s="181"/>
      <c r="AI265" s="181" t="s">
        <v>37</v>
      </c>
      <c r="AJ265" s="181" t="s">
        <v>481</v>
      </c>
      <c r="AK265" s="181" t="s">
        <v>2755</v>
      </c>
      <c r="AL265" s="181">
        <v>342565.02</v>
      </c>
      <c r="AM265" s="181"/>
      <c r="AN265" s="181"/>
      <c r="AO265" s="181">
        <v>806</v>
      </c>
      <c r="AP265" s="181" t="s">
        <v>485</v>
      </c>
      <c r="AQ265" s="181" t="s">
        <v>2756</v>
      </c>
      <c r="AR265" s="183">
        <v>46245</v>
      </c>
      <c r="AS265" s="181" t="s">
        <v>37</v>
      </c>
      <c r="AT265" s="181" t="s">
        <v>814</v>
      </c>
      <c r="AU265" s="181"/>
      <c r="AV265" s="181" t="s">
        <v>2757</v>
      </c>
      <c r="AW265" s="181"/>
      <c r="AX265" s="181"/>
      <c r="AY265" s="181"/>
      <c r="AZ265" s="181"/>
      <c r="BA265" s="181"/>
      <c r="BB265" s="181"/>
      <c r="BC265" s="181"/>
      <c r="BD265" s="181" t="s">
        <v>37</v>
      </c>
      <c r="BE265" s="181">
        <v>54</v>
      </c>
      <c r="BF265" s="181"/>
      <c r="BG265" s="181" t="s">
        <v>490</v>
      </c>
      <c r="BH265" s="181" t="s">
        <v>658</v>
      </c>
      <c r="BI265" s="181">
        <v>806194732</v>
      </c>
      <c r="BJ265" s="181"/>
      <c r="BK265" s="181"/>
      <c r="BL265" s="181"/>
      <c r="BM265" s="181"/>
      <c r="BN265" s="181"/>
      <c r="BO265" s="181"/>
      <c r="BP265" s="181"/>
      <c r="BQ265" s="181"/>
      <c r="BR265" s="181"/>
      <c r="BS265" s="181"/>
      <c r="BT265" s="181"/>
      <c r="BU265" s="181"/>
      <c r="BV265" s="181"/>
      <c r="BW265" s="181"/>
      <c r="BX265" s="181"/>
      <c r="BY265" s="181"/>
      <c r="BZ265" s="181"/>
      <c r="CA265" s="190"/>
      <c r="CB265" s="3"/>
      <c r="CC265" s="16"/>
      <c r="CD265" s="16"/>
      <c r="CE265" s="16"/>
      <c r="CF265" s="16"/>
      <c r="CG265" s="16"/>
      <c r="CH265" s="16"/>
      <c r="CI265" s="16" t="s">
        <v>2758</v>
      </c>
    </row>
    <row r="266" spans="1:87">
      <c r="A266" s="16" t="s">
        <v>5</v>
      </c>
      <c r="B266" s="16" t="s">
        <v>992</v>
      </c>
      <c r="C266" s="3">
        <v>46272</v>
      </c>
      <c r="D266" s="26" t="s">
        <v>14</v>
      </c>
      <c r="E266" s="180" t="s">
        <v>2759</v>
      </c>
      <c r="F266" s="181">
        <v>2026202340116</v>
      </c>
      <c r="G266" s="181">
        <v>40</v>
      </c>
      <c r="H266" s="181">
        <v>48</v>
      </c>
      <c r="I266" s="181" t="s">
        <v>559</v>
      </c>
      <c r="J266" s="181" t="s">
        <v>2759</v>
      </c>
      <c r="K266" s="181" t="s">
        <v>1040</v>
      </c>
      <c r="L266" s="181" t="s">
        <v>17</v>
      </c>
      <c r="M266" s="181">
        <v>24</v>
      </c>
      <c r="N266" s="181" t="s">
        <v>462</v>
      </c>
      <c r="O266" s="181" t="s">
        <v>606</v>
      </c>
      <c r="P266" s="181" t="s">
        <v>2760</v>
      </c>
      <c r="Q266" s="181" t="s">
        <v>465</v>
      </c>
      <c r="R266" s="181" t="s">
        <v>466</v>
      </c>
      <c r="S266" s="181" t="s">
        <v>2761</v>
      </c>
      <c r="T266" s="181" t="s">
        <v>2762</v>
      </c>
      <c r="U266" s="182">
        <v>46247.773611111108</v>
      </c>
      <c r="V266" s="181" t="s">
        <v>469</v>
      </c>
      <c r="W266" s="181" t="s">
        <v>568</v>
      </c>
      <c r="X266" s="181" t="s">
        <v>471</v>
      </c>
      <c r="Y266" s="181" t="s">
        <v>628</v>
      </c>
      <c r="Z266" s="181" t="s">
        <v>544</v>
      </c>
      <c r="AA266" s="181" t="s">
        <v>474</v>
      </c>
      <c r="AB266" s="181" t="s">
        <v>2763</v>
      </c>
      <c r="AC266" s="181" t="s">
        <v>546</v>
      </c>
      <c r="AD266" s="181">
        <v>582078064</v>
      </c>
      <c r="AE266" s="181">
        <v>1891745212</v>
      </c>
      <c r="AF266" s="181">
        <v>1407031347</v>
      </c>
      <c r="AG266" s="181"/>
      <c r="AH266" s="181"/>
      <c r="AI266" s="181" t="s">
        <v>173</v>
      </c>
      <c r="AJ266" s="181" t="s">
        <v>481</v>
      </c>
      <c r="AK266" s="181" t="s">
        <v>2764</v>
      </c>
      <c r="AL266" s="181">
        <v>9037</v>
      </c>
      <c r="AM266" s="181"/>
      <c r="AN266" s="181"/>
      <c r="AO266" s="181">
        <v>619</v>
      </c>
      <c r="AP266" s="181" t="s">
        <v>485</v>
      </c>
      <c r="AQ266" s="181" t="s">
        <v>2765</v>
      </c>
      <c r="AR266" s="183">
        <v>46248</v>
      </c>
      <c r="AS266" s="181" t="s">
        <v>173</v>
      </c>
      <c r="AT266" s="181" t="s">
        <v>1047</v>
      </c>
      <c r="AU266" s="181"/>
      <c r="AV266" s="181" t="s">
        <v>2766</v>
      </c>
      <c r="AW266" s="181"/>
      <c r="AX266" s="181"/>
      <c r="AY266" s="181"/>
      <c r="AZ266" s="181"/>
      <c r="BA266" s="181"/>
      <c r="BB266" s="181"/>
      <c r="BC266" s="181"/>
      <c r="BD266" s="181" t="s">
        <v>173</v>
      </c>
      <c r="BE266" s="181">
        <v>48</v>
      </c>
      <c r="BF266" s="181"/>
      <c r="BG266" s="181"/>
      <c r="BH266" s="181" t="s">
        <v>491</v>
      </c>
      <c r="BI266" s="181">
        <v>255678755</v>
      </c>
      <c r="BJ266" s="181"/>
      <c r="BK266" s="181"/>
      <c r="BL266" s="181"/>
      <c r="BM266" s="181"/>
      <c r="BN266" s="181"/>
      <c r="BO266" s="181"/>
      <c r="BP266" s="181"/>
      <c r="BQ266" s="181"/>
      <c r="BR266" s="181"/>
      <c r="BS266" s="181"/>
      <c r="BT266" s="181"/>
      <c r="BU266" s="181"/>
      <c r="BV266" s="181"/>
      <c r="BW266" s="181"/>
      <c r="BX266" s="181"/>
      <c r="BY266" s="181"/>
      <c r="BZ266" s="181"/>
      <c r="CA266" s="190">
        <v>46285.666666666701</v>
      </c>
      <c r="CB266" s="3"/>
      <c r="CC266" s="16"/>
      <c r="CD266" s="16"/>
      <c r="CE266" s="16"/>
      <c r="CF266" s="16"/>
      <c r="CG266" s="16"/>
      <c r="CH266" s="16"/>
      <c r="CI266" s="16" t="s">
        <v>2767</v>
      </c>
    </row>
    <row r="267" spans="1:87" ht="43.5">
      <c r="A267" s="16" t="s">
        <v>5</v>
      </c>
      <c r="B267" s="25" t="s">
        <v>2768</v>
      </c>
      <c r="C267" s="3">
        <v>46272</v>
      </c>
      <c r="D267" s="26" t="s">
        <v>14</v>
      </c>
      <c r="E267" s="180" t="s">
        <v>2769</v>
      </c>
      <c r="F267" s="181">
        <v>2026200910475</v>
      </c>
      <c r="G267" s="181">
        <v>40</v>
      </c>
      <c r="H267" s="181">
        <v>50</v>
      </c>
      <c r="I267" s="181" t="s">
        <v>559</v>
      </c>
      <c r="J267" s="181" t="s">
        <v>2769</v>
      </c>
      <c r="K267" s="181" t="s">
        <v>518</v>
      </c>
      <c r="L267" s="181" t="s">
        <v>17</v>
      </c>
      <c r="M267" s="181">
        <v>25</v>
      </c>
      <c r="N267" s="181" t="s">
        <v>462</v>
      </c>
      <c r="O267" s="181" t="s">
        <v>606</v>
      </c>
      <c r="P267" s="181">
        <v>910949845</v>
      </c>
      <c r="Q267" s="181" t="s">
        <v>465</v>
      </c>
      <c r="R267" s="181" t="s">
        <v>466</v>
      </c>
      <c r="S267" s="181" t="s">
        <v>2770</v>
      </c>
      <c r="T267" s="181" t="s">
        <v>2771</v>
      </c>
      <c r="U267" s="182">
        <v>46246.824305555558</v>
      </c>
      <c r="V267" s="181" t="s">
        <v>469</v>
      </c>
      <c r="W267" s="181" t="s">
        <v>651</v>
      </c>
      <c r="X267" s="181" t="s">
        <v>652</v>
      </c>
      <c r="Y267" s="181" t="s">
        <v>653</v>
      </c>
      <c r="Z267" s="181" t="s">
        <v>1338</v>
      </c>
      <c r="AA267" s="181" t="s">
        <v>474</v>
      </c>
      <c r="AB267" s="181" t="s">
        <v>2772</v>
      </c>
      <c r="AC267" s="181" t="s">
        <v>1429</v>
      </c>
      <c r="AD267" s="181">
        <v>473214543</v>
      </c>
      <c r="AE267" s="181">
        <v>1750742144</v>
      </c>
      <c r="AF267" s="181">
        <v>1528231552</v>
      </c>
      <c r="AG267" s="181">
        <v>6220253170675600</v>
      </c>
      <c r="AH267" s="181"/>
      <c r="AI267" s="181" t="s">
        <v>87</v>
      </c>
      <c r="AJ267" s="181" t="s">
        <v>481</v>
      </c>
      <c r="AK267" s="181" t="s">
        <v>2773</v>
      </c>
      <c r="AL267" s="181">
        <v>490</v>
      </c>
      <c r="AM267" s="181"/>
      <c r="AN267" s="181"/>
      <c r="AO267" s="181">
        <v>910</v>
      </c>
      <c r="AP267" s="181" t="s">
        <v>485</v>
      </c>
      <c r="AQ267" s="181" t="s">
        <v>2774</v>
      </c>
      <c r="AR267" s="183">
        <v>46247</v>
      </c>
      <c r="AS267" s="181" t="s">
        <v>87</v>
      </c>
      <c r="AT267" s="181" t="s">
        <v>1248</v>
      </c>
      <c r="AU267" s="181"/>
      <c r="AV267" s="181" t="s">
        <v>2775</v>
      </c>
      <c r="AW267" s="181"/>
      <c r="AX267" s="181"/>
      <c r="AY267" s="181"/>
      <c r="AZ267" s="181"/>
      <c r="BA267" s="181"/>
      <c r="BB267" s="181"/>
      <c r="BC267" s="181"/>
      <c r="BD267" s="181" t="s">
        <v>87</v>
      </c>
      <c r="BE267" s="181">
        <v>50</v>
      </c>
      <c r="BF267" s="181"/>
      <c r="BG267" s="181"/>
      <c r="BH267" s="181" t="s">
        <v>658</v>
      </c>
      <c r="BI267" s="181">
        <v>910949845</v>
      </c>
      <c r="BJ267" s="181"/>
      <c r="BK267" s="181"/>
      <c r="BL267" s="181"/>
      <c r="BM267" s="181"/>
      <c r="BN267" s="181"/>
      <c r="BO267" s="181"/>
      <c r="BP267" s="181"/>
      <c r="BQ267" s="181"/>
      <c r="BR267" s="181"/>
      <c r="BS267" s="181"/>
      <c r="BT267" s="181"/>
      <c r="BU267" s="181"/>
      <c r="BV267" s="181"/>
      <c r="BW267" s="181"/>
      <c r="BX267" s="181"/>
      <c r="BY267" s="181"/>
      <c r="BZ267" s="181"/>
      <c r="CA267" s="190">
        <v>46274.666666666701</v>
      </c>
      <c r="CB267" s="3"/>
      <c r="CC267" s="16"/>
      <c r="CD267" s="16"/>
      <c r="CE267" s="16"/>
      <c r="CF267" s="16"/>
      <c r="CG267" s="16"/>
      <c r="CH267" s="16"/>
      <c r="CI267" s="16" t="s">
        <v>2776</v>
      </c>
    </row>
    <row r="268" spans="1:87">
      <c r="A268" s="16" t="s">
        <v>4</v>
      </c>
      <c r="B268" s="16" t="s">
        <v>4</v>
      </c>
      <c r="C268" s="3">
        <v>46272</v>
      </c>
      <c r="D268" s="26" t="s">
        <v>14</v>
      </c>
      <c r="E268" s="180" t="s">
        <v>2777</v>
      </c>
      <c r="F268" s="181">
        <v>2026200360213</v>
      </c>
      <c r="G268" s="181">
        <v>40</v>
      </c>
      <c r="H268" s="181">
        <v>50</v>
      </c>
      <c r="I268" s="181" t="s">
        <v>559</v>
      </c>
      <c r="J268" s="181" t="s">
        <v>2777</v>
      </c>
      <c r="K268" s="181" t="s">
        <v>1201</v>
      </c>
      <c r="L268" s="181" t="s">
        <v>17</v>
      </c>
      <c r="M268" s="181">
        <v>25</v>
      </c>
      <c r="N268" s="181" t="s">
        <v>462</v>
      </c>
      <c r="O268" s="181" t="s">
        <v>606</v>
      </c>
      <c r="P268" s="181">
        <v>910949845</v>
      </c>
      <c r="Q268" s="181" t="s">
        <v>465</v>
      </c>
      <c r="R268" s="181" t="s">
        <v>466</v>
      </c>
      <c r="S268" s="181" t="s">
        <v>2778</v>
      </c>
      <c r="T268" s="181" t="s">
        <v>2771</v>
      </c>
      <c r="U268" s="182">
        <v>46246.93472222222</v>
      </c>
      <c r="V268" s="181" t="s">
        <v>469</v>
      </c>
      <c r="W268" s="181" t="s">
        <v>651</v>
      </c>
      <c r="X268" s="181" t="s">
        <v>652</v>
      </c>
      <c r="Y268" s="181" t="s">
        <v>653</v>
      </c>
      <c r="Z268" s="181" t="s">
        <v>1338</v>
      </c>
      <c r="AA268" s="181" t="s">
        <v>474</v>
      </c>
      <c r="AB268" s="181" t="s">
        <v>2772</v>
      </c>
      <c r="AC268" s="181" t="s">
        <v>1429</v>
      </c>
      <c r="AD268" s="181">
        <v>473214543</v>
      </c>
      <c r="AE268" s="181">
        <v>1750742144</v>
      </c>
      <c r="AF268" s="181">
        <v>1528231552</v>
      </c>
      <c r="AG268" s="181">
        <v>6220253520753600</v>
      </c>
      <c r="AH268" s="181"/>
      <c r="AI268" s="181" t="s">
        <v>150</v>
      </c>
      <c r="AJ268" s="181" t="s">
        <v>481</v>
      </c>
      <c r="AK268" s="181" t="s">
        <v>2779</v>
      </c>
      <c r="AL268" s="181">
        <v>490</v>
      </c>
      <c r="AM268" s="181"/>
      <c r="AN268" s="181"/>
      <c r="AO268" s="181">
        <v>910</v>
      </c>
      <c r="AP268" s="181" t="s">
        <v>485</v>
      </c>
      <c r="AQ268" s="181" t="s">
        <v>2780</v>
      </c>
      <c r="AR268" s="183">
        <v>46247</v>
      </c>
      <c r="AS268" s="181" t="s">
        <v>150</v>
      </c>
      <c r="AT268" s="181" t="s">
        <v>2781</v>
      </c>
      <c r="AU268" s="181"/>
      <c r="AV268" s="181" t="s">
        <v>2775</v>
      </c>
      <c r="AW268" s="181"/>
      <c r="AX268" s="181"/>
      <c r="AY268" s="181"/>
      <c r="AZ268" s="181"/>
      <c r="BA268" s="181"/>
      <c r="BB268" s="181"/>
      <c r="BC268" s="181"/>
      <c r="BD268" s="181" t="s">
        <v>150</v>
      </c>
      <c r="BE268" s="181">
        <v>50</v>
      </c>
      <c r="BF268" s="181"/>
      <c r="BG268" s="181"/>
      <c r="BH268" s="181" t="s">
        <v>658</v>
      </c>
      <c r="BI268" s="181">
        <v>910949845</v>
      </c>
      <c r="BJ268" s="181"/>
      <c r="BK268" s="181"/>
      <c r="BL268" s="181"/>
      <c r="BM268" s="181"/>
      <c r="BN268" s="181"/>
      <c r="BO268" s="181"/>
      <c r="BP268" s="181"/>
      <c r="BQ268" s="181"/>
      <c r="BR268" s="181"/>
      <c r="BS268" s="181"/>
      <c r="BT268" s="181"/>
      <c r="BU268" s="181"/>
      <c r="BV268" s="181"/>
      <c r="BW268" s="181"/>
      <c r="BX268" s="181"/>
      <c r="BY268" s="181"/>
      <c r="BZ268" s="181"/>
      <c r="CA268" s="190">
        <v>46285.166666666701</v>
      </c>
      <c r="CB268" s="3"/>
      <c r="CC268" s="16"/>
      <c r="CD268" s="16"/>
      <c r="CE268" s="16"/>
      <c r="CF268" s="16"/>
      <c r="CG268" s="16"/>
      <c r="CH268" s="16"/>
      <c r="CI268" s="16" t="s">
        <v>2782</v>
      </c>
    </row>
    <row r="269" spans="1:87">
      <c r="A269" s="16" t="s">
        <v>5</v>
      </c>
      <c r="B269" s="16" t="s">
        <v>719</v>
      </c>
      <c r="C269" s="3">
        <v>46272</v>
      </c>
      <c r="D269" s="26" t="s">
        <v>14</v>
      </c>
      <c r="E269" s="180" t="s">
        <v>2783</v>
      </c>
      <c r="F269" s="181">
        <v>2026203320115</v>
      </c>
      <c r="G269" s="181">
        <v>40</v>
      </c>
      <c r="H269" s="181">
        <v>47</v>
      </c>
      <c r="I269" s="181" t="s">
        <v>559</v>
      </c>
      <c r="J269" s="181" t="s">
        <v>2783</v>
      </c>
      <c r="K269" s="181" t="s">
        <v>461</v>
      </c>
      <c r="L269" s="181" t="s">
        <v>17</v>
      </c>
      <c r="M269" s="181">
        <v>21</v>
      </c>
      <c r="N269" s="181" t="s">
        <v>462</v>
      </c>
      <c r="O269" s="181" t="s">
        <v>606</v>
      </c>
      <c r="P269" s="181">
        <v>964132790</v>
      </c>
      <c r="Q269" s="181" t="s">
        <v>465</v>
      </c>
      <c r="R269" s="181" t="s">
        <v>466</v>
      </c>
      <c r="S269" s="181" t="s">
        <v>2784</v>
      </c>
      <c r="T269" s="181" t="s">
        <v>2771</v>
      </c>
      <c r="U269" s="182">
        <v>46250.841666666667</v>
      </c>
      <c r="V269" s="181" t="s">
        <v>469</v>
      </c>
      <c r="W269" s="181" t="s">
        <v>651</v>
      </c>
      <c r="X269" s="181" t="s">
        <v>652</v>
      </c>
      <c r="Y269" s="181" t="s">
        <v>653</v>
      </c>
      <c r="Z269" s="181" t="s">
        <v>1338</v>
      </c>
      <c r="AA269" s="181" t="s">
        <v>474</v>
      </c>
      <c r="AB269" s="181" t="s">
        <v>2772</v>
      </c>
      <c r="AC269" s="181" t="s">
        <v>1429</v>
      </c>
      <c r="AD269" s="181">
        <v>60646668</v>
      </c>
      <c r="AE269" s="181">
        <v>1407806391</v>
      </c>
      <c r="AF269" s="181">
        <v>1417005000</v>
      </c>
      <c r="AG269" s="181">
        <v>6220252390620300</v>
      </c>
      <c r="AH269" s="181"/>
      <c r="AI269" s="181" t="s">
        <v>67</v>
      </c>
      <c r="AJ269" s="181" t="s">
        <v>481</v>
      </c>
      <c r="AK269" s="181" t="s">
        <v>2785</v>
      </c>
      <c r="AL269" s="181">
        <v>38340</v>
      </c>
      <c r="AM269" s="181"/>
      <c r="AN269" s="181"/>
      <c r="AO269" s="181">
        <v>964</v>
      </c>
      <c r="AP269" s="181" t="s">
        <v>485</v>
      </c>
      <c r="AQ269" s="181" t="s">
        <v>2786</v>
      </c>
      <c r="AR269" s="183">
        <v>46251</v>
      </c>
      <c r="AS269" s="181" t="s">
        <v>67</v>
      </c>
      <c r="AT269" s="181" t="s">
        <v>487</v>
      </c>
      <c r="AU269" s="181"/>
      <c r="AV269" s="181" t="s">
        <v>2787</v>
      </c>
      <c r="AW269" s="181"/>
      <c r="AX269" s="181"/>
      <c r="AY269" s="181"/>
      <c r="AZ269" s="181"/>
      <c r="BA269" s="181"/>
      <c r="BB269" s="181"/>
      <c r="BC269" s="181"/>
      <c r="BD269" s="181" t="s">
        <v>67</v>
      </c>
      <c r="BE269" s="181">
        <v>47</v>
      </c>
      <c r="BF269" s="181"/>
      <c r="BG269" s="181"/>
      <c r="BH269" s="181" t="s">
        <v>658</v>
      </c>
      <c r="BI269" s="181">
        <v>964132790</v>
      </c>
      <c r="BJ269" s="181"/>
      <c r="BK269" s="181"/>
      <c r="BL269" s="181"/>
      <c r="BM269" s="181"/>
      <c r="BN269" s="181"/>
      <c r="BO269" s="181"/>
      <c r="BP269" s="181"/>
      <c r="BQ269" s="181"/>
      <c r="BR269" s="181"/>
      <c r="BS269" s="181"/>
      <c r="BT269" s="181"/>
      <c r="BU269" s="181"/>
      <c r="BV269" s="181"/>
      <c r="BW269" s="181"/>
      <c r="BX269" s="181"/>
      <c r="BY269" s="181"/>
      <c r="BZ269" s="181"/>
      <c r="CA269" s="190">
        <v>46275.166666666701</v>
      </c>
      <c r="CB269" s="3"/>
      <c r="CC269" s="16"/>
      <c r="CD269" s="16"/>
      <c r="CE269" s="16"/>
      <c r="CF269" s="16"/>
      <c r="CG269" s="16"/>
      <c r="CH269" s="16"/>
      <c r="CI269" s="16" t="s">
        <v>2788</v>
      </c>
    </row>
    <row r="270" spans="1:87">
      <c r="A270" s="16"/>
      <c r="B270" s="16"/>
      <c r="C270" s="3">
        <v>46272</v>
      </c>
      <c r="D270" s="26" t="s">
        <v>14</v>
      </c>
      <c r="E270" s="180" t="s">
        <v>2789</v>
      </c>
      <c r="F270" s="181">
        <v>2026196110026</v>
      </c>
      <c r="G270" s="181">
        <v>40</v>
      </c>
      <c r="H270" s="181">
        <v>54</v>
      </c>
      <c r="I270" s="181" t="s">
        <v>559</v>
      </c>
      <c r="J270" s="181" t="s">
        <v>2789</v>
      </c>
      <c r="K270" s="181" t="s">
        <v>839</v>
      </c>
      <c r="L270" s="181" t="s">
        <v>18</v>
      </c>
      <c r="M270" s="181">
        <v>14</v>
      </c>
      <c r="N270" s="181" t="s">
        <v>462</v>
      </c>
      <c r="O270" s="181" t="s">
        <v>606</v>
      </c>
      <c r="P270" s="181" t="s">
        <v>2790</v>
      </c>
      <c r="Q270" s="181" t="s">
        <v>564</v>
      </c>
      <c r="R270" s="181" t="s">
        <v>466</v>
      </c>
      <c r="S270" s="181" t="s">
        <v>2791</v>
      </c>
      <c r="T270" s="181" t="s">
        <v>2792</v>
      </c>
      <c r="U270" s="182">
        <v>46257.95</v>
      </c>
      <c r="V270" s="181" t="s">
        <v>469</v>
      </c>
      <c r="W270" s="181" t="s">
        <v>568</v>
      </c>
      <c r="X270" s="181" t="s">
        <v>471</v>
      </c>
      <c r="Y270" s="181" t="s">
        <v>1724</v>
      </c>
      <c r="Z270" s="181" t="s">
        <v>570</v>
      </c>
      <c r="AA270" s="181" t="s">
        <v>474</v>
      </c>
      <c r="AB270" s="181" t="s">
        <v>2793</v>
      </c>
      <c r="AC270" s="181" t="s">
        <v>546</v>
      </c>
      <c r="AD270" s="181">
        <v>582540874</v>
      </c>
      <c r="AE270" s="181">
        <v>1548273592</v>
      </c>
      <c r="AF270" s="181">
        <v>1427211259</v>
      </c>
      <c r="AG270" s="181"/>
      <c r="AH270" s="181"/>
      <c r="AI270" s="181" t="s">
        <v>159</v>
      </c>
      <c r="AJ270" s="181" t="s">
        <v>481</v>
      </c>
      <c r="AK270" s="181" t="s">
        <v>2794</v>
      </c>
      <c r="AL270" s="181">
        <v>5044.63</v>
      </c>
      <c r="AM270" s="181"/>
      <c r="AN270" s="181"/>
      <c r="AO270" s="181">
        <v>256</v>
      </c>
      <c r="AP270" s="181" t="s">
        <v>485</v>
      </c>
      <c r="AQ270" s="181" t="s">
        <v>2795</v>
      </c>
      <c r="AR270" s="183">
        <v>46258</v>
      </c>
      <c r="AS270" s="181" t="s">
        <v>159</v>
      </c>
      <c r="AT270" s="181" t="s">
        <v>843</v>
      </c>
      <c r="AU270" s="181"/>
      <c r="AV270" s="181" t="s">
        <v>2796</v>
      </c>
      <c r="AW270" s="181"/>
      <c r="AX270" s="181"/>
      <c r="AY270" s="181"/>
      <c r="AZ270" s="181"/>
      <c r="BA270" s="181"/>
      <c r="BB270" s="181"/>
      <c r="BC270" s="181"/>
      <c r="BD270" s="181" t="s">
        <v>159</v>
      </c>
      <c r="BE270" s="181">
        <v>54</v>
      </c>
      <c r="BF270" s="181"/>
      <c r="BG270" s="181" t="s">
        <v>490</v>
      </c>
      <c r="BH270" s="181" t="s">
        <v>491</v>
      </c>
      <c r="BI270" s="181">
        <v>253272702</v>
      </c>
      <c r="BJ270" s="181"/>
      <c r="BK270" s="181"/>
      <c r="BL270" s="181"/>
      <c r="BM270" s="181"/>
      <c r="BN270" s="181"/>
      <c r="BO270" s="181"/>
      <c r="BP270" s="181"/>
      <c r="BQ270" s="181"/>
      <c r="BR270" s="181"/>
      <c r="BS270" s="181"/>
      <c r="BT270" s="181"/>
      <c r="BU270" s="181"/>
      <c r="BV270" s="181"/>
      <c r="BW270" s="181"/>
      <c r="BX270" s="181"/>
      <c r="BY270" s="181"/>
      <c r="BZ270" s="181"/>
      <c r="CA270" s="190"/>
      <c r="CB270" s="3"/>
      <c r="CC270" s="16"/>
      <c r="CD270" s="16"/>
      <c r="CE270" s="16"/>
      <c r="CF270" s="16"/>
      <c r="CG270" s="16"/>
      <c r="CH270" s="16"/>
      <c r="CI270" s="16" t="s">
        <v>2797</v>
      </c>
    </row>
    <row r="271" spans="1:87">
      <c r="A271" s="16" t="s">
        <v>5</v>
      </c>
      <c r="B271" s="16" t="s">
        <v>2798</v>
      </c>
      <c r="C271" s="3">
        <v>46272</v>
      </c>
      <c r="D271" s="26" t="s">
        <v>14</v>
      </c>
      <c r="E271" s="180" t="s">
        <v>2799</v>
      </c>
      <c r="F271" s="181">
        <v>2026196020094</v>
      </c>
      <c r="G271" s="181">
        <v>40</v>
      </c>
      <c r="H271" s="181">
        <v>55</v>
      </c>
      <c r="I271" s="181" t="s">
        <v>559</v>
      </c>
      <c r="J271" s="181" t="s">
        <v>2799</v>
      </c>
      <c r="K271" s="181" t="s">
        <v>1348</v>
      </c>
      <c r="L271" s="181" t="s">
        <v>17</v>
      </c>
      <c r="M271" s="181">
        <v>27</v>
      </c>
      <c r="N271" s="181" t="s">
        <v>462</v>
      </c>
      <c r="O271" s="181" t="s">
        <v>606</v>
      </c>
      <c r="P271" s="181" t="s">
        <v>2800</v>
      </c>
      <c r="Q271" s="181" t="s">
        <v>465</v>
      </c>
      <c r="R271" s="181" t="s">
        <v>466</v>
      </c>
      <c r="S271" s="181" t="s">
        <v>2801</v>
      </c>
      <c r="T271" s="181">
        <v>980925</v>
      </c>
      <c r="U271" s="182">
        <v>46244.710416666669</v>
      </c>
      <c r="V271" s="181" t="s">
        <v>469</v>
      </c>
      <c r="W271" s="181" t="s">
        <v>470</v>
      </c>
      <c r="X271" s="181" t="s">
        <v>471</v>
      </c>
      <c r="Y271" s="181" t="s">
        <v>523</v>
      </c>
      <c r="Z271" s="181" t="s">
        <v>665</v>
      </c>
      <c r="AA271" s="181" t="s">
        <v>474</v>
      </c>
      <c r="AB271" s="181" t="s">
        <v>2802</v>
      </c>
      <c r="AC271" s="181" t="s">
        <v>640</v>
      </c>
      <c r="AD271" s="181">
        <v>831759708</v>
      </c>
      <c r="AE271" s="181">
        <v>1902388259</v>
      </c>
      <c r="AF271" s="181">
        <v>1912208752</v>
      </c>
      <c r="AG271" s="181"/>
      <c r="AH271" s="181" t="s">
        <v>1076</v>
      </c>
      <c r="AI271" s="181" t="s">
        <v>267</v>
      </c>
      <c r="AJ271" s="181" t="s">
        <v>481</v>
      </c>
      <c r="AK271" s="181" t="s">
        <v>2803</v>
      </c>
      <c r="AL271" s="181">
        <v>119750</v>
      </c>
      <c r="AM271" s="181"/>
      <c r="AN271" s="181"/>
      <c r="AO271" s="181">
        <v>581</v>
      </c>
      <c r="AP271" s="181" t="s">
        <v>485</v>
      </c>
      <c r="AQ271" s="181" t="s">
        <v>2804</v>
      </c>
      <c r="AR271" s="183">
        <v>46245</v>
      </c>
      <c r="AS271" s="181" t="s">
        <v>267</v>
      </c>
      <c r="AT271" s="181" t="s">
        <v>2805</v>
      </c>
      <c r="AU271" s="181"/>
      <c r="AV271" s="181" t="s">
        <v>2806</v>
      </c>
      <c r="AW271" s="181"/>
      <c r="AX271" s="181"/>
      <c r="AY271" s="181"/>
      <c r="AZ271" s="181"/>
      <c r="BA271" s="181"/>
      <c r="BB271" s="181"/>
      <c r="BC271" s="181"/>
      <c r="BD271" s="181" t="s">
        <v>267</v>
      </c>
      <c r="BE271" s="181">
        <v>54</v>
      </c>
      <c r="BF271" s="181"/>
      <c r="BG271" s="181"/>
      <c r="BH271" s="181" t="s">
        <v>491</v>
      </c>
      <c r="BI271" s="181">
        <v>93581586</v>
      </c>
      <c r="BJ271" s="181"/>
      <c r="BK271" s="181"/>
      <c r="BL271" s="181"/>
      <c r="BM271" s="181"/>
      <c r="BN271" s="181"/>
      <c r="BO271" s="181"/>
      <c r="BP271" s="181"/>
      <c r="BQ271" s="181"/>
      <c r="BR271" s="181"/>
      <c r="BS271" s="181"/>
      <c r="BT271" s="181"/>
      <c r="BU271" s="181"/>
      <c r="BV271" s="181"/>
      <c r="BW271" s="181"/>
      <c r="BX271" s="181"/>
      <c r="BY271" s="181"/>
      <c r="BZ271" s="181"/>
      <c r="CA271" s="190">
        <v>46285.666666666701</v>
      </c>
      <c r="CB271" s="3"/>
      <c r="CC271" s="16"/>
      <c r="CD271" s="16"/>
      <c r="CE271" s="16"/>
      <c r="CF271" s="16"/>
      <c r="CG271" s="16"/>
      <c r="CH271" s="16"/>
      <c r="CI271" s="16" t="s">
        <v>2807</v>
      </c>
    </row>
    <row r="272" spans="1:87">
      <c r="A272" s="16"/>
      <c r="B272" s="16"/>
      <c r="C272" s="3">
        <v>46272</v>
      </c>
      <c r="D272" s="26" t="s">
        <v>14</v>
      </c>
      <c r="E272" s="180" t="s">
        <v>2808</v>
      </c>
      <c r="F272" s="181">
        <v>2026201830260</v>
      </c>
      <c r="G272" s="181">
        <v>40</v>
      </c>
      <c r="H272" s="181">
        <v>49</v>
      </c>
      <c r="I272" s="181" t="s">
        <v>559</v>
      </c>
      <c r="J272" s="181" t="s">
        <v>2808</v>
      </c>
      <c r="K272" s="181" t="s">
        <v>729</v>
      </c>
      <c r="L272" s="181" t="s">
        <v>13</v>
      </c>
      <c r="M272" s="181">
        <v>24</v>
      </c>
      <c r="N272" s="181" t="s">
        <v>462</v>
      </c>
      <c r="O272" s="181" t="s">
        <v>606</v>
      </c>
      <c r="P272" s="181" t="s">
        <v>2809</v>
      </c>
      <c r="Q272" s="181" t="s">
        <v>465</v>
      </c>
      <c r="R272" s="181" t="s">
        <v>466</v>
      </c>
      <c r="S272" s="181" t="s">
        <v>2810</v>
      </c>
      <c r="T272" s="181">
        <v>300601</v>
      </c>
      <c r="U272" s="182">
        <v>46247.830555555556</v>
      </c>
      <c r="V272" s="181" t="s">
        <v>469</v>
      </c>
      <c r="W272" s="181" t="s">
        <v>470</v>
      </c>
      <c r="X272" s="181" t="s">
        <v>471</v>
      </c>
      <c r="Y272" s="181" t="s">
        <v>628</v>
      </c>
      <c r="Z272" s="181" t="s">
        <v>665</v>
      </c>
      <c r="AA272" s="181" t="s">
        <v>474</v>
      </c>
      <c r="AB272" s="181" t="s">
        <v>2811</v>
      </c>
      <c r="AC272" s="181" t="s">
        <v>640</v>
      </c>
      <c r="AD272" s="181">
        <v>135562308</v>
      </c>
      <c r="AE272" s="181">
        <v>1285826438</v>
      </c>
      <c r="AF272" s="181">
        <v>1679592182</v>
      </c>
      <c r="AG272" s="181"/>
      <c r="AH272" s="181" t="s">
        <v>1076</v>
      </c>
      <c r="AI272" s="181" t="s">
        <v>66</v>
      </c>
      <c r="AJ272" s="181" t="s">
        <v>481</v>
      </c>
      <c r="AK272" s="181" t="s">
        <v>2812</v>
      </c>
      <c r="AL272" s="181">
        <v>52769</v>
      </c>
      <c r="AM272" s="181"/>
      <c r="AN272" s="181"/>
      <c r="AO272" s="181">
        <v>159</v>
      </c>
      <c r="AP272" s="181" t="s">
        <v>485</v>
      </c>
      <c r="AQ272" s="181" t="s">
        <v>2813</v>
      </c>
      <c r="AR272" s="183">
        <v>46248</v>
      </c>
      <c r="AS272" s="181" t="s">
        <v>66</v>
      </c>
      <c r="AT272" s="181" t="s">
        <v>1953</v>
      </c>
      <c r="AU272" s="181"/>
      <c r="AV272" s="181" t="s">
        <v>2814</v>
      </c>
      <c r="AW272" s="181"/>
      <c r="AX272" s="181"/>
      <c r="AY272" s="181"/>
      <c r="AZ272" s="181"/>
      <c r="BA272" s="181"/>
      <c r="BB272" s="181"/>
      <c r="BC272" s="181"/>
      <c r="BD272" s="181" t="s">
        <v>66</v>
      </c>
      <c r="BE272" s="181">
        <v>49</v>
      </c>
      <c r="BF272" s="181"/>
      <c r="BG272" s="181" t="s">
        <v>490</v>
      </c>
      <c r="BH272" s="181" t="s">
        <v>491</v>
      </c>
      <c r="BI272" s="181">
        <v>74860142</v>
      </c>
      <c r="BJ272" s="181"/>
      <c r="BK272" s="181"/>
      <c r="BL272" s="181"/>
      <c r="BM272" s="181"/>
      <c r="BN272" s="181"/>
      <c r="BO272" s="181"/>
      <c r="BP272" s="181"/>
      <c r="BQ272" s="181"/>
      <c r="BR272" s="181"/>
      <c r="BS272" s="181"/>
      <c r="BT272" s="181"/>
      <c r="BU272" s="181"/>
      <c r="BV272" s="181"/>
      <c r="BW272" s="181"/>
      <c r="BX272" s="181"/>
      <c r="BY272" s="181"/>
      <c r="BZ272" s="181"/>
      <c r="CA272" s="190"/>
      <c r="CB272" s="3"/>
      <c r="CC272" s="16"/>
      <c r="CD272" s="16"/>
      <c r="CE272" s="16"/>
      <c r="CF272" s="16"/>
      <c r="CG272" s="16"/>
      <c r="CH272" s="16"/>
      <c r="CI272" s="16" t="s">
        <v>2815</v>
      </c>
    </row>
    <row r="273" spans="1:87">
      <c r="A273" s="16" t="s">
        <v>5</v>
      </c>
      <c r="B273" s="16" t="s">
        <v>719</v>
      </c>
      <c r="C273" s="3">
        <v>46272</v>
      </c>
      <c r="D273" s="26" t="s">
        <v>14</v>
      </c>
      <c r="E273" s="180" t="s">
        <v>2816</v>
      </c>
      <c r="F273" s="181">
        <v>2026195920265</v>
      </c>
      <c r="G273" s="181">
        <v>40</v>
      </c>
      <c r="H273" s="181">
        <v>55</v>
      </c>
      <c r="I273" s="181" t="s">
        <v>559</v>
      </c>
      <c r="J273" s="181" t="s">
        <v>2816</v>
      </c>
      <c r="K273" s="181" t="s">
        <v>721</v>
      </c>
      <c r="L273" s="181" t="s">
        <v>13</v>
      </c>
      <c r="M273" s="181">
        <v>27</v>
      </c>
      <c r="N273" s="181" t="s">
        <v>462</v>
      </c>
      <c r="O273" s="181" t="s">
        <v>606</v>
      </c>
      <c r="P273" s="181" t="s">
        <v>2817</v>
      </c>
      <c r="Q273" s="181" t="s">
        <v>465</v>
      </c>
      <c r="R273" s="181" t="s">
        <v>466</v>
      </c>
      <c r="S273" s="181" t="s">
        <v>2818</v>
      </c>
      <c r="T273" s="181">
        <v>270057</v>
      </c>
      <c r="U273" s="182">
        <v>46244.815972222219</v>
      </c>
      <c r="V273" s="181" t="s">
        <v>469</v>
      </c>
      <c r="W273" s="181" t="s">
        <v>568</v>
      </c>
      <c r="X273" s="181" t="s">
        <v>471</v>
      </c>
      <c r="Y273" s="181" t="s">
        <v>1724</v>
      </c>
      <c r="Z273" s="181" t="s">
        <v>1338</v>
      </c>
      <c r="AA273" s="181" t="s">
        <v>474</v>
      </c>
      <c r="AB273" s="181" t="s">
        <v>2819</v>
      </c>
      <c r="AC273" s="181" t="s">
        <v>733</v>
      </c>
      <c r="AD273" s="181">
        <v>542183221</v>
      </c>
      <c r="AE273" s="181">
        <v>1760405864</v>
      </c>
      <c r="AF273" s="181">
        <v>1174895502</v>
      </c>
      <c r="AG273" s="181"/>
      <c r="AH273" s="181" t="s">
        <v>1076</v>
      </c>
      <c r="AI273" s="181" t="s">
        <v>75</v>
      </c>
      <c r="AJ273" s="181" t="s">
        <v>481</v>
      </c>
      <c r="AK273" s="181" t="s">
        <v>2820</v>
      </c>
      <c r="AL273" s="181">
        <v>8930.85</v>
      </c>
      <c r="AM273" s="181"/>
      <c r="AN273" s="181"/>
      <c r="AO273" s="181">
        <v>401</v>
      </c>
      <c r="AP273" s="181" t="s">
        <v>485</v>
      </c>
      <c r="AQ273" s="181" t="s">
        <v>2821</v>
      </c>
      <c r="AR273" s="183">
        <v>46245</v>
      </c>
      <c r="AS273" s="181" t="s">
        <v>75</v>
      </c>
      <c r="AT273" s="181" t="s">
        <v>725</v>
      </c>
      <c r="AU273" s="181"/>
      <c r="AV273" s="181" t="s">
        <v>2822</v>
      </c>
      <c r="AW273" s="181"/>
      <c r="AX273" s="181"/>
      <c r="AY273" s="181"/>
      <c r="AZ273" s="181"/>
      <c r="BA273" s="181"/>
      <c r="BB273" s="181"/>
      <c r="BC273" s="181"/>
      <c r="BD273" s="181" t="s">
        <v>75</v>
      </c>
      <c r="BE273" s="181">
        <v>54</v>
      </c>
      <c r="BF273" s="181"/>
      <c r="BG273" s="181"/>
      <c r="BH273" s="181" t="s">
        <v>491</v>
      </c>
      <c r="BI273" s="181">
        <v>489847501</v>
      </c>
      <c r="BJ273" s="181"/>
      <c r="BK273" s="181"/>
      <c r="BL273" s="181"/>
      <c r="BM273" s="181"/>
      <c r="BN273" s="181"/>
      <c r="BO273" s="181"/>
      <c r="BP273" s="181"/>
      <c r="BQ273" s="181"/>
      <c r="BR273" s="181"/>
      <c r="BS273" s="181"/>
      <c r="BT273" s="181"/>
      <c r="BU273" s="181"/>
      <c r="BV273" s="181"/>
      <c r="BW273" s="181"/>
      <c r="BX273" s="181"/>
      <c r="BY273" s="181"/>
      <c r="BZ273" s="181"/>
      <c r="CA273" s="190">
        <v>46280.666666666701</v>
      </c>
      <c r="CB273" s="3"/>
      <c r="CC273" s="16"/>
      <c r="CD273" s="16"/>
      <c r="CE273" s="16"/>
      <c r="CF273" s="16"/>
      <c r="CG273" s="16"/>
      <c r="CH273" s="16"/>
      <c r="CI273" s="16" t="s">
        <v>2823</v>
      </c>
    </row>
    <row r="274" spans="1:87">
      <c r="A274" s="16"/>
      <c r="B274" s="16"/>
      <c r="C274" s="3">
        <v>46272</v>
      </c>
      <c r="D274" s="26" t="s">
        <v>14</v>
      </c>
      <c r="E274" s="180" t="s">
        <v>2824</v>
      </c>
      <c r="F274" s="181">
        <v>2026200410123</v>
      </c>
      <c r="G274" s="181">
        <v>40</v>
      </c>
      <c r="H274" s="181">
        <v>50</v>
      </c>
      <c r="I274" s="181" t="s">
        <v>559</v>
      </c>
      <c r="J274" s="181" t="s">
        <v>2824</v>
      </c>
      <c r="K274" s="181" t="s">
        <v>810</v>
      </c>
      <c r="L274" s="181" t="s">
        <v>17</v>
      </c>
      <c r="M274" s="181">
        <v>25</v>
      </c>
      <c r="N274" s="181" t="s">
        <v>462</v>
      </c>
      <c r="O274" s="181" t="s">
        <v>606</v>
      </c>
      <c r="P274" s="181" t="s">
        <v>2825</v>
      </c>
      <c r="Q274" s="181" t="s">
        <v>465</v>
      </c>
      <c r="R274" s="181" t="s">
        <v>466</v>
      </c>
      <c r="S274" s="181" t="s">
        <v>2826</v>
      </c>
      <c r="T274" s="181">
        <v>230032</v>
      </c>
      <c r="U274" s="182">
        <v>46246.767361111109</v>
      </c>
      <c r="V274" s="181" t="s">
        <v>469</v>
      </c>
      <c r="W274" s="181" t="s">
        <v>568</v>
      </c>
      <c r="X274" s="181" t="s">
        <v>471</v>
      </c>
      <c r="Y274" s="181" t="s">
        <v>2827</v>
      </c>
      <c r="Z274" s="181" t="s">
        <v>731</v>
      </c>
      <c r="AA274" s="181" t="s">
        <v>474</v>
      </c>
      <c r="AB274" s="181" t="s">
        <v>2828</v>
      </c>
      <c r="AC274" s="181" t="s">
        <v>733</v>
      </c>
      <c r="AD274" s="181">
        <v>431343281</v>
      </c>
      <c r="AE274" s="181">
        <v>1851496152</v>
      </c>
      <c r="AF274" s="181"/>
      <c r="AG274" s="181"/>
      <c r="AH274" s="181"/>
      <c r="AI274" s="181" t="s">
        <v>37</v>
      </c>
      <c r="AJ274" s="181" t="s">
        <v>481</v>
      </c>
      <c r="AK274" s="181" t="s">
        <v>2829</v>
      </c>
      <c r="AL274" s="181">
        <v>40165.269999999997</v>
      </c>
      <c r="AM274" s="181"/>
      <c r="AN274" s="181"/>
      <c r="AO274" s="181">
        <v>406</v>
      </c>
      <c r="AP274" s="181" t="s">
        <v>485</v>
      </c>
      <c r="AQ274" s="181" t="s">
        <v>2830</v>
      </c>
      <c r="AR274" s="183">
        <v>46247</v>
      </c>
      <c r="AS274" s="181" t="s">
        <v>37</v>
      </c>
      <c r="AT274" s="181" t="s">
        <v>814</v>
      </c>
      <c r="AU274" s="181"/>
      <c r="AV274" s="181" t="s">
        <v>2831</v>
      </c>
      <c r="AW274" s="181"/>
      <c r="AX274" s="181"/>
      <c r="AY274" s="181"/>
      <c r="AZ274" s="181"/>
      <c r="BA274" s="181"/>
      <c r="BB274" s="181"/>
      <c r="BC274" s="181"/>
      <c r="BD274" s="181" t="s">
        <v>37</v>
      </c>
      <c r="BE274" s="181">
        <v>50</v>
      </c>
      <c r="BF274" s="181"/>
      <c r="BG274" s="181"/>
      <c r="BH274" s="181" t="s">
        <v>491</v>
      </c>
      <c r="BI274" s="181">
        <v>494660675</v>
      </c>
      <c r="BJ274" s="181"/>
      <c r="BK274" s="181"/>
      <c r="BL274" s="181"/>
      <c r="BM274" s="181"/>
      <c r="BN274" s="181"/>
      <c r="BO274" s="181"/>
      <c r="BP274" s="181"/>
      <c r="BQ274" s="181"/>
      <c r="BR274" s="181"/>
      <c r="BS274" s="181"/>
      <c r="BT274" s="181"/>
      <c r="BU274" s="181"/>
      <c r="BV274" s="181"/>
      <c r="BW274" s="181"/>
      <c r="BX274" s="181"/>
      <c r="BY274" s="181"/>
      <c r="BZ274" s="181"/>
      <c r="CA274" s="190"/>
      <c r="CB274" s="3"/>
      <c r="CC274" s="16"/>
      <c r="CD274" s="16"/>
      <c r="CE274" s="16"/>
      <c r="CF274" s="16"/>
      <c r="CG274" s="16"/>
      <c r="CH274" s="16"/>
      <c r="CI274" s="16" t="s">
        <v>2832</v>
      </c>
    </row>
    <row r="275" spans="1:87">
      <c r="A275" s="16" t="s">
        <v>5</v>
      </c>
      <c r="B275" s="16" t="s">
        <v>2833</v>
      </c>
      <c r="C275" s="3">
        <v>46272</v>
      </c>
      <c r="D275" s="26" t="s">
        <v>14</v>
      </c>
      <c r="E275" s="180" t="s">
        <v>2834</v>
      </c>
      <c r="F275" s="181">
        <v>2026203100294</v>
      </c>
      <c r="G275" s="181">
        <v>40</v>
      </c>
      <c r="H275" s="181">
        <v>47</v>
      </c>
      <c r="I275" s="181" t="s">
        <v>559</v>
      </c>
      <c r="J275" s="181" t="s">
        <v>2834</v>
      </c>
      <c r="K275" s="181" t="s">
        <v>2369</v>
      </c>
      <c r="L275" s="181" t="s">
        <v>18</v>
      </c>
      <c r="M275" s="181">
        <v>21</v>
      </c>
      <c r="N275" s="181" t="s">
        <v>462</v>
      </c>
      <c r="O275" s="181" t="s">
        <v>606</v>
      </c>
      <c r="P275" s="181" t="s">
        <v>2835</v>
      </c>
      <c r="Q275" s="181" t="s">
        <v>465</v>
      </c>
      <c r="R275" s="181" t="s">
        <v>466</v>
      </c>
      <c r="S275" s="181" t="s">
        <v>2836</v>
      </c>
      <c r="T275" s="181">
        <v>214024</v>
      </c>
      <c r="U275" s="182">
        <v>46251.068055555559</v>
      </c>
      <c r="V275" s="181" t="s">
        <v>469</v>
      </c>
      <c r="W275" s="181" t="s">
        <v>568</v>
      </c>
      <c r="X275" s="181" t="s">
        <v>471</v>
      </c>
      <c r="Y275" s="181" t="s">
        <v>1724</v>
      </c>
      <c r="Z275" s="181" t="s">
        <v>1292</v>
      </c>
      <c r="AA275" s="181" t="s">
        <v>474</v>
      </c>
      <c r="AB275" s="181" t="s">
        <v>2837</v>
      </c>
      <c r="AC275" s="181" t="s">
        <v>733</v>
      </c>
      <c r="AD275" s="181">
        <v>431664107</v>
      </c>
      <c r="AE275" s="181">
        <v>1700966207</v>
      </c>
      <c r="AF275" s="181">
        <v>1255362430</v>
      </c>
      <c r="AG275" s="181"/>
      <c r="AH275" s="181" t="s">
        <v>1076</v>
      </c>
      <c r="AI275" s="181" t="s">
        <v>225</v>
      </c>
      <c r="AJ275" s="181" t="s">
        <v>481</v>
      </c>
      <c r="AK275" s="181" t="s">
        <v>2838</v>
      </c>
      <c r="AL275" s="181">
        <v>3930</v>
      </c>
      <c r="AM275" s="181"/>
      <c r="AN275" s="181"/>
      <c r="AO275" s="181" t="s">
        <v>2839</v>
      </c>
      <c r="AP275" s="181" t="s">
        <v>485</v>
      </c>
      <c r="AQ275" s="181" t="s">
        <v>2840</v>
      </c>
      <c r="AR275" s="183">
        <v>46251</v>
      </c>
      <c r="AS275" s="181" t="s">
        <v>225</v>
      </c>
      <c r="AT275" s="181" t="s">
        <v>2376</v>
      </c>
      <c r="AU275" s="181"/>
      <c r="AV275" s="181" t="s">
        <v>2841</v>
      </c>
      <c r="AW275" s="181"/>
      <c r="AX275" s="181"/>
      <c r="AY275" s="181"/>
      <c r="AZ275" s="181"/>
      <c r="BA275" s="181"/>
      <c r="BB275" s="181"/>
      <c r="BC275" s="181"/>
      <c r="BD275" s="181" t="s">
        <v>225</v>
      </c>
      <c r="BE275" s="181">
        <v>47</v>
      </c>
      <c r="BF275" s="181"/>
      <c r="BG275" s="181"/>
      <c r="BH275" s="181" t="s">
        <v>491</v>
      </c>
      <c r="BI275" s="181">
        <v>486707357</v>
      </c>
      <c r="BJ275" s="181"/>
      <c r="BK275" s="181"/>
      <c r="BL275" s="181"/>
      <c r="BM275" s="181"/>
      <c r="BN275" s="181"/>
      <c r="BO275" s="181"/>
      <c r="BP275" s="181"/>
      <c r="BQ275" s="181"/>
      <c r="BR275" s="181"/>
      <c r="BS275" s="181"/>
      <c r="BT275" s="181"/>
      <c r="BU275" s="181"/>
      <c r="BV275" s="181"/>
      <c r="BW275" s="181"/>
      <c r="BX275" s="181"/>
      <c r="BY275" s="181"/>
      <c r="BZ275" s="181"/>
      <c r="CA275" s="190">
        <v>46281.666666666701</v>
      </c>
      <c r="CB275" s="3"/>
      <c r="CC275" s="16"/>
      <c r="CD275" s="16"/>
      <c r="CE275" s="16"/>
      <c r="CF275" s="16"/>
      <c r="CG275" s="16"/>
      <c r="CH275" s="16"/>
      <c r="CI275" s="16" t="s">
        <v>2842</v>
      </c>
    </row>
    <row r="276" spans="1:87">
      <c r="A276" s="16"/>
      <c r="B276" s="16"/>
      <c r="C276" s="3">
        <v>46272</v>
      </c>
      <c r="D276" s="26" t="s">
        <v>14</v>
      </c>
      <c r="E276" s="180" t="s">
        <v>2843</v>
      </c>
      <c r="F276" s="181">
        <v>2026191580227</v>
      </c>
      <c r="G276" s="181">
        <v>40</v>
      </c>
      <c r="H276" s="181">
        <v>60</v>
      </c>
      <c r="I276" s="181" t="s">
        <v>559</v>
      </c>
      <c r="J276" s="181" t="s">
        <v>2843</v>
      </c>
      <c r="K276" s="181" t="s">
        <v>1083</v>
      </c>
      <c r="L276" s="181" t="s">
        <v>17</v>
      </c>
      <c r="M276" s="181">
        <v>32</v>
      </c>
      <c r="N276" s="181" t="s">
        <v>462</v>
      </c>
      <c r="O276" s="181" t="s">
        <v>606</v>
      </c>
      <c r="P276" s="181" t="s">
        <v>2844</v>
      </c>
      <c r="Q276" s="181" t="s">
        <v>465</v>
      </c>
      <c r="R276" s="181" t="s">
        <v>466</v>
      </c>
      <c r="S276" s="181" t="s">
        <v>2845</v>
      </c>
      <c r="T276" s="181">
        <v>214013</v>
      </c>
      <c r="U276" s="182">
        <v>46239.975694444445</v>
      </c>
      <c r="V276" s="181" t="s">
        <v>469</v>
      </c>
      <c r="W276" s="181" t="s">
        <v>568</v>
      </c>
      <c r="X276" s="181" t="s">
        <v>471</v>
      </c>
      <c r="Y276" s="181" t="s">
        <v>1724</v>
      </c>
      <c r="Z276" s="181" t="s">
        <v>1292</v>
      </c>
      <c r="AA276" s="181" t="s">
        <v>474</v>
      </c>
      <c r="AB276" s="181" t="s">
        <v>2846</v>
      </c>
      <c r="AC276" s="181" t="s">
        <v>465</v>
      </c>
      <c r="AD276" s="181">
        <v>205071967</v>
      </c>
      <c r="AE276" s="181">
        <v>1689857385</v>
      </c>
      <c r="AF276" s="181"/>
      <c r="AG276" s="181"/>
      <c r="AH276" s="181"/>
      <c r="AI276" s="181" t="s">
        <v>48</v>
      </c>
      <c r="AJ276" s="181" t="s">
        <v>481</v>
      </c>
      <c r="AK276" s="181" t="s">
        <v>2847</v>
      </c>
      <c r="AL276" s="181">
        <v>14019.7</v>
      </c>
      <c r="AM276" s="181"/>
      <c r="AN276" s="181"/>
      <c r="AO276" s="181">
        <v>821</v>
      </c>
      <c r="AP276" s="181" t="s">
        <v>485</v>
      </c>
      <c r="AQ276" s="181" t="s">
        <v>2848</v>
      </c>
      <c r="AR276" s="183">
        <v>46240</v>
      </c>
      <c r="AS276" s="181" t="s">
        <v>48</v>
      </c>
      <c r="AT276" s="181" t="s">
        <v>2252</v>
      </c>
      <c r="AU276" s="181"/>
      <c r="AV276" s="181" t="s">
        <v>2849</v>
      </c>
      <c r="AW276" s="181"/>
      <c r="AX276" s="181"/>
      <c r="AY276" s="181"/>
      <c r="AZ276" s="181"/>
      <c r="BA276" s="181"/>
      <c r="BB276" s="181"/>
      <c r="BC276" s="181"/>
      <c r="BD276" s="181" t="s">
        <v>48</v>
      </c>
      <c r="BE276" s="181">
        <v>59</v>
      </c>
      <c r="BF276" s="181"/>
      <c r="BG276" s="181"/>
      <c r="BH276" s="181" t="s">
        <v>491</v>
      </c>
      <c r="BI276" s="181">
        <v>314807976</v>
      </c>
      <c r="BJ276" s="181"/>
      <c r="BK276" s="181"/>
      <c r="BL276" s="181"/>
      <c r="BM276" s="181"/>
      <c r="BN276" s="181"/>
      <c r="BO276" s="181"/>
      <c r="BP276" s="181"/>
      <c r="BQ276" s="181"/>
      <c r="BR276" s="181"/>
      <c r="BS276" s="181"/>
      <c r="BT276" s="181"/>
      <c r="BU276" s="181"/>
      <c r="BV276" s="181"/>
      <c r="BW276" s="181"/>
      <c r="BX276" s="181"/>
      <c r="BY276" s="181"/>
      <c r="BZ276" s="181"/>
      <c r="CA276" s="190"/>
      <c r="CB276" s="3"/>
      <c r="CC276" s="16"/>
      <c r="CD276" s="16"/>
      <c r="CE276" s="16"/>
      <c r="CF276" s="16"/>
      <c r="CG276" s="16"/>
      <c r="CH276" s="16"/>
      <c r="CI276" s="16" t="s">
        <v>2850</v>
      </c>
    </row>
    <row r="277" spans="1:87">
      <c r="A277" s="16"/>
      <c r="B277" s="16"/>
      <c r="C277" s="3">
        <v>46272</v>
      </c>
      <c r="D277" s="26" t="s">
        <v>14</v>
      </c>
      <c r="E277" s="180" t="s">
        <v>2851</v>
      </c>
      <c r="F277" s="181">
        <v>2026206100139</v>
      </c>
      <c r="G277" s="181">
        <v>40</v>
      </c>
      <c r="H277" s="181">
        <v>46</v>
      </c>
      <c r="I277" s="181" t="s">
        <v>559</v>
      </c>
      <c r="J277" s="181" t="s">
        <v>2851</v>
      </c>
      <c r="K277" s="181" t="s">
        <v>895</v>
      </c>
      <c r="L277" s="181" t="s">
        <v>18</v>
      </c>
      <c r="M277" s="181">
        <v>14</v>
      </c>
      <c r="N277" s="181" t="s">
        <v>462</v>
      </c>
      <c r="O277" s="181" t="s">
        <v>606</v>
      </c>
      <c r="P277" s="181" t="s">
        <v>2852</v>
      </c>
      <c r="Q277" s="181" t="s">
        <v>465</v>
      </c>
      <c r="R277" s="181" t="s">
        <v>466</v>
      </c>
      <c r="S277" s="181" t="s">
        <v>2853</v>
      </c>
      <c r="T277" s="181">
        <v>212083</v>
      </c>
      <c r="U277" s="182">
        <v>46257.921527777777</v>
      </c>
      <c r="V277" s="181" t="s">
        <v>469</v>
      </c>
      <c r="W277" s="181" t="s">
        <v>568</v>
      </c>
      <c r="X277" s="181" t="s">
        <v>471</v>
      </c>
      <c r="Y277" s="181" t="s">
        <v>1724</v>
      </c>
      <c r="Z277" s="181" t="s">
        <v>524</v>
      </c>
      <c r="AA277" s="181" t="s">
        <v>474</v>
      </c>
      <c r="AB277" s="181" t="s">
        <v>2854</v>
      </c>
      <c r="AC277" s="181" t="s">
        <v>465</v>
      </c>
      <c r="AD277" s="181">
        <v>461072979</v>
      </c>
      <c r="AE277" s="181">
        <v>1710231642</v>
      </c>
      <c r="AF277" s="181"/>
      <c r="AG277" s="181"/>
      <c r="AH277" s="181"/>
      <c r="AI277" s="181" t="s">
        <v>20</v>
      </c>
      <c r="AJ277" s="181" t="s">
        <v>481</v>
      </c>
      <c r="AK277" s="181" t="s">
        <v>2855</v>
      </c>
      <c r="AL277" s="181">
        <v>19400.16</v>
      </c>
      <c r="AM277" s="181"/>
      <c r="AN277" s="181"/>
      <c r="AO277" s="181" t="s">
        <v>2856</v>
      </c>
      <c r="AP277" s="181" t="s">
        <v>485</v>
      </c>
      <c r="AQ277" s="181" t="s">
        <v>2857</v>
      </c>
      <c r="AR277" s="183">
        <v>46258</v>
      </c>
      <c r="AS277" s="181" t="s">
        <v>20</v>
      </c>
      <c r="AT277" s="181" t="s">
        <v>2858</v>
      </c>
      <c r="AU277" s="181"/>
      <c r="AV277" s="181" t="s">
        <v>2859</v>
      </c>
      <c r="AW277" s="181"/>
      <c r="AX277" s="181"/>
      <c r="AY277" s="181"/>
      <c r="AZ277" s="181"/>
      <c r="BA277" s="181"/>
      <c r="BB277" s="181"/>
      <c r="BC277" s="181"/>
      <c r="BD277" s="181" t="s">
        <v>20</v>
      </c>
      <c r="BE277" s="181">
        <v>44</v>
      </c>
      <c r="BF277" s="181"/>
      <c r="BG277" s="181"/>
      <c r="BH277" s="181" t="s">
        <v>491</v>
      </c>
      <c r="BI277" s="181">
        <v>410474503</v>
      </c>
      <c r="BJ277" s="181"/>
      <c r="BK277" s="181"/>
      <c r="BL277" s="181"/>
      <c r="BM277" s="181"/>
      <c r="BN277" s="181"/>
      <c r="BO277" s="181"/>
      <c r="BP277" s="181"/>
      <c r="BQ277" s="181"/>
      <c r="BR277" s="181"/>
      <c r="BS277" s="181"/>
      <c r="BT277" s="181"/>
      <c r="BU277" s="181"/>
      <c r="BV277" s="181"/>
      <c r="BW277" s="181"/>
      <c r="BX277" s="181"/>
      <c r="BY277" s="181"/>
      <c r="BZ277" s="181"/>
      <c r="CA277" s="190"/>
      <c r="CB277" s="3"/>
      <c r="CC277" s="16"/>
      <c r="CD277" s="16"/>
      <c r="CE277" s="16"/>
      <c r="CF277" s="16"/>
      <c r="CG277" s="16"/>
      <c r="CH277" s="16"/>
      <c r="CI277" s="16" t="s">
        <v>2860</v>
      </c>
    </row>
    <row r="278" spans="1:87">
      <c r="A278" s="16"/>
      <c r="B278" s="16"/>
      <c r="C278" s="3">
        <v>46272</v>
      </c>
      <c r="D278" s="26" t="s">
        <v>14</v>
      </c>
      <c r="E278" s="180" t="s">
        <v>2861</v>
      </c>
      <c r="F278" s="181">
        <v>2026192560092</v>
      </c>
      <c r="G278" s="181">
        <v>40</v>
      </c>
      <c r="H278" s="181">
        <v>59</v>
      </c>
      <c r="I278" s="181" t="s">
        <v>559</v>
      </c>
      <c r="J278" s="181" t="s">
        <v>2861</v>
      </c>
      <c r="K278" s="181" t="s">
        <v>691</v>
      </c>
      <c r="L278" s="181" t="s">
        <v>13</v>
      </c>
      <c r="M278" s="181">
        <v>11</v>
      </c>
      <c r="N278" s="181" t="s">
        <v>462</v>
      </c>
      <c r="O278" s="181" t="s">
        <v>606</v>
      </c>
      <c r="P278" s="181" t="s">
        <v>2862</v>
      </c>
      <c r="Q278" s="181" t="s">
        <v>465</v>
      </c>
      <c r="R278" s="181" t="s">
        <v>466</v>
      </c>
      <c r="S278" s="181" t="s">
        <v>2863</v>
      </c>
      <c r="T278" s="181">
        <v>212053</v>
      </c>
      <c r="U278" s="182">
        <v>46260.775694444441</v>
      </c>
      <c r="V278" s="181" t="s">
        <v>469</v>
      </c>
      <c r="W278" s="181" t="s">
        <v>568</v>
      </c>
      <c r="X278" s="181" t="s">
        <v>471</v>
      </c>
      <c r="Y278" s="181" t="s">
        <v>1724</v>
      </c>
      <c r="Z278" s="181" t="s">
        <v>524</v>
      </c>
      <c r="AA278" s="181" t="s">
        <v>474</v>
      </c>
      <c r="AB278" s="181" t="s">
        <v>2864</v>
      </c>
      <c r="AC278" s="181" t="s">
        <v>465</v>
      </c>
      <c r="AD278" s="181">
        <v>263083364</v>
      </c>
      <c r="AE278" s="181">
        <v>1134725898</v>
      </c>
      <c r="AF278" s="181">
        <v>1609131614</v>
      </c>
      <c r="AG278" s="181"/>
      <c r="AH278" s="181" t="s">
        <v>1076</v>
      </c>
      <c r="AI278" s="181" t="s">
        <v>128</v>
      </c>
      <c r="AJ278" s="181" t="s">
        <v>481</v>
      </c>
      <c r="AK278" s="181" t="s">
        <v>2865</v>
      </c>
      <c r="AL278" s="181">
        <v>4666.88</v>
      </c>
      <c r="AM278" s="181"/>
      <c r="AN278" s="181"/>
      <c r="AO278" s="181">
        <v>376</v>
      </c>
      <c r="AP278" s="181" t="s">
        <v>485</v>
      </c>
      <c r="AQ278" s="181" t="s">
        <v>2866</v>
      </c>
      <c r="AR278" s="183">
        <v>46261</v>
      </c>
      <c r="AS278" s="181" t="s">
        <v>128</v>
      </c>
      <c r="AT278" s="181" t="s">
        <v>2867</v>
      </c>
      <c r="AU278" s="181"/>
      <c r="AV278" s="181" t="s">
        <v>2868</v>
      </c>
      <c r="AW278" s="181"/>
      <c r="AX278" s="181"/>
      <c r="AY278" s="181"/>
      <c r="AZ278" s="181"/>
      <c r="BA278" s="181"/>
      <c r="BB278" s="181"/>
      <c r="BC278" s="181"/>
      <c r="BD278" s="181" t="s">
        <v>128</v>
      </c>
      <c r="BE278" s="181">
        <v>58</v>
      </c>
      <c r="BF278" s="181"/>
      <c r="BG278" s="181"/>
      <c r="BH278" s="181" t="s">
        <v>491</v>
      </c>
      <c r="BI278" s="181">
        <v>307980469</v>
      </c>
      <c r="BJ278" s="181"/>
      <c r="BK278" s="181"/>
      <c r="BL278" s="181"/>
      <c r="BM278" s="181"/>
      <c r="BN278" s="181"/>
      <c r="BO278" s="181"/>
      <c r="BP278" s="181"/>
      <c r="BQ278" s="181"/>
      <c r="BR278" s="181"/>
      <c r="BS278" s="181"/>
      <c r="BT278" s="181"/>
      <c r="BU278" s="181"/>
      <c r="BV278" s="181"/>
      <c r="BW278" s="181"/>
      <c r="BX278" s="181"/>
      <c r="BY278" s="181"/>
      <c r="BZ278" s="181"/>
      <c r="CA278" s="190"/>
      <c r="CB278" s="3"/>
      <c r="CC278" s="16"/>
      <c r="CD278" s="16"/>
      <c r="CE278" s="16"/>
      <c r="CF278" s="16"/>
      <c r="CG278" s="16"/>
      <c r="CH278" s="16"/>
      <c r="CI278" s="16" t="s">
        <v>2869</v>
      </c>
    </row>
    <row r="279" spans="1:87">
      <c r="A279" s="16" t="s">
        <v>5</v>
      </c>
      <c r="B279" s="16" t="s">
        <v>516</v>
      </c>
      <c r="C279" s="3">
        <v>46272</v>
      </c>
      <c r="D279" s="26" t="s">
        <v>14</v>
      </c>
      <c r="E279" s="180" t="s">
        <v>2870</v>
      </c>
      <c r="F279" s="181">
        <v>2026196710416</v>
      </c>
      <c r="G279" s="181">
        <v>40</v>
      </c>
      <c r="H279" s="181">
        <v>54</v>
      </c>
      <c r="I279" s="181" t="s">
        <v>559</v>
      </c>
      <c r="J279" s="181" t="s">
        <v>2870</v>
      </c>
      <c r="K279" s="181" t="s">
        <v>2871</v>
      </c>
      <c r="L279" s="181" t="s">
        <v>18</v>
      </c>
      <c r="M279" s="181">
        <v>25</v>
      </c>
      <c r="N279" s="181" t="s">
        <v>462</v>
      </c>
      <c r="O279" s="181" t="s">
        <v>606</v>
      </c>
      <c r="P279" s="181" t="s">
        <v>2872</v>
      </c>
      <c r="Q279" s="181" t="s">
        <v>564</v>
      </c>
      <c r="R279" s="181" t="s">
        <v>466</v>
      </c>
      <c r="S279" s="181" t="s">
        <v>2873</v>
      </c>
      <c r="T279" s="181">
        <v>174285</v>
      </c>
      <c r="U279" s="182">
        <v>46246.779861111114</v>
      </c>
      <c r="V279" s="181" t="s">
        <v>469</v>
      </c>
      <c r="W279" s="181" t="s">
        <v>568</v>
      </c>
      <c r="X279" s="181" t="s">
        <v>471</v>
      </c>
      <c r="Y279" s="181" t="s">
        <v>1724</v>
      </c>
      <c r="Z279" s="181" t="s">
        <v>570</v>
      </c>
      <c r="AA279" s="181" t="s">
        <v>474</v>
      </c>
      <c r="AB279" s="181" t="s">
        <v>2874</v>
      </c>
      <c r="AC279" s="181" t="s">
        <v>1429</v>
      </c>
      <c r="AD279" s="181">
        <v>61016137</v>
      </c>
      <c r="AE279" s="181">
        <v>1366468837</v>
      </c>
      <c r="AF279" s="181">
        <v>1114997665</v>
      </c>
      <c r="AG279" s="181"/>
      <c r="AH279" s="181"/>
      <c r="AI279" s="181" t="s">
        <v>143</v>
      </c>
      <c r="AJ279" s="181" t="s">
        <v>481</v>
      </c>
      <c r="AK279" s="181" t="s">
        <v>2875</v>
      </c>
      <c r="AL279" s="181">
        <v>6695</v>
      </c>
      <c r="AM279" s="181"/>
      <c r="AN279" s="181"/>
      <c r="AO279" s="181">
        <v>364</v>
      </c>
      <c r="AP279" s="181" t="s">
        <v>485</v>
      </c>
      <c r="AQ279" s="181" t="s">
        <v>2876</v>
      </c>
      <c r="AR279" s="183">
        <v>46247</v>
      </c>
      <c r="AS279" s="181" t="s">
        <v>143</v>
      </c>
      <c r="AT279" s="181" t="s">
        <v>814</v>
      </c>
      <c r="AU279" s="181"/>
      <c r="AV279" s="181" t="s">
        <v>2877</v>
      </c>
      <c r="AW279" s="181"/>
      <c r="AX279" s="181"/>
      <c r="AY279" s="181"/>
      <c r="AZ279" s="181"/>
      <c r="BA279" s="181"/>
      <c r="BB279" s="181"/>
      <c r="BC279" s="181"/>
      <c r="BD279" s="181" t="s">
        <v>143</v>
      </c>
      <c r="BE279" s="181">
        <v>54</v>
      </c>
      <c r="BF279" s="181"/>
      <c r="BG279" s="181" t="s">
        <v>490</v>
      </c>
      <c r="BH279" s="181" t="s">
        <v>491</v>
      </c>
      <c r="BI279" s="181">
        <v>76766616</v>
      </c>
      <c r="BJ279" s="181"/>
      <c r="BK279" s="181"/>
      <c r="BL279" s="181"/>
      <c r="BM279" s="181"/>
      <c r="BN279" s="181"/>
      <c r="BO279" s="181"/>
      <c r="BP279" s="181"/>
      <c r="BQ279" s="181"/>
      <c r="BR279" s="181"/>
      <c r="BS279" s="181"/>
      <c r="BT279" s="181"/>
      <c r="BU279" s="181"/>
      <c r="BV279" s="181"/>
      <c r="BW279" s="181"/>
      <c r="BX279" s="181"/>
      <c r="BY279" s="181"/>
      <c r="BZ279" s="181"/>
      <c r="CA279" s="190">
        <v>46280.666666666701</v>
      </c>
      <c r="CB279" s="3"/>
      <c r="CC279" s="16"/>
      <c r="CD279" s="16"/>
      <c r="CE279" s="16"/>
      <c r="CF279" s="16"/>
      <c r="CG279" s="16"/>
      <c r="CH279" s="16"/>
      <c r="CI279" s="16" t="s">
        <v>2878</v>
      </c>
    </row>
    <row r="280" spans="1:87">
      <c r="A280" s="16" t="s">
        <v>5</v>
      </c>
      <c r="B280" s="16" t="s">
        <v>516</v>
      </c>
      <c r="C280" s="3">
        <v>46272</v>
      </c>
      <c r="D280" s="26" t="s">
        <v>14</v>
      </c>
      <c r="E280" s="180" t="s">
        <v>2879</v>
      </c>
      <c r="F280" s="181">
        <v>2026204740355</v>
      </c>
      <c r="G280" s="181">
        <v>40</v>
      </c>
      <c r="H280" s="181">
        <v>46</v>
      </c>
      <c r="I280" s="181" t="s">
        <v>559</v>
      </c>
      <c r="J280" s="181" t="s">
        <v>2879</v>
      </c>
      <c r="K280" s="181" t="s">
        <v>700</v>
      </c>
      <c r="L280" s="181" t="s">
        <v>18</v>
      </c>
      <c r="M280" s="181">
        <v>20</v>
      </c>
      <c r="N280" s="181" t="s">
        <v>462</v>
      </c>
      <c r="O280" s="181" t="s">
        <v>606</v>
      </c>
      <c r="P280" s="181" t="s">
        <v>2880</v>
      </c>
      <c r="Q280" s="181" t="s">
        <v>564</v>
      </c>
      <c r="R280" s="181" t="s">
        <v>466</v>
      </c>
      <c r="S280" s="181" t="s">
        <v>2881</v>
      </c>
      <c r="T280" s="181">
        <v>174219</v>
      </c>
      <c r="U280" s="182">
        <v>46251.95</v>
      </c>
      <c r="V280" s="181" t="s">
        <v>469</v>
      </c>
      <c r="W280" s="181" t="s">
        <v>568</v>
      </c>
      <c r="X280" s="181" t="s">
        <v>471</v>
      </c>
      <c r="Y280" s="181" t="s">
        <v>2882</v>
      </c>
      <c r="Z280" s="181" t="s">
        <v>570</v>
      </c>
      <c r="AA280" s="181" t="s">
        <v>474</v>
      </c>
      <c r="AB280" s="181" t="s">
        <v>2883</v>
      </c>
      <c r="AC280" s="181" t="s">
        <v>476</v>
      </c>
      <c r="AD280" s="181">
        <v>391824445</v>
      </c>
      <c r="AE280" s="181">
        <v>1598784555</v>
      </c>
      <c r="AF280" s="181">
        <v>1760613582</v>
      </c>
      <c r="AG280" s="181"/>
      <c r="AH280" s="181"/>
      <c r="AI280" s="181" t="s">
        <v>341</v>
      </c>
      <c r="AJ280" s="181" t="s">
        <v>481</v>
      </c>
      <c r="AK280" s="181" t="s">
        <v>2884</v>
      </c>
      <c r="AL280" s="181">
        <v>14072</v>
      </c>
      <c r="AM280" s="181"/>
      <c r="AN280" s="181"/>
      <c r="AO280" s="181">
        <v>301</v>
      </c>
      <c r="AP280" s="181" t="s">
        <v>485</v>
      </c>
      <c r="AQ280" s="181" t="s">
        <v>2885</v>
      </c>
      <c r="AR280" s="183">
        <v>46252</v>
      </c>
      <c r="AS280" s="181" t="s">
        <v>341</v>
      </c>
      <c r="AT280" s="181" t="s">
        <v>716</v>
      </c>
      <c r="AU280" s="181"/>
      <c r="AV280" s="181" t="s">
        <v>2886</v>
      </c>
      <c r="AW280" s="181"/>
      <c r="AX280" s="181"/>
      <c r="AY280" s="181"/>
      <c r="AZ280" s="181"/>
      <c r="BA280" s="181"/>
      <c r="BB280" s="181"/>
      <c r="BC280" s="181"/>
      <c r="BD280" s="181" t="s">
        <v>341</v>
      </c>
      <c r="BE280" s="181">
        <v>46</v>
      </c>
      <c r="BF280" s="181"/>
      <c r="BG280" s="181" t="s">
        <v>490</v>
      </c>
      <c r="BH280" s="181" t="s">
        <v>491</v>
      </c>
      <c r="BI280" s="181">
        <v>394847434</v>
      </c>
      <c r="BJ280" s="181"/>
      <c r="BK280" s="181"/>
      <c r="BL280" s="181"/>
      <c r="BM280" s="181"/>
      <c r="BN280" s="181"/>
      <c r="BO280" s="181"/>
      <c r="BP280" s="181"/>
      <c r="BQ280" s="181"/>
      <c r="BR280" s="181"/>
      <c r="BS280" s="181"/>
      <c r="BT280" s="181"/>
      <c r="BU280" s="181"/>
      <c r="BV280" s="181"/>
      <c r="BW280" s="181"/>
      <c r="BX280" s="181"/>
      <c r="BY280" s="181"/>
      <c r="BZ280" s="181"/>
      <c r="CA280" s="190">
        <v>46275.666666666701</v>
      </c>
      <c r="CB280" s="3"/>
      <c r="CC280" s="16"/>
      <c r="CD280" s="16"/>
      <c r="CE280" s="16"/>
      <c r="CF280" s="16"/>
      <c r="CG280" s="16"/>
      <c r="CH280" s="16"/>
      <c r="CI280" s="16" t="s">
        <v>2887</v>
      </c>
    </row>
    <row r="281" spans="1:87">
      <c r="A281" s="16"/>
      <c r="B281" s="16"/>
      <c r="C281" s="3">
        <v>46272</v>
      </c>
      <c r="D281" s="26" t="s">
        <v>14</v>
      </c>
      <c r="E281" s="180" t="s">
        <v>2888</v>
      </c>
      <c r="F281" s="181">
        <v>2026201710213</v>
      </c>
      <c r="G281" s="181">
        <v>40</v>
      </c>
      <c r="H281" s="181">
        <v>49</v>
      </c>
      <c r="I281" s="181" t="s">
        <v>559</v>
      </c>
      <c r="J281" s="181" t="s">
        <v>2888</v>
      </c>
      <c r="K281" s="181" t="s">
        <v>560</v>
      </c>
      <c r="L281" s="181" t="s">
        <v>13</v>
      </c>
      <c r="M281" s="181">
        <v>21</v>
      </c>
      <c r="N281" s="181" t="s">
        <v>462</v>
      </c>
      <c r="O281" s="181" t="s">
        <v>606</v>
      </c>
      <c r="P281" s="181" t="s">
        <v>2889</v>
      </c>
      <c r="Q281" s="181" t="s">
        <v>564</v>
      </c>
      <c r="R281" s="181" t="s">
        <v>466</v>
      </c>
      <c r="S281" s="181" t="s">
        <v>2890</v>
      </c>
      <c r="T281" s="181">
        <v>174168</v>
      </c>
      <c r="U281" s="182">
        <v>46250.890277777777</v>
      </c>
      <c r="V281" s="181" t="s">
        <v>469</v>
      </c>
      <c r="W281" s="181" t="s">
        <v>568</v>
      </c>
      <c r="X281" s="181" t="s">
        <v>471</v>
      </c>
      <c r="Y281" s="181" t="s">
        <v>1724</v>
      </c>
      <c r="Z281" s="181" t="s">
        <v>570</v>
      </c>
      <c r="AA281" s="181" t="s">
        <v>474</v>
      </c>
      <c r="AB281" s="181" t="s">
        <v>2891</v>
      </c>
      <c r="AC281" s="181" t="s">
        <v>476</v>
      </c>
      <c r="AD281" s="181">
        <v>391824445</v>
      </c>
      <c r="AE281" s="181">
        <v>1598784555</v>
      </c>
      <c r="AF281" s="181">
        <v>1063460566</v>
      </c>
      <c r="AG281" s="181"/>
      <c r="AH281" s="181"/>
      <c r="AI281" s="181" t="s">
        <v>59</v>
      </c>
      <c r="AJ281" s="181" t="s">
        <v>481</v>
      </c>
      <c r="AK281" s="181" t="s">
        <v>2892</v>
      </c>
      <c r="AL281" s="181">
        <v>52915</v>
      </c>
      <c r="AM281" s="181"/>
      <c r="AN281" s="181"/>
      <c r="AO281" s="181">
        <v>308</v>
      </c>
      <c r="AP281" s="181" t="s">
        <v>485</v>
      </c>
      <c r="AQ281" s="181" t="s">
        <v>2893</v>
      </c>
      <c r="AR281" s="183">
        <v>46251</v>
      </c>
      <c r="AS281" s="181" t="s">
        <v>59</v>
      </c>
      <c r="AT281" s="181" t="s">
        <v>1943</v>
      </c>
      <c r="AU281" s="181"/>
      <c r="AV281" s="181" t="s">
        <v>2894</v>
      </c>
      <c r="AW281" s="181"/>
      <c r="AX281" s="181"/>
      <c r="AY281" s="181"/>
      <c r="AZ281" s="181"/>
      <c r="BA281" s="181"/>
      <c r="BB281" s="181"/>
      <c r="BC281" s="181"/>
      <c r="BD281" s="181" t="s">
        <v>59</v>
      </c>
      <c r="BE281" s="181">
        <v>49</v>
      </c>
      <c r="BF281" s="181"/>
      <c r="BG281" s="181" t="s">
        <v>490</v>
      </c>
      <c r="BH281" s="181" t="s">
        <v>491</v>
      </c>
      <c r="BI281" s="181">
        <v>399801759</v>
      </c>
      <c r="BJ281" s="181"/>
      <c r="BK281" s="181"/>
      <c r="BL281" s="181"/>
      <c r="BM281" s="181"/>
      <c r="BN281" s="181"/>
      <c r="BO281" s="181"/>
      <c r="BP281" s="181"/>
      <c r="BQ281" s="181"/>
      <c r="BR281" s="181"/>
      <c r="BS281" s="181"/>
      <c r="BT281" s="181"/>
      <c r="BU281" s="181"/>
      <c r="BV281" s="181"/>
      <c r="BW281" s="181"/>
      <c r="BX281" s="181"/>
      <c r="BY281" s="181"/>
      <c r="BZ281" s="181"/>
      <c r="CA281" s="190"/>
      <c r="CB281" s="3"/>
      <c r="CC281" s="16"/>
      <c r="CD281" s="16"/>
      <c r="CE281" s="16"/>
      <c r="CF281" s="16"/>
      <c r="CG281" s="16"/>
      <c r="CH281" s="16"/>
      <c r="CI281" s="16" t="s">
        <v>2895</v>
      </c>
    </row>
    <row r="282" spans="1:87">
      <c r="A282" s="16" t="s">
        <v>4</v>
      </c>
      <c r="B282" s="16" t="s">
        <v>2896</v>
      </c>
      <c r="C282" s="3">
        <v>46272</v>
      </c>
      <c r="D282" s="26" t="s">
        <v>14</v>
      </c>
      <c r="E282" s="180" t="s">
        <v>2897</v>
      </c>
      <c r="F282" s="181">
        <v>2026203640012</v>
      </c>
      <c r="G282" s="181">
        <v>40</v>
      </c>
      <c r="H282" s="181">
        <v>47</v>
      </c>
      <c r="I282" s="181" t="s">
        <v>559</v>
      </c>
      <c r="J282" s="181" t="s">
        <v>2897</v>
      </c>
      <c r="K282" s="181" t="s">
        <v>1201</v>
      </c>
      <c r="L282" s="181" t="s">
        <v>17</v>
      </c>
      <c r="M282" s="181">
        <v>21</v>
      </c>
      <c r="N282" s="181" t="s">
        <v>462</v>
      </c>
      <c r="O282" s="181" t="s">
        <v>606</v>
      </c>
      <c r="P282" s="181" t="s">
        <v>2898</v>
      </c>
      <c r="Q282" s="181" t="s">
        <v>465</v>
      </c>
      <c r="R282" s="181" t="s">
        <v>466</v>
      </c>
      <c r="S282" s="181" t="s">
        <v>2899</v>
      </c>
      <c r="T282" s="181">
        <v>173328</v>
      </c>
      <c r="U282" s="182">
        <v>46250.945138888892</v>
      </c>
      <c r="V282" s="181" t="s">
        <v>469</v>
      </c>
      <c r="W282" s="181" t="s">
        <v>651</v>
      </c>
      <c r="X282" s="181" t="s">
        <v>652</v>
      </c>
      <c r="Y282" s="181" t="s">
        <v>653</v>
      </c>
      <c r="Z282" s="181" t="s">
        <v>638</v>
      </c>
      <c r="AA282" s="181" t="s">
        <v>474</v>
      </c>
      <c r="AB282" s="181" t="s">
        <v>743</v>
      </c>
      <c r="AC282" s="181" t="s">
        <v>465</v>
      </c>
      <c r="AD282" s="181">
        <v>272039417</v>
      </c>
      <c r="AE282" s="181">
        <v>1144513375</v>
      </c>
      <c r="AF282" s="181">
        <v>1912926320</v>
      </c>
      <c r="AG282" s="181">
        <v>1.31202535824902E+16</v>
      </c>
      <c r="AH282" s="181"/>
      <c r="AI282" s="181" t="s">
        <v>150</v>
      </c>
      <c r="AJ282" s="181" t="s">
        <v>481</v>
      </c>
      <c r="AK282" s="181" t="s">
        <v>2900</v>
      </c>
      <c r="AL282" s="181">
        <v>8704</v>
      </c>
      <c r="AM282" s="181"/>
      <c r="AN282" s="181"/>
      <c r="AO282" s="181" t="s">
        <v>2901</v>
      </c>
      <c r="AP282" s="181" t="s">
        <v>485</v>
      </c>
      <c r="AQ282" s="181" t="s">
        <v>2902</v>
      </c>
      <c r="AR282" s="183">
        <v>46251</v>
      </c>
      <c r="AS282" s="181" t="s">
        <v>150</v>
      </c>
      <c r="AT282" s="181" t="s">
        <v>2903</v>
      </c>
      <c r="AU282" s="181"/>
      <c r="AV282" s="181" t="s">
        <v>2904</v>
      </c>
      <c r="AW282" s="181"/>
      <c r="AX282" s="181"/>
      <c r="AY282" s="181"/>
      <c r="AZ282" s="181"/>
      <c r="BA282" s="181"/>
      <c r="BB282" s="181"/>
      <c r="BC282" s="181"/>
      <c r="BD282" s="181" t="s">
        <v>150</v>
      </c>
      <c r="BE282" s="181">
        <v>47</v>
      </c>
      <c r="BF282" s="181"/>
      <c r="BG282" s="181" t="s">
        <v>490</v>
      </c>
      <c r="BH282" s="181" t="s">
        <v>658</v>
      </c>
      <c r="BI282" s="181" t="s">
        <v>2898</v>
      </c>
      <c r="BJ282" s="181"/>
      <c r="BK282" s="181"/>
      <c r="BL282" s="181"/>
      <c r="BM282" s="181"/>
      <c r="BN282" s="181"/>
      <c r="BO282" s="181"/>
      <c r="BP282" s="181"/>
      <c r="BQ282" s="181"/>
      <c r="BR282" s="181"/>
      <c r="BS282" s="181"/>
      <c r="BT282" s="181"/>
      <c r="BU282" s="181"/>
      <c r="BV282" s="181"/>
      <c r="BW282" s="181"/>
      <c r="BX282" s="181"/>
      <c r="BY282" s="181"/>
      <c r="BZ282" s="181"/>
      <c r="CA282" s="190">
        <v>46286.166666666701</v>
      </c>
      <c r="CB282" s="3"/>
      <c r="CC282" s="16"/>
      <c r="CD282" s="16"/>
      <c r="CE282" s="16"/>
      <c r="CF282" s="16"/>
      <c r="CG282" s="16"/>
      <c r="CH282" s="16"/>
      <c r="CI282" s="16" t="s">
        <v>2905</v>
      </c>
    </row>
    <row r="283" spans="1:87">
      <c r="A283" s="16"/>
      <c r="B283" s="16"/>
      <c r="C283" s="3">
        <v>46272</v>
      </c>
      <c r="D283" s="26" t="s">
        <v>14</v>
      </c>
      <c r="E283" s="180" t="s">
        <v>2906</v>
      </c>
      <c r="F283" s="181">
        <v>2026203520410</v>
      </c>
      <c r="G283" s="181">
        <v>40</v>
      </c>
      <c r="H283" s="181">
        <v>47</v>
      </c>
      <c r="I283" s="181" t="s">
        <v>559</v>
      </c>
      <c r="J283" s="181" t="s">
        <v>2906</v>
      </c>
      <c r="K283" s="181" t="s">
        <v>1512</v>
      </c>
      <c r="L283" s="181" t="s">
        <v>17</v>
      </c>
      <c r="M283" s="181">
        <v>21</v>
      </c>
      <c r="N283" s="181" t="s">
        <v>462</v>
      </c>
      <c r="O283" s="181" t="s">
        <v>606</v>
      </c>
      <c r="P283" s="181">
        <v>601703230</v>
      </c>
      <c r="Q283" s="181" t="s">
        <v>465</v>
      </c>
      <c r="R283" s="181" t="s">
        <v>466</v>
      </c>
      <c r="S283" s="181" t="s">
        <v>2907</v>
      </c>
      <c r="T283" s="181">
        <v>173327</v>
      </c>
      <c r="U283" s="182">
        <v>46251.011805555558</v>
      </c>
      <c r="V283" s="181" t="s">
        <v>469</v>
      </c>
      <c r="W283" s="181" t="s">
        <v>651</v>
      </c>
      <c r="X283" s="181" t="s">
        <v>652</v>
      </c>
      <c r="Y283" s="181" t="s">
        <v>653</v>
      </c>
      <c r="Z283" s="181" t="s">
        <v>524</v>
      </c>
      <c r="AA283" s="181" t="s">
        <v>474</v>
      </c>
      <c r="AB283" s="181" t="s">
        <v>757</v>
      </c>
      <c r="AC283" s="181" t="s">
        <v>526</v>
      </c>
      <c r="AD283" s="181">
        <v>341369963</v>
      </c>
      <c r="AE283" s="181">
        <v>1710920327</v>
      </c>
      <c r="AF283" s="181"/>
      <c r="AG283" s="181">
        <v>3.30202529611965E+16</v>
      </c>
      <c r="AH283" s="181"/>
      <c r="AI283" s="181" t="s">
        <v>149</v>
      </c>
      <c r="AJ283" s="181" t="s">
        <v>481</v>
      </c>
      <c r="AK283" s="181" t="s">
        <v>2908</v>
      </c>
      <c r="AL283" s="181">
        <v>77060.63</v>
      </c>
      <c r="AM283" s="181"/>
      <c r="AN283" s="181"/>
      <c r="AO283" s="181">
        <v>601</v>
      </c>
      <c r="AP283" s="181" t="s">
        <v>485</v>
      </c>
      <c r="AQ283" s="181" t="s">
        <v>2909</v>
      </c>
      <c r="AR283" s="183">
        <v>46251</v>
      </c>
      <c r="AS283" s="181" t="s">
        <v>149</v>
      </c>
      <c r="AT283" s="181" t="s">
        <v>1518</v>
      </c>
      <c r="AU283" s="181"/>
      <c r="AV283" s="181" t="s">
        <v>2910</v>
      </c>
      <c r="AW283" s="181"/>
      <c r="AX283" s="181"/>
      <c r="AY283" s="181"/>
      <c r="AZ283" s="181"/>
      <c r="BA283" s="181"/>
      <c r="BB283" s="181"/>
      <c r="BC283" s="181"/>
      <c r="BD283" s="181" t="s">
        <v>149</v>
      </c>
      <c r="BE283" s="181">
        <v>47</v>
      </c>
      <c r="BF283" s="181"/>
      <c r="BG283" s="181"/>
      <c r="BH283" s="181" t="s">
        <v>658</v>
      </c>
      <c r="BI283" s="181">
        <v>601703230</v>
      </c>
      <c r="BJ283" s="181"/>
      <c r="BK283" s="181"/>
      <c r="BL283" s="181"/>
      <c r="BM283" s="181"/>
      <c r="BN283" s="181"/>
      <c r="BO283" s="181"/>
      <c r="BP283" s="181"/>
      <c r="BQ283" s="181"/>
      <c r="BR283" s="181"/>
      <c r="BS283" s="181"/>
      <c r="BT283" s="181"/>
      <c r="BU283" s="181"/>
      <c r="BV283" s="181"/>
      <c r="BW283" s="181"/>
      <c r="BX283" s="181"/>
      <c r="BY283" s="181"/>
      <c r="BZ283" s="181"/>
      <c r="CA283" s="190"/>
      <c r="CB283" s="3"/>
      <c r="CC283" s="16"/>
      <c r="CD283" s="16"/>
      <c r="CE283" s="16"/>
      <c r="CF283" s="16"/>
      <c r="CG283" s="16"/>
      <c r="CH283" s="16"/>
      <c r="CI283" s="16" t="s">
        <v>2911</v>
      </c>
    </row>
    <row r="284" spans="1:87">
      <c r="A284" s="16" t="s">
        <v>5</v>
      </c>
      <c r="B284" s="16" t="s">
        <v>719</v>
      </c>
      <c r="C284" s="3">
        <v>46272</v>
      </c>
      <c r="D284" s="26" t="s">
        <v>14</v>
      </c>
      <c r="E284" s="180" t="s">
        <v>2912</v>
      </c>
      <c r="F284" s="181">
        <v>2026194860182</v>
      </c>
      <c r="G284" s="181">
        <v>40</v>
      </c>
      <c r="H284" s="181">
        <v>56</v>
      </c>
      <c r="I284" s="181" t="s">
        <v>559</v>
      </c>
      <c r="J284" s="181" t="s">
        <v>2912</v>
      </c>
      <c r="K284" s="181" t="s">
        <v>496</v>
      </c>
      <c r="L284" s="181" t="s">
        <v>17</v>
      </c>
      <c r="M284" s="181">
        <v>28</v>
      </c>
      <c r="N284" s="181" t="s">
        <v>462</v>
      </c>
      <c r="O284" s="181" t="s">
        <v>606</v>
      </c>
      <c r="P284" s="181">
        <v>806231731</v>
      </c>
      <c r="Q284" s="181" t="s">
        <v>465</v>
      </c>
      <c r="R284" s="181" t="s">
        <v>466</v>
      </c>
      <c r="S284" s="181" t="s">
        <v>2913</v>
      </c>
      <c r="T284" s="181">
        <v>173327</v>
      </c>
      <c r="U284" s="182">
        <v>46244.700694444444</v>
      </c>
      <c r="V284" s="181" t="s">
        <v>469</v>
      </c>
      <c r="W284" s="181" t="s">
        <v>651</v>
      </c>
      <c r="X284" s="181" t="s">
        <v>652</v>
      </c>
      <c r="Y284" s="181" t="s">
        <v>653</v>
      </c>
      <c r="Z284" s="181" t="s">
        <v>524</v>
      </c>
      <c r="AA284" s="181" t="s">
        <v>474</v>
      </c>
      <c r="AB284" s="181" t="s">
        <v>757</v>
      </c>
      <c r="AC284" s="181" t="s">
        <v>526</v>
      </c>
      <c r="AD284" s="181">
        <v>263070266</v>
      </c>
      <c r="AE284" s="181">
        <v>1497901458</v>
      </c>
      <c r="AF284" s="181">
        <v>1235104985</v>
      </c>
      <c r="AG284" s="181">
        <v>3.30202533526094E+16</v>
      </c>
      <c r="AH284" s="181"/>
      <c r="AI284" s="181" t="s">
        <v>91</v>
      </c>
      <c r="AJ284" s="181" t="s">
        <v>481</v>
      </c>
      <c r="AK284" s="181" t="s">
        <v>2914</v>
      </c>
      <c r="AL284" s="181">
        <v>4740</v>
      </c>
      <c r="AM284" s="181"/>
      <c r="AN284" s="181"/>
      <c r="AO284" s="181">
        <v>806</v>
      </c>
      <c r="AP284" s="181" t="s">
        <v>485</v>
      </c>
      <c r="AQ284" s="181" t="s">
        <v>2915</v>
      </c>
      <c r="AR284" s="183">
        <v>46244</v>
      </c>
      <c r="AS284" s="181" t="s">
        <v>91</v>
      </c>
      <c r="AT284" s="181" t="s">
        <v>2916</v>
      </c>
      <c r="AU284" s="181"/>
      <c r="AV284" s="181" t="s">
        <v>2355</v>
      </c>
      <c r="AW284" s="181"/>
      <c r="AX284" s="181"/>
      <c r="AY284" s="181"/>
      <c r="AZ284" s="181"/>
      <c r="BA284" s="181"/>
      <c r="BB284" s="181"/>
      <c r="BC284" s="181"/>
      <c r="BD284" s="181" t="s">
        <v>91</v>
      </c>
      <c r="BE284" s="181">
        <v>56</v>
      </c>
      <c r="BF284" s="181"/>
      <c r="BG284" s="181" t="s">
        <v>490</v>
      </c>
      <c r="BH284" s="181" t="s">
        <v>658</v>
      </c>
      <c r="BI284" s="181">
        <v>806231731</v>
      </c>
      <c r="BJ284" s="181"/>
      <c r="BK284" s="181"/>
      <c r="BL284" s="181"/>
      <c r="BM284" s="181"/>
      <c r="BN284" s="181"/>
      <c r="BO284" s="181"/>
      <c r="BP284" s="181"/>
      <c r="BQ284" s="181"/>
      <c r="BR284" s="181"/>
      <c r="BS284" s="181"/>
      <c r="BT284" s="181"/>
      <c r="BU284" s="181"/>
      <c r="BV284" s="181"/>
      <c r="BW284" s="181"/>
      <c r="BX284" s="181"/>
      <c r="BY284" s="181"/>
      <c r="BZ284" s="181"/>
      <c r="CA284" s="190">
        <v>46281.666666666701</v>
      </c>
      <c r="CB284" s="3"/>
      <c r="CC284" s="16"/>
      <c r="CD284" s="16"/>
      <c r="CE284" s="16"/>
      <c r="CF284" s="16"/>
      <c r="CG284" s="16"/>
      <c r="CH284" s="16"/>
      <c r="CI284" s="16" t="s">
        <v>2917</v>
      </c>
    </row>
    <row r="285" spans="1:87">
      <c r="A285" s="16"/>
      <c r="B285" s="16"/>
      <c r="C285" s="3">
        <v>46272</v>
      </c>
      <c r="D285" s="26" t="s">
        <v>14</v>
      </c>
      <c r="E285" s="180" t="s">
        <v>2918</v>
      </c>
      <c r="F285" s="181">
        <v>2026199230063</v>
      </c>
      <c r="G285" s="181">
        <v>40</v>
      </c>
      <c r="H285" s="181">
        <v>51</v>
      </c>
      <c r="I285" s="181" t="s">
        <v>559</v>
      </c>
      <c r="J285" s="181" t="s">
        <v>2918</v>
      </c>
      <c r="K285" s="181" t="s">
        <v>625</v>
      </c>
      <c r="L285" s="181" t="s">
        <v>17</v>
      </c>
      <c r="M285" s="181">
        <v>14</v>
      </c>
      <c r="N285" s="181" t="s">
        <v>462</v>
      </c>
      <c r="O285" s="181" t="s">
        <v>606</v>
      </c>
      <c r="P285" s="181">
        <v>815470474</v>
      </c>
      <c r="Q285" s="181" t="s">
        <v>465</v>
      </c>
      <c r="R285" s="181" t="s">
        <v>466</v>
      </c>
      <c r="S285" s="181" t="s">
        <v>2919</v>
      </c>
      <c r="T285" s="181">
        <v>173327</v>
      </c>
      <c r="U285" s="182">
        <v>46258.007638888892</v>
      </c>
      <c r="V285" s="181" t="s">
        <v>469</v>
      </c>
      <c r="W285" s="181" t="s">
        <v>651</v>
      </c>
      <c r="X285" s="181" t="s">
        <v>652</v>
      </c>
      <c r="Y285" s="181" t="s">
        <v>653</v>
      </c>
      <c r="Z285" s="181" t="s">
        <v>524</v>
      </c>
      <c r="AA285" s="181" t="s">
        <v>474</v>
      </c>
      <c r="AB285" s="181" t="s">
        <v>757</v>
      </c>
      <c r="AC285" s="181" t="s">
        <v>526</v>
      </c>
      <c r="AD285" s="181">
        <v>310785684</v>
      </c>
      <c r="AE285" s="181">
        <v>1144286402</v>
      </c>
      <c r="AF285" s="181"/>
      <c r="AG285" s="181">
        <v>3.30202504127664E+16</v>
      </c>
      <c r="AH285" s="181"/>
      <c r="AI285" s="181" t="s">
        <v>70</v>
      </c>
      <c r="AJ285" s="181" t="s">
        <v>481</v>
      </c>
      <c r="AK285" s="181" t="s">
        <v>2920</v>
      </c>
      <c r="AL285" s="181">
        <v>26293.200000000001</v>
      </c>
      <c r="AM285" s="181"/>
      <c r="AN285" s="181"/>
      <c r="AO285" s="181">
        <v>815</v>
      </c>
      <c r="AP285" s="181" t="s">
        <v>485</v>
      </c>
      <c r="AQ285" s="181" t="s">
        <v>2921</v>
      </c>
      <c r="AR285" s="183">
        <v>46258</v>
      </c>
      <c r="AS285" s="181" t="s">
        <v>70</v>
      </c>
      <c r="AT285" s="181" t="s">
        <v>794</v>
      </c>
      <c r="AU285" s="181"/>
      <c r="AV285" s="181" t="s">
        <v>2922</v>
      </c>
      <c r="AW285" s="181"/>
      <c r="AX285" s="181"/>
      <c r="AY285" s="181"/>
      <c r="AZ285" s="181"/>
      <c r="BA285" s="181"/>
      <c r="BB285" s="181"/>
      <c r="BC285" s="181"/>
      <c r="BD285" s="181" t="s">
        <v>70</v>
      </c>
      <c r="BE285" s="181">
        <v>50</v>
      </c>
      <c r="BF285" s="181"/>
      <c r="BG285" s="181"/>
      <c r="BH285" s="181" t="s">
        <v>658</v>
      </c>
      <c r="BI285" s="181">
        <v>815470474</v>
      </c>
      <c r="BJ285" s="181"/>
      <c r="BK285" s="181"/>
      <c r="BL285" s="181"/>
      <c r="BM285" s="181"/>
      <c r="BN285" s="181"/>
      <c r="BO285" s="181"/>
      <c r="BP285" s="181"/>
      <c r="BQ285" s="181"/>
      <c r="BR285" s="181"/>
      <c r="BS285" s="181"/>
      <c r="BT285" s="181"/>
      <c r="BU285" s="181"/>
      <c r="BV285" s="181"/>
      <c r="BW285" s="181"/>
      <c r="BX285" s="181"/>
      <c r="BY285" s="181"/>
      <c r="BZ285" s="181"/>
      <c r="CA285" s="190"/>
      <c r="CB285" s="3"/>
      <c r="CC285" s="16"/>
      <c r="CD285" s="16"/>
      <c r="CE285" s="16"/>
      <c r="CF285" s="16"/>
      <c r="CG285" s="16"/>
      <c r="CH285" s="16"/>
      <c r="CI285" s="16" t="s">
        <v>2923</v>
      </c>
    </row>
    <row r="286" spans="1:87">
      <c r="A286" s="16" t="s">
        <v>4</v>
      </c>
      <c r="B286" s="16" t="s">
        <v>2896</v>
      </c>
      <c r="C286" s="3">
        <v>46272</v>
      </c>
      <c r="D286" s="26" t="s">
        <v>14</v>
      </c>
      <c r="E286" s="180" t="s">
        <v>2924</v>
      </c>
      <c r="F286" s="181">
        <v>2026192920075</v>
      </c>
      <c r="G286" s="181">
        <v>40</v>
      </c>
      <c r="H286" s="181">
        <v>58</v>
      </c>
      <c r="I286" s="181" t="s">
        <v>559</v>
      </c>
      <c r="J286" s="181" t="s">
        <v>2924</v>
      </c>
      <c r="K286" s="181" t="s">
        <v>1201</v>
      </c>
      <c r="L286" s="181" t="s">
        <v>17</v>
      </c>
      <c r="M286" s="181">
        <v>31</v>
      </c>
      <c r="N286" s="181" t="s">
        <v>462</v>
      </c>
      <c r="O286" s="181" t="s">
        <v>606</v>
      </c>
      <c r="P286" s="181" t="s">
        <v>2925</v>
      </c>
      <c r="Q286" s="181" t="s">
        <v>465</v>
      </c>
      <c r="R286" s="181" t="s">
        <v>466</v>
      </c>
      <c r="S286" s="181" t="s">
        <v>2926</v>
      </c>
      <c r="T286" s="181">
        <v>173327</v>
      </c>
      <c r="U286" s="182">
        <v>46240.852083333331</v>
      </c>
      <c r="V286" s="181" t="s">
        <v>469</v>
      </c>
      <c r="W286" s="181" t="s">
        <v>651</v>
      </c>
      <c r="X286" s="181" t="s">
        <v>652</v>
      </c>
      <c r="Y286" s="181" t="s">
        <v>653</v>
      </c>
      <c r="Z286" s="181" t="s">
        <v>524</v>
      </c>
      <c r="AA286" s="181" t="s">
        <v>474</v>
      </c>
      <c r="AB286" s="181" t="s">
        <v>757</v>
      </c>
      <c r="AC286" s="181" t="s">
        <v>526</v>
      </c>
      <c r="AD286" s="181">
        <v>263070266</v>
      </c>
      <c r="AE286" s="181">
        <v>1497901458</v>
      </c>
      <c r="AF286" s="181">
        <v>1235104985</v>
      </c>
      <c r="AG286" s="181">
        <v>3.30202532425043E+16</v>
      </c>
      <c r="AH286" s="181"/>
      <c r="AI286" s="181" t="s">
        <v>150</v>
      </c>
      <c r="AJ286" s="181" t="s">
        <v>481</v>
      </c>
      <c r="AK286" s="181" t="s">
        <v>2927</v>
      </c>
      <c r="AL286" s="181">
        <v>3899</v>
      </c>
      <c r="AM286" s="181"/>
      <c r="AN286" s="181"/>
      <c r="AO286" s="181" t="s">
        <v>2928</v>
      </c>
      <c r="AP286" s="181" t="s">
        <v>485</v>
      </c>
      <c r="AQ286" s="181" t="s">
        <v>2929</v>
      </c>
      <c r="AR286" s="183">
        <v>46241</v>
      </c>
      <c r="AS286" s="181" t="s">
        <v>150</v>
      </c>
      <c r="AT286" s="181" t="s">
        <v>2930</v>
      </c>
      <c r="AU286" s="181"/>
      <c r="AV286" s="181" t="s">
        <v>2355</v>
      </c>
      <c r="AW286" s="181"/>
      <c r="AX286" s="181"/>
      <c r="AY286" s="181"/>
      <c r="AZ286" s="181"/>
      <c r="BA286" s="181"/>
      <c r="BB286" s="181"/>
      <c r="BC286" s="181"/>
      <c r="BD286" s="181" t="s">
        <v>150</v>
      </c>
      <c r="BE286" s="181">
        <v>58</v>
      </c>
      <c r="BF286" s="181"/>
      <c r="BG286" s="181" t="s">
        <v>490</v>
      </c>
      <c r="BH286" s="181" t="s">
        <v>658</v>
      </c>
      <c r="BI286" s="181" t="s">
        <v>2925</v>
      </c>
      <c r="BJ286" s="181"/>
      <c r="BK286" s="181"/>
      <c r="BL286" s="181"/>
      <c r="BM286" s="181"/>
      <c r="BN286" s="181"/>
      <c r="BO286" s="181"/>
      <c r="BP286" s="181"/>
      <c r="BQ286" s="181"/>
      <c r="BR286" s="181"/>
      <c r="BS286" s="181"/>
      <c r="BT286" s="181"/>
      <c r="BU286" s="181"/>
      <c r="BV286" s="181"/>
      <c r="BW286" s="181"/>
      <c r="BX286" s="181"/>
      <c r="BY286" s="181"/>
      <c r="BZ286" s="181"/>
      <c r="CA286" s="190">
        <v>46285.166666666701</v>
      </c>
      <c r="CB286" s="3"/>
      <c r="CC286" s="16"/>
      <c r="CD286" s="16"/>
      <c r="CE286" s="16"/>
      <c r="CF286" s="16"/>
      <c r="CG286" s="16"/>
      <c r="CH286" s="16"/>
      <c r="CI286" s="16" t="s">
        <v>2931</v>
      </c>
    </row>
    <row r="287" spans="1:87">
      <c r="A287" s="16"/>
      <c r="B287" s="16"/>
      <c r="C287" s="3">
        <v>46272</v>
      </c>
      <c r="D287" s="26" t="s">
        <v>14</v>
      </c>
      <c r="E287" s="180" t="s">
        <v>2932</v>
      </c>
      <c r="F287" s="181">
        <v>2026204880356</v>
      </c>
      <c r="G287" s="181">
        <v>40</v>
      </c>
      <c r="H287" s="181">
        <v>46</v>
      </c>
      <c r="I287" s="181" t="s">
        <v>559</v>
      </c>
      <c r="J287" s="181" t="s">
        <v>2932</v>
      </c>
      <c r="K287" s="181" t="s">
        <v>983</v>
      </c>
      <c r="L287" s="181" t="s">
        <v>17</v>
      </c>
      <c r="M287" s="181">
        <v>18</v>
      </c>
      <c r="N287" s="181" t="s">
        <v>462</v>
      </c>
      <c r="O287" s="181" t="s">
        <v>606</v>
      </c>
      <c r="P287" s="181">
        <v>838095863</v>
      </c>
      <c r="Q287" s="181" t="s">
        <v>465</v>
      </c>
      <c r="R287" s="181" t="s">
        <v>466</v>
      </c>
      <c r="S287" s="181" t="s">
        <v>2933</v>
      </c>
      <c r="T287" s="181">
        <v>173327</v>
      </c>
      <c r="U287" s="182">
        <v>46253.73541666667</v>
      </c>
      <c r="V287" s="181" t="s">
        <v>469</v>
      </c>
      <c r="W287" s="181" t="s">
        <v>651</v>
      </c>
      <c r="X287" s="181" t="s">
        <v>652</v>
      </c>
      <c r="Y287" s="181" t="s">
        <v>653</v>
      </c>
      <c r="Z287" s="181" t="s">
        <v>524</v>
      </c>
      <c r="AA287" s="181" t="s">
        <v>474</v>
      </c>
      <c r="AB287" s="181" t="s">
        <v>757</v>
      </c>
      <c r="AC287" s="181" t="s">
        <v>526</v>
      </c>
      <c r="AD287" s="181">
        <v>341048666</v>
      </c>
      <c r="AE287" s="181">
        <v>1962458521</v>
      </c>
      <c r="AF287" s="181"/>
      <c r="AG287" s="181">
        <v>3.30202528015976E+16</v>
      </c>
      <c r="AH287" s="181"/>
      <c r="AI287" s="181" t="s">
        <v>34</v>
      </c>
      <c r="AJ287" s="181" t="s">
        <v>481</v>
      </c>
      <c r="AK287" s="181" t="s">
        <v>2934</v>
      </c>
      <c r="AL287" s="181">
        <v>44968.800000000003</v>
      </c>
      <c r="AM287" s="181"/>
      <c r="AN287" s="181"/>
      <c r="AO287" s="181">
        <v>838</v>
      </c>
      <c r="AP287" s="181" t="s">
        <v>485</v>
      </c>
      <c r="AQ287" s="181" t="s">
        <v>2935</v>
      </c>
      <c r="AR287" s="183">
        <v>46254</v>
      </c>
      <c r="AS287" s="181" t="s">
        <v>34</v>
      </c>
      <c r="AT287" s="181" t="s">
        <v>794</v>
      </c>
      <c r="AU287" s="181"/>
      <c r="AV287" s="181" t="s">
        <v>2936</v>
      </c>
      <c r="AW287" s="181"/>
      <c r="AX287" s="181"/>
      <c r="AY287" s="181"/>
      <c r="AZ287" s="181"/>
      <c r="BA287" s="181"/>
      <c r="BB287" s="181"/>
      <c r="BC287" s="181"/>
      <c r="BD287" s="181" t="s">
        <v>34</v>
      </c>
      <c r="BE287" s="181">
        <v>46</v>
      </c>
      <c r="BF287" s="181"/>
      <c r="BG287" s="181"/>
      <c r="BH287" s="181" t="s">
        <v>658</v>
      </c>
      <c r="BI287" s="181">
        <v>838095863</v>
      </c>
      <c r="BJ287" s="181"/>
      <c r="BK287" s="181"/>
      <c r="BL287" s="181"/>
      <c r="BM287" s="181"/>
      <c r="BN287" s="181"/>
      <c r="BO287" s="181"/>
      <c r="BP287" s="181"/>
      <c r="BQ287" s="181"/>
      <c r="BR287" s="181"/>
      <c r="BS287" s="181"/>
      <c r="BT287" s="181"/>
      <c r="BU287" s="181"/>
      <c r="BV287" s="181"/>
      <c r="BW287" s="181"/>
      <c r="BX287" s="181"/>
      <c r="BY287" s="181"/>
      <c r="BZ287" s="181"/>
      <c r="CA287" s="190"/>
      <c r="CB287" s="3"/>
      <c r="CC287" s="16"/>
      <c r="CD287" s="16"/>
      <c r="CE287" s="16"/>
      <c r="CF287" s="16"/>
      <c r="CG287" s="16"/>
      <c r="CH287" s="16"/>
      <c r="CI287" s="16" t="s">
        <v>2937</v>
      </c>
    </row>
    <row r="288" spans="1:87">
      <c r="A288" s="16" t="s">
        <v>4</v>
      </c>
      <c r="B288" s="16" t="s">
        <v>2938</v>
      </c>
      <c r="C288" s="3">
        <v>46272</v>
      </c>
      <c r="D288" s="26" t="s">
        <v>14</v>
      </c>
      <c r="E288" s="180" t="s">
        <v>2939</v>
      </c>
      <c r="F288" s="181"/>
      <c r="G288" s="181">
        <v>40</v>
      </c>
      <c r="H288" s="181">
        <v>49</v>
      </c>
      <c r="I288" s="181" t="s">
        <v>559</v>
      </c>
      <c r="J288" s="181" t="s">
        <v>2939</v>
      </c>
      <c r="K288" s="181" t="s">
        <v>1040</v>
      </c>
      <c r="L288" s="181" t="s">
        <v>17</v>
      </c>
      <c r="M288" s="181">
        <v>22</v>
      </c>
      <c r="N288" s="181" t="s">
        <v>462</v>
      </c>
      <c r="O288" s="181" t="s">
        <v>606</v>
      </c>
      <c r="P288" s="181">
        <v>126755773</v>
      </c>
      <c r="Q288" s="181" t="s">
        <v>1055</v>
      </c>
      <c r="R288" s="181" t="s">
        <v>1350</v>
      </c>
      <c r="S288" s="181" t="s">
        <v>2940</v>
      </c>
      <c r="T288" s="181">
        <v>173326</v>
      </c>
      <c r="U288" s="182">
        <v>46250.647916666669</v>
      </c>
      <c r="V288" s="181" t="s">
        <v>469</v>
      </c>
      <c r="W288" s="181" t="s">
        <v>651</v>
      </c>
      <c r="X288" s="181" t="s">
        <v>652</v>
      </c>
      <c r="Y288" s="181" t="s">
        <v>653</v>
      </c>
      <c r="Z288" s="181" t="s">
        <v>473</v>
      </c>
      <c r="AA288" s="181" t="s">
        <v>474</v>
      </c>
      <c r="AB288" s="181" t="s">
        <v>684</v>
      </c>
      <c r="AC288" s="181" t="s">
        <v>476</v>
      </c>
      <c r="AD288" s="181">
        <v>390813418</v>
      </c>
      <c r="AE288" s="181">
        <v>1235588831</v>
      </c>
      <c r="AF288" s="181">
        <v>1871808956</v>
      </c>
      <c r="AG288" s="181">
        <v>4.58202532318154E+16</v>
      </c>
      <c r="AH288" s="181"/>
      <c r="AI288" s="181" t="s">
        <v>173</v>
      </c>
      <c r="AJ288" s="181" t="s">
        <v>481</v>
      </c>
      <c r="AK288" s="181" t="s">
        <v>2941</v>
      </c>
      <c r="AL288" s="181">
        <v>11434</v>
      </c>
      <c r="AM288" s="181"/>
      <c r="AN288" s="181"/>
      <c r="AO288" s="181">
        <v>126</v>
      </c>
      <c r="AP288" s="181" t="s">
        <v>485</v>
      </c>
      <c r="AQ288" s="181" t="s">
        <v>2942</v>
      </c>
      <c r="AR288" s="183">
        <v>46250</v>
      </c>
      <c r="AS288" s="181" t="s">
        <v>173</v>
      </c>
      <c r="AT288" s="181" t="s">
        <v>1047</v>
      </c>
      <c r="AU288" s="181"/>
      <c r="AV288" s="181" t="s">
        <v>2943</v>
      </c>
      <c r="AW288" s="181"/>
      <c r="AX288" s="181"/>
      <c r="AY288" s="181"/>
      <c r="AZ288" s="181"/>
      <c r="BA288" s="181"/>
      <c r="BB288" s="181"/>
      <c r="BC288" s="181"/>
      <c r="BD288" s="181" t="s">
        <v>173</v>
      </c>
      <c r="BE288" s="181">
        <v>49</v>
      </c>
      <c r="BF288" s="181"/>
      <c r="BG288" s="181"/>
      <c r="BH288" s="181" t="s">
        <v>658</v>
      </c>
      <c r="BI288" s="181">
        <v>126755773</v>
      </c>
      <c r="BJ288" s="181"/>
      <c r="BK288" s="181"/>
      <c r="BL288" s="181"/>
      <c r="BM288" s="181"/>
      <c r="BN288" s="181"/>
      <c r="BO288" s="181"/>
      <c r="BP288" s="181"/>
      <c r="BQ288" s="181"/>
      <c r="BR288" s="181"/>
      <c r="BS288" s="181"/>
      <c r="BT288" s="181"/>
      <c r="BU288" s="181"/>
      <c r="BV288" s="181"/>
      <c r="BW288" s="181"/>
      <c r="BX288" s="181"/>
      <c r="BY288" s="181"/>
      <c r="BZ288" s="181"/>
      <c r="CA288" s="190">
        <v>46285.666666666701</v>
      </c>
      <c r="CB288" s="3"/>
      <c r="CC288" s="16"/>
      <c r="CD288" s="16"/>
      <c r="CE288" s="16"/>
      <c r="CF288" s="16"/>
      <c r="CG288" s="16"/>
      <c r="CH288" s="16"/>
      <c r="CI288" s="16" t="s">
        <v>2944</v>
      </c>
    </row>
    <row r="289" spans="1:87">
      <c r="A289" s="16"/>
      <c r="B289" s="16"/>
      <c r="C289" s="3">
        <v>46272</v>
      </c>
      <c r="D289" s="26" t="s">
        <v>14</v>
      </c>
      <c r="E289" s="180" t="s">
        <v>2945</v>
      </c>
      <c r="F289" s="181">
        <v>2026200500129</v>
      </c>
      <c r="G289" s="181">
        <v>40</v>
      </c>
      <c r="H289" s="181">
        <v>50</v>
      </c>
      <c r="I289" s="181" t="s">
        <v>559</v>
      </c>
      <c r="J289" s="181" t="s">
        <v>2945</v>
      </c>
      <c r="K289" s="181" t="s">
        <v>1083</v>
      </c>
      <c r="L289" s="181" t="s">
        <v>17</v>
      </c>
      <c r="M289" s="181">
        <v>25</v>
      </c>
      <c r="N289" s="181" t="s">
        <v>462</v>
      </c>
      <c r="O289" s="181" t="s">
        <v>606</v>
      </c>
      <c r="P289" s="181">
        <v>135295660</v>
      </c>
      <c r="Q289" s="181" t="s">
        <v>465</v>
      </c>
      <c r="R289" s="181" t="s">
        <v>466</v>
      </c>
      <c r="S289" s="181" t="s">
        <v>2946</v>
      </c>
      <c r="T289" s="181">
        <v>173326</v>
      </c>
      <c r="U289" s="182">
        <v>46246.902083333334</v>
      </c>
      <c r="V289" s="181" t="s">
        <v>469</v>
      </c>
      <c r="W289" s="181" t="s">
        <v>651</v>
      </c>
      <c r="X289" s="181" t="s">
        <v>652</v>
      </c>
      <c r="Y289" s="181" t="s">
        <v>653</v>
      </c>
      <c r="Z289" s="181" t="s">
        <v>473</v>
      </c>
      <c r="AA289" s="181" t="s">
        <v>474</v>
      </c>
      <c r="AB289" s="181" t="s">
        <v>684</v>
      </c>
      <c r="AC289" s="181" t="s">
        <v>476</v>
      </c>
      <c r="AD289" s="181">
        <v>391130341</v>
      </c>
      <c r="AE289" s="181">
        <v>1902850696</v>
      </c>
      <c r="AF289" s="181">
        <v>1013307297</v>
      </c>
      <c r="AG289" s="181">
        <v>4.5820252751931504E+16</v>
      </c>
      <c r="AH289" s="181"/>
      <c r="AI289" s="181" t="s">
        <v>48</v>
      </c>
      <c r="AJ289" s="181" t="s">
        <v>481</v>
      </c>
      <c r="AK289" s="181" t="s">
        <v>2947</v>
      </c>
      <c r="AL289" s="181">
        <v>16489</v>
      </c>
      <c r="AM289" s="181"/>
      <c r="AN289" s="181"/>
      <c r="AO289" s="181">
        <v>135</v>
      </c>
      <c r="AP289" s="181" t="s">
        <v>485</v>
      </c>
      <c r="AQ289" s="181" t="s">
        <v>2948</v>
      </c>
      <c r="AR289" s="183">
        <v>46247</v>
      </c>
      <c r="AS289" s="181" t="s">
        <v>48</v>
      </c>
      <c r="AT289" s="181" t="s">
        <v>2252</v>
      </c>
      <c r="AU289" s="181"/>
      <c r="AV289" s="181" t="s">
        <v>2687</v>
      </c>
      <c r="AW289" s="181"/>
      <c r="AX289" s="181"/>
      <c r="AY289" s="181"/>
      <c r="AZ289" s="181"/>
      <c r="BA289" s="181"/>
      <c r="BB289" s="181"/>
      <c r="BC289" s="181"/>
      <c r="BD289" s="181" t="s">
        <v>48</v>
      </c>
      <c r="BE289" s="181">
        <v>50</v>
      </c>
      <c r="BF289" s="181"/>
      <c r="BG289" s="181"/>
      <c r="BH289" s="181" t="s">
        <v>658</v>
      </c>
      <c r="BI289" s="181">
        <v>135295660</v>
      </c>
      <c r="BJ289" s="181"/>
      <c r="BK289" s="181"/>
      <c r="BL289" s="181"/>
      <c r="BM289" s="181"/>
      <c r="BN289" s="181"/>
      <c r="BO289" s="181"/>
      <c r="BP289" s="181"/>
      <c r="BQ289" s="181"/>
      <c r="BR289" s="181"/>
      <c r="BS289" s="181"/>
      <c r="BT289" s="181"/>
      <c r="BU289" s="181"/>
      <c r="BV289" s="181"/>
      <c r="BW289" s="181"/>
      <c r="BX289" s="181"/>
      <c r="BY289" s="181"/>
      <c r="BZ289" s="181"/>
      <c r="CA289" s="190"/>
      <c r="CB289" s="3"/>
      <c r="CC289" s="16"/>
      <c r="CD289" s="16"/>
      <c r="CE289" s="16"/>
      <c r="CF289" s="16"/>
      <c r="CG289" s="16"/>
      <c r="CH289" s="16"/>
      <c r="CI289" s="16" t="s">
        <v>2949</v>
      </c>
    </row>
    <row r="290" spans="1:87">
      <c r="A290" s="16"/>
      <c r="B290" s="16"/>
      <c r="C290" s="3">
        <v>46272</v>
      </c>
      <c r="D290" s="26" t="s">
        <v>14</v>
      </c>
      <c r="E290" s="180" t="s">
        <v>2950</v>
      </c>
      <c r="F290" s="181"/>
      <c r="G290" s="181">
        <v>40</v>
      </c>
      <c r="H290" s="181">
        <v>49</v>
      </c>
      <c r="I290" s="181" t="s">
        <v>559</v>
      </c>
      <c r="J290" s="181" t="s">
        <v>2950</v>
      </c>
      <c r="K290" s="181" t="s">
        <v>983</v>
      </c>
      <c r="L290" s="181" t="s">
        <v>17</v>
      </c>
      <c r="M290" s="181">
        <v>25</v>
      </c>
      <c r="N290" s="181" t="s">
        <v>462</v>
      </c>
      <c r="O290" s="181" t="s">
        <v>606</v>
      </c>
      <c r="P290" s="181">
        <v>70904080</v>
      </c>
      <c r="Q290" s="181" t="s">
        <v>1055</v>
      </c>
      <c r="R290" s="181" t="s">
        <v>1350</v>
      </c>
      <c r="S290" s="181" t="s">
        <v>2951</v>
      </c>
      <c r="T290" s="181">
        <v>173326</v>
      </c>
      <c r="U290" s="182">
        <v>46247.118055555555</v>
      </c>
      <c r="V290" s="181" t="s">
        <v>469</v>
      </c>
      <c r="W290" s="181" t="s">
        <v>651</v>
      </c>
      <c r="X290" s="181" t="s">
        <v>652</v>
      </c>
      <c r="Y290" s="181" t="s">
        <v>653</v>
      </c>
      <c r="Z290" s="181" t="s">
        <v>473</v>
      </c>
      <c r="AA290" s="181" t="s">
        <v>474</v>
      </c>
      <c r="AB290" s="181" t="s">
        <v>684</v>
      </c>
      <c r="AC290" s="181" t="s">
        <v>476</v>
      </c>
      <c r="AD290" s="181">
        <v>390813418</v>
      </c>
      <c r="AE290" s="181">
        <v>1235588831</v>
      </c>
      <c r="AF290" s="181">
        <v>1518693571</v>
      </c>
      <c r="AG290" s="181">
        <v>4.5820260220345296E+16</v>
      </c>
      <c r="AH290" s="181"/>
      <c r="AI290" s="181" t="s">
        <v>34</v>
      </c>
      <c r="AJ290" s="181" t="s">
        <v>481</v>
      </c>
      <c r="AK290" s="181" t="s">
        <v>2952</v>
      </c>
      <c r="AL290" s="181">
        <v>8447</v>
      </c>
      <c r="AM290" s="181"/>
      <c r="AN290" s="181"/>
      <c r="AO290" s="181">
        <v>70</v>
      </c>
      <c r="AP290" s="181" t="s">
        <v>485</v>
      </c>
      <c r="AQ290" s="181" t="s">
        <v>2953</v>
      </c>
      <c r="AR290" s="183">
        <v>46247</v>
      </c>
      <c r="AS290" s="181" t="s">
        <v>34</v>
      </c>
      <c r="AT290" s="181" t="s">
        <v>794</v>
      </c>
      <c r="AU290" s="181"/>
      <c r="AV290" s="181" t="s">
        <v>2954</v>
      </c>
      <c r="AW290" s="181"/>
      <c r="AX290" s="181"/>
      <c r="AY290" s="181"/>
      <c r="AZ290" s="181"/>
      <c r="BA290" s="181"/>
      <c r="BB290" s="181"/>
      <c r="BC290" s="181"/>
      <c r="BD290" s="181" t="s">
        <v>34</v>
      </c>
      <c r="BE290" s="181">
        <v>49</v>
      </c>
      <c r="BF290" s="181"/>
      <c r="BG290" s="181"/>
      <c r="BH290" s="181" t="s">
        <v>658</v>
      </c>
      <c r="BI290" s="181">
        <v>70904080</v>
      </c>
      <c r="BJ290" s="181"/>
      <c r="BK290" s="181"/>
      <c r="BL290" s="181"/>
      <c r="BM290" s="181"/>
      <c r="BN290" s="181"/>
      <c r="BO290" s="181"/>
      <c r="BP290" s="181"/>
      <c r="BQ290" s="181"/>
      <c r="BR290" s="181"/>
      <c r="BS290" s="181"/>
      <c r="BT290" s="181"/>
      <c r="BU290" s="181"/>
      <c r="BV290" s="181"/>
      <c r="BW290" s="181"/>
      <c r="BX290" s="181"/>
      <c r="BY290" s="181"/>
      <c r="BZ290" s="181"/>
      <c r="CA290" s="190"/>
      <c r="CB290" s="3"/>
      <c r="CC290" s="16"/>
      <c r="CD290" s="16"/>
      <c r="CE290" s="16"/>
      <c r="CF290" s="16"/>
      <c r="CG290" s="16"/>
      <c r="CH290" s="16"/>
      <c r="CI290" s="16" t="s">
        <v>2955</v>
      </c>
    </row>
    <row r="291" spans="1:87" ht="29.25">
      <c r="A291" s="16" t="s">
        <v>5</v>
      </c>
      <c r="B291" s="25" t="s">
        <v>2390</v>
      </c>
      <c r="C291" s="3">
        <v>46272</v>
      </c>
      <c r="D291" s="26" t="s">
        <v>14</v>
      </c>
      <c r="E291" s="180" t="s">
        <v>2956</v>
      </c>
      <c r="F291" s="181">
        <v>2026204110347</v>
      </c>
      <c r="G291" s="181">
        <v>40</v>
      </c>
      <c r="H291" s="181">
        <v>46</v>
      </c>
      <c r="I291" s="181" t="s">
        <v>559</v>
      </c>
      <c r="J291" s="181" t="s">
        <v>2956</v>
      </c>
      <c r="K291" s="181" t="s">
        <v>1555</v>
      </c>
      <c r="L291" s="181" t="s">
        <v>17</v>
      </c>
      <c r="M291" s="181">
        <v>20</v>
      </c>
      <c r="N291" s="181" t="s">
        <v>462</v>
      </c>
      <c r="O291" s="181" t="s">
        <v>606</v>
      </c>
      <c r="P291" s="181">
        <v>836232633</v>
      </c>
      <c r="Q291" s="181" t="s">
        <v>465</v>
      </c>
      <c r="R291" s="181" t="s">
        <v>466</v>
      </c>
      <c r="S291" s="181" t="s">
        <v>2957</v>
      </c>
      <c r="T291" s="181">
        <v>173326</v>
      </c>
      <c r="U291" s="182">
        <v>46251.9375</v>
      </c>
      <c r="V291" s="181" t="s">
        <v>469</v>
      </c>
      <c r="W291" s="181" t="s">
        <v>651</v>
      </c>
      <c r="X291" s="181" t="s">
        <v>652</v>
      </c>
      <c r="Y291" s="181" t="s">
        <v>653</v>
      </c>
      <c r="Z291" s="181" t="s">
        <v>473</v>
      </c>
      <c r="AA291" s="181" t="s">
        <v>474</v>
      </c>
      <c r="AB291" s="181" t="s">
        <v>2129</v>
      </c>
      <c r="AC291" s="181" t="s">
        <v>476</v>
      </c>
      <c r="AD291" s="181">
        <v>390837206</v>
      </c>
      <c r="AE291" s="181">
        <v>1093201832</v>
      </c>
      <c r="AF291" s="181">
        <v>1861964934</v>
      </c>
      <c r="AG291" s="181">
        <v>4.5820260010090496E+16</v>
      </c>
      <c r="AH291" s="181"/>
      <c r="AI291" s="181" t="s">
        <v>32</v>
      </c>
      <c r="AJ291" s="181" t="s">
        <v>481</v>
      </c>
      <c r="AK291" s="181" t="s">
        <v>2958</v>
      </c>
      <c r="AL291" s="181">
        <v>16640</v>
      </c>
      <c r="AM291" s="181"/>
      <c r="AN291" s="181"/>
      <c r="AO291" s="181">
        <v>836</v>
      </c>
      <c r="AP291" s="181" t="s">
        <v>485</v>
      </c>
      <c r="AQ291" s="181" t="s">
        <v>2959</v>
      </c>
      <c r="AR291" s="183">
        <v>46252</v>
      </c>
      <c r="AS291" s="181" t="s">
        <v>32</v>
      </c>
      <c r="AT291" s="181" t="s">
        <v>2960</v>
      </c>
      <c r="AU291" s="181"/>
      <c r="AV291" s="181" t="s">
        <v>2961</v>
      </c>
      <c r="AW291" s="181"/>
      <c r="AX291" s="181"/>
      <c r="AY291" s="181"/>
      <c r="AZ291" s="181"/>
      <c r="BA291" s="181"/>
      <c r="BB291" s="181"/>
      <c r="BC291" s="181"/>
      <c r="BD291" s="181" t="s">
        <v>32</v>
      </c>
      <c r="BE291" s="181">
        <v>46</v>
      </c>
      <c r="BF291" s="181"/>
      <c r="BG291" s="181"/>
      <c r="BH291" s="181" t="s">
        <v>658</v>
      </c>
      <c r="BI291" s="181">
        <v>836232633</v>
      </c>
      <c r="BJ291" s="181"/>
      <c r="BK291" s="181"/>
      <c r="BL291" s="181"/>
      <c r="BM291" s="181"/>
      <c r="BN291" s="181"/>
      <c r="BO291" s="181"/>
      <c r="BP291" s="181"/>
      <c r="BQ291" s="181"/>
      <c r="BR291" s="181"/>
      <c r="BS291" s="181"/>
      <c r="BT291" s="181"/>
      <c r="BU291" s="181"/>
      <c r="BV291" s="181"/>
      <c r="BW291" s="181"/>
      <c r="BX291" s="181"/>
      <c r="BY291" s="181"/>
      <c r="BZ291" s="181"/>
      <c r="CA291" s="190">
        <v>46285.666666666701</v>
      </c>
      <c r="CB291" s="3"/>
      <c r="CC291" s="16"/>
      <c r="CD291" s="16"/>
      <c r="CE291" s="16"/>
      <c r="CF291" s="16"/>
      <c r="CG291" s="16"/>
      <c r="CH291" s="16"/>
      <c r="CI291" s="193" t="s">
        <v>2962</v>
      </c>
    </row>
    <row r="292" spans="1:87">
      <c r="A292" s="16" t="s">
        <v>5</v>
      </c>
      <c r="B292" s="16" t="s">
        <v>719</v>
      </c>
      <c r="C292" s="3">
        <v>46272</v>
      </c>
      <c r="D292" s="26" t="s">
        <v>14</v>
      </c>
      <c r="E292" s="180" t="s">
        <v>2963</v>
      </c>
      <c r="F292" s="181">
        <v>2026192350270</v>
      </c>
      <c r="G292" s="181">
        <v>40</v>
      </c>
      <c r="H292" s="181">
        <v>58</v>
      </c>
      <c r="I292" s="181" t="s">
        <v>559</v>
      </c>
      <c r="J292" s="181" t="s">
        <v>2963</v>
      </c>
      <c r="K292" s="181" t="s">
        <v>496</v>
      </c>
      <c r="L292" s="181" t="s">
        <v>17</v>
      </c>
      <c r="M292" s="181">
        <v>31</v>
      </c>
      <c r="N292" s="181" t="s">
        <v>462</v>
      </c>
      <c r="O292" s="181" t="s">
        <v>606</v>
      </c>
      <c r="P292" s="181">
        <v>832430924</v>
      </c>
      <c r="Q292" s="181" t="s">
        <v>465</v>
      </c>
      <c r="R292" s="181" t="s">
        <v>466</v>
      </c>
      <c r="S292" s="181" t="s">
        <v>2964</v>
      </c>
      <c r="T292" s="181">
        <v>173326</v>
      </c>
      <c r="U292" s="182">
        <v>46240.789583333331</v>
      </c>
      <c r="V292" s="181" t="s">
        <v>469</v>
      </c>
      <c r="W292" s="181" t="s">
        <v>651</v>
      </c>
      <c r="X292" s="181" t="s">
        <v>652</v>
      </c>
      <c r="Y292" s="181" t="s">
        <v>653</v>
      </c>
      <c r="Z292" s="181" t="s">
        <v>473</v>
      </c>
      <c r="AA292" s="181" t="s">
        <v>474</v>
      </c>
      <c r="AB292" s="181" t="s">
        <v>684</v>
      </c>
      <c r="AC292" s="181" t="s">
        <v>476</v>
      </c>
      <c r="AD292" s="181">
        <v>391128616</v>
      </c>
      <c r="AE292" s="181">
        <v>1053358846</v>
      </c>
      <c r="AF292" s="181">
        <v>1124656103</v>
      </c>
      <c r="AG292" s="181">
        <v>4.58202534419196E+16</v>
      </c>
      <c r="AH292" s="181"/>
      <c r="AI292" s="181" t="s">
        <v>91</v>
      </c>
      <c r="AJ292" s="181" t="s">
        <v>481</v>
      </c>
      <c r="AK292" s="181" t="s">
        <v>2965</v>
      </c>
      <c r="AL292" s="181">
        <v>9125</v>
      </c>
      <c r="AM292" s="181"/>
      <c r="AN292" s="181"/>
      <c r="AO292" s="181">
        <v>832</v>
      </c>
      <c r="AP292" s="181" t="s">
        <v>485</v>
      </c>
      <c r="AQ292" s="181" t="s">
        <v>2966</v>
      </c>
      <c r="AR292" s="183">
        <v>46241</v>
      </c>
      <c r="AS292" s="181" t="s">
        <v>91</v>
      </c>
      <c r="AT292" s="181" t="s">
        <v>2222</v>
      </c>
      <c r="AU292" s="181"/>
      <c r="AV292" s="181" t="s">
        <v>2967</v>
      </c>
      <c r="AW292" s="181"/>
      <c r="AX292" s="181"/>
      <c r="AY292" s="181"/>
      <c r="AZ292" s="181"/>
      <c r="BA292" s="181"/>
      <c r="BB292" s="181"/>
      <c r="BC292" s="181"/>
      <c r="BD292" s="181" t="s">
        <v>91</v>
      </c>
      <c r="BE292" s="181">
        <v>58</v>
      </c>
      <c r="BF292" s="181"/>
      <c r="BG292" s="181"/>
      <c r="BH292" s="181" t="s">
        <v>658</v>
      </c>
      <c r="BI292" s="181">
        <v>832430924</v>
      </c>
      <c r="BJ292" s="181"/>
      <c r="BK292" s="181"/>
      <c r="BL292" s="181"/>
      <c r="BM292" s="181"/>
      <c r="BN292" s="181"/>
      <c r="BO292" s="181"/>
      <c r="BP292" s="181"/>
      <c r="BQ292" s="181"/>
      <c r="BR292" s="181"/>
      <c r="BS292" s="181"/>
      <c r="BT292" s="181"/>
      <c r="BU292" s="181"/>
      <c r="BV292" s="181"/>
      <c r="BW292" s="181"/>
      <c r="BX292" s="181"/>
      <c r="BY292" s="181"/>
      <c r="BZ292" s="181"/>
      <c r="CA292" s="190">
        <v>46281.666666666701</v>
      </c>
      <c r="CB292" s="3"/>
      <c r="CC292" s="16"/>
      <c r="CD292" s="16"/>
      <c r="CE292" s="16"/>
      <c r="CF292" s="16"/>
      <c r="CG292" s="16"/>
      <c r="CH292" s="16"/>
      <c r="CI292" s="16" t="s">
        <v>2968</v>
      </c>
    </row>
    <row r="293" spans="1:87">
      <c r="A293" s="16" t="s">
        <v>5</v>
      </c>
      <c r="B293" s="16" t="s">
        <v>2517</v>
      </c>
      <c r="C293" s="3">
        <v>46272</v>
      </c>
      <c r="D293" s="26" t="s">
        <v>14</v>
      </c>
      <c r="E293" s="180" t="s">
        <v>2969</v>
      </c>
      <c r="F293" s="181">
        <v>2026202410420</v>
      </c>
      <c r="G293" s="181">
        <v>40</v>
      </c>
      <c r="H293" s="181">
        <v>48</v>
      </c>
      <c r="I293" s="181" t="s">
        <v>559</v>
      </c>
      <c r="J293" s="181" t="s">
        <v>2969</v>
      </c>
      <c r="K293" s="181" t="s">
        <v>1371</v>
      </c>
      <c r="L293" s="181" t="s">
        <v>17</v>
      </c>
      <c r="M293" s="181">
        <v>22</v>
      </c>
      <c r="N293" s="181" t="s">
        <v>462</v>
      </c>
      <c r="O293" s="181" t="s">
        <v>606</v>
      </c>
      <c r="P293" s="181">
        <v>134654032</v>
      </c>
      <c r="Q293" s="181" t="s">
        <v>465</v>
      </c>
      <c r="R293" s="181" t="s">
        <v>466</v>
      </c>
      <c r="S293" s="181" t="s">
        <v>2970</v>
      </c>
      <c r="T293" s="181">
        <v>173325</v>
      </c>
      <c r="U293" s="182">
        <v>46250.684027777781</v>
      </c>
      <c r="V293" s="181" t="s">
        <v>469</v>
      </c>
      <c r="W293" s="181" t="s">
        <v>651</v>
      </c>
      <c r="X293" s="181" t="s">
        <v>652</v>
      </c>
      <c r="Y293" s="181" t="s">
        <v>653</v>
      </c>
      <c r="Z293" s="181" t="s">
        <v>731</v>
      </c>
      <c r="AA293" s="181" t="s">
        <v>474</v>
      </c>
      <c r="AB293" s="181" t="s">
        <v>732</v>
      </c>
      <c r="AC293" s="181" t="s">
        <v>733</v>
      </c>
      <c r="AD293" s="181">
        <v>430653611</v>
      </c>
      <c r="AE293" s="181">
        <v>1538100565</v>
      </c>
      <c r="AF293" s="181">
        <v>1528221322</v>
      </c>
      <c r="AG293" s="181">
        <v>7.48202504700524E+16</v>
      </c>
      <c r="AH293" s="181"/>
      <c r="AI293" s="181" t="s">
        <v>164</v>
      </c>
      <c r="AJ293" s="181" t="s">
        <v>481</v>
      </c>
      <c r="AK293" s="181" t="s">
        <v>2971</v>
      </c>
      <c r="AL293" s="181">
        <v>14363</v>
      </c>
      <c r="AM293" s="181"/>
      <c r="AN293" s="181"/>
      <c r="AO293" s="181">
        <v>134</v>
      </c>
      <c r="AP293" s="181" t="s">
        <v>485</v>
      </c>
      <c r="AQ293" s="181" t="s">
        <v>2972</v>
      </c>
      <c r="AR293" s="183">
        <v>46250</v>
      </c>
      <c r="AS293" s="181" t="s">
        <v>164</v>
      </c>
      <c r="AT293" s="181" t="s">
        <v>1493</v>
      </c>
      <c r="AU293" s="181"/>
      <c r="AV293" s="181" t="s">
        <v>2973</v>
      </c>
      <c r="AW293" s="181"/>
      <c r="AX293" s="181"/>
      <c r="AY293" s="181"/>
      <c r="AZ293" s="181"/>
      <c r="BA293" s="181"/>
      <c r="BB293" s="181"/>
      <c r="BC293" s="181"/>
      <c r="BD293" s="181" t="s">
        <v>164</v>
      </c>
      <c r="BE293" s="181">
        <v>48</v>
      </c>
      <c r="BF293" s="181"/>
      <c r="BG293" s="181"/>
      <c r="BH293" s="181" t="s">
        <v>658</v>
      </c>
      <c r="BI293" s="181">
        <v>134654032</v>
      </c>
      <c r="BJ293" s="181"/>
      <c r="BK293" s="181"/>
      <c r="BL293" s="181"/>
      <c r="BM293" s="181"/>
      <c r="BN293" s="181"/>
      <c r="BO293" s="181"/>
      <c r="BP293" s="181"/>
      <c r="BQ293" s="181"/>
      <c r="BR293" s="181"/>
      <c r="BS293" s="181"/>
      <c r="BT293" s="181"/>
      <c r="BU293" s="181"/>
      <c r="BV293" s="181"/>
      <c r="BW293" s="181"/>
      <c r="BX293" s="181"/>
      <c r="BY293" s="181"/>
      <c r="BZ293" s="181"/>
      <c r="CA293" s="190">
        <v>46280.666666666701</v>
      </c>
      <c r="CB293" s="3"/>
      <c r="CC293" s="16"/>
      <c r="CD293" s="16"/>
      <c r="CE293" s="16"/>
      <c r="CF293" s="16"/>
      <c r="CG293" s="16"/>
      <c r="CH293" s="16"/>
      <c r="CI293" s="16" t="s">
        <v>2974</v>
      </c>
    </row>
    <row r="294" spans="1:87">
      <c r="A294" s="16" t="s">
        <v>5</v>
      </c>
      <c r="B294" s="16"/>
      <c r="C294" s="3">
        <v>46272</v>
      </c>
      <c r="D294" s="26" t="s">
        <v>14</v>
      </c>
      <c r="E294" s="180" t="s">
        <v>2975</v>
      </c>
      <c r="F294" s="181">
        <v>2026196490004</v>
      </c>
      <c r="G294" s="181">
        <v>40</v>
      </c>
      <c r="H294" s="181">
        <v>54</v>
      </c>
      <c r="I294" s="181" t="s">
        <v>559</v>
      </c>
      <c r="J294" s="181" t="s">
        <v>2975</v>
      </c>
      <c r="K294" s="181" t="s">
        <v>1252</v>
      </c>
      <c r="L294" s="181" t="s">
        <v>17</v>
      </c>
      <c r="M294" s="181">
        <v>8</v>
      </c>
      <c r="N294" s="181" t="s">
        <v>462</v>
      </c>
      <c r="O294" s="181" t="s">
        <v>606</v>
      </c>
      <c r="P294" s="181">
        <v>100422877</v>
      </c>
      <c r="Q294" s="181" t="s">
        <v>465</v>
      </c>
      <c r="R294" s="181" t="s">
        <v>466</v>
      </c>
      <c r="S294" s="181" t="s">
        <v>2976</v>
      </c>
      <c r="T294" s="181">
        <v>173325</v>
      </c>
      <c r="U294" s="182">
        <v>46264.640277777777</v>
      </c>
      <c r="V294" s="181" t="s">
        <v>469</v>
      </c>
      <c r="W294" s="181" t="s">
        <v>651</v>
      </c>
      <c r="X294" s="181" t="s">
        <v>652</v>
      </c>
      <c r="Y294" s="181" t="s">
        <v>653</v>
      </c>
      <c r="Z294" s="181" t="s">
        <v>731</v>
      </c>
      <c r="AA294" s="181" t="s">
        <v>474</v>
      </c>
      <c r="AB294" s="181" t="s">
        <v>732</v>
      </c>
      <c r="AC294" s="181" t="s">
        <v>733</v>
      </c>
      <c r="AD294" s="181">
        <v>453808607</v>
      </c>
      <c r="AE294" s="181">
        <v>1003201955</v>
      </c>
      <c r="AF294" s="181"/>
      <c r="AG294" s="181">
        <v>7.4820252321124304E+16</v>
      </c>
      <c r="AH294" s="181"/>
      <c r="AI294" s="181" t="s">
        <v>154</v>
      </c>
      <c r="AJ294" s="181" t="s">
        <v>481</v>
      </c>
      <c r="AK294" s="181" t="s">
        <v>2977</v>
      </c>
      <c r="AL294" s="181">
        <v>23324.41</v>
      </c>
      <c r="AM294" s="181"/>
      <c r="AN294" s="181"/>
      <c r="AO294" s="181">
        <v>100</v>
      </c>
      <c r="AP294" s="181" t="s">
        <v>485</v>
      </c>
      <c r="AQ294" s="181" t="s">
        <v>2978</v>
      </c>
      <c r="AR294" s="183">
        <v>46264</v>
      </c>
      <c r="AS294" s="181" t="s">
        <v>154</v>
      </c>
      <c r="AT294" s="181" t="s">
        <v>516</v>
      </c>
      <c r="AU294" s="181"/>
      <c r="AV294" s="181" t="s">
        <v>2979</v>
      </c>
      <c r="AW294" s="181"/>
      <c r="AX294" s="181"/>
      <c r="AY294" s="181"/>
      <c r="AZ294" s="181"/>
      <c r="BA294" s="181"/>
      <c r="BB294" s="181"/>
      <c r="BC294" s="181"/>
      <c r="BD294" s="181" t="s">
        <v>154</v>
      </c>
      <c r="BE294" s="181">
        <v>54</v>
      </c>
      <c r="BF294" s="181"/>
      <c r="BG294" s="181"/>
      <c r="BH294" s="181" t="s">
        <v>658</v>
      </c>
      <c r="BI294" s="181">
        <v>100422877</v>
      </c>
      <c r="BJ294" s="181"/>
      <c r="BK294" s="181"/>
      <c r="BL294" s="181"/>
      <c r="BM294" s="181"/>
      <c r="BN294" s="181"/>
      <c r="BO294" s="181"/>
      <c r="BP294" s="181"/>
      <c r="BQ294" s="181"/>
      <c r="BR294" s="181"/>
      <c r="BS294" s="181"/>
      <c r="BT294" s="181"/>
      <c r="BU294" s="181"/>
      <c r="BV294" s="181"/>
      <c r="BW294" s="181"/>
      <c r="BX294" s="181"/>
      <c r="BY294" s="181"/>
      <c r="BZ294" s="181"/>
      <c r="CA294" s="190" t="s">
        <v>514</v>
      </c>
      <c r="CB294" s="3"/>
      <c r="CC294" s="16"/>
      <c r="CD294" s="16"/>
      <c r="CE294" s="16"/>
      <c r="CF294" s="16"/>
      <c r="CG294" s="16"/>
      <c r="CH294" s="16"/>
      <c r="CI294" s="16" t="s">
        <v>2980</v>
      </c>
    </row>
    <row r="295" spans="1:87">
      <c r="A295" s="16" t="s">
        <v>5</v>
      </c>
      <c r="B295" s="16" t="s">
        <v>2517</v>
      </c>
      <c r="C295" s="3">
        <v>46272</v>
      </c>
      <c r="D295" s="26" t="s">
        <v>14</v>
      </c>
      <c r="E295" s="180" t="s">
        <v>2981</v>
      </c>
      <c r="F295" s="181">
        <v>2026201350347</v>
      </c>
      <c r="G295" s="181">
        <v>40</v>
      </c>
      <c r="H295" s="181">
        <v>49</v>
      </c>
      <c r="I295" s="181" t="s">
        <v>559</v>
      </c>
      <c r="J295" s="181" t="s">
        <v>2981</v>
      </c>
      <c r="K295" s="181" t="s">
        <v>1371</v>
      </c>
      <c r="L295" s="181" t="s">
        <v>17</v>
      </c>
      <c r="M295" s="181">
        <v>25</v>
      </c>
      <c r="N295" s="181" t="s">
        <v>462</v>
      </c>
      <c r="O295" s="181" t="s">
        <v>606</v>
      </c>
      <c r="P295" s="181">
        <v>826969482</v>
      </c>
      <c r="Q295" s="181" t="s">
        <v>465</v>
      </c>
      <c r="R295" s="181" t="s">
        <v>466</v>
      </c>
      <c r="S295" s="181" t="s">
        <v>2982</v>
      </c>
      <c r="T295" s="181">
        <v>173325</v>
      </c>
      <c r="U295" s="182">
        <v>46246.942361111112</v>
      </c>
      <c r="V295" s="181" t="s">
        <v>469</v>
      </c>
      <c r="W295" s="181" t="s">
        <v>651</v>
      </c>
      <c r="X295" s="181" t="s">
        <v>652</v>
      </c>
      <c r="Y295" s="181" t="s">
        <v>653</v>
      </c>
      <c r="Z295" s="181" t="s">
        <v>731</v>
      </c>
      <c r="AA295" s="181" t="s">
        <v>474</v>
      </c>
      <c r="AB295" s="181" t="s">
        <v>732</v>
      </c>
      <c r="AC295" s="181" t="s">
        <v>733</v>
      </c>
      <c r="AD295" s="181">
        <v>430653611</v>
      </c>
      <c r="AE295" s="181">
        <v>1538100565</v>
      </c>
      <c r="AF295" s="181">
        <v>1154733723</v>
      </c>
      <c r="AG295" s="181">
        <v>7.4820253200156896E+16</v>
      </c>
      <c r="AH295" s="181"/>
      <c r="AI295" s="181" t="s">
        <v>164</v>
      </c>
      <c r="AJ295" s="181" t="s">
        <v>481</v>
      </c>
      <c r="AK295" s="181" t="s">
        <v>2983</v>
      </c>
      <c r="AL295" s="181">
        <v>8963</v>
      </c>
      <c r="AM295" s="181"/>
      <c r="AN295" s="181"/>
      <c r="AO295" s="181">
        <v>826</v>
      </c>
      <c r="AP295" s="181" t="s">
        <v>485</v>
      </c>
      <c r="AQ295" s="181" t="s">
        <v>2984</v>
      </c>
      <c r="AR295" s="183">
        <v>46247</v>
      </c>
      <c r="AS295" s="181" t="s">
        <v>164</v>
      </c>
      <c r="AT295" s="181" t="s">
        <v>1493</v>
      </c>
      <c r="AU295" s="181"/>
      <c r="AV295" s="181" t="s">
        <v>2985</v>
      </c>
      <c r="AW295" s="181"/>
      <c r="AX295" s="181"/>
      <c r="AY295" s="181"/>
      <c r="AZ295" s="181"/>
      <c r="BA295" s="181"/>
      <c r="BB295" s="181"/>
      <c r="BC295" s="181"/>
      <c r="BD295" s="181" t="s">
        <v>164</v>
      </c>
      <c r="BE295" s="181">
        <v>49</v>
      </c>
      <c r="BF295" s="181"/>
      <c r="BG295" s="181"/>
      <c r="BH295" s="181" t="s">
        <v>658</v>
      </c>
      <c r="BI295" s="181">
        <v>826969482</v>
      </c>
      <c r="BJ295" s="181"/>
      <c r="BK295" s="181"/>
      <c r="BL295" s="181"/>
      <c r="BM295" s="181"/>
      <c r="BN295" s="181"/>
      <c r="BO295" s="181"/>
      <c r="BP295" s="181"/>
      <c r="BQ295" s="181"/>
      <c r="BR295" s="181"/>
      <c r="BS295" s="181"/>
      <c r="BT295" s="181"/>
      <c r="BU295" s="181"/>
      <c r="BV295" s="181"/>
      <c r="BW295" s="181"/>
      <c r="BX295" s="181"/>
      <c r="BY295" s="181"/>
      <c r="BZ295" s="181"/>
      <c r="CA295" s="190">
        <v>46280.666666666701</v>
      </c>
      <c r="CB295" s="3"/>
      <c r="CC295" s="16"/>
      <c r="CD295" s="16"/>
      <c r="CE295" s="16"/>
      <c r="CF295" s="16"/>
      <c r="CG295" s="16"/>
      <c r="CH295" s="16"/>
      <c r="CI295" s="16" t="s">
        <v>2986</v>
      </c>
    </row>
    <row r="296" spans="1:87">
      <c r="A296" s="16"/>
      <c r="B296" s="16"/>
      <c r="C296" s="3">
        <v>46272</v>
      </c>
      <c r="D296" s="26" t="s">
        <v>14</v>
      </c>
      <c r="E296" s="180" t="s">
        <v>2987</v>
      </c>
      <c r="F296" s="181">
        <v>2026203910885</v>
      </c>
      <c r="G296" s="181">
        <v>40</v>
      </c>
      <c r="H296" s="181">
        <v>47</v>
      </c>
      <c r="I296" s="181" t="s">
        <v>559</v>
      </c>
      <c r="J296" s="181" t="s">
        <v>2987</v>
      </c>
      <c r="K296" s="181" t="s">
        <v>674</v>
      </c>
      <c r="L296" s="181" t="s">
        <v>16</v>
      </c>
      <c r="M296" s="181">
        <v>21</v>
      </c>
      <c r="N296" s="181" t="s">
        <v>462</v>
      </c>
      <c r="O296" s="181" t="s">
        <v>606</v>
      </c>
      <c r="P296" s="181">
        <v>822530258</v>
      </c>
      <c r="Q296" s="181" t="s">
        <v>465</v>
      </c>
      <c r="R296" s="181" t="s">
        <v>466</v>
      </c>
      <c r="S296" s="181" t="s">
        <v>2988</v>
      </c>
      <c r="T296" s="181">
        <v>173323</v>
      </c>
      <c r="U296" s="182">
        <v>46251.377083333333</v>
      </c>
      <c r="V296" s="181" t="s">
        <v>469</v>
      </c>
      <c r="W296" s="181" t="s">
        <v>651</v>
      </c>
      <c r="X296" s="181" t="s">
        <v>652</v>
      </c>
      <c r="Y296" s="181" t="s">
        <v>653</v>
      </c>
      <c r="Z296" s="181" t="s">
        <v>590</v>
      </c>
      <c r="AA296" s="181" t="s">
        <v>474</v>
      </c>
      <c r="AB296" s="181" t="s">
        <v>2303</v>
      </c>
      <c r="AC296" s="181" t="s">
        <v>592</v>
      </c>
      <c r="AD296" s="181">
        <v>840166760</v>
      </c>
      <c r="AE296" s="181">
        <v>1336245828</v>
      </c>
      <c r="AF296" s="181"/>
      <c r="AG296" s="181">
        <v>5120251210036700</v>
      </c>
      <c r="AH296" s="181"/>
      <c r="AI296" s="181" t="s">
        <v>54</v>
      </c>
      <c r="AJ296" s="181" t="s">
        <v>481</v>
      </c>
      <c r="AK296" s="181" t="s">
        <v>2989</v>
      </c>
      <c r="AL296" s="181">
        <v>289685.96000000002</v>
      </c>
      <c r="AM296" s="181"/>
      <c r="AN296" s="181"/>
      <c r="AO296" s="181">
        <v>822</v>
      </c>
      <c r="AP296" s="181" t="s">
        <v>485</v>
      </c>
      <c r="AQ296" s="181" t="s">
        <v>2990</v>
      </c>
      <c r="AR296" s="183">
        <v>46251</v>
      </c>
      <c r="AS296" s="181" t="s">
        <v>54</v>
      </c>
      <c r="AT296" s="181" t="s">
        <v>678</v>
      </c>
      <c r="AU296" s="181"/>
      <c r="AV296" s="181" t="s">
        <v>2307</v>
      </c>
      <c r="AW296" s="181"/>
      <c r="AX296" s="181"/>
      <c r="AY296" s="181"/>
      <c r="AZ296" s="181"/>
      <c r="BA296" s="181"/>
      <c r="BB296" s="181"/>
      <c r="BC296" s="181"/>
      <c r="BD296" s="181" t="s">
        <v>54</v>
      </c>
      <c r="BE296" s="181">
        <v>47</v>
      </c>
      <c r="BF296" s="181"/>
      <c r="BG296" s="181"/>
      <c r="BH296" s="181" t="s">
        <v>658</v>
      </c>
      <c r="BI296" s="181">
        <v>822530258</v>
      </c>
      <c r="BJ296" s="181"/>
      <c r="BK296" s="181"/>
      <c r="BL296" s="181"/>
      <c r="BM296" s="181"/>
      <c r="BN296" s="181"/>
      <c r="BO296" s="181"/>
      <c r="BP296" s="181"/>
      <c r="BQ296" s="181"/>
      <c r="BR296" s="181"/>
      <c r="BS296" s="181"/>
      <c r="BT296" s="181"/>
      <c r="BU296" s="181"/>
      <c r="BV296" s="181"/>
      <c r="BW296" s="181"/>
      <c r="BX296" s="181"/>
      <c r="BY296" s="181"/>
      <c r="BZ296" s="181"/>
      <c r="CA296" s="190"/>
      <c r="CB296" s="3"/>
      <c r="CC296" s="16"/>
      <c r="CD296" s="16"/>
      <c r="CE296" s="16"/>
      <c r="CF296" s="16"/>
      <c r="CG296" s="16"/>
      <c r="CH296" s="16"/>
      <c r="CI296" s="16" t="s">
        <v>2991</v>
      </c>
    </row>
    <row r="297" spans="1:87">
      <c r="A297" s="16"/>
      <c r="B297" s="16"/>
      <c r="C297" s="3">
        <v>46272</v>
      </c>
      <c r="D297" s="26" t="s">
        <v>14</v>
      </c>
      <c r="E297" s="180" t="s">
        <v>2992</v>
      </c>
      <c r="F297" s="181" t="s">
        <v>2993</v>
      </c>
      <c r="G297" s="181">
        <v>40</v>
      </c>
      <c r="H297" s="181">
        <v>60</v>
      </c>
      <c r="I297" s="181" t="s">
        <v>559</v>
      </c>
      <c r="J297" s="181" t="s">
        <v>2992</v>
      </c>
      <c r="K297" s="181" t="s">
        <v>1512</v>
      </c>
      <c r="L297" s="181" t="s">
        <v>17</v>
      </c>
      <c r="M297" s="181">
        <v>32</v>
      </c>
      <c r="N297" s="181" t="s">
        <v>462</v>
      </c>
      <c r="O297" s="181" t="s">
        <v>606</v>
      </c>
      <c r="P297" s="181" t="s">
        <v>2994</v>
      </c>
      <c r="Q297" s="181" t="s">
        <v>1055</v>
      </c>
      <c r="R297" s="181" t="s">
        <v>1056</v>
      </c>
      <c r="S297" s="181" t="s">
        <v>2995</v>
      </c>
      <c r="T297" s="181">
        <v>173323</v>
      </c>
      <c r="U297" s="182">
        <v>46239.854861111111</v>
      </c>
      <c r="V297" s="181" t="s">
        <v>469</v>
      </c>
      <c r="W297" s="181" t="s">
        <v>651</v>
      </c>
      <c r="X297" s="181" t="s">
        <v>652</v>
      </c>
      <c r="Y297" s="181" t="s">
        <v>653</v>
      </c>
      <c r="Z297" s="181" t="s">
        <v>590</v>
      </c>
      <c r="AA297" s="181" t="s">
        <v>1059</v>
      </c>
      <c r="AB297" s="181" t="s">
        <v>2303</v>
      </c>
      <c r="AC297" s="181" t="s">
        <v>592</v>
      </c>
      <c r="AD297" s="181">
        <v>10803945</v>
      </c>
      <c r="AE297" s="181">
        <v>1821181876</v>
      </c>
      <c r="AF297" s="181">
        <v>1972558518</v>
      </c>
      <c r="AG297" s="181">
        <v>5120252390788900</v>
      </c>
      <c r="AH297" s="181"/>
      <c r="AI297" s="181" t="s">
        <v>149</v>
      </c>
      <c r="AJ297" s="181" t="s">
        <v>481</v>
      </c>
      <c r="AK297" s="181" t="s">
        <v>2996</v>
      </c>
      <c r="AL297" s="181">
        <v>5675.31</v>
      </c>
      <c r="AM297" s="181"/>
      <c r="AN297" s="181"/>
      <c r="AO297" s="181" t="s">
        <v>2997</v>
      </c>
      <c r="AP297" s="181" t="s">
        <v>485</v>
      </c>
      <c r="AQ297" s="181" t="s">
        <v>2998</v>
      </c>
      <c r="AR297" s="183">
        <v>46240</v>
      </c>
      <c r="AS297" s="181" t="s">
        <v>149</v>
      </c>
      <c r="AT297" s="181" t="s">
        <v>1518</v>
      </c>
      <c r="AU297" s="181"/>
      <c r="AV297" s="181" t="s">
        <v>2999</v>
      </c>
      <c r="AW297" s="181"/>
      <c r="AX297" s="181"/>
      <c r="AY297" s="181"/>
      <c r="AZ297" s="181"/>
      <c r="BA297" s="181"/>
      <c r="BB297" s="181" t="s">
        <v>3000</v>
      </c>
      <c r="BC297" s="181"/>
      <c r="BD297" s="181" t="s">
        <v>149</v>
      </c>
      <c r="BE297" s="181">
        <v>60</v>
      </c>
      <c r="BF297" s="181"/>
      <c r="BG297" s="181" t="s">
        <v>1067</v>
      </c>
      <c r="BH297" s="181" t="s">
        <v>658</v>
      </c>
      <c r="BI297" s="181" t="s">
        <v>3001</v>
      </c>
      <c r="BJ297" s="181"/>
      <c r="BK297" s="181"/>
      <c r="BL297" s="181"/>
      <c r="BM297" s="181"/>
      <c r="BN297" s="181"/>
      <c r="BO297" s="181"/>
      <c r="BP297" s="181"/>
      <c r="BQ297" s="181"/>
      <c r="BR297" s="181"/>
      <c r="BS297" s="181"/>
      <c r="BT297" s="181"/>
      <c r="BU297" s="181"/>
      <c r="BV297" s="181"/>
      <c r="BW297" s="181"/>
      <c r="BX297" s="181"/>
      <c r="BY297" s="181"/>
      <c r="BZ297" s="181"/>
      <c r="CA297" s="190"/>
      <c r="CB297" s="3"/>
      <c r="CC297" s="16"/>
      <c r="CD297" s="16"/>
      <c r="CE297" s="16"/>
      <c r="CF297" s="16"/>
      <c r="CG297" s="16"/>
      <c r="CH297" s="16"/>
      <c r="CI297" s="16" t="s">
        <v>3002</v>
      </c>
    </row>
    <row r="298" spans="1:87">
      <c r="A298" s="16"/>
      <c r="B298" s="16"/>
      <c r="C298" s="3">
        <v>46272</v>
      </c>
      <c r="D298" s="26" t="s">
        <v>14</v>
      </c>
      <c r="E298" s="180" t="s">
        <v>3003</v>
      </c>
      <c r="F298" s="181">
        <v>2026199170176</v>
      </c>
      <c r="G298" s="181">
        <v>40</v>
      </c>
      <c r="H298" s="181">
        <v>51</v>
      </c>
      <c r="I298" s="181" t="s">
        <v>559</v>
      </c>
      <c r="J298" s="181" t="s">
        <v>3003</v>
      </c>
      <c r="K298" s="181" t="s">
        <v>540</v>
      </c>
      <c r="L298" s="181" t="s">
        <v>18</v>
      </c>
      <c r="M298" s="181">
        <v>11</v>
      </c>
      <c r="N298" s="181" t="s">
        <v>462</v>
      </c>
      <c r="O298" s="181" t="s">
        <v>606</v>
      </c>
      <c r="P298" s="181" t="s">
        <v>3004</v>
      </c>
      <c r="Q298" s="181" t="s">
        <v>564</v>
      </c>
      <c r="R298" s="181" t="s">
        <v>466</v>
      </c>
      <c r="S298" s="181" t="s">
        <v>3005</v>
      </c>
      <c r="T298" s="181">
        <v>170208</v>
      </c>
      <c r="U298" s="182">
        <v>46251.299305555556</v>
      </c>
      <c r="V298" s="181" t="s">
        <v>469</v>
      </c>
      <c r="W298" s="181" t="s">
        <v>568</v>
      </c>
      <c r="X298" s="181" t="s">
        <v>471</v>
      </c>
      <c r="Y298" s="181" t="s">
        <v>1724</v>
      </c>
      <c r="Z298" s="181" t="s">
        <v>570</v>
      </c>
      <c r="AA298" s="181" t="s">
        <v>474</v>
      </c>
      <c r="AB298" s="181" t="s">
        <v>3006</v>
      </c>
      <c r="AC298" s="181" t="s">
        <v>572</v>
      </c>
      <c r="AD298" s="181">
        <v>330676831</v>
      </c>
      <c r="AE298" s="181">
        <v>1942799523</v>
      </c>
      <c r="AF298" s="181">
        <v>1215190541</v>
      </c>
      <c r="AG298" s="181"/>
      <c r="AH298" s="181"/>
      <c r="AI298" s="181" t="s">
        <v>31</v>
      </c>
      <c r="AJ298" s="181" t="s">
        <v>481</v>
      </c>
      <c r="AK298" s="181" t="s">
        <v>3007</v>
      </c>
      <c r="AL298" s="181">
        <v>301</v>
      </c>
      <c r="AM298" s="181"/>
      <c r="AN298" s="181"/>
      <c r="AO298" s="181">
        <v>348</v>
      </c>
      <c r="AP298" s="181" t="s">
        <v>485</v>
      </c>
      <c r="AQ298" s="181" t="s">
        <v>3008</v>
      </c>
      <c r="AR298" s="183">
        <v>46261</v>
      </c>
      <c r="AS298" s="181" t="s">
        <v>31</v>
      </c>
      <c r="AT298" s="181" t="s">
        <v>516</v>
      </c>
      <c r="AU298" s="181"/>
      <c r="AV298" s="181" t="s">
        <v>3009</v>
      </c>
      <c r="AW298" s="181"/>
      <c r="AX298" s="181"/>
      <c r="AY298" s="181"/>
      <c r="AZ298" s="181"/>
      <c r="BA298" s="181"/>
      <c r="BB298" s="181"/>
      <c r="BC298" s="181"/>
      <c r="BD298" s="181" t="s">
        <v>31</v>
      </c>
      <c r="BE298" s="181">
        <v>51</v>
      </c>
      <c r="BF298" s="181"/>
      <c r="BG298" s="181" t="s">
        <v>490</v>
      </c>
      <c r="BH298" s="181" t="s">
        <v>491</v>
      </c>
      <c r="BI298" s="181">
        <v>571651056</v>
      </c>
      <c r="BJ298" s="181"/>
      <c r="BK298" s="181"/>
      <c r="BL298" s="181"/>
      <c r="BM298" s="181"/>
      <c r="BN298" s="181"/>
      <c r="BO298" s="181"/>
      <c r="BP298" s="181"/>
      <c r="BQ298" s="181"/>
      <c r="BR298" s="181"/>
      <c r="BS298" s="181"/>
      <c r="BT298" s="181"/>
      <c r="BU298" s="181"/>
      <c r="BV298" s="181"/>
      <c r="BW298" s="181"/>
      <c r="BX298" s="181"/>
      <c r="BY298" s="181"/>
      <c r="BZ298" s="181"/>
      <c r="CA298" s="190"/>
      <c r="CB298" s="3"/>
      <c r="CC298" s="16"/>
      <c r="CD298" s="16"/>
      <c r="CE298" s="16"/>
      <c r="CF298" s="16"/>
      <c r="CG298" s="16"/>
      <c r="CH298" s="16"/>
      <c r="CI298" s="16" t="s">
        <v>3010</v>
      </c>
    </row>
    <row r="299" spans="1:87">
      <c r="A299" s="16"/>
      <c r="B299" s="16"/>
      <c r="C299" s="3">
        <v>46272</v>
      </c>
      <c r="D299" s="26" t="s">
        <v>14</v>
      </c>
      <c r="E299" s="180" t="s">
        <v>3011</v>
      </c>
      <c r="F299" s="181">
        <v>2026204340439</v>
      </c>
      <c r="G299" s="181">
        <v>40</v>
      </c>
      <c r="H299" s="181">
        <v>46</v>
      </c>
      <c r="I299" s="181" t="s">
        <v>559</v>
      </c>
      <c r="J299" s="181" t="s">
        <v>3011</v>
      </c>
      <c r="K299" s="181" t="s">
        <v>1512</v>
      </c>
      <c r="L299" s="181" t="s">
        <v>17</v>
      </c>
      <c r="M299" s="181">
        <v>20</v>
      </c>
      <c r="N299" s="181" t="s">
        <v>462</v>
      </c>
      <c r="O299" s="181" t="s">
        <v>606</v>
      </c>
      <c r="P299" s="181">
        <v>971949779</v>
      </c>
      <c r="Q299" s="181" t="s">
        <v>465</v>
      </c>
      <c r="R299" s="181" t="s">
        <v>466</v>
      </c>
      <c r="S299" s="181" t="s">
        <v>3012</v>
      </c>
      <c r="T299" s="181">
        <v>5709</v>
      </c>
      <c r="U299" s="182">
        <v>46251.945833333331</v>
      </c>
      <c r="V299" s="181" t="s">
        <v>469</v>
      </c>
      <c r="W299" s="181" t="s">
        <v>470</v>
      </c>
      <c r="X299" s="181" t="s">
        <v>471</v>
      </c>
      <c r="Y299" s="181" t="s">
        <v>628</v>
      </c>
      <c r="Z299" s="181" t="s">
        <v>1338</v>
      </c>
      <c r="AA299" s="181" t="s">
        <v>474</v>
      </c>
      <c r="AB299" s="181" t="s">
        <v>3013</v>
      </c>
      <c r="AC299" s="181" t="s">
        <v>1429</v>
      </c>
      <c r="AD299" s="181">
        <v>61550566</v>
      </c>
      <c r="AE299" s="181">
        <v>1801805403</v>
      </c>
      <c r="AF299" s="181">
        <v>1477508778</v>
      </c>
      <c r="AG299" s="181"/>
      <c r="AH299" s="181"/>
      <c r="AI299" s="181" t="s">
        <v>149</v>
      </c>
      <c r="AJ299" s="181" t="s">
        <v>481</v>
      </c>
      <c r="AK299" s="181" t="s">
        <v>3014</v>
      </c>
      <c r="AL299" s="181">
        <v>5920</v>
      </c>
      <c r="AM299" s="181"/>
      <c r="AN299" s="181"/>
      <c r="AO299" s="181">
        <v>971</v>
      </c>
      <c r="AP299" s="181" t="s">
        <v>485</v>
      </c>
      <c r="AQ299" s="181" t="s">
        <v>3015</v>
      </c>
      <c r="AR299" s="183">
        <v>46252</v>
      </c>
      <c r="AS299" s="181" t="s">
        <v>149</v>
      </c>
      <c r="AT299" s="181" t="s">
        <v>1518</v>
      </c>
      <c r="AU299" s="181"/>
      <c r="AV299" s="181" t="s">
        <v>3016</v>
      </c>
      <c r="AW299" s="181"/>
      <c r="AX299" s="181"/>
      <c r="AY299" s="181"/>
      <c r="AZ299" s="181"/>
      <c r="BA299" s="181"/>
      <c r="BB299" s="181"/>
      <c r="BC299" s="181"/>
      <c r="BD299" s="181" t="s">
        <v>149</v>
      </c>
      <c r="BE299" s="181">
        <v>46</v>
      </c>
      <c r="BF299" s="181"/>
      <c r="BG299" s="181" t="s">
        <v>490</v>
      </c>
      <c r="BH299" s="181" t="s">
        <v>491</v>
      </c>
      <c r="BI299" s="181">
        <v>41785666</v>
      </c>
      <c r="BJ299" s="181"/>
      <c r="BK299" s="181"/>
      <c r="BL299" s="181"/>
      <c r="BM299" s="181"/>
      <c r="BN299" s="181"/>
      <c r="BO299" s="181"/>
      <c r="BP299" s="181"/>
      <c r="BQ299" s="181"/>
      <c r="BR299" s="181"/>
      <c r="BS299" s="181"/>
      <c r="BT299" s="181"/>
      <c r="BU299" s="181"/>
      <c r="BV299" s="181"/>
      <c r="BW299" s="181"/>
      <c r="BX299" s="181"/>
      <c r="BY299" s="181"/>
      <c r="BZ299" s="181"/>
      <c r="CA299" s="190"/>
      <c r="CB299" s="3"/>
      <c r="CC299" s="16"/>
      <c r="CD299" s="16"/>
      <c r="CE299" s="16"/>
      <c r="CF299" s="16"/>
      <c r="CG299" s="16"/>
      <c r="CH299" s="16"/>
      <c r="CI299" s="16" t="s">
        <v>3017</v>
      </c>
    </row>
    <row r="300" spans="1:87">
      <c r="A300" s="16"/>
      <c r="B300" s="16"/>
      <c r="C300" s="3">
        <v>46272</v>
      </c>
      <c r="D300" s="26" t="s">
        <v>14</v>
      </c>
      <c r="E300" s="180" t="s">
        <v>133</v>
      </c>
      <c r="F300" s="181">
        <v>2026162500473</v>
      </c>
      <c r="G300" s="181">
        <v>50</v>
      </c>
      <c r="H300" s="181">
        <v>88</v>
      </c>
      <c r="I300" s="181" t="s">
        <v>3018</v>
      </c>
      <c r="J300" s="181" t="s">
        <v>133</v>
      </c>
      <c r="K300" s="181" t="s">
        <v>895</v>
      </c>
      <c r="L300" s="181" t="s">
        <v>18</v>
      </c>
      <c r="M300" s="181">
        <v>18</v>
      </c>
      <c r="N300" s="181" t="s">
        <v>462</v>
      </c>
      <c r="O300" s="181" t="s">
        <v>606</v>
      </c>
      <c r="P300" s="181" t="s">
        <v>3019</v>
      </c>
      <c r="Q300" s="181" t="s">
        <v>465</v>
      </c>
      <c r="R300" s="181" t="s">
        <v>466</v>
      </c>
      <c r="S300" s="181" t="s">
        <v>3020</v>
      </c>
      <c r="T300" s="181" t="s">
        <v>3021</v>
      </c>
      <c r="U300" s="182">
        <v>46253.810416666667</v>
      </c>
      <c r="V300" s="181" t="s">
        <v>469</v>
      </c>
      <c r="W300" s="181" t="s">
        <v>568</v>
      </c>
      <c r="X300" s="181" t="s">
        <v>471</v>
      </c>
      <c r="Y300" s="181" t="s">
        <v>628</v>
      </c>
      <c r="Z300" s="181" t="s">
        <v>524</v>
      </c>
      <c r="AA300" s="181" t="s">
        <v>474</v>
      </c>
      <c r="AB300" s="181" t="s">
        <v>3022</v>
      </c>
      <c r="AC300" s="181" t="s">
        <v>526</v>
      </c>
      <c r="AD300" s="181">
        <v>341048666</v>
      </c>
      <c r="AE300" s="181">
        <v>1962458521</v>
      </c>
      <c r="AF300" s="181"/>
      <c r="AG300" s="181"/>
      <c r="AH300" s="181"/>
      <c r="AI300" s="181" t="s">
        <v>20</v>
      </c>
      <c r="AJ300" s="181" t="s">
        <v>481</v>
      </c>
      <c r="AK300" s="181" t="s">
        <v>3023</v>
      </c>
      <c r="AL300" s="181">
        <v>22300.15</v>
      </c>
      <c r="AM300" s="181"/>
      <c r="AN300" s="181"/>
      <c r="AO300" s="181">
        <v>569</v>
      </c>
      <c r="AP300" s="181" t="s">
        <v>485</v>
      </c>
      <c r="AQ300" s="181" t="s">
        <v>3024</v>
      </c>
      <c r="AR300" s="183">
        <v>46254</v>
      </c>
      <c r="AS300" s="181" t="s">
        <v>20</v>
      </c>
      <c r="AT300" s="181" t="s">
        <v>899</v>
      </c>
      <c r="AU300" s="181"/>
      <c r="AV300" s="181" t="s">
        <v>2936</v>
      </c>
      <c r="AW300" s="181"/>
      <c r="AX300" s="181"/>
      <c r="AY300" s="181"/>
      <c r="AZ300" s="181"/>
      <c r="BA300" s="181"/>
      <c r="BB300" s="181"/>
      <c r="BC300" s="181"/>
      <c r="BD300" s="181" t="s">
        <v>20</v>
      </c>
      <c r="BE300" s="181">
        <v>88</v>
      </c>
      <c r="BF300" s="181"/>
      <c r="BG300" s="181"/>
      <c r="BH300" s="181" t="s">
        <v>491</v>
      </c>
      <c r="BI300" s="181">
        <v>284801935</v>
      </c>
      <c r="BJ300" s="181"/>
      <c r="BK300" s="181"/>
      <c r="BL300" s="181"/>
      <c r="BM300" s="181"/>
      <c r="BN300" s="181"/>
      <c r="BO300" s="181"/>
      <c r="BP300" s="181"/>
      <c r="BQ300" s="181"/>
      <c r="BR300" s="181"/>
      <c r="BS300" s="181"/>
      <c r="BT300" s="181"/>
      <c r="BU300" s="181"/>
      <c r="BV300" s="181"/>
      <c r="BW300" s="181"/>
      <c r="BX300" s="181"/>
      <c r="BY300" s="181"/>
      <c r="BZ300" s="181"/>
      <c r="CA300" s="190"/>
      <c r="CB300" s="3"/>
      <c r="CC300" s="16"/>
      <c r="CD300" s="16"/>
      <c r="CE300" s="16"/>
      <c r="CF300" s="16"/>
      <c r="CG300" s="16"/>
      <c r="CH300" s="16"/>
      <c r="CI300" s="16" t="s">
        <v>3025</v>
      </c>
    </row>
    <row r="301" spans="1:87">
      <c r="A301" s="16"/>
      <c r="B301" s="16"/>
      <c r="C301" s="3">
        <v>46272</v>
      </c>
      <c r="D301" s="26" t="s">
        <v>14</v>
      </c>
      <c r="E301" s="180" t="s">
        <v>359</v>
      </c>
      <c r="F301" s="181">
        <v>2026182610360</v>
      </c>
      <c r="G301" s="181">
        <v>50</v>
      </c>
      <c r="H301" s="181">
        <v>68</v>
      </c>
      <c r="I301" s="181" t="s">
        <v>3018</v>
      </c>
      <c r="J301" s="181" t="s">
        <v>359</v>
      </c>
      <c r="K301" s="181" t="s">
        <v>895</v>
      </c>
      <c r="L301" s="181" t="s">
        <v>18</v>
      </c>
      <c r="M301" s="181">
        <v>24</v>
      </c>
      <c r="N301" s="181" t="s">
        <v>462</v>
      </c>
      <c r="O301" s="181" t="s">
        <v>606</v>
      </c>
      <c r="P301" s="181" t="s">
        <v>3026</v>
      </c>
      <c r="Q301" s="181" t="s">
        <v>564</v>
      </c>
      <c r="R301" s="181" t="s">
        <v>466</v>
      </c>
      <c r="S301" s="181" t="s">
        <v>3027</v>
      </c>
      <c r="T301" s="181" t="s">
        <v>3028</v>
      </c>
      <c r="U301" s="182">
        <v>46248.025694444441</v>
      </c>
      <c r="V301" s="181" t="s">
        <v>469</v>
      </c>
      <c r="W301" s="181" t="s">
        <v>568</v>
      </c>
      <c r="X301" s="181" t="s">
        <v>471</v>
      </c>
      <c r="Y301" s="181" t="s">
        <v>628</v>
      </c>
      <c r="Z301" s="181" t="s">
        <v>570</v>
      </c>
      <c r="AA301" s="181" t="s">
        <v>474</v>
      </c>
      <c r="AB301" s="181" t="s">
        <v>3029</v>
      </c>
      <c r="AC301" s="181" t="s">
        <v>572</v>
      </c>
      <c r="AD301" s="181">
        <v>522380476</v>
      </c>
      <c r="AE301" s="181">
        <v>1003965328</v>
      </c>
      <c r="AF301" s="181"/>
      <c r="AG301" s="181"/>
      <c r="AH301" s="181"/>
      <c r="AI301" s="181" t="s">
        <v>20</v>
      </c>
      <c r="AJ301" s="181" t="s">
        <v>481</v>
      </c>
      <c r="AK301" s="181" t="s">
        <v>3030</v>
      </c>
      <c r="AL301" s="181">
        <v>86571.43</v>
      </c>
      <c r="AM301" s="181"/>
      <c r="AN301" s="181"/>
      <c r="AO301" s="181">
        <v>675</v>
      </c>
      <c r="AP301" s="181" t="s">
        <v>485</v>
      </c>
      <c r="AQ301" s="181" t="s">
        <v>3031</v>
      </c>
      <c r="AR301" s="183">
        <v>46248</v>
      </c>
      <c r="AS301" s="181" t="s">
        <v>895</v>
      </c>
      <c r="AT301" s="181" t="s">
        <v>3032</v>
      </c>
      <c r="AU301" s="181"/>
      <c r="AV301" s="181" t="s">
        <v>580</v>
      </c>
      <c r="AW301" s="181"/>
      <c r="AX301" s="181"/>
      <c r="AY301" s="181"/>
      <c r="AZ301" s="181"/>
      <c r="BA301" s="181"/>
      <c r="BB301" s="181"/>
      <c r="BC301" s="181"/>
      <c r="BD301" s="181" t="s">
        <v>20</v>
      </c>
      <c r="BE301" s="181">
        <v>68</v>
      </c>
      <c r="BF301" s="181"/>
      <c r="BG301" s="181" t="s">
        <v>490</v>
      </c>
      <c r="BH301" s="181" t="s">
        <v>491</v>
      </c>
      <c r="BI301" s="181">
        <v>736815336</v>
      </c>
      <c r="BJ301" s="181"/>
      <c r="BK301" s="181"/>
      <c r="BL301" s="181"/>
      <c r="BM301" s="181"/>
      <c r="BN301" s="181"/>
      <c r="BO301" s="181"/>
      <c r="BP301" s="181"/>
      <c r="BQ301" s="181"/>
      <c r="BR301" s="181"/>
      <c r="BS301" s="181"/>
      <c r="BT301" s="181"/>
      <c r="BU301" s="181"/>
      <c r="BV301" s="181"/>
      <c r="BW301" s="181"/>
      <c r="BX301" s="181"/>
      <c r="BY301" s="181"/>
      <c r="BZ301" s="181"/>
      <c r="CA301" s="190"/>
      <c r="CB301" s="3"/>
      <c r="CC301" s="16"/>
      <c r="CD301" s="16"/>
      <c r="CE301" s="16"/>
      <c r="CF301" s="16"/>
      <c r="CG301" s="16"/>
      <c r="CH301" s="16"/>
      <c r="CI301" s="16" t="s">
        <v>3033</v>
      </c>
    </row>
    <row r="302" spans="1:87">
      <c r="A302" s="16"/>
      <c r="B302" s="16"/>
      <c r="C302" s="3">
        <v>46272</v>
      </c>
      <c r="D302" s="26" t="s">
        <v>14</v>
      </c>
      <c r="E302" s="180" t="s">
        <v>358</v>
      </c>
      <c r="F302" s="181">
        <v>2026187130284</v>
      </c>
      <c r="G302" s="181">
        <v>50</v>
      </c>
      <c r="H302" s="181">
        <v>63</v>
      </c>
      <c r="I302" s="181" t="s">
        <v>3018</v>
      </c>
      <c r="J302" s="181" t="s">
        <v>358</v>
      </c>
      <c r="K302" s="181" t="s">
        <v>895</v>
      </c>
      <c r="L302" s="181" t="s">
        <v>18</v>
      </c>
      <c r="M302" s="181">
        <v>24</v>
      </c>
      <c r="N302" s="181" t="s">
        <v>462</v>
      </c>
      <c r="O302" s="181" t="s">
        <v>606</v>
      </c>
      <c r="P302" s="181" t="s">
        <v>3034</v>
      </c>
      <c r="Q302" s="181" t="s">
        <v>465</v>
      </c>
      <c r="R302" s="181" t="s">
        <v>466</v>
      </c>
      <c r="S302" s="181" t="s">
        <v>3035</v>
      </c>
      <c r="T302" s="181" t="s">
        <v>3036</v>
      </c>
      <c r="U302" s="182">
        <v>46248.030555555553</v>
      </c>
      <c r="V302" s="181" t="s">
        <v>469</v>
      </c>
      <c r="W302" s="181" t="s">
        <v>470</v>
      </c>
      <c r="X302" s="181" t="s">
        <v>471</v>
      </c>
      <c r="Y302" s="181" t="s">
        <v>523</v>
      </c>
      <c r="Z302" s="181" t="s">
        <v>473</v>
      </c>
      <c r="AA302" s="181" t="s">
        <v>474</v>
      </c>
      <c r="AB302" s="181" t="s">
        <v>3037</v>
      </c>
      <c r="AC302" s="181" t="s">
        <v>476</v>
      </c>
      <c r="AD302" s="181">
        <v>390806261</v>
      </c>
      <c r="AE302" s="181">
        <v>1699720086</v>
      </c>
      <c r="AF302" s="181">
        <v>1053765495</v>
      </c>
      <c r="AG302" s="181"/>
      <c r="AH302" s="181"/>
      <c r="AI302" s="181" t="s">
        <v>20</v>
      </c>
      <c r="AJ302" s="181" t="s">
        <v>481</v>
      </c>
      <c r="AK302" s="181" t="s">
        <v>3038</v>
      </c>
      <c r="AL302" s="181">
        <v>21802</v>
      </c>
      <c r="AM302" s="181"/>
      <c r="AN302" s="181"/>
      <c r="AO302" s="181">
        <v>279</v>
      </c>
      <c r="AP302" s="181" t="s">
        <v>485</v>
      </c>
      <c r="AQ302" s="181" t="s">
        <v>3039</v>
      </c>
      <c r="AR302" s="183">
        <v>46248</v>
      </c>
      <c r="AS302" s="181" t="s">
        <v>20</v>
      </c>
      <c r="AT302" s="181" t="s">
        <v>3040</v>
      </c>
      <c r="AU302" s="181"/>
      <c r="AV302" s="181" t="s">
        <v>3041</v>
      </c>
      <c r="AW302" s="181"/>
      <c r="AX302" s="181"/>
      <c r="AY302" s="181"/>
      <c r="AZ302" s="181"/>
      <c r="BA302" s="181"/>
      <c r="BB302" s="181"/>
      <c r="BC302" s="181"/>
      <c r="BD302" s="181" t="s">
        <v>20</v>
      </c>
      <c r="BE302" s="181">
        <v>63</v>
      </c>
      <c r="BF302" s="181"/>
      <c r="BG302" s="181"/>
      <c r="BH302" s="181" t="s">
        <v>491</v>
      </c>
      <c r="BI302" s="181">
        <v>224514925</v>
      </c>
      <c r="BJ302" s="181"/>
      <c r="BK302" s="181"/>
      <c r="BL302" s="181"/>
      <c r="BM302" s="181"/>
      <c r="BN302" s="181"/>
      <c r="BO302" s="181"/>
      <c r="BP302" s="181"/>
      <c r="BQ302" s="181"/>
      <c r="BR302" s="181"/>
      <c r="BS302" s="181"/>
      <c r="BT302" s="181"/>
      <c r="BU302" s="181"/>
      <c r="BV302" s="181"/>
      <c r="BW302" s="181"/>
      <c r="BX302" s="181"/>
      <c r="BY302" s="181"/>
      <c r="BZ302" s="181"/>
      <c r="CA302" s="190"/>
      <c r="CB302" s="3"/>
      <c r="CC302" s="16"/>
      <c r="CD302" s="16"/>
      <c r="CE302" s="16"/>
      <c r="CF302" s="16"/>
      <c r="CG302" s="16"/>
      <c r="CH302" s="16"/>
      <c r="CI302" s="16" t="s">
        <v>3042</v>
      </c>
    </row>
    <row r="303" spans="1:87">
      <c r="A303" s="16"/>
      <c r="B303" s="16"/>
      <c r="C303" s="3">
        <v>46272</v>
      </c>
      <c r="D303" s="26" t="s">
        <v>14</v>
      </c>
      <c r="E303" s="180" t="s">
        <v>112</v>
      </c>
      <c r="F303" s="181">
        <v>2026160030137</v>
      </c>
      <c r="G303" s="181">
        <v>50</v>
      </c>
      <c r="H303" s="181">
        <v>90</v>
      </c>
      <c r="I303" s="181" t="s">
        <v>3018</v>
      </c>
      <c r="J303" s="181" t="s">
        <v>112</v>
      </c>
      <c r="K303" s="181" t="s">
        <v>729</v>
      </c>
      <c r="L303" s="181" t="s">
        <v>13</v>
      </c>
      <c r="M303" s="181">
        <v>28</v>
      </c>
      <c r="N303" s="181" t="s">
        <v>462</v>
      </c>
      <c r="O303" s="181" t="s">
        <v>562</v>
      </c>
      <c r="P303" s="181" t="s">
        <v>3043</v>
      </c>
      <c r="Q303" s="181" t="s">
        <v>465</v>
      </c>
      <c r="R303" s="181" t="s">
        <v>466</v>
      </c>
      <c r="S303" s="181" t="s">
        <v>3044</v>
      </c>
      <c r="T303" s="181" t="s">
        <v>3045</v>
      </c>
      <c r="U303" s="182">
        <v>46215.862500000003</v>
      </c>
      <c r="V303" s="181" t="s">
        <v>469</v>
      </c>
      <c r="W303" s="181" t="s">
        <v>568</v>
      </c>
      <c r="X303" s="181" t="s">
        <v>471</v>
      </c>
      <c r="Y303" s="181" t="s">
        <v>569</v>
      </c>
      <c r="Z303" s="181" t="s">
        <v>638</v>
      </c>
      <c r="AA303" s="181" t="s">
        <v>474</v>
      </c>
      <c r="AB303" s="181" t="s">
        <v>3046</v>
      </c>
      <c r="AC303" s="181" t="s">
        <v>465</v>
      </c>
      <c r="AD303" s="181">
        <v>351064295</v>
      </c>
      <c r="AE303" s="181">
        <v>1902897937</v>
      </c>
      <c r="AF303" s="181">
        <v>1902897937</v>
      </c>
      <c r="AG303" s="181"/>
      <c r="AH303" s="181"/>
      <c r="AI303" s="181" t="s">
        <v>66</v>
      </c>
      <c r="AJ303" s="181" t="s">
        <v>481</v>
      </c>
      <c r="AK303" s="181" t="s">
        <v>3047</v>
      </c>
      <c r="AL303" s="181">
        <v>6646</v>
      </c>
      <c r="AM303" s="181"/>
      <c r="AN303" s="181"/>
      <c r="AO303" s="181">
        <v>300</v>
      </c>
      <c r="AP303" s="181" t="s">
        <v>485</v>
      </c>
      <c r="AQ303" s="181" t="s">
        <v>3048</v>
      </c>
      <c r="AR303" s="183">
        <v>46244</v>
      </c>
      <c r="AS303" s="181" t="s">
        <v>66</v>
      </c>
      <c r="AT303" s="181" t="s">
        <v>777</v>
      </c>
      <c r="AU303" s="181"/>
      <c r="AV303" s="181"/>
      <c r="AW303" s="181"/>
      <c r="AX303" s="181"/>
      <c r="AY303" s="181"/>
      <c r="AZ303" s="181"/>
      <c r="BA303" s="181"/>
      <c r="BB303" s="181"/>
      <c r="BC303" s="181"/>
      <c r="BD303" s="181" t="s">
        <v>66</v>
      </c>
      <c r="BE303" s="181">
        <v>90</v>
      </c>
      <c r="BF303" s="181"/>
      <c r="BG303" s="181"/>
      <c r="BH303" s="181" t="s">
        <v>491</v>
      </c>
      <c r="BI303" s="181" t="s">
        <v>3043</v>
      </c>
      <c r="BJ303" s="181"/>
      <c r="BK303" s="181"/>
      <c r="BL303" s="181"/>
      <c r="BM303" s="181"/>
      <c r="BN303" s="181"/>
      <c r="BO303" s="181"/>
      <c r="BP303" s="181"/>
      <c r="BQ303" s="181"/>
      <c r="BR303" s="181"/>
      <c r="BS303" s="181"/>
      <c r="BT303" s="181"/>
      <c r="BU303" s="181"/>
      <c r="BV303" s="181"/>
      <c r="BW303" s="181"/>
      <c r="BX303" s="181"/>
      <c r="BY303" s="181"/>
      <c r="BZ303" s="181"/>
      <c r="CA303" s="190"/>
      <c r="CB303" s="3"/>
      <c r="CC303" s="16"/>
      <c r="CD303" s="16"/>
      <c r="CE303" s="16"/>
      <c r="CF303" s="16"/>
      <c r="CG303" s="16"/>
      <c r="CH303" s="16"/>
      <c r="CI303" s="16" t="s">
        <v>3049</v>
      </c>
    </row>
    <row r="304" spans="1:87">
      <c r="A304" s="16"/>
      <c r="B304" s="16"/>
      <c r="C304" s="3">
        <v>46272</v>
      </c>
      <c r="D304" s="26" t="s">
        <v>14</v>
      </c>
      <c r="E304" s="180" t="s">
        <v>3050</v>
      </c>
      <c r="F304" s="181">
        <v>2026182000385</v>
      </c>
      <c r="G304" s="181">
        <v>50</v>
      </c>
      <c r="H304" s="181">
        <v>68</v>
      </c>
      <c r="I304" s="181" t="s">
        <v>3018</v>
      </c>
      <c r="J304" s="181" t="s">
        <v>3050</v>
      </c>
      <c r="K304" s="181" t="s">
        <v>674</v>
      </c>
      <c r="L304" s="181" t="s">
        <v>16</v>
      </c>
      <c r="M304" s="181">
        <v>8</v>
      </c>
      <c r="N304" s="181" t="s">
        <v>462</v>
      </c>
      <c r="O304" s="181" t="s">
        <v>606</v>
      </c>
      <c r="P304" s="181">
        <v>840830682</v>
      </c>
      <c r="Q304" s="181" t="s">
        <v>465</v>
      </c>
      <c r="R304" s="181" t="s">
        <v>466</v>
      </c>
      <c r="S304" s="181" t="s">
        <v>3051</v>
      </c>
      <c r="T304" s="181" t="s">
        <v>928</v>
      </c>
      <c r="U304" s="182">
        <v>46264.352083333331</v>
      </c>
      <c r="V304" s="181" t="s">
        <v>469</v>
      </c>
      <c r="W304" s="181" t="s">
        <v>651</v>
      </c>
      <c r="X304" s="181" t="s">
        <v>652</v>
      </c>
      <c r="Y304" s="181" t="s">
        <v>653</v>
      </c>
      <c r="Z304" s="181" t="s">
        <v>544</v>
      </c>
      <c r="AA304" s="181" t="s">
        <v>474</v>
      </c>
      <c r="AB304" s="181" t="s">
        <v>1654</v>
      </c>
      <c r="AC304" s="181" t="s">
        <v>546</v>
      </c>
      <c r="AD304" s="181">
        <v>800863895</v>
      </c>
      <c r="AE304" s="181">
        <v>1457695488</v>
      </c>
      <c r="AF304" s="181">
        <v>1457970832</v>
      </c>
      <c r="AG304" s="181">
        <v>1.02202531808718E+16</v>
      </c>
      <c r="AH304" s="181"/>
      <c r="AI304" s="181" t="s">
        <v>54</v>
      </c>
      <c r="AJ304" s="181" t="s">
        <v>481</v>
      </c>
      <c r="AK304" s="181" t="s">
        <v>3052</v>
      </c>
      <c r="AL304" s="181">
        <v>13714</v>
      </c>
      <c r="AM304" s="181"/>
      <c r="AN304" s="181"/>
      <c r="AO304" s="181">
        <v>840</v>
      </c>
      <c r="AP304" s="181" t="s">
        <v>485</v>
      </c>
      <c r="AQ304" s="181" t="s">
        <v>3053</v>
      </c>
      <c r="AR304" s="183">
        <v>46264</v>
      </c>
      <c r="AS304" s="181" t="s">
        <v>54</v>
      </c>
      <c r="AT304" s="181" t="s">
        <v>3054</v>
      </c>
      <c r="AU304" s="181"/>
      <c r="AV304" s="181" t="s">
        <v>3055</v>
      </c>
      <c r="AW304" s="181"/>
      <c r="AX304" s="181"/>
      <c r="AY304" s="181"/>
      <c r="AZ304" s="181"/>
      <c r="BA304" s="181"/>
      <c r="BB304" s="181"/>
      <c r="BC304" s="181"/>
      <c r="BD304" s="181" t="s">
        <v>54</v>
      </c>
      <c r="BE304" s="181">
        <v>68</v>
      </c>
      <c r="BF304" s="181"/>
      <c r="BG304" s="181"/>
      <c r="BH304" s="181" t="s">
        <v>658</v>
      </c>
      <c r="BI304" s="181">
        <v>840830682</v>
      </c>
      <c r="BJ304" s="181"/>
      <c r="BK304" s="181"/>
      <c r="BL304" s="181"/>
      <c r="BM304" s="181"/>
      <c r="BN304" s="181"/>
      <c r="BO304" s="181"/>
      <c r="BP304" s="181"/>
      <c r="BQ304" s="181"/>
      <c r="BR304" s="181"/>
      <c r="BS304" s="181"/>
      <c r="BT304" s="181"/>
      <c r="BU304" s="181"/>
      <c r="BV304" s="181"/>
      <c r="BW304" s="181"/>
      <c r="BX304" s="181"/>
      <c r="BY304" s="181"/>
      <c r="BZ304" s="181"/>
      <c r="CA304" s="190"/>
      <c r="CB304" s="3"/>
      <c r="CC304" s="16"/>
      <c r="CD304" s="16"/>
      <c r="CE304" s="16"/>
      <c r="CF304" s="16"/>
      <c r="CG304" s="16"/>
      <c r="CH304" s="16"/>
      <c r="CI304" s="16" t="s">
        <v>3056</v>
      </c>
    </row>
    <row r="305" spans="1:87">
      <c r="A305" s="16"/>
      <c r="B305" s="16"/>
      <c r="C305" s="3">
        <v>46272</v>
      </c>
      <c r="D305" s="26" t="s">
        <v>14</v>
      </c>
      <c r="E305" s="180" t="s">
        <v>3057</v>
      </c>
      <c r="F305" s="181">
        <v>2026182340423</v>
      </c>
      <c r="G305" s="181">
        <v>50</v>
      </c>
      <c r="H305" s="181">
        <v>68</v>
      </c>
      <c r="I305" s="181" t="s">
        <v>3018</v>
      </c>
      <c r="J305" s="181" t="s">
        <v>3057</v>
      </c>
      <c r="K305" s="181" t="s">
        <v>674</v>
      </c>
      <c r="L305" s="181" t="s">
        <v>16</v>
      </c>
      <c r="M305" s="181">
        <v>8</v>
      </c>
      <c r="N305" s="181" t="s">
        <v>462</v>
      </c>
      <c r="O305" s="181" t="s">
        <v>606</v>
      </c>
      <c r="P305" s="181">
        <v>135306222</v>
      </c>
      <c r="Q305" s="181" t="s">
        <v>465</v>
      </c>
      <c r="R305" s="181" t="s">
        <v>466</v>
      </c>
      <c r="S305" s="181" t="s">
        <v>3058</v>
      </c>
      <c r="T305" s="181" t="s">
        <v>928</v>
      </c>
      <c r="U305" s="182">
        <v>46264.352777777778</v>
      </c>
      <c r="V305" s="181" t="s">
        <v>469</v>
      </c>
      <c r="W305" s="181" t="s">
        <v>651</v>
      </c>
      <c r="X305" s="181" t="s">
        <v>652</v>
      </c>
      <c r="Y305" s="181" t="s">
        <v>653</v>
      </c>
      <c r="Z305" s="181" t="s">
        <v>544</v>
      </c>
      <c r="AA305" s="181" t="s">
        <v>474</v>
      </c>
      <c r="AB305" s="181" t="s">
        <v>929</v>
      </c>
      <c r="AC305" s="181" t="s">
        <v>546</v>
      </c>
      <c r="AD305" s="181">
        <v>611665353</v>
      </c>
      <c r="AE305" s="181">
        <v>1437493467</v>
      </c>
      <c r="AF305" s="181">
        <v>1609858760</v>
      </c>
      <c r="AG305" s="181">
        <v>1.02202534411971E+16</v>
      </c>
      <c r="AH305" s="181"/>
      <c r="AI305" s="181" t="s">
        <v>54</v>
      </c>
      <c r="AJ305" s="181" t="s">
        <v>481</v>
      </c>
      <c r="AK305" s="181" t="s">
        <v>3059</v>
      </c>
      <c r="AL305" s="181">
        <v>21019.82</v>
      </c>
      <c r="AM305" s="181"/>
      <c r="AN305" s="181"/>
      <c r="AO305" s="181">
        <v>135</v>
      </c>
      <c r="AP305" s="181" t="s">
        <v>485</v>
      </c>
      <c r="AQ305" s="181" t="s">
        <v>3060</v>
      </c>
      <c r="AR305" s="183">
        <v>46264</v>
      </c>
      <c r="AS305" s="181" t="s">
        <v>54</v>
      </c>
      <c r="AT305" s="181" t="s">
        <v>3061</v>
      </c>
      <c r="AU305" s="181"/>
      <c r="AV305" s="181" t="s">
        <v>3062</v>
      </c>
      <c r="AW305" s="181"/>
      <c r="AX305" s="181"/>
      <c r="AY305" s="181"/>
      <c r="AZ305" s="181"/>
      <c r="BA305" s="181"/>
      <c r="BB305" s="181"/>
      <c r="BC305" s="181"/>
      <c r="BD305" s="181" t="s">
        <v>54</v>
      </c>
      <c r="BE305" s="181">
        <v>68</v>
      </c>
      <c r="BF305" s="181"/>
      <c r="BG305" s="181"/>
      <c r="BH305" s="181" t="s">
        <v>658</v>
      </c>
      <c r="BI305" s="181">
        <v>135306222</v>
      </c>
      <c r="BJ305" s="181"/>
      <c r="BK305" s="181"/>
      <c r="BL305" s="181"/>
      <c r="BM305" s="181"/>
      <c r="BN305" s="181"/>
      <c r="BO305" s="181"/>
      <c r="BP305" s="181"/>
      <c r="BQ305" s="181"/>
      <c r="BR305" s="181"/>
      <c r="BS305" s="181"/>
      <c r="BT305" s="181"/>
      <c r="BU305" s="181"/>
      <c r="BV305" s="181"/>
      <c r="BW305" s="181"/>
      <c r="BX305" s="181"/>
      <c r="BY305" s="181"/>
      <c r="BZ305" s="181"/>
      <c r="CA305" s="190"/>
      <c r="CB305" s="3"/>
      <c r="CC305" s="16"/>
      <c r="CD305" s="16"/>
      <c r="CE305" s="16"/>
      <c r="CF305" s="16"/>
      <c r="CG305" s="16"/>
      <c r="CH305" s="16"/>
      <c r="CI305" s="16" t="s">
        <v>3063</v>
      </c>
    </row>
    <row r="306" spans="1:87">
      <c r="A306" s="16" t="s">
        <v>5</v>
      </c>
      <c r="B306" s="16" t="s">
        <v>992</v>
      </c>
      <c r="C306" s="3">
        <v>46272</v>
      </c>
      <c r="D306" s="26" t="s">
        <v>14</v>
      </c>
      <c r="E306" s="180" t="s">
        <v>3064</v>
      </c>
      <c r="F306" s="181">
        <v>2026189000032</v>
      </c>
      <c r="G306" s="181">
        <v>50</v>
      </c>
      <c r="H306" s="181">
        <v>62</v>
      </c>
      <c r="I306" s="181" t="s">
        <v>3018</v>
      </c>
      <c r="J306" s="181" t="s">
        <v>3064</v>
      </c>
      <c r="K306" s="181" t="s">
        <v>1040</v>
      </c>
      <c r="L306" s="181" t="s">
        <v>17</v>
      </c>
      <c r="M306" s="181">
        <v>27</v>
      </c>
      <c r="N306" s="181" t="s">
        <v>462</v>
      </c>
      <c r="O306" s="181" t="s">
        <v>606</v>
      </c>
      <c r="P306" s="181" t="s">
        <v>3065</v>
      </c>
      <c r="Q306" s="181" t="s">
        <v>465</v>
      </c>
      <c r="R306" s="181" t="s">
        <v>466</v>
      </c>
      <c r="S306" s="181" t="s">
        <v>3066</v>
      </c>
      <c r="T306" s="181" t="s">
        <v>3067</v>
      </c>
      <c r="U306" s="182">
        <v>46245.039583333331</v>
      </c>
      <c r="V306" s="181" t="s">
        <v>469</v>
      </c>
      <c r="W306" s="181" t="s">
        <v>568</v>
      </c>
      <c r="X306" s="181" t="s">
        <v>471</v>
      </c>
      <c r="Y306" s="181" t="s">
        <v>628</v>
      </c>
      <c r="Z306" s="181" t="s">
        <v>544</v>
      </c>
      <c r="AA306" s="181" t="s">
        <v>474</v>
      </c>
      <c r="AB306" s="181" t="s">
        <v>3068</v>
      </c>
      <c r="AC306" s="181" t="s">
        <v>546</v>
      </c>
      <c r="AD306" s="181">
        <v>581661116</v>
      </c>
      <c r="AE306" s="181">
        <v>1386697928</v>
      </c>
      <c r="AF306" s="181">
        <v>1609863802</v>
      </c>
      <c r="AG306" s="181"/>
      <c r="AH306" s="181"/>
      <c r="AI306" s="181" t="s">
        <v>173</v>
      </c>
      <c r="AJ306" s="181" t="s">
        <v>481</v>
      </c>
      <c r="AK306" s="181" t="s">
        <v>3069</v>
      </c>
      <c r="AL306" s="181">
        <v>21654</v>
      </c>
      <c r="AM306" s="181"/>
      <c r="AN306" s="181"/>
      <c r="AO306" s="181">
        <v>231</v>
      </c>
      <c r="AP306" s="181" t="s">
        <v>485</v>
      </c>
      <c r="AQ306" s="181" t="s">
        <v>3070</v>
      </c>
      <c r="AR306" s="183">
        <v>46245</v>
      </c>
      <c r="AS306" s="181" t="s">
        <v>173</v>
      </c>
      <c r="AT306" s="181" t="s">
        <v>1047</v>
      </c>
      <c r="AU306" s="181"/>
      <c r="AV306" s="181" t="s">
        <v>3071</v>
      </c>
      <c r="AW306" s="181"/>
      <c r="AX306" s="181"/>
      <c r="AY306" s="181"/>
      <c r="AZ306" s="181"/>
      <c r="BA306" s="181"/>
      <c r="BB306" s="181"/>
      <c r="BC306" s="181"/>
      <c r="BD306" s="181" t="s">
        <v>173</v>
      </c>
      <c r="BE306" s="181">
        <v>61</v>
      </c>
      <c r="BF306" s="181"/>
      <c r="BG306" s="181"/>
      <c r="BH306" s="181" t="s">
        <v>491</v>
      </c>
      <c r="BI306" s="181">
        <v>590184067</v>
      </c>
      <c r="BJ306" s="181"/>
      <c r="BK306" s="181"/>
      <c r="BL306" s="181"/>
      <c r="BM306" s="181"/>
      <c r="BN306" s="181"/>
      <c r="BO306" s="181"/>
      <c r="BP306" s="181"/>
      <c r="BQ306" s="181"/>
      <c r="BR306" s="181"/>
      <c r="BS306" s="181"/>
      <c r="BT306" s="181"/>
      <c r="BU306" s="181"/>
      <c r="BV306" s="181"/>
      <c r="BW306" s="181"/>
      <c r="BX306" s="181"/>
      <c r="BY306" s="181"/>
      <c r="BZ306" s="181"/>
      <c r="CA306" s="190">
        <v>46285.666666666701</v>
      </c>
      <c r="CB306" s="3"/>
      <c r="CC306" s="16"/>
      <c r="CD306" s="16"/>
      <c r="CE306" s="16"/>
      <c r="CF306" s="16"/>
      <c r="CG306" s="16"/>
      <c r="CH306" s="16"/>
      <c r="CI306" s="16" t="s">
        <v>3072</v>
      </c>
    </row>
    <row r="307" spans="1:87">
      <c r="A307" s="16" t="s">
        <v>5</v>
      </c>
      <c r="B307" s="16" t="s">
        <v>3073</v>
      </c>
      <c r="C307" s="3">
        <v>46272</v>
      </c>
      <c r="D307" s="26" t="s">
        <v>14</v>
      </c>
      <c r="E307" s="180" t="s">
        <v>3074</v>
      </c>
      <c r="F307" s="181"/>
      <c r="G307" s="181">
        <v>50</v>
      </c>
      <c r="H307" s="181">
        <v>62</v>
      </c>
      <c r="I307" s="181" t="s">
        <v>3018</v>
      </c>
      <c r="J307" s="181" t="s">
        <v>3074</v>
      </c>
      <c r="K307" s="181" t="s">
        <v>1874</v>
      </c>
      <c r="L307" s="181" t="s">
        <v>17</v>
      </c>
      <c r="M307" s="181">
        <v>12</v>
      </c>
      <c r="N307" s="181" t="s">
        <v>462</v>
      </c>
      <c r="O307" s="181" t="s">
        <v>497</v>
      </c>
      <c r="P307" s="181" t="s">
        <v>3075</v>
      </c>
      <c r="Q307" s="181" t="s">
        <v>465</v>
      </c>
      <c r="R307" s="181" t="s">
        <v>466</v>
      </c>
      <c r="S307" s="181" t="s">
        <v>3076</v>
      </c>
      <c r="T307" s="181" t="s">
        <v>3077</v>
      </c>
      <c r="U307" s="182">
        <v>46257.004861111112</v>
      </c>
      <c r="V307" s="181" t="s">
        <v>469</v>
      </c>
      <c r="W307" s="181" t="s">
        <v>470</v>
      </c>
      <c r="X307" s="181" t="s">
        <v>471</v>
      </c>
      <c r="Y307" s="181" t="s">
        <v>523</v>
      </c>
      <c r="Z307" s="181" t="s">
        <v>501</v>
      </c>
      <c r="AA307" s="181" t="s">
        <v>1354</v>
      </c>
      <c r="AB307" s="181" t="s">
        <v>3078</v>
      </c>
      <c r="AC307" s="181" t="s">
        <v>1294</v>
      </c>
      <c r="AD307" s="181">
        <v>611334601</v>
      </c>
      <c r="AE307" s="181">
        <v>1437150984</v>
      </c>
      <c r="AF307" s="181"/>
      <c r="AG307" s="181"/>
      <c r="AH307" s="181" t="s">
        <v>1076</v>
      </c>
      <c r="AI307" s="181" t="s">
        <v>93</v>
      </c>
      <c r="AJ307" s="181" t="s">
        <v>481</v>
      </c>
      <c r="AK307" s="181" t="s">
        <v>3079</v>
      </c>
      <c r="AL307" s="181">
        <v>63143.22</v>
      </c>
      <c r="AM307" s="181"/>
      <c r="AN307" s="181"/>
      <c r="AO307" s="181">
        <v>449</v>
      </c>
      <c r="AP307" s="181" t="s">
        <v>485</v>
      </c>
      <c r="AQ307" s="181" t="s">
        <v>3080</v>
      </c>
      <c r="AR307" s="183">
        <v>46260</v>
      </c>
      <c r="AS307" s="181" t="s">
        <v>93</v>
      </c>
      <c r="AT307" s="181" t="s">
        <v>3081</v>
      </c>
      <c r="AU307" s="181"/>
      <c r="AV307" s="181" t="s">
        <v>3082</v>
      </c>
      <c r="AW307" s="181"/>
      <c r="AX307" s="181"/>
      <c r="AY307" s="181"/>
      <c r="AZ307" s="181"/>
      <c r="BA307" s="181"/>
      <c r="BB307" s="181"/>
      <c r="BC307" s="181"/>
      <c r="BD307" s="181" t="s">
        <v>93</v>
      </c>
      <c r="BE307" s="181">
        <v>62</v>
      </c>
      <c r="BF307" s="181"/>
      <c r="BG307" s="181"/>
      <c r="BH307" s="181" t="s">
        <v>491</v>
      </c>
      <c r="BI307" s="181">
        <v>295549500</v>
      </c>
      <c r="BJ307" s="181"/>
      <c r="BK307" s="181"/>
      <c r="BL307" s="181"/>
      <c r="BM307" s="181"/>
      <c r="BN307" s="181"/>
      <c r="BO307" s="181"/>
      <c r="BP307" s="181"/>
      <c r="BQ307" s="181"/>
      <c r="BR307" s="181"/>
      <c r="BS307" s="181"/>
      <c r="BT307" s="181"/>
      <c r="BU307" s="181"/>
      <c r="BV307" s="181"/>
      <c r="BW307" s="181"/>
      <c r="BX307" s="181"/>
      <c r="BY307" s="181"/>
      <c r="BZ307" s="181"/>
      <c r="CA307" s="190">
        <v>46285.666666666701</v>
      </c>
      <c r="CB307" s="3"/>
      <c r="CC307" s="16"/>
      <c r="CD307" s="16"/>
      <c r="CE307" s="16"/>
      <c r="CF307" s="16"/>
      <c r="CG307" s="16"/>
      <c r="CH307" s="16"/>
      <c r="CI307" s="16" t="s">
        <v>3083</v>
      </c>
    </row>
    <row r="308" spans="1:87">
      <c r="A308" s="16"/>
      <c r="B308" s="16"/>
      <c r="C308" s="3">
        <v>46272</v>
      </c>
      <c r="D308" s="26" t="s">
        <v>14</v>
      </c>
      <c r="E308" s="180" t="s">
        <v>3084</v>
      </c>
      <c r="F308" s="181"/>
      <c r="G308" s="181">
        <v>50</v>
      </c>
      <c r="H308" s="181">
        <v>67</v>
      </c>
      <c r="I308" s="181" t="s">
        <v>3018</v>
      </c>
      <c r="J308" s="181" t="s">
        <v>3084</v>
      </c>
      <c r="K308" s="181" t="s">
        <v>1083</v>
      </c>
      <c r="L308" s="181" t="s">
        <v>17</v>
      </c>
      <c r="M308" s="181">
        <v>7</v>
      </c>
      <c r="N308" s="181" t="s">
        <v>462</v>
      </c>
      <c r="O308" s="181" t="s">
        <v>606</v>
      </c>
      <c r="P308" s="181">
        <v>184534310</v>
      </c>
      <c r="Q308" s="181" t="s">
        <v>1055</v>
      </c>
      <c r="R308" s="181" t="s">
        <v>1350</v>
      </c>
      <c r="S308" s="181" t="s">
        <v>3085</v>
      </c>
      <c r="T308" s="181" t="s">
        <v>2771</v>
      </c>
      <c r="U308" s="182">
        <v>46264.752083333333</v>
      </c>
      <c r="V308" s="181" t="s">
        <v>469</v>
      </c>
      <c r="W308" s="181" t="s">
        <v>651</v>
      </c>
      <c r="X308" s="181" t="s">
        <v>652</v>
      </c>
      <c r="Y308" s="181" t="s">
        <v>653</v>
      </c>
      <c r="Z308" s="181" t="s">
        <v>1338</v>
      </c>
      <c r="AA308" s="181" t="s">
        <v>1354</v>
      </c>
      <c r="AB308" s="181" t="s">
        <v>2772</v>
      </c>
      <c r="AC308" s="181" t="s">
        <v>1429</v>
      </c>
      <c r="AD308" s="181">
        <v>60646973</v>
      </c>
      <c r="AE308" s="181">
        <v>1205822236</v>
      </c>
      <c r="AF308" s="181">
        <v>1477007722</v>
      </c>
      <c r="AG308" s="181">
        <v>6220253400455800</v>
      </c>
      <c r="AH308" s="181" t="s">
        <v>1076</v>
      </c>
      <c r="AI308" s="181" t="s">
        <v>48</v>
      </c>
      <c r="AJ308" s="181" t="s">
        <v>481</v>
      </c>
      <c r="AK308" s="181" t="s">
        <v>3086</v>
      </c>
      <c r="AL308" s="181">
        <v>22068</v>
      </c>
      <c r="AM308" s="181"/>
      <c r="AN308" s="181"/>
      <c r="AO308" s="181">
        <v>184</v>
      </c>
      <c r="AP308" s="181" t="s">
        <v>485</v>
      </c>
      <c r="AQ308" s="181" t="s">
        <v>3087</v>
      </c>
      <c r="AR308" s="183">
        <v>46265</v>
      </c>
      <c r="AS308" s="181" t="s">
        <v>48</v>
      </c>
      <c r="AT308" s="181" t="s">
        <v>3088</v>
      </c>
      <c r="AU308" s="181"/>
      <c r="AV308" s="181" t="s">
        <v>3089</v>
      </c>
      <c r="AW308" s="181"/>
      <c r="AX308" s="181"/>
      <c r="AY308" s="181"/>
      <c r="AZ308" s="181"/>
      <c r="BA308" s="181"/>
      <c r="BB308" s="181"/>
      <c r="BC308" s="181"/>
      <c r="BD308" s="181" t="s">
        <v>48</v>
      </c>
      <c r="BE308" s="181">
        <v>67</v>
      </c>
      <c r="BF308" s="181"/>
      <c r="BG308" s="181"/>
      <c r="BH308" s="181" t="s">
        <v>658</v>
      </c>
      <c r="BI308" s="181">
        <v>184534310</v>
      </c>
      <c r="BJ308" s="181"/>
      <c r="BK308" s="181"/>
      <c r="BL308" s="181"/>
      <c r="BM308" s="181"/>
      <c r="BN308" s="181"/>
      <c r="BO308" s="181"/>
      <c r="BP308" s="181"/>
      <c r="BQ308" s="181"/>
      <c r="BR308" s="181"/>
      <c r="BS308" s="181"/>
      <c r="BT308" s="181"/>
      <c r="BU308" s="181"/>
      <c r="BV308" s="181"/>
      <c r="BW308" s="181"/>
      <c r="BX308" s="181"/>
      <c r="BY308" s="181"/>
      <c r="BZ308" s="181"/>
      <c r="CA308" s="190"/>
      <c r="CB308" s="3"/>
      <c r="CC308" s="16"/>
      <c r="CD308" s="16"/>
      <c r="CE308" s="16"/>
      <c r="CF308" s="16"/>
      <c r="CG308" s="16"/>
      <c r="CH308" s="16"/>
      <c r="CI308" s="16" t="s">
        <v>3090</v>
      </c>
    </row>
    <row r="309" spans="1:87">
      <c r="A309" s="16"/>
      <c r="B309" s="16"/>
      <c r="C309" s="3">
        <v>46272</v>
      </c>
      <c r="D309" s="26" t="s">
        <v>14</v>
      </c>
      <c r="E309" s="180" t="s">
        <v>3091</v>
      </c>
      <c r="F309" s="181">
        <v>2026189000374</v>
      </c>
      <c r="G309" s="181">
        <v>50</v>
      </c>
      <c r="H309" s="181">
        <v>61</v>
      </c>
      <c r="I309" s="181" t="s">
        <v>3018</v>
      </c>
      <c r="J309" s="181" t="s">
        <v>3091</v>
      </c>
      <c r="K309" s="181" t="s">
        <v>895</v>
      </c>
      <c r="L309" s="181" t="s">
        <v>18</v>
      </c>
      <c r="M309" s="181">
        <v>24</v>
      </c>
      <c r="N309" s="181" t="s">
        <v>462</v>
      </c>
      <c r="O309" s="181" t="s">
        <v>606</v>
      </c>
      <c r="P309" s="181" t="s">
        <v>3092</v>
      </c>
      <c r="Q309" s="181" t="s">
        <v>564</v>
      </c>
      <c r="R309" s="181" t="s">
        <v>466</v>
      </c>
      <c r="S309" s="181" t="s">
        <v>3093</v>
      </c>
      <c r="T309" s="181" t="s">
        <v>3094</v>
      </c>
      <c r="U309" s="182">
        <v>46248.039583333331</v>
      </c>
      <c r="V309" s="181" t="s">
        <v>469</v>
      </c>
      <c r="W309" s="181" t="s">
        <v>568</v>
      </c>
      <c r="X309" s="181" t="s">
        <v>471</v>
      </c>
      <c r="Y309" s="181" t="s">
        <v>628</v>
      </c>
      <c r="Z309" s="181" t="s">
        <v>570</v>
      </c>
      <c r="AA309" s="181" t="s">
        <v>474</v>
      </c>
      <c r="AB309" s="181" t="s">
        <v>3095</v>
      </c>
      <c r="AC309" s="181" t="s">
        <v>572</v>
      </c>
      <c r="AD309" s="181">
        <v>956419205</v>
      </c>
      <c r="AE309" s="181">
        <v>1144648015</v>
      </c>
      <c r="AF309" s="181"/>
      <c r="AG309" s="181"/>
      <c r="AH309" s="181"/>
      <c r="AI309" s="181" t="s">
        <v>20</v>
      </c>
      <c r="AJ309" s="181" t="s">
        <v>481</v>
      </c>
      <c r="AK309" s="181" t="s">
        <v>3096</v>
      </c>
      <c r="AL309" s="181">
        <v>17345.599999999999</v>
      </c>
      <c r="AM309" s="181"/>
      <c r="AN309" s="181"/>
      <c r="AO309" s="181">
        <v>561</v>
      </c>
      <c r="AP309" s="181" t="s">
        <v>485</v>
      </c>
      <c r="AQ309" s="181" t="s">
        <v>3097</v>
      </c>
      <c r="AR309" s="183">
        <v>46248</v>
      </c>
      <c r="AS309" s="181" t="s">
        <v>20</v>
      </c>
      <c r="AT309" s="181" t="s">
        <v>899</v>
      </c>
      <c r="AU309" s="181"/>
      <c r="AV309" s="181" t="s">
        <v>3098</v>
      </c>
      <c r="AW309" s="181"/>
      <c r="AX309" s="181"/>
      <c r="AY309" s="181"/>
      <c r="AZ309" s="181"/>
      <c r="BA309" s="181"/>
      <c r="BB309" s="181"/>
      <c r="BC309" s="181"/>
      <c r="BD309" s="181" t="s">
        <v>20</v>
      </c>
      <c r="BE309" s="181">
        <v>61</v>
      </c>
      <c r="BF309" s="181"/>
      <c r="BG309" s="181" t="s">
        <v>490</v>
      </c>
      <c r="BH309" s="181" t="s">
        <v>491</v>
      </c>
      <c r="BI309" s="181">
        <v>607019873</v>
      </c>
      <c r="BJ309" s="181"/>
      <c r="BK309" s="181"/>
      <c r="BL309" s="181"/>
      <c r="BM309" s="181"/>
      <c r="BN309" s="181"/>
      <c r="BO309" s="181"/>
      <c r="BP309" s="181"/>
      <c r="BQ309" s="181"/>
      <c r="BR309" s="181"/>
      <c r="BS309" s="181"/>
      <c r="BT309" s="181"/>
      <c r="BU309" s="181"/>
      <c r="BV309" s="181"/>
      <c r="BW309" s="181"/>
      <c r="BX309" s="181"/>
      <c r="BY309" s="181"/>
      <c r="BZ309" s="181"/>
      <c r="CA309" s="190"/>
      <c r="CB309" s="3"/>
      <c r="CC309" s="16"/>
      <c r="CD309" s="16"/>
      <c r="CE309" s="16"/>
      <c r="CF309" s="16"/>
      <c r="CG309" s="16"/>
      <c r="CH309" s="16"/>
      <c r="CI309" s="16" t="s">
        <v>3099</v>
      </c>
    </row>
    <row r="310" spans="1:87">
      <c r="A310" s="16"/>
      <c r="B310" s="16"/>
      <c r="C310" s="3">
        <v>46272</v>
      </c>
      <c r="D310" s="26" t="s">
        <v>14</v>
      </c>
      <c r="E310" s="180" t="s">
        <v>92</v>
      </c>
      <c r="F310" s="181">
        <v>2026161070039</v>
      </c>
      <c r="G310" s="181">
        <v>50</v>
      </c>
      <c r="H310" s="181">
        <v>89</v>
      </c>
      <c r="I310" s="181" t="s">
        <v>3018</v>
      </c>
      <c r="J310" s="181" t="s">
        <v>92</v>
      </c>
      <c r="K310" s="181" t="s">
        <v>625</v>
      </c>
      <c r="L310" s="181" t="s">
        <v>17</v>
      </c>
      <c r="M310" s="181">
        <v>32</v>
      </c>
      <c r="N310" s="181" t="s">
        <v>462</v>
      </c>
      <c r="O310" s="181" t="s">
        <v>606</v>
      </c>
      <c r="P310" s="181" t="s">
        <v>3100</v>
      </c>
      <c r="Q310" s="181" t="s">
        <v>465</v>
      </c>
      <c r="R310" s="181" t="s">
        <v>466</v>
      </c>
      <c r="S310" s="181" t="s">
        <v>3101</v>
      </c>
      <c r="T310" s="181">
        <v>720097</v>
      </c>
      <c r="U310" s="182">
        <v>46239.712500000001</v>
      </c>
      <c r="V310" s="181" t="s">
        <v>469</v>
      </c>
      <c r="W310" s="181" t="s">
        <v>1752</v>
      </c>
      <c r="X310" s="181" t="s">
        <v>471</v>
      </c>
      <c r="Y310" s="181" t="s">
        <v>628</v>
      </c>
      <c r="Z310" s="181" t="s">
        <v>665</v>
      </c>
      <c r="AA310" s="181" t="s">
        <v>474</v>
      </c>
      <c r="AB310" s="181" t="s">
        <v>3102</v>
      </c>
      <c r="AC310" s="181" t="s">
        <v>640</v>
      </c>
      <c r="AD310" s="181">
        <v>126621464</v>
      </c>
      <c r="AE310" s="181">
        <v>1568618742</v>
      </c>
      <c r="AF310" s="181">
        <v>1568618742</v>
      </c>
      <c r="AG310" s="181"/>
      <c r="AH310" s="181"/>
      <c r="AI310" s="181" t="s">
        <v>70</v>
      </c>
      <c r="AJ310" s="181" t="s">
        <v>481</v>
      </c>
      <c r="AK310" s="181" t="s">
        <v>3103</v>
      </c>
      <c r="AL310" s="181">
        <v>570</v>
      </c>
      <c r="AM310" s="181"/>
      <c r="AN310" s="181"/>
      <c r="AO310" s="181">
        <v>518</v>
      </c>
      <c r="AP310" s="181" t="s">
        <v>485</v>
      </c>
      <c r="AQ310" s="181" t="s">
        <v>3104</v>
      </c>
      <c r="AR310" s="183">
        <v>46240</v>
      </c>
      <c r="AS310" s="181" t="s">
        <v>70</v>
      </c>
      <c r="AT310" s="181" t="s">
        <v>643</v>
      </c>
      <c r="AU310" s="181"/>
      <c r="AV310" s="181" t="s">
        <v>2444</v>
      </c>
      <c r="AW310" s="181"/>
      <c r="AX310" s="181"/>
      <c r="AY310" s="181"/>
      <c r="AZ310" s="181"/>
      <c r="BA310" s="181"/>
      <c r="BB310" s="181"/>
      <c r="BC310" s="181"/>
      <c r="BD310" s="181" t="s">
        <v>70</v>
      </c>
      <c r="BE310" s="181">
        <v>89</v>
      </c>
      <c r="BF310" s="181"/>
      <c r="BG310" s="181" t="s">
        <v>490</v>
      </c>
      <c r="BH310" s="181" t="s">
        <v>491</v>
      </c>
      <c r="BI310" s="181">
        <v>107684100</v>
      </c>
      <c r="BJ310" s="181"/>
      <c r="BK310" s="181"/>
      <c r="BL310" s="181"/>
      <c r="BM310" s="181"/>
      <c r="BN310" s="181"/>
      <c r="BO310" s="181"/>
      <c r="BP310" s="181"/>
      <c r="BQ310" s="181"/>
      <c r="BR310" s="181"/>
      <c r="BS310" s="181"/>
      <c r="BT310" s="181"/>
      <c r="BU310" s="181"/>
      <c r="BV310" s="181"/>
      <c r="BW310" s="181"/>
      <c r="BX310" s="181"/>
      <c r="BY310" s="181"/>
      <c r="BZ310" s="181"/>
      <c r="CA310" s="190"/>
      <c r="CB310" s="3"/>
      <c r="CC310" s="16"/>
      <c r="CD310" s="16"/>
      <c r="CE310" s="16"/>
      <c r="CF310" s="16"/>
      <c r="CG310" s="16"/>
      <c r="CH310" s="16"/>
      <c r="CI310" s="16" t="s">
        <v>3105</v>
      </c>
    </row>
    <row r="311" spans="1:87">
      <c r="A311" s="16"/>
      <c r="B311" s="16"/>
      <c r="C311" s="3">
        <v>46272</v>
      </c>
      <c r="D311" s="26" t="s">
        <v>14</v>
      </c>
      <c r="E311" s="180" t="s">
        <v>303</v>
      </c>
      <c r="F311" s="181">
        <v>2026184430176</v>
      </c>
      <c r="G311" s="181">
        <v>50</v>
      </c>
      <c r="H311" s="181">
        <v>66</v>
      </c>
      <c r="I311" s="181" t="s">
        <v>3018</v>
      </c>
      <c r="J311" s="181" t="s">
        <v>303</v>
      </c>
      <c r="K311" s="181" t="s">
        <v>674</v>
      </c>
      <c r="L311" s="181" t="s">
        <v>16</v>
      </c>
      <c r="M311" s="181">
        <v>37</v>
      </c>
      <c r="N311" s="181" t="s">
        <v>462</v>
      </c>
      <c r="O311" s="181" t="s">
        <v>606</v>
      </c>
      <c r="P311" s="181" t="s">
        <v>3106</v>
      </c>
      <c r="Q311" s="181" t="s">
        <v>465</v>
      </c>
      <c r="R311" s="181" t="s">
        <v>466</v>
      </c>
      <c r="S311" s="181" t="s">
        <v>3107</v>
      </c>
      <c r="T311" s="181">
        <v>720097</v>
      </c>
      <c r="U311" s="182">
        <v>46234.992361111108</v>
      </c>
      <c r="V311" s="181" t="s">
        <v>469</v>
      </c>
      <c r="W311" s="181" t="s">
        <v>1752</v>
      </c>
      <c r="X311" s="181" t="s">
        <v>471</v>
      </c>
      <c r="Y311" s="181" t="s">
        <v>628</v>
      </c>
      <c r="Z311" s="181" t="s">
        <v>665</v>
      </c>
      <c r="AA311" s="181" t="s">
        <v>474</v>
      </c>
      <c r="AB311" s="181" t="s">
        <v>3102</v>
      </c>
      <c r="AC311" s="181" t="s">
        <v>640</v>
      </c>
      <c r="AD311" s="181">
        <v>134010372</v>
      </c>
      <c r="AE311" s="181">
        <v>1396158598</v>
      </c>
      <c r="AF311" s="181">
        <v>1396158598</v>
      </c>
      <c r="AG311" s="181"/>
      <c r="AH311" s="181"/>
      <c r="AI311" s="181" t="s">
        <v>54</v>
      </c>
      <c r="AJ311" s="181" t="s">
        <v>481</v>
      </c>
      <c r="AK311" s="181" t="s">
        <v>3108</v>
      </c>
      <c r="AL311" s="181">
        <v>2815.2</v>
      </c>
      <c r="AM311" s="181"/>
      <c r="AN311" s="181"/>
      <c r="AO311" s="181">
        <v>919</v>
      </c>
      <c r="AP311" s="181" t="s">
        <v>485</v>
      </c>
      <c r="AQ311" s="181" t="s">
        <v>3109</v>
      </c>
      <c r="AR311" s="183">
        <v>46235</v>
      </c>
      <c r="AS311" s="181" t="s">
        <v>54</v>
      </c>
      <c r="AT311" s="181" t="s">
        <v>606</v>
      </c>
      <c r="AU311" s="181"/>
      <c r="AV311" s="181" t="s">
        <v>3110</v>
      </c>
      <c r="AW311" s="181"/>
      <c r="AX311" s="181"/>
      <c r="AY311" s="181"/>
      <c r="AZ311" s="181"/>
      <c r="BA311" s="181"/>
      <c r="BB311" s="181"/>
      <c r="BC311" s="181"/>
      <c r="BD311" s="181" t="s">
        <v>54</v>
      </c>
      <c r="BE311" s="181">
        <v>66</v>
      </c>
      <c r="BF311" s="181"/>
      <c r="BG311" s="181"/>
      <c r="BH311" s="181" t="s">
        <v>491</v>
      </c>
      <c r="BI311" s="181">
        <v>153622939</v>
      </c>
      <c r="BJ311" s="181"/>
      <c r="BK311" s="181"/>
      <c r="BL311" s="181"/>
      <c r="BM311" s="181"/>
      <c r="BN311" s="181"/>
      <c r="BO311" s="181"/>
      <c r="BP311" s="181"/>
      <c r="BQ311" s="181"/>
      <c r="BR311" s="181"/>
      <c r="BS311" s="181"/>
      <c r="BT311" s="181"/>
      <c r="BU311" s="181"/>
      <c r="BV311" s="181"/>
      <c r="BW311" s="181"/>
      <c r="BX311" s="181"/>
      <c r="BY311" s="181"/>
      <c r="BZ311" s="181"/>
      <c r="CA311" s="190"/>
      <c r="CB311" s="3"/>
      <c r="CC311" s="16"/>
      <c r="CD311" s="16"/>
      <c r="CE311" s="16"/>
      <c r="CF311" s="16"/>
      <c r="CG311" s="16"/>
      <c r="CH311" s="16"/>
      <c r="CI311" s="16" t="s">
        <v>3111</v>
      </c>
    </row>
    <row r="312" spans="1:87">
      <c r="A312" s="16" t="s">
        <v>4</v>
      </c>
      <c r="B312" s="16" t="s">
        <v>3112</v>
      </c>
      <c r="C312" s="3">
        <v>46272</v>
      </c>
      <c r="D312" s="26" t="s">
        <v>14</v>
      </c>
      <c r="E312" s="180" t="s">
        <v>279</v>
      </c>
      <c r="F312" s="181">
        <v>2026181420009</v>
      </c>
      <c r="G312" s="181">
        <v>50</v>
      </c>
      <c r="H312" s="181">
        <v>70</v>
      </c>
      <c r="I312" s="181" t="s">
        <v>3018</v>
      </c>
      <c r="J312" s="181" t="s">
        <v>279</v>
      </c>
      <c r="K312" s="181" t="s">
        <v>1348</v>
      </c>
      <c r="L312" s="181" t="s">
        <v>17</v>
      </c>
      <c r="M312" s="181">
        <v>7</v>
      </c>
      <c r="N312" s="181" t="s">
        <v>462</v>
      </c>
      <c r="O312" s="181" t="s">
        <v>606</v>
      </c>
      <c r="P312" s="181" t="s">
        <v>3113</v>
      </c>
      <c r="Q312" s="181" t="s">
        <v>465</v>
      </c>
      <c r="R312" s="181" t="s">
        <v>466</v>
      </c>
      <c r="S312" s="181" t="s">
        <v>3114</v>
      </c>
      <c r="T312" s="181">
        <v>376415</v>
      </c>
      <c r="U312" s="182">
        <v>46265.107638888891</v>
      </c>
      <c r="V312" s="181" t="s">
        <v>469</v>
      </c>
      <c r="W312" s="181" t="s">
        <v>470</v>
      </c>
      <c r="X312" s="181" t="s">
        <v>471</v>
      </c>
      <c r="Y312" s="181" t="s">
        <v>523</v>
      </c>
      <c r="Z312" s="181" t="s">
        <v>665</v>
      </c>
      <c r="AA312" s="181" t="s">
        <v>474</v>
      </c>
      <c r="AB312" s="181" t="s">
        <v>3115</v>
      </c>
      <c r="AC312" s="181" t="s">
        <v>640</v>
      </c>
      <c r="AD312" s="181">
        <v>134010372</v>
      </c>
      <c r="AE312" s="181">
        <v>1699766261</v>
      </c>
      <c r="AF312" s="181">
        <v>1447944087</v>
      </c>
      <c r="AG312" s="181"/>
      <c r="AH312" s="181" t="s">
        <v>1076</v>
      </c>
      <c r="AI312" s="181" t="s">
        <v>267</v>
      </c>
      <c r="AJ312" s="181" t="s">
        <v>481</v>
      </c>
      <c r="AK312" s="181" t="s">
        <v>3116</v>
      </c>
      <c r="AL312" s="181">
        <v>4973.6000000000004</v>
      </c>
      <c r="AM312" s="181"/>
      <c r="AN312" s="181"/>
      <c r="AO312" s="181">
        <v>313</v>
      </c>
      <c r="AP312" s="181" t="s">
        <v>485</v>
      </c>
      <c r="AQ312" s="181" t="s">
        <v>3117</v>
      </c>
      <c r="AR312" s="183">
        <v>46265</v>
      </c>
      <c r="AS312" s="181" t="s">
        <v>267</v>
      </c>
      <c r="AT312" s="181" t="s">
        <v>3118</v>
      </c>
      <c r="AU312" s="181"/>
      <c r="AV312" s="181" t="s">
        <v>3119</v>
      </c>
      <c r="AW312" s="181"/>
      <c r="AX312" s="181"/>
      <c r="AY312" s="181"/>
      <c r="AZ312" s="181"/>
      <c r="BA312" s="181"/>
      <c r="BB312" s="181"/>
      <c r="BC312" s="181"/>
      <c r="BD312" s="181" t="s">
        <v>267</v>
      </c>
      <c r="BE312" s="181">
        <v>69</v>
      </c>
      <c r="BF312" s="181"/>
      <c r="BG312" s="181"/>
      <c r="BH312" s="181" t="s">
        <v>491</v>
      </c>
      <c r="BI312" s="181">
        <v>54387962</v>
      </c>
      <c r="BJ312" s="181"/>
      <c r="BK312" s="181"/>
      <c r="BL312" s="181"/>
      <c r="BM312" s="181"/>
      <c r="BN312" s="181"/>
      <c r="BO312" s="181"/>
      <c r="BP312" s="181"/>
      <c r="BQ312" s="181"/>
      <c r="BR312" s="181"/>
      <c r="BS312" s="181"/>
      <c r="BT312" s="181"/>
      <c r="BU312" s="181"/>
      <c r="BV312" s="181"/>
      <c r="BW312" s="181"/>
      <c r="BX312" s="181"/>
      <c r="BY312" s="181"/>
      <c r="BZ312" s="181"/>
      <c r="CA312" s="190">
        <v>46282.666666666701</v>
      </c>
      <c r="CB312" s="3"/>
      <c r="CC312" s="16"/>
      <c r="CD312" s="16"/>
      <c r="CE312" s="16"/>
      <c r="CF312" s="16"/>
      <c r="CG312" s="16"/>
      <c r="CH312" s="16"/>
      <c r="CI312" s="16" t="s">
        <v>3120</v>
      </c>
    </row>
    <row r="313" spans="1:87">
      <c r="A313" s="16" t="s">
        <v>5</v>
      </c>
      <c r="B313" s="16" t="s">
        <v>516</v>
      </c>
      <c r="C313" s="3">
        <v>46272</v>
      </c>
      <c r="D313" s="26" t="s">
        <v>14</v>
      </c>
      <c r="E313" s="180" t="s">
        <v>284</v>
      </c>
      <c r="F313" s="181">
        <v>2026178020350</v>
      </c>
      <c r="G313" s="181">
        <v>50</v>
      </c>
      <c r="H313" s="181">
        <v>72</v>
      </c>
      <c r="I313" s="181" t="s">
        <v>3018</v>
      </c>
      <c r="J313" s="181" t="s">
        <v>284</v>
      </c>
      <c r="K313" s="181" t="s">
        <v>518</v>
      </c>
      <c r="L313" s="181" t="s">
        <v>17</v>
      </c>
      <c r="M313" s="181">
        <v>11</v>
      </c>
      <c r="N313" s="181" t="s">
        <v>462</v>
      </c>
      <c r="O313" s="181" t="s">
        <v>606</v>
      </c>
      <c r="P313" s="181" t="s">
        <v>3121</v>
      </c>
      <c r="Q313" s="181" t="s">
        <v>465</v>
      </c>
      <c r="R313" s="181" t="s">
        <v>466</v>
      </c>
      <c r="S313" s="181" t="s">
        <v>3122</v>
      </c>
      <c r="T313" s="181" t="s">
        <v>3123</v>
      </c>
      <c r="U313" s="182">
        <v>46261.630555555559</v>
      </c>
      <c r="V313" s="181" t="s">
        <v>469</v>
      </c>
      <c r="W313" s="181" t="s">
        <v>470</v>
      </c>
      <c r="X313" s="181" t="s">
        <v>471</v>
      </c>
      <c r="Y313" s="181" t="s">
        <v>628</v>
      </c>
      <c r="Z313" s="181" t="s">
        <v>731</v>
      </c>
      <c r="AA313" s="181" t="s">
        <v>474</v>
      </c>
      <c r="AB313" s="181" t="s">
        <v>3124</v>
      </c>
      <c r="AC313" s="181" t="s">
        <v>733</v>
      </c>
      <c r="AD313" s="181">
        <v>430653611</v>
      </c>
      <c r="AE313" s="181">
        <v>1356381842</v>
      </c>
      <c r="AF313" s="181">
        <v>1437565819</v>
      </c>
      <c r="AG313" s="181"/>
      <c r="AH313" s="181"/>
      <c r="AI313" s="181" t="s">
        <v>87</v>
      </c>
      <c r="AJ313" s="181" t="s">
        <v>481</v>
      </c>
      <c r="AK313" s="181" t="s">
        <v>3125</v>
      </c>
      <c r="AL313" s="181">
        <v>7768</v>
      </c>
      <c r="AM313" s="181"/>
      <c r="AN313" s="181"/>
      <c r="AO313" s="181">
        <v>305</v>
      </c>
      <c r="AP313" s="181" t="s">
        <v>485</v>
      </c>
      <c r="AQ313" s="181" t="s">
        <v>3126</v>
      </c>
      <c r="AR313" s="183">
        <v>46261</v>
      </c>
      <c r="AS313" s="181" t="s">
        <v>87</v>
      </c>
      <c r="AT313" s="181" t="s">
        <v>516</v>
      </c>
      <c r="AU313" s="181"/>
      <c r="AV313" s="181" t="s">
        <v>3127</v>
      </c>
      <c r="AW313" s="181"/>
      <c r="AX313" s="181"/>
      <c r="AY313" s="181"/>
      <c r="AZ313" s="181"/>
      <c r="BA313" s="181"/>
      <c r="BB313" s="181"/>
      <c r="BC313" s="181"/>
      <c r="BD313" s="181" t="s">
        <v>87</v>
      </c>
      <c r="BE313" s="181">
        <v>72</v>
      </c>
      <c r="BF313" s="181"/>
      <c r="BG313" s="181" t="s">
        <v>490</v>
      </c>
      <c r="BH313" s="181" t="s">
        <v>491</v>
      </c>
      <c r="BI313" s="181">
        <v>499501018</v>
      </c>
      <c r="BJ313" s="181"/>
      <c r="BK313" s="181"/>
      <c r="BL313" s="181"/>
      <c r="BM313" s="181"/>
      <c r="BN313" s="181"/>
      <c r="BO313" s="181"/>
      <c r="BP313" s="181"/>
      <c r="BQ313" s="181"/>
      <c r="BR313" s="181"/>
      <c r="BS313" s="181"/>
      <c r="BT313" s="181"/>
      <c r="BU313" s="181"/>
      <c r="BV313" s="181"/>
      <c r="BW313" s="181"/>
      <c r="BX313" s="181"/>
      <c r="BY313" s="181"/>
      <c r="BZ313" s="181"/>
      <c r="CA313" s="190">
        <v>46274.666666666701</v>
      </c>
      <c r="CB313" s="3"/>
      <c r="CC313" s="16"/>
      <c r="CD313" s="16"/>
      <c r="CE313" s="16"/>
      <c r="CF313" s="16"/>
      <c r="CG313" s="16"/>
      <c r="CH313" s="16"/>
      <c r="CI313" s="16" t="s">
        <v>3128</v>
      </c>
    </row>
    <row r="314" spans="1:87">
      <c r="A314" s="16"/>
      <c r="B314" s="16"/>
      <c r="C314" s="3">
        <v>46272</v>
      </c>
      <c r="D314" s="26" t="s">
        <v>14</v>
      </c>
      <c r="E314" s="180" t="s">
        <v>234</v>
      </c>
      <c r="F314" s="181">
        <v>2026168670069</v>
      </c>
      <c r="G314" s="181">
        <v>50</v>
      </c>
      <c r="H314" s="181">
        <v>83</v>
      </c>
      <c r="I314" s="181" t="s">
        <v>3018</v>
      </c>
      <c r="J314" s="181" t="s">
        <v>234</v>
      </c>
      <c r="K314" s="181" t="s">
        <v>983</v>
      </c>
      <c r="L314" s="181" t="s">
        <v>17</v>
      </c>
      <c r="M314" s="181">
        <v>55</v>
      </c>
      <c r="N314" s="181" t="s">
        <v>462</v>
      </c>
      <c r="O314" s="181" t="s">
        <v>606</v>
      </c>
      <c r="P314" s="181" t="s">
        <v>3129</v>
      </c>
      <c r="Q314" s="181" t="s">
        <v>465</v>
      </c>
      <c r="R314" s="181" t="s">
        <v>466</v>
      </c>
      <c r="S314" s="181" t="s">
        <v>3130</v>
      </c>
      <c r="T314" s="181" t="s">
        <v>3131</v>
      </c>
      <c r="U314" s="182">
        <v>46216.975694444445</v>
      </c>
      <c r="V314" s="181" t="s">
        <v>469</v>
      </c>
      <c r="W314" s="181" t="s">
        <v>568</v>
      </c>
      <c r="X314" s="181" t="s">
        <v>471</v>
      </c>
      <c r="Y314" s="181" t="s">
        <v>628</v>
      </c>
      <c r="Z314" s="181" t="s">
        <v>1292</v>
      </c>
      <c r="AA314" s="181" t="s">
        <v>474</v>
      </c>
      <c r="AB314" s="181" t="s">
        <v>3132</v>
      </c>
      <c r="AC314" s="181" t="s">
        <v>1294</v>
      </c>
      <c r="AD314" s="181">
        <v>611276316</v>
      </c>
      <c r="AE314" s="181">
        <v>1588614994</v>
      </c>
      <c r="AF314" s="181">
        <v>1912225665</v>
      </c>
      <c r="AG314" s="181"/>
      <c r="AH314" s="181"/>
      <c r="AI314" s="181" t="s">
        <v>34</v>
      </c>
      <c r="AJ314" s="181" t="s">
        <v>481</v>
      </c>
      <c r="AK314" s="181" t="s">
        <v>3133</v>
      </c>
      <c r="AL314" s="181">
        <v>2742</v>
      </c>
      <c r="AM314" s="181"/>
      <c r="AN314" s="181"/>
      <c r="AO314" s="181" t="s">
        <v>1829</v>
      </c>
      <c r="AP314" s="181" t="s">
        <v>485</v>
      </c>
      <c r="AQ314" s="181" t="s">
        <v>3134</v>
      </c>
      <c r="AR314" s="183">
        <v>46217</v>
      </c>
      <c r="AS314" s="181" t="s">
        <v>34</v>
      </c>
      <c r="AT314" s="181" t="s">
        <v>3135</v>
      </c>
      <c r="AU314" s="181"/>
      <c r="AV314" s="181" t="s">
        <v>3136</v>
      </c>
      <c r="AW314" s="181"/>
      <c r="AX314" s="181"/>
      <c r="AY314" s="181"/>
      <c r="AZ314" s="181"/>
      <c r="BA314" s="181"/>
      <c r="BB314" s="181"/>
      <c r="BC314" s="181"/>
      <c r="BD314" s="181" t="s">
        <v>34</v>
      </c>
      <c r="BE314" s="181">
        <v>82</v>
      </c>
      <c r="BF314" s="181"/>
      <c r="BG314" s="181"/>
      <c r="BH314" s="181" t="s">
        <v>491</v>
      </c>
      <c r="BI314" s="181">
        <v>404518316</v>
      </c>
      <c r="BJ314" s="181"/>
      <c r="BK314" s="181"/>
      <c r="BL314" s="181"/>
      <c r="BM314" s="181"/>
      <c r="BN314" s="181"/>
      <c r="BO314" s="181"/>
      <c r="BP314" s="181"/>
      <c r="BQ314" s="181"/>
      <c r="BR314" s="181"/>
      <c r="BS314" s="181"/>
      <c r="BT314" s="181"/>
      <c r="BU314" s="181"/>
      <c r="BV314" s="181"/>
      <c r="BW314" s="181"/>
      <c r="BX314" s="181"/>
      <c r="BY314" s="181"/>
      <c r="BZ314" s="181"/>
      <c r="CA314" s="190"/>
      <c r="CB314" s="3"/>
      <c r="CC314" s="16"/>
      <c r="CD314" s="16"/>
      <c r="CE314" s="16"/>
      <c r="CF314" s="16"/>
      <c r="CG314" s="16"/>
      <c r="CH314" s="16"/>
      <c r="CI314" s="16" t="s">
        <v>3137</v>
      </c>
    </row>
    <row r="315" spans="1:87">
      <c r="A315" s="16"/>
      <c r="B315" s="16"/>
      <c r="C315" s="3">
        <v>46272</v>
      </c>
      <c r="D315" s="26" t="s">
        <v>14</v>
      </c>
      <c r="E315" s="180" t="s">
        <v>3138</v>
      </c>
      <c r="F315" s="181">
        <v>2026174070322</v>
      </c>
      <c r="G315" s="181">
        <v>50</v>
      </c>
      <c r="H315" s="181">
        <v>76</v>
      </c>
      <c r="I315" s="181" t="s">
        <v>3018</v>
      </c>
      <c r="J315" s="181" t="s">
        <v>3138</v>
      </c>
      <c r="K315" s="181" t="s">
        <v>983</v>
      </c>
      <c r="L315" s="181" t="s">
        <v>17</v>
      </c>
      <c r="M315" s="181">
        <v>47</v>
      </c>
      <c r="N315" s="181" t="s">
        <v>462</v>
      </c>
      <c r="O315" s="181" t="s">
        <v>606</v>
      </c>
      <c r="P315" s="181">
        <v>900849205</v>
      </c>
      <c r="Q315" s="181" t="s">
        <v>465</v>
      </c>
      <c r="R315" s="181" t="s">
        <v>466</v>
      </c>
      <c r="S315" s="181" t="s">
        <v>3139</v>
      </c>
      <c r="T315" s="181" t="s">
        <v>650</v>
      </c>
      <c r="U315" s="182">
        <v>46225.012499999997</v>
      </c>
      <c r="V315" s="181" t="s">
        <v>469</v>
      </c>
      <c r="W315" s="181" t="s">
        <v>651</v>
      </c>
      <c r="X315" s="181" t="s">
        <v>652</v>
      </c>
      <c r="Y315" s="181" t="s">
        <v>653</v>
      </c>
      <c r="Z315" s="181" t="s">
        <v>501</v>
      </c>
      <c r="AA315" s="181" t="s">
        <v>474</v>
      </c>
      <c r="AB315" s="181" t="s">
        <v>654</v>
      </c>
      <c r="AC315" s="181" t="s">
        <v>503</v>
      </c>
      <c r="AD315" s="181">
        <v>540846558</v>
      </c>
      <c r="AE315" s="181">
        <v>1114902509</v>
      </c>
      <c r="AF315" s="181">
        <v>1114902509</v>
      </c>
      <c r="AG315" s="181">
        <v>4.2520250371765296E+16</v>
      </c>
      <c r="AH315" s="181"/>
      <c r="AI315" s="181" t="s">
        <v>34</v>
      </c>
      <c r="AJ315" s="181" t="s">
        <v>481</v>
      </c>
      <c r="AK315" s="181" t="s">
        <v>3140</v>
      </c>
      <c r="AL315" s="181">
        <v>13019</v>
      </c>
      <c r="AM315" s="181"/>
      <c r="AN315" s="181"/>
      <c r="AO315" s="181">
        <v>900</v>
      </c>
      <c r="AP315" s="181" t="s">
        <v>485</v>
      </c>
      <c r="AQ315" s="181" t="s">
        <v>3141</v>
      </c>
      <c r="AR315" s="183">
        <v>46225</v>
      </c>
      <c r="AS315" s="181" t="s">
        <v>34</v>
      </c>
      <c r="AT315" s="181" t="s">
        <v>3142</v>
      </c>
      <c r="AU315" s="181"/>
      <c r="AV315" s="181" t="s">
        <v>3143</v>
      </c>
      <c r="AW315" s="181"/>
      <c r="AX315" s="181"/>
      <c r="AY315" s="181"/>
      <c r="AZ315" s="181"/>
      <c r="BA315" s="181"/>
      <c r="BB315" s="181"/>
      <c r="BC315" s="181"/>
      <c r="BD315" s="181" t="s">
        <v>34</v>
      </c>
      <c r="BE315" s="181">
        <v>76</v>
      </c>
      <c r="BF315" s="181"/>
      <c r="BG315" s="181"/>
      <c r="BH315" s="181" t="s">
        <v>658</v>
      </c>
      <c r="BI315" s="181">
        <v>900849205</v>
      </c>
      <c r="BJ315" s="181"/>
      <c r="BK315" s="181"/>
      <c r="BL315" s="181"/>
      <c r="BM315" s="181"/>
      <c r="BN315" s="181"/>
      <c r="BO315" s="181"/>
      <c r="BP315" s="181"/>
      <c r="BQ315" s="181"/>
      <c r="BR315" s="181"/>
      <c r="BS315" s="181"/>
      <c r="BT315" s="181"/>
      <c r="BU315" s="181"/>
      <c r="BV315" s="181"/>
      <c r="BW315" s="181"/>
      <c r="BX315" s="181"/>
      <c r="BY315" s="181"/>
      <c r="BZ315" s="181"/>
      <c r="CA315" s="190"/>
      <c r="CB315" s="3"/>
      <c r="CC315" s="16"/>
      <c r="CD315" s="16"/>
      <c r="CE315" s="16"/>
      <c r="CF315" s="16"/>
      <c r="CG315" s="16"/>
      <c r="CH315" s="16"/>
      <c r="CI315" s="16" t="s">
        <v>3144</v>
      </c>
    </row>
    <row r="316" spans="1:87">
      <c r="A316" s="16" t="s">
        <v>5</v>
      </c>
      <c r="B316" s="16" t="s">
        <v>3145</v>
      </c>
      <c r="C316" s="3">
        <v>46272</v>
      </c>
      <c r="D316" s="26" t="s">
        <v>14</v>
      </c>
      <c r="E316" s="180" t="s">
        <v>3146</v>
      </c>
      <c r="F316" s="181">
        <v>2026183170287</v>
      </c>
      <c r="G316" s="181">
        <v>50</v>
      </c>
      <c r="H316" s="181">
        <v>67</v>
      </c>
      <c r="I316" s="181" t="s">
        <v>3018</v>
      </c>
      <c r="J316" s="181" t="s">
        <v>3146</v>
      </c>
      <c r="K316" s="181" t="s">
        <v>1371</v>
      </c>
      <c r="L316" s="181" t="s">
        <v>17</v>
      </c>
      <c r="M316" s="181">
        <v>12</v>
      </c>
      <c r="N316" s="181" t="s">
        <v>462</v>
      </c>
      <c r="O316" s="181" t="s">
        <v>2575</v>
      </c>
      <c r="P316" s="181" t="s">
        <v>3147</v>
      </c>
      <c r="Q316" s="181" t="s">
        <v>465</v>
      </c>
      <c r="R316" s="181" t="s">
        <v>466</v>
      </c>
      <c r="S316" s="181" t="s">
        <v>3148</v>
      </c>
      <c r="T316" s="181" t="s">
        <v>3149</v>
      </c>
      <c r="U316" s="182">
        <v>46259.750694444447</v>
      </c>
      <c r="V316" s="181" t="s">
        <v>469</v>
      </c>
      <c r="W316" s="181" t="s">
        <v>470</v>
      </c>
      <c r="X316" s="181" t="s">
        <v>471</v>
      </c>
      <c r="Y316" s="181" t="s">
        <v>472</v>
      </c>
      <c r="Z316" s="181" t="s">
        <v>524</v>
      </c>
      <c r="AA316" s="181" t="s">
        <v>474</v>
      </c>
      <c r="AB316" s="181" t="s">
        <v>3150</v>
      </c>
      <c r="AC316" s="181" t="s">
        <v>526</v>
      </c>
      <c r="AD316" s="181">
        <v>310645626</v>
      </c>
      <c r="AE316" s="181">
        <v>1467433763</v>
      </c>
      <c r="AF316" s="181"/>
      <c r="AG316" s="181"/>
      <c r="AH316" s="181"/>
      <c r="AI316" s="181" t="s">
        <v>164</v>
      </c>
      <c r="AJ316" s="181" t="s">
        <v>481</v>
      </c>
      <c r="AK316" s="181" t="s">
        <v>3151</v>
      </c>
      <c r="AL316" s="181">
        <v>64055.25</v>
      </c>
      <c r="AM316" s="181"/>
      <c r="AN316" s="181"/>
      <c r="AO316" s="181">
        <v>194</v>
      </c>
      <c r="AP316" s="181" t="s">
        <v>485</v>
      </c>
      <c r="AQ316" s="181" t="s">
        <v>3152</v>
      </c>
      <c r="AR316" s="183">
        <v>46260</v>
      </c>
      <c r="AS316" s="181" t="s">
        <v>164</v>
      </c>
      <c r="AT316" s="181" t="s">
        <v>2622</v>
      </c>
      <c r="AU316" s="181"/>
      <c r="AV316" s="181" t="s">
        <v>3153</v>
      </c>
      <c r="AW316" s="181"/>
      <c r="AX316" s="181"/>
      <c r="AY316" s="181"/>
      <c r="AZ316" s="181"/>
      <c r="BA316" s="181"/>
      <c r="BB316" s="181"/>
      <c r="BC316" s="181"/>
      <c r="BD316" s="181" t="s">
        <v>164</v>
      </c>
      <c r="BE316" s="181">
        <v>67</v>
      </c>
      <c r="BF316" s="181"/>
      <c r="BG316" s="181"/>
      <c r="BH316" s="181" t="s">
        <v>491</v>
      </c>
      <c r="BI316" s="181">
        <v>295684693</v>
      </c>
      <c r="BJ316" s="181"/>
      <c r="BK316" s="181"/>
      <c r="BL316" s="181"/>
      <c r="BM316" s="181"/>
      <c r="BN316" s="181"/>
      <c r="BO316" s="181"/>
      <c r="BP316" s="181"/>
      <c r="BQ316" s="181"/>
      <c r="BR316" s="181"/>
      <c r="BS316" s="181"/>
      <c r="BT316" s="181"/>
      <c r="BU316" s="181"/>
      <c r="BV316" s="181"/>
      <c r="BW316" s="181"/>
      <c r="BX316" s="181"/>
      <c r="BY316" s="181"/>
      <c r="BZ316" s="181"/>
      <c r="CA316" s="190">
        <v>46280.666666666701</v>
      </c>
      <c r="CB316" s="3"/>
      <c r="CC316" s="16"/>
      <c r="CD316" s="16"/>
      <c r="CE316" s="16"/>
      <c r="CF316" s="16"/>
      <c r="CG316" s="16"/>
      <c r="CH316" s="16"/>
      <c r="CI316" s="16" t="s">
        <v>3154</v>
      </c>
    </row>
    <row r="317" spans="1:87">
      <c r="A317" s="16"/>
      <c r="B317" s="16"/>
      <c r="C317" s="3">
        <v>46272</v>
      </c>
      <c r="D317" s="26" t="s">
        <v>14</v>
      </c>
      <c r="E317" s="180" t="s">
        <v>3155</v>
      </c>
      <c r="F317" s="181" t="s">
        <v>3156</v>
      </c>
      <c r="G317" s="181">
        <v>50</v>
      </c>
      <c r="H317" s="181">
        <v>61</v>
      </c>
      <c r="I317" s="181" t="s">
        <v>3018</v>
      </c>
      <c r="J317" s="181" t="s">
        <v>3155</v>
      </c>
      <c r="K317" s="181" t="s">
        <v>1512</v>
      </c>
      <c r="L317" s="181" t="s">
        <v>17</v>
      </c>
      <c r="M317" s="181">
        <v>33</v>
      </c>
      <c r="N317" s="181" t="s">
        <v>462</v>
      </c>
      <c r="O317" s="181" t="s">
        <v>606</v>
      </c>
      <c r="P317" s="181" t="s">
        <v>3157</v>
      </c>
      <c r="Q317" s="181" t="s">
        <v>1055</v>
      </c>
      <c r="R317" s="181" t="s">
        <v>1056</v>
      </c>
      <c r="S317" s="181" t="s">
        <v>3158</v>
      </c>
      <c r="T317" s="181" t="s">
        <v>664</v>
      </c>
      <c r="U317" s="182">
        <v>46238.805555555555</v>
      </c>
      <c r="V317" s="181" t="s">
        <v>469</v>
      </c>
      <c r="W317" s="181" t="s">
        <v>651</v>
      </c>
      <c r="X317" s="181" t="s">
        <v>652</v>
      </c>
      <c r="Y317" s="181" t="s">
        <v>653</v>
      </c>
      <c r="Z317" s="181" t="s">
        <v>665</v>
      </c>
      <c r="AA317" s="181" t="s">
        <v>1059</v>
      </c>
      <c r="AB317" s="181" t="s">
        <v>666</v>
      </c>
      <c r="AC317" s="181" t="s">
        <v>640</v>
      </c>
      <c r="AD317" s="181">
        <v>135562308</v>
      </c>
      <c r="AE317" s="181">
        <v>1285826438</v>
      </c>
      <c r="AF317" s="181">
        <v>1174780498</v>
      </c>
      <c r="AG317" s="181">
        <v>2.54202528616494E+16</v>
      </c>
      <c r="AH317" s="181"/>
      <c r="AI317" s="181" t="s">
        <v>149</v>
      </c>
      <c r="AJ317" s="181" t="s">
        <v>481</v>
      </c>
      <c r="AK317" s="181" t="s">
        <v>3159</v>
      </c>
      <c r="AL317" s="181">
        <v>35857</v>
      </c>
      <c r="AM317" s="181"/>
      <c r="AN317" s="181"/>
      <c r="AO317" s="181" t="s">
        <v>3160</v>
      </c>
      <c r="AP317" s="181" t="s">
        <v>485</v>
      </c>
      <c r="AQ317" s="181" t="s">
        <v>3161</v>
      </c>
      <c r="AR317" s="183">
        <v>46239</v>
      </c>
      <c r="AS317" s="181" t="s">
        <v>149</v>
      </c>
      <c r="AT317" s="181" t="s">
        <v>1518</v>
      </c>
      <c r="AU317" s="181"/>
      <c r="AV317" s="181" t="s">
        <v>2477</v>
      </c>
      <c r="AW317" s="181"/>
      <c r="AX317" s="181"/>
      <c r="AY317" s="181"/>
      <c r="AZ317" s="181"/>
      <c r="BA317" s="181"/>
      <c r="BB317" s="181" t="s">
        <v>3162</v>
      </c>
      <c r="BC317" s="181"/>
      <c r="BD317" s="181" t="s">
        <v>149</v>
      </c>
      <c r="BE317" s="181">
        <v>61</v>
      </c>
      <c r="BF317" s="181"/>
      <c r="BG317" s="181" t="s">
        <v>1067</v>
      </c>
      <c r="BH317" s="181" t="s">
        <v>658</v>
      </c>
      <c r="BI317" s="181">
        <v>137570075</v>
      </c>
      <c r="BJ317" s="181"/>
      <c r="BK317" s="181"/>
      <c r="BL317" s="181"/>
      <c r="BM317" s="181"/>
      <c r="BN317" s="181"/>
      <c r="BO317" s="181"/>
      <c r="BP317" s="181"/>
      <c r="BQ317" s="181"/>
      <c r="BR317" s="181"/>
      <c r="BS317" s="181"/>
      <c r="BT317" s="181"/>
      <c r="BU317" s="181"/>
      <c r="BV317" s="181"/>
      <c r="BW317" s="181"/>
      <c r="BX317" s="181"/>
      <c r="BY317" s="181"/>
      <c r="BZ317" s="181"/>
      <c r="CA317" s="190"/>
      <c r="CB317" s="3"/>
      <c r="CC317" s="16"/>
      <c r="CD317" s="16"/>
      <c r="CE317" s="16"/>
      <c r="CF317" s="16"/>
      <c r="CG317" s="16"/>
      <c r="CH317" s="16"/>
      <c r="CI317" s="16" t="s">
        <v>3163</v>
      </c>
    </row>
    <row r="318" spans="1:87">
      <c r="A318" s="16"/>
      <c r="B318" s="16"/>
      <c r="C318" s="3">
        <v>46272</v>
      </c>
      <c r="D318" s="26" t="s">
        <v>14</v>
      </c>
      <c r="E318" s="180" t="s">
        <v>130</v>
      </c>
      <c r="F318" s="181">
        <v>2026161520277</v>
      </c>
      <c r="G318" s="181">
        <v>50</v>
      </c>
      <c r="H318" s="181">
        <v>89</v>
      </c>
      <c r="I318" s="181" t="s">
        <v>3018</v>
      </c>
      <c r="J318" s="181" t="s">
        <v>130</v>
      </c>
      <c r="K318" s="181" t="s">
        <v>895</v>
      </c>
      <c r="L318" s="181" t="s">
        <v>18</v>
      </c>
      <c r="M318" s="181">
        <v>24</v>
      </c>
      <c r="N318" s="181" t="s">
        <v>462</v>
      </c>
      <c r="O318" s="181" t="s">
        <v>606</v>
      </c>
      <c r="P318" s="181" t="s">
        <v>3164</v>
      </c>
      <c r="Q318" s="181" t="s">
        <v>564</v>
      </c>
      <c r="R318" s="181" t="s">
        <v>466</v>
      </c>
      <c r="S318" s="181" t="s">
        <v>3165</v>
      </c>
      <c r="T318" s="181">
        <v>174249</v>
      </c>
      <c r="U318" s="182">
        <v>46247.874305555553</v>
      </c>
      <c r="V318" s="181" t="s">
        <v>469</v>
      </c>
      <c r="W318" s="181" t="s">
        <v>568</v>
      </c>
      <c r="X318" s="181" t="s">
        <v>471</v>
      </c>
      <c r="Y318" s="181" t="s">
        <v>1724</v>
      </c>
      <c r="Z318" s="181" t="s">
        <v>570</v>
      </c>
      <c r="AA318" s="181" t="s">
        <v>474</v>
      </c>
      <c r="AB318" s="181" t="s">
        <v>3166</v>
      </c>
      <c r="AC318" s="181" t="s">
        <v>572</v>
      </c>
      <c r="AD318" s="181">
        <v>951684082</v>
      </c>
      <c r="AE318" s="181">
        <v>1124026273</v>
      </c>
      <c r="AF318" s="181"/>
      <c r="AG318" s="181"/>
      <c r="AH318" s="181"/>
      <c r="AI318" s="181" t="s">
        <v>20</v>
      </c>
      <c r="AJ318" s="181" t="s">
        <v>481</v>
      </c>
      <c r="AK318" s="181" t="s">
        <v>3167</v>
      </c>
      <c r="AL318" s="181">
        <v>58918.21</v>
      </c>
      <c r="AM318" s="181"/>
      <c r="AN318" s="181"/>
      <c r="AO318" s="181">
        <v>185</v>
      </c>
      <c r="AP318" s="181" t="s">
        <v>485</v>
      </c>
      <c r="AQ318" s="181" t="s">
        <v>3168</v>
      </c>
      <c r="AR318" s="183">
        <v>46248</v>
      </c>
      <c r="AS318" s="181" t="s">
        <v>20</v>
      </c>
      <c r="AT318" s="181" t="s">
        <v>899</v>
      </c>
      <c r="AU318" s="181"/>
      <c r="AV318" s="181" t="s">
        <v>3169</v>
      </c>
      <c r="AW318" s="181"/>
      <c r="AX318" s="181"/>
      <c r="AY318" s="181"/>
      <c r="AZ318" s="181"/>
      <c r="BA318" s="181"/>
      <c r="BB318" s="181"/>
      <c r="BC318" s="181"/>
      <c r="BD318" s="181" t="s">
        <v>20</v>
      </c>
      <c r="BE318" s="181">
        <v>89</v>
      </c>
      <c r="BF318" s="181"/>
      <c r="BG318" s="181" t="s">
        <v>490</v>
      </c>
      <c r="BH318" s="181" t="s">
        <v>491</v>
      </c>
      <c r="BI318" s="181">
        <v>559048570</v>
      </c>
      <c r="BJ318" s="181"/>
      <c r="BK318" s="181"/>
      <c r="BL318" s="181"/>
      <c r="BM318" s="181"/>
      <c r="BN318" s="181"/>
      <c r="BO318" s="181"/>
      <c r="BP318" s="181"/>
      <c r="BQ318" s="181"/>
      <c r="BR318" s="181"/>
      <c r="BS318" s="181"/>
      <c r="BT318" s="181"/>
      <c r="BU318" s="181"/>
      <c r="BV318" s="181"/>
      <c r="BW318" s="181"/>
      <c r="BX318" s="181"/>
      <c r="BY318" s="181"/>
      <c r="BZ318" s="181"/>
      <c r="CA318" s="190"/>
      <c r="CB318" s="3"/>
      <c r="CC318" s="16"/>
      <c r="CD318" s="16"/>
      <c r="CE318" s="16"/>
      <c r="CF318" s="16"/>
      <c r="CG318" s="16"/>
      <c r="CH318" s="16"/>
      <c r="CI318" s="16" t="s">
        <v>3170</v>
      </c>
    </row>
    <row r="319" spans="1:87">
      <c r="A319" s="16"/>
      <c r="B319" s="16"/>
      <c r="C319" s="3">
        <v>46272</v>
      </c>
      <c r="D319" s="26" t="s">
        <v>14</v>
      </c>
      <c r="E319" s="180" t="s">
        <v>337</v>
      </c>
      <c r="F319" s="181">
        <v>2026180180313</v>
      </c>
      <c r="G319" s="181">
        <v>50</v>
      </c>
      <c r="H319" s="181">
        <v>70</v>
      </c>
      <c r="I319" s="181" t="s">
        <v>3018</v>
      </c>
      <c r="J319" s="181" t="s">
        <v>337</v>
      </c>
      <c r="K319" s="181" t="s">
        <v>810</v>
      </c>
      <c r="L319" s="181" t="s">
        <v>17</v>
      </c>
      <c r="M319" s="181">
        <v>7</v>
      </c>
      <c r="N319" s="181" t="s">
        <v>462</v>
      </c>
      <c r="O319" s="181" t="s">
        <v>606</v>
      </c>
      <c r="P319" s="181" t="s">
        <v>3171</v>
      </c>
      <c r="Q319" s="181" t="s">
        <v>465</v>
      </c>
      <c r="R319" s="181" t="s">
        <v>466</v>
      </c>
      <c r="S319" s="181" t="s">
        <v>3172</v>
      </c>
      <c r="T319" s="181">
        <v>174208</v>
      </c>
      <c r="U319" s="182">
        <v>46265.581944444442</v>
      </c>
      <c r="V319" s="181" t="s">
        <v>469</v>
      </c>
      <c r="W319" s="181" t="s">
        <v>568</v>
      </c>
      <c r="X319" s="181" t="s">
        <v>471</v>
      </c>
      <c r="Y319" s="181" t="s">
        <v>3173</v>
      </c>
      <c r="Z319" s="181" t="s">
        <v>590</v>
      </c>
      <c r="AA319" s="181" t="s">
        <v>474</v>
      </c>
      <c r="AB319" s="181" t="s">
        <v>3174</v>
      </c>
      <c r="AC319" s="181" t="s">
        <v>476</v>
      </c>
      <c r="AD319" s="181">
        <v>391824445</v>
      </c>
      <c r="AE319" s="181">
        <v>1598784555</v>
      </c>
      <c r="AF319" s="181">
        <v>1891323549</v>
      </c>
      <c r="AG319" s="181"/>
      <c r="AH319" s="181"/>
      <c r="AI319" s="181" t="s">
        <v>37</v>
      </c>
      <c r="AJ319" s="181" t="s">
        <v>481</v>
      </c>
      <c r="AK319" s="181" t="s">
        <v>3175</v>
      </c>
      <c r="AL319" s="181">
        <v>40330.75</v>
      </c>
      <c r="AM319" s="181"/>
      <c r="AN319" s="181"/>
      <c r="AO319" s="181">
        <v>281</v>
      </c>
      <c r="AP319" s="181" t="s">
        <v>485</v>
      </c>
      <c r="AQ319" s="181" t="s">
        <v>3176</v>
      </c>
      <c r="AR319" s="183">
        <v>46265</v>
      </c>
      <c r="AS319" s="181" t="s">
        <v>37</v>
      </c>
      <c r="AT319" s="181" t="s">
        <v>1119</v>
      </c>
      <c r="AU319" s="181"/>
      <c r="AV319" s="181" t="s">
        <v>3177</v>
      </c>
      <c r="AW319" s="181"/>
      <c r="AX319" s="181"/>
      <c r="AY319" s="181"/>
      <c r="AZ319" s="181"/>
      <c r="BA319" s="181"/>
      <c r="BB319" s="181"/>
      <c r="BC319" s="181"/>
      <c r="BD319" s="181" t="s">
        <v>37</v>
      </c>
      <c r="BE319" s="181">
        <v>70</v>
      </c>
      <c r="BF319" s="181"/>
      <c r="BG319" s="181"/>
      <c r="BH319" s="181" t="s">
        <v>491</v>
      </c>
      <c r="BI319" s="181">
        <v>353501769</v>
      </c>
      <c r="BJ319" s="181"/>
      <c r="BK319" s="181"/>
      <c r="BL319" s="181"/>
      <c r="BM319" s="181"/>
      <c r="BN319" s="181"/>
      <c r="BO319" s="181"/>
      <c r="BP319" s="181"/>
      <c r="BQ319" s="181"/>
      <c r="BR319" s="181"/>
      <c r="BS319" s="181"/>
      <c r="BT319" s="181"/>
      <c r="BU319" s="181"/>
      <c r="BV319" s="181"/>
      <c r="BW319" s="181"/>
      <c r="BX319" s="181"/>
      <c r="BY319" s="181"/>
      <c r="BZ319" s="181"/>
      <c r="CA319" s="190"/>
      <c r="CB319" s="3"/>
      <c r="CC319" s="16"/>
      <c r="CD319" s="16"/>
      <c r="CE319" s="16"/>
      <c r="CF319" s="16"/>
      <c r="CG319" s="16"/>
      <c r="CH319" s="16"/>
      <c r="CI319" s="16" t="s">
        <v>3178</v>
      </c>
    </row>
    <row r="320" spans="1:87">
      <c r="A320" s="16"/>
      <c r="B320" s="16"/>
      <c r="C320" s="3">
        <v>46272</v>
      </c>
      <c r="D320" s="26" t="s">
        <v>14</v>
      </c>
      <c r="E320" s="180" t="s">
        <v>3179</v>
      </c>
      <c r="F320" s="181">
        <v>2026164430258</v>
      </c>
      <c r="G320" s="181">
        <v>50</v>
      </c>
      <c r="H320" s="181">
        <v>86</v>
      </c>
      <c r="I320" s="181" t="s">
        <v>3018</v>
      </c>
      <c r="J320" s="181" t="s">
        <v>3179</v>
      </c>
      <c r="K320" s="181" t="s">
        <v>1512</v>
      </c>
      <c r="L320" s="181" t="s">
        <v>17</v>
      </c>
      <c r="M320" s="181">
        <v>28</v>
      </c>
      <c r="N320" s="181" t="s">
        <v>462</v>
      </c>
      <c r="O320" s="181" t="s">
        <v>606</v>
      </c>
      <c r="P320" s="181" t="s">
        <v>3180</v>
      </c>
      <c r="Q320" s="181" t="s">
        <v>465</v>
      </c>
      <c r="R320" s="181" t="s">
        <v>466</v>
      </c>
      <c r="S320" s="181" t="s">
        <v>3181</v>
      </c>
      <c r="T320" s="181">
        <v>173327</v>
      </c>
      <c r="U320" s="182">
        <v>46243.72152777778</v>
      </c>
      <c r="V320" s="181" t="s">
        <v>469</v>
      </c>
      <c r="W320" s="181" t="s">
        <v>651</v>
      </c>
      <c r="X320" s="181" t="s">
        <v>652</v>
      </c>
      <c r="Y320" s="181" t="s">
        <v>653</v>
      </c>
      <c r="Z320" s="181" t="s">
        <v>524</v>
      </c>
      <c r="AA320" s="181" t="s">
        <v>474</v>
      </c>
      <c r="AB320" s="181" t="s">
        <v>757</v>
      </c>
      <c r="AC320" s="181" t="s">
        <v>526</v>
      </c>
      <c r="AD320" s="181">
        <v>341369963</v>
      </c>
      <c r="AE320" s="181">
        <v>1710920327</v>
      </c>
      <c r="AF320" s="181"/>
      <c r="AG320" s="181">
        <v>3.30202529509543E+16</v>
      </c>
      <c r="AH320" s="181"/>
      <c r="AI320" s="181" t="s">
        <v>149</v>
      </c>
      <c r="AJ320" s="181" t="s">
        <v>481</v>
      </c>
      <c r="AK320" s="181" t="s">
        <v>3182</v>
      </c>
      <c r="AL320" s="181">
        <v>2860.97</v>
      </c>
      <c r="AM320" s="181"/>
      <c r="AN320" s="181"/>
      <c r="AO320" s="181">
        <v>124</v>
      </c>
      <c r="AP320" s="181" t="s">
        <v>485</v>
      </c>
      <c r="AQ320" s="181" t="s">
        <v>3183</v>
      </c>
      <c r="AR320" s="183">
        <v>46244</v>
      </c>
      <c r="AS320" s="181" t="s">
        <v>149</v>
      </c>
      <c r="AT320" s="181" t="s">
        <v>3184</v>
      </c>
      <c r="AU320" s="181"/>
      <c r="AV320" s="181" t="s">
        <v>2910</v>
      </c>
      <c r="AW320" s="181"/>
      <c r="AX320" s="181"/>
      <c r="AY320" s="181"/>
      <c r="AZ320" s="181"/>
      <c r="BA320" s="181"/>
      <c r="BB320" s="181"/>
      <c r="BC320" s="181"/>
      <c r="BD320" s="181" t="s">
        <v>149</v>
      </c>
      <c r="BE320" s="181">
        <v>86</v>
      </c>
      <c r="BF320" s="181"/>
      <c r="BG320" s="181" t="s">
        <v>490</v>
      </c>
      <c r="BH320" s="181" t="s">
        <v>658</v>
      </c>
      <c r="BI320" s="181" t="s">
        <v>3180</v>
      </c>
      <c r="BJ320" s="181"/>
      <c r="BK320" s="181"/>
      <c r="BL320" s="181"/>
      <c r="BM320" s="181"/>
      <c r="BN320" s="181"/>
      <c r="BO320" s="181"/>
      <c r="BP320" s="181"/>
      <c r="BQ320" s="181"/>
      <c r="BR320" s="181"/>
      <c r="BS320" s="181"/>
      <c r="BT320" s="181"/>
      <c r="BU320" s="181"/>
      <c r="BV320" s="181"/>
      <c r="BW320" s="181"/>
      <c r="BX320" s="181"/>
      <c r="BY320" s="181"/>
      <c r="BZ320" s="181"/>
      <c r="CA320" s="190"/>
      <c r="CB320" s="3"/>
      <c r="CC320" s="16"/>
      <c r="CD320" s="16"/>
      <c r="CE320" s="16"/>
      <c r="CF320" s="16"/>
      <c r="CG320" s="16"/>
      <c r="CH320" s="16"/>
      <c r="CI320" s="16" t="s">
        <v>3185</v>
      </c>
    </row>
    <row r="321" spans="1:87">
      <c r="A321" s="16" t="s">
        <v>5</v>
      </c>
      <c r="B321" s="16" t="s">
        <v>992</v>
      </c>
      <c r="C321" s="3">
        <v>46272</v>
      </c>
      <c r="D321" s="26" t="s">
        <v>14</v>
      </c>
      <c r="E321" s="180" t="s">
        <v>3186</v>
      </c>
      <c r="F321" s="181">
        <v>2026188120467</v>
      </c>
      <c r="G321" s="181">
        <v>50</v>
      </c>
      <c r="H321" s="181">
        <v>62</v>
      </c>
      <c r="I321" s="181" t="s">
        <v>3018</v>
      </c>
      <c r="J321" s="181" t="s">
        <v>3186</v>
      </c>
      <c r="K321" s="181" t="s">
        <v>1040</v>
      </c>
      <c r="L321" s="181" t="s">
        <v>17</v>
      </c>
      <c r="M321" s="181">
        <v>32</v>
      </c>
      <c r="N321" s="181" t="s">
        <v>462</v>
      </c>
      <c r="O321" s="181" t="s">
        <v>606</v>
      </c>
      <c r="P321" s="181">
        <v>890492006</v>
      </c>
      <c r="Q321" s="181" t="s">
        <v>465</v>
      </c>
      <c r="R321" s="181" t="s">
        <v>466</v>
      </c>
      <c r="S321" s="181" t="s">
        <v>3187</v>
      </c>
      <c r="T321" s="181">
        <v>173326</v>
      </c>
      <c r="U321" s="182">
        <v>46240.65625</v>
      </c>
      <c r="V321" s="181" t="s">
        <v>469</v>
      </c>
      <c r="W321" s="181" t="s">
        <v>651</v>
      </c>
      <c r="X321" s="181" t="s">
        <v>652</v>
      </c>
      <c r="Y321" s="181" t="s">
        <v>653</v>
      </c>
      <c r="Z321" s="181" t="s">
        <v>473</v>
      </c>
      <c r="AA321" s="181" t="s">
        <v>474</v>
      </c>
      <c r="AB321" s="181" t="s">
        <v>684</v>
      </c>
      <c r="AC321" s="181" t="s">
        <v>476</v>
      </c>
      <c r="AD321" s="181">
        <v>391824445</v>
      </c>
      <c r="AE321" s="181">
        <v>1598784555</v>
      </c>
      <c r="AF321" s="181">
        <v>1235476755</v>
      </c>
      <c r="AG321" s="181">
        <v>4.5820252090733904E+16</v>
      </c>
      <c r="AH321" s="181"/>
      <c r="AI321" s="181" t="s">
        <v>173</v>
      </c>
      <c r="AJ321" s="181" t="s">
        <v>481</v>
      </c>
      <c r="AK321" s="181" t="s">
        <v>3188</v>
      </c>
      <c r="AL321" s="181">
        <v>21658</v>
      </c>
      <c r="AM321" s="181"/>
      <c r="AN321" s="181"/>
      <c r="AO321" s="181">
        <v>890</v>
      </c>
      <c r="AP321" s="181" t="s">
        <v>485</v>
      </c>
      <c r="AQ321" s="181" t="s">
        <v>3189</v>
      </c>
      <c r="AR321" s="183">
        <v>46240</v>
      </c>
      <c r="AS321" s="181" t="s">
        <v>173</v>
      </c>
      <c r="AT321" s="181" t="s">
        <v>1047</v>
      </c>
      <c r="AU321" s="181"/>
      <c r="AV321" s="181" t="s">
        <v>2132</v>
      </c>
      <c r="AW321" s="181"/>
      <c r="AX321" s="181"/>
      <c r="AY321" s="181"/>
      <c r="AZ321" s="181"/>
      <c r="BA321" s="181"/>
      <c r="BB321" s="181"/>
      <c r="BC321" s="181"/>
      <c r="BD321" s="181" t="s">
        <v>173</v>
      </c>
      <c r="BE321" s="181">
        <v>62</v>
      </c>
      <c r="BF321" s="181"/>
      <c r="BG321" s="181"/>
      <c r="BH321" s="181" t="s">
        <v>658</v>
      </c>
      <c r="BI321" s="181">
        <v>890492006</v>
      </c>
      <c r="BJ321" s="181"/>
      <c r="BK321" s="181"/>
      <c r="BL321" s="181"/>
      <c r="BM321" s="181"/>
      <c r="BN321" s="181"/>
      <c r="BO321" s="181"/>
      <c r="BP321" s="181"/>
      <c r="BQ321" s="181"/>
      <c r="BR321" s="181"/>
      <c r="BS321" s="181"/>
      <c r="BT321" s="181"/>
      <c r="BU321" s="181"/>
      <c r="BV321" s="181"/>
      <c r="BW321" s="181"/>
      <c r="BX321" s="181"/>
      <c r="BY321" s="181"/>
      <c r="BZ321" s="181"/>
      <c r="CA321" s="190">
        <v>46285.666666666701</v>
      </c>
      <c r="CB321" s="3"/>
      <c r="CC321" s="16"/>
      <c r="CD321" s="16"/>
      <c r="CE321" s="16"/>
      <c r="CF321" s="16"/>
      <c r="CG321" s="16"/>
      <c r="CH321" s="16"/>
      <c r="CI321" s="16" t="s">
        <v>3190</v>
      </c>
    </row>
    <row r="322" spans="1:87">
      <c r="A322" s="16" t="s">
        <v>5</v>
      </c>
      <c r="B322" s="16" t="s">
        <v>992</v>
      </c>
      <c r="C322" s="3">
        <v>46272</v>
      </c>
      <c r="D322" s="26" t="s">
        <v>14</v>
      </c>
      <c r="E322" s="180" t="s">
        <v>3191</v>
      </c>
      <c r="F322" s="181">
        <v>2026189050369</v>
      </c>
      <c r="G322" s="181">
        <v>50</v>
      </c>
      <c r="H322" s="181">
        <v>61</v>
      </c>
      <c r="I322" s="181" t="s">
        <v>3018</v>
      </c>
      <c r="J322" s="181" t="s">
        <v>3191</v>
      </c>
      <c r="K322" s="181" t="s">
        <v>1040</v>
      </c>
      <c r="L322" s="181" t="s">
        <v>17</v>
      </c>
      <c r="M322" s="181">
        <v>27</v>
      </c>
      <c r="N322" s="181" t="s">
        <v>462</v>
      </c>
      <c r="O322" s="181" t="s">
        <v>606</v>
      </c>
      <c r="P322" s="181">
        <v>806418080</v>
      </c>
      <c r="Q322" s="181" t="s">
        <v>465</v>
      </c>
      <c r="R322" s="181" t="s">
        <v>466</v>
      </c>
      <c r="S322" s="181" t="s">
        <v>3192</v>
      </c>
      <c r="T322" s="181">
        <v>173326</v>
      </c>
      <c r="U322" s="182">
        <v>46245.049305555556</v>
      </c>
      <c r="V322" s="181" t="s">
        <v>469</v>
      </c>
      <c r="W322" s="181" t="s">
        <v>651</v>
      </c>
      <c r="X322" s="181" t="s">
        <v>652</v>
      </c>
      <c r="Y322" s="181" t="s">
        <v>653</v>
      </c>
      <c r="Z322" s="181" t="s">
        <v>473</v>
      </c>
      <c r="AA322" s="181" t="s">
        <v>474</v>
      </c>
      <c r="AB322" s="181" t="s">
        <v>684</v>
      </c>
      <c r="AC322" s="181" t="s">
        <v>476</v>
      </c>
      <c r="AD322" s="181">
        <v>391824445</v>
      </c>
      <c r="AE322" s="181">
        <v>1598784555</v>
      </c>
      <c r="AF322" s="181">
        <v>1871091207</v>
      </c>
      <c r="AG322" s="181">
        <v>4.58202526511356E+16</v>
      </c>
      <c r="AH322" s="181"/>
      <c r="AI322" s="181" t="s">
        <v>173</v>
      </c>
      <c r="AJ322" s="181" t="s">
        <v>481</v>
      </c>
      <c r="AK322" s="181" t="s">
        <v>3193</v>
      </c>
      <c r="AL322" s="181">
        <v>14072</v>
      </c>
      <c r="AM322" s="181"/>
      <c r="AN322" s="181"/>
      <c r="AO322" s="181">
        <v>806</v>
      </c>
      <c r="AP322" s="181" t="s">
        <v>485</v>
      </c>
      <c r="AQ322" s="181" t="s">
        <v>3194</v>
      </c>
      <c r="AR322" s="183">
        <v>46245</v>
      </c>
      <c r="AS322" s="181" t="s">
        <v>173</v>
      </c>
      <c r="AT322" s="181" t="s">
        <v>1047</v>
      </c>
      <c r="AU322" s="181"/>
      <c r="AV322" s="181" t="s">
        <v>3195</v>
      </c>
      <c r="AW322" s="181"/>
      <c r="AX322" s="181"/>
      <c r="AY322" s="181"/>
      <c r="AZ322" s="181"/>
      <c r="BA322" s="181"/>
      <c r="BB322" s="181"/>
      <c r="BC322" s="181"/>
      <c r="BD322" s="181" t="s">
        <v>173</v>
      </c>
      <c r="BE322" s="181">
        <v>61</v>
      </c>
      <c r="BF322" s="181"/>
      <c r="BG322" s="181"/>
      <c r="BH322" s="181" t="s">
        <v>658</v>
      </c>
      <c r="BI322" s="181">
        <v>806418080</v>
      </c>
      <c r="BJ322" s="181"/>
      <c r="BK322" s="181"/>
      <c r="BL322" s="181"/>
      <c r="BM322" s="181"/>
      <c r="BN322" s="181"/>
      <c r="BO322" s="181"/>
      <c r="BP322" s="181"/>
      <c r="BQ322" s="181"/>
      <c r="BR322" s="181"/>
      <c r="BS322" s="181"/>
      <c r="BT322" s="181"/>
      <c r="BU322" s="181"/>
      <c r="BV322" s="181"/>
      <c r="BW322" s="181"/>
      <c r="BX322" s="181"/>
      <c r="BY322" s="181"/>
      <c r="BZ322" s="181"/>
      <c r="CA322" s="190">
        <v>46285.666666666701</v>
      </c>
      <c r="CB322" s="3"/>
      <c r="CC322" s="16"/>
      <c r="CD322" s="16"/>
      <c r="CE322" s="16"/>
      <c r="CF322" s="16"/>
      <c r="CG322" s="16"/>
      <c r="CH322" s="16"/>
      <c r="CI322" s="16" t="s">
        <v>3196</v>
      </c>
    </row>
    <row r="323" spans="1:87">
      <c r="A323" s="16"/>
      <c r="B323" s="16"/>
      <c r="C323" s="3">
        <v>46272</v>
      </c>
      <c r="D323" s="26" t="s">
        <v>14</v>
      </c>
      <c r="E323" s="180" t="s">
        <v>3197</v>
      </c>
      <c r="F323" s="181"/>
      <c r="G323" s="181">
        <v>50</v>
      </c>
      <c r="H323" s="181">
        <v>61</v>
      </c>
      <c r="I323" s="181" t="s">
        <v>3018</v>
      </c>
      <c r="J323" s="181" t="s">
        <v>3197</v>
      </c>
      <c r="K323" s="181" t="s">
        <v>1083</v>
      </c>
      <c r="L323" s="181" t="s">
        <v>17</v>
      </c>
      <c r="M323" s="181">
        <v>33</v>
      </c>
      <c r="N323" s="181" t="s">
        <v>462</v>
      </c>
      <c r="O323" s="181" t="s">
        <v>606</v>
      </c>
      <c r="P323" s="181">
        <v>823045679</v>
      </c>
      <c r="Q323" s="181" t="s">
        <v>465</v>
      </c>
      <c r="R323" s="181" t="s">
        <v>1056</v>
      </c>
      <c r="S323" s="181" t="s">
        <v>3198</v>
      </c>
      <c r="T323" s="181">
        <v>173326</v>
      </c>
      <c r="U323" s="182">
        <v>46238.929861111108</v>
      </c>
      <c r="V323" s="181" t="s">
        <v>469</v>
      </c>
      <c r="W323" s="181" t="s">
        <v>651</v>
      </c>
      <c r="X323" s="181" t="s">
        <v>652</v>
      </c>
      <c r="Y323" s="181" t="s">
        <v>653</v>
      </c>
      <c r="Z323" s="181" t="s">
        <v>473</v>
      </c>
      <c r="AA323" s="181" t="s">
        <v>1354</v>
      </c>
      <c r="AB323" s="181" t="s">
        <v>2129</v>
      </c>
      <c r="AC323" s="181" t="s">
        <v>476</v>
      </c>
      <c r="AD323" s="181">
        <v>391835630</v>
      </c>
      <c r="AE323" s="181">
        <v>1922043744</v>
      </c>
      <c r="AF323" s="181"/>
      <c r="AG323" s="181">
        <v>4.58202505706652E+16</v>
      </c>
      <c r="AH323" s="181"/>
      <c r="AI323" s="181" t="s">
        <v>48</v>
      </c>
      <c r="AJ323" s="181" t="s">
        <v>481</v>
      </c>
      <c r="AK323" s="181" t="s">
        <v>3199</v>
      </c>
      <c r="AL323" s="181">
        <v>15796.59</v>
      </c>
      <c r="AM323" s="181"/>
      <c r="AN323" s="181"/>
      <c r="AO323" s="181">
        <v>823</v>
      </c>
      <c r="AP323" s="181" t="s">
        <v>1063</v>
      </c>
      <c r="AQ323" s="181" t="s">
        <v>3200</v>
      </c>
      <c r="AR323" s="183">
        <v>46239</v>
      </c>
      <c r="AS323" s="181" t="s">
        <v>48</v>
      </c>
      <c r="AT323" s="181" t="s">
        <v>3201</v>
      </c>
      <c r="AU323" s="181"/>
      <c r="AV323" s="181" t="s">
        <v>3202</v>
      </c>
      <c r="AW323" s="181"/>
      <c r="AX323" s="181"/>
      <c r="AY323" s="181"/>
      <c r="AZ323" s="181"/>
      <c r="BA323" s="181"/>
      <c r="BB323" s="181"/>
      <c r="BC323" s="181"/>
      <c r="BD323" s="181" t="s">
        <v>48</v>
      </c>
      <c r="BE323" s="181">
        <v>61</v>
      </c>
      <c r="BF323" s="181"/>
      <c r="BG323" s="181" t="s">
        <v>490</v>
      </c>
      <c r="BH323" s="181" t="s">
        <v>658</v>
      </c>
      <c r="BI323" s="181">
        <v>823045679</v>
      </c>
      <c r="BJ323" s="181"/>
      <c r="BK323" s="181"/>
      <c r="BL323" s="181"/>
      <c r="BM323" s="181"/>
      <c r="BN323" s="181"/>
      <c r="BO323" s="181"/>
      <c r="BP323" s="181"/>
      <c r="BQ323" s="181"/>
      <c r="BR323" s="181"/>
      <c r="BS323" s="181"/>
      <c r="BT323" s="181"/>
      <c r="BU323" s="181"/>
      <c r="BV323" s="181"/>
      <c r="BW323" s="181"/>
      <c r="BX323" s="181"/>
      <c r="BY323" s="181"/>
      <c r="BZ323" s="181"/>
      <c r="CA323" s="190"/>
      <c r="CB323" s="3"/>
      <c r="CC323" s="16"/>
      <c r="CD323" s="16"/>
      <c r="CE323" s="16"/>
      <c r="CF323" s="16"/>
      <c r="CG323" s="16"/>
      <c r="CH323" s="16"/>
      <c r="CI323" s="16" t="s">
        <v>3203</v>
      </c>
    </row>
    <row r="324" spans="1:87">
      <c r="A324" s="16"/>
      <c r="B324" s="16"/>
      <c r="C324" s="3">
        <v>46272</v>
      </c>
      <c r="D324" s="26" t="s">
        <v>14</v>
      </c>
      <c r="E324" s="180" t="s">
        <v>3204</v>
      </c>
      <c r="F324" s="181">
        <v>2026167870642</v>
      </c>
      <c r="G324" s="181">
        <v>50</v>
      </c>
      <c r="H324" s="181">
        <v>83</v>
      </c>
      <c r="I324" s="181" t="s">
        <v>3018</v>
      </c>
      <c r="J324" s="181" t="s">
        <v>3204</v>
      </c>
      <c r="K324" s="181" t="s">
        <v>674</v>
      </c>
      <c r="L324" s="181" t="s">
        <v>16</v>
      </c>
      <c r="M324" s="181">
        <v>24</v>
      </c>
      <c r="N324" s="181" t="s">
        <v>462</v>
      </c>
      <c r="O324" s="181" t="s">
        <v>606</v>
      </c>
      <c r="P324" s="181">
        <v>802230421</v>
      </c>
      <c r="Q324" s="181" t="s">
        <v>465</v>
      </c>
      <c r="R324" s="181" t="s">
        <v>466</v>
      </c>
      <c r="S324" s="181" t="s">
        <v>3205</v>
      </c>
      <c r="T324" s="181">
        <v>173326</v>
      </c>
      <c r="U324" s="182">
        <v>46247.850694444445</v>
      </c>
      <c r="V324" s="181" t="s">
        <v>469</v>
      </c>
      <c r="W324" s="181" t="s">
        <v>651</v>
      </c>
      <c r="X324" s="181" t="s">
        <v>652</v>
      </c>
      <c r="Y324" s="181" t="s">
        <v>653</v>
      </c>
      <c r="Z324" s="181" t="s">
        <v>473</v>
      </c>
      <c r="AA324" s="181" t="s">
        <v>474</v>
      </c>
      <c r="AB324" s="181" t="s">
        <v>684</v>
      </c>
      <c r="AC324" s="181" t="s">
        <v>476</v>
      </c>
      <c r="AD324" s="181">
        <v>390806261</v>
      </c>
      <c r="AE324" s="181">
        <v>1699720086</v>
      </c>
      <c r="AF324" s="181">
        <v>1073403465</v>
      </c>
      <c r="AG324" s="181">
        <v>4.58202532408336E+16</v>
      </c>
      <c r="AH324" s="181"/>
      <c r="AI324" s="181" t="s">
        <v>54</v>
      </c>
      <c r="AJ324" s="181" t="s">
        <v>481</v>
      </c>
      <c r="AK324" s="181" t="s">
        <v>3206</v>
      </c>
      <c r="AL324" s="181">
        <v>60328</v>
      </c>
      <c r="AM324" s="181"/>
      <c r="AN324" s="181"/>
      <c r="AO324" s="181">
        <v>802</v>
      </c>
      <c r="AP324" s="181" t="s">
        <v>485</v>
      </c>
      <c r="AQ324" s="181" t="s">
        <v>3207</v>
      </c>
      <c r="AR324" s="183">
        <v>46248</v>
      </c>
      <c r="AS324" s="181" t="s">
        <v>54</v>
      </c>
      <c r="AT324" s="181" t="s">
        <v>678</v>
      </c>
      <c r="AU324" s="181"/>
      <c r="AV324" s="181" t="s">
        <v>3208</v>
      </c>
      <c r="AW324" s="181"/>
      <c r="AX324" s="181"/>
      <c r="AY324" s="181"/>
      <c r="AZ324" s="181"/>
      <c r="BA324" s="181"/>
      <c r="BB324" s="181"/>
      <c r="BC324" s="181"/>
      <c r="BD324" s="181" t="s">
        <v>54</v>
      </c>
      <c r="BE324" s="181">
        <v>83</v>
      </c>
      <c r="BF324" s="181"/>
      <c r="BG324" s="181" t="s">
        <v>490</v>
      </c>
      <c r="BH324" s="181" t="s">
        <v>658</v>
      </c>
      <c r="BI324" s="181">
        <v>802230421</v>
      </c>
      <c r="BJ324" s="181"/>
      <c r="BK324" s="181"/>
      <c r="BL324" s="181"/>
      <c r="BM324" s="181"/>
      <c r="BN324" s="181"/>
      <c r="BO324" s="181"/>
      <c r="BP324" s="181"/>
      <c r="BQ324" s="181"/>
      <c r="BR324" s="181"/>
      <c r="BS324" s="181"/>
      <c r="BT324" s="181"/>
      <c r="BU324" s="181"/>
      <c r="BV324" s="181"/>
      <c r="BW324" s="181"/>
      <c r="BX324" s="181"/>
      <c r="BY324" s="181"/>
      <c r="BZ324" s="181"/>
      <c r="CA324" s="190"/>
      <c r="CB324" s="3"/>
      <c r="CC324" s="16"/>
      <c r="CD324" s="16"/>
      <c r="CE324" s="16"/>
      <c r="CF324" s="16"/>
      <c r="CG324" s="16"/>
      <c r="CH324" s="16"/>
      <c r="CI324" s="16" t="s">
        <v>3209</v>
      </c>
    </row>
    <row r="325" spans="1:87">
      <c r="A325" s="16"/>
      <c r="B325" s="16"/>
      <c r="C325" s="3">
        <v>46272</v>
      </c>
      <c r="D325" s="26" t="s">
        <v>14</v>
      </c>
      <c r="E325" s="180" t="s">
        <v>3210</v>
      </c>
      <c r="F325" s="181">
        <v>2026168610254</v>
      </c>
      <c r="G325" s="181">
        <v>50</v>
      </c>
      <c r="H325" s="181">
        <v>82</v>
      </c>
      <c r="I325" s="181" t="s">
        <v>3018</v>
      </c>
      <c r="J325" s="181" t="s">
        <v>3210</v>
      </c>
      <c r="K325" s="181" t="s">
        <v>983</v>
      </c>
      <c r="L325" s="181" t="s">
        <v>17</v>
      </c>
      <c r="M325" s="181">
        <v>54</v>
      </c>
      <c r="N325" s="181" t="s">
        <v>462</v>
      </c>
      <c r="O325" s="181" t="s">
        <v>606</v>
      </c>
      <c r="P325" s="181">
        <v>100011158</v>
      </c>
      <c r="Q325" s="181" t="s">
        <v>465</v>
      </c>
      <c r="R325" s="181" t="s">
        <v>466</v>
      </c>
      <c r="S325" s="181" t="s">
        <v>3211</v>
      </c>
      <c r="T325" s="181">
        <v>173326</v>
      </c>
      <c r="U325" s="182">
        <v>46217.913194444445</v>
      </c>
      <c r="V325" s="181" t="s">
        <v>469</v>
      </c>
      <c r="W325" s="181" t="s">
        <v>651</v>
      </c>
      <c r="X325" s="181" t="s">
        <v>652</v>
      </c>
      <c r="Y325" s="181" t="s">
        <v>653</v>
      </c>
      <c r="Z325" s="181" t="s">
        <v>473</v>
      </c>
      <c r="AA325" s="181" t="s">
        <v>474</v>
      </c>
      <c r="AB325" s="181" t="s">
        <v>684</v>
      </c>
      <c r="AC325" s="181" t="s">
        <v>476</v>
      </c>
      <c r="AD325" s="181">
        <v>390806395</v>
      </c>
      <c r="AE325" s="181">
        <v>1700998697</v>
      </c>
      <c r="AF325" s="181"/>
      <c r="AG325" s="181">
        <v>4.58202525813256E+16</v>
      </c>
      <c r="AH325" s="181"/>
      <c r="AI325" s="181" t="s">
        <v>34</v>
      </c>
      <c r="AJ325" s="181" t="s">
        <v>481</v>
      </c>
      <c r="AK325" s="181" t="s">
        <v>3212</v>
      </c>
      <c r="AL325" s="181">
        <v>66430.2</v>
      </c>
      <c r="AM325" s="181"/>
      <c r="AN325" s="181"/>
      <c r="AO325" s="181">
        <v>100</v>
      </c>
      <c r="AP325" s="181" t="s">
        <v>485</v>
      </c>
      <c r="AQ325" s="181" t="s">
        <v>3213</v>
      </c>
      <c r="AR325" s="183">
        <v>46218</v>
      </c>
      <c r="AS325" s="181" t="s">
        <v>34</v>
      </c>
      <c r="AT325" s="181" t="s">
        <v>3214</v>
      </c>
      <c r="AU325" s="181"/>
      <c r="AV325" s="181" t="s">
        <v>3215</v>
      </c>
      <c r="AW325" s="181"/>
      <c r="AX325" s="181"/>
      <c r="AY325" s="181"/>
      <c r="AZ325" s="181"/>
      <c r="BA325" s="181"/>
      <c r="BB325" s="181"/>
      <c r="BC325" s="181"/>
      <c r="BD325" s="181" t="s">
        <v>34</v>
      </c>
      <c r="BE325" s="181">
        <v>82</v>
      </c>
      <c r="BF325" s="181"/>
      <c r="BG325" s="181"/>
      <c r="BH325" s="181" t="s">
        <v>658</v>
      </c>
      <c r="BI325" s="181">
        <v>100011158</v>
      </c>
      <c r="BJ325" s="181"/>
      <c r="BK325" s="181"/>
      <c r="BL325" s="181"/>
      <c r="BM325" s="181"/>
      <c r="BN325" s="181"/>
      <c r="BO325" s="181"/>
      <c r="BP325" s="181"/>
      <c r="BQ325" s="181"/>
      <c r="BR325" s="181"/>
      <c r="BS325" s="181"/>
      <c r="BT325" s="181"/>
      <c r="BU325" s="181"/>
      <c r="BV325" s="181"/>
      <c r="BW325" s="181"/>
      <c r="BX325" s="181"/>
      <c r="BY325" s="181"/>
      <c r="BZ325" s="181"/>
      <c r="CA325" s="190"/>
      <c r="CB325" s="3"/>
      <c r="CC325" s="16"/>
      <c r="CD325" s="16"/>
      <c r="CE325" s="16"/>
      <c r="CF325" s="16"/>
      <c r="CG325" s="16"/>
      <c r="CH325" s="16"/>
      <c r="CI325" s="16" t="s">
        <v>3216</v>
      </c>
    </row>
    <row r="326" spans="1:87">
      <c r="A326" s="16"/>
      <c r="B326" s="16"/>
      <c r="C326" s="3">
        <v>46272</v>
      </c>
      <c r="D326" s="26" t="s">
        <v>14</v>
      </c>
      <c r="E326" s="180" t="s">
        <v>3217</v>
      </c>
      <c r="F326" s="181">
        <v>2026161120696</v>
      </c>
      <c r="G326" s="181">
        <v>50</v>
      </c>
      <c r="H326" s="181">
        <v>89</v>
      </c>
      <c r="I326" s="181" t="s">
        <v>3018</v>
      </c>
      <c r="J326" s="181" t="s">
        <v>3217</v>
      </c>
      <c r="K326" s="181" t="s">
        <v>983</v>
      </c>
      <c r="L326" s="181" t="s">
        <v>17</v>
      </c>
      <c r="M326" s="181">
        <v>59</v>
      </c>
      <c r="N326" s="181" t="s">
        <v>462</v>
      </c>
      <c r="O326" s="181" t="s">
        <v>606</v>
      </c>
      <c r="P326" s="181">
        <v>834997720</v>
      </c>
      <c r="Q326" s="181" t="s">
        <v>465</v>
      </c>
      <c r="R326" s="181" t="s">
        <v>466</v>
      </c>
      <c r="S326" s="181" t="s">
        <v>3218</v>
      </c>
      <c r="T326" s="181">
        <v>173325</v>
      </c>
      <c r="U326" s="182">
        <v>46212.740972222222</v>
      </c>
      <c r="V326" s="181" t="s">
        <v>469</v>
      </c>
      <c r="W326" s="181" t="s">
        <v>651</v>
      </c>
      <c r="X326" s="181" t="s">
        <v>652</v>
      </c>
      <c r="Y326" s="181" t="s">
        <v>653</v>
      </c>
      <c r="Z326" s="181" t="s">
        <v>731</v>
      </c>
      <c r="AA326" s="181" t="s">
        <v>474</v>
      </c>
      <c r="AB326" s="181" t="s">
        <v>883</v>
      </c>
      <c r="AC326" s="181" t="s">
        <v>733</v>
      </c>
      <c r="AD326" s="181">
        <v>430652656</v>
      </c>
      <c r="AE326" s="181">
        <v>1487663506</v>
      </c>
      <c r="AF326" s="181"/>
      <c r="AG326" s="181">
        <v>7.4820261410244608E+16</v>
      </c>
      <c r="AH326" s="181"/>
      <c r="AI326" s="181" t="s">
        <v>34</v>
      </c>
      <c r="AJ326" s="181" t="s">
        <v>481</v>
      </c>
      <c r="AK326" s="181" t="s">
        <v>3219</v>
      </c>
      <c r="AL326" s="181">
        <v>47801.85</v>
      </c>
      <c r="AM326" s="181"/>
      <c r="AN326" s="181"/>
      <c r="AO326" s="181">
        <v>834</v>
      </c>
      <c r="AP326" s="181" t="s">
        <v>485</v>
      </c>
      <c r="AQ326" s="181" t="s">
        <v>3220</v>
      </c>
      <c r="AR326" s="183">
        <v>46213</v>
      </c>
      <c r="AS326" s="181" t="s">
        <v>34</v>
      </c>
      <c r="AT326" s="181" t="s">
        <v>3221</v>
      </c>
      <c r="AU326" s="181"/>
      <c r="AV326" s="181" t="s">
        <v>3222</v>
      </c>
      <c r="AW326" s="181"/>
      <c r="AX326" s="181"/>
      <c r="AY326" s="181"/>
      <c r="AZ326" s="181"/>
      <c r="BA326" s="181"/>
      <c r="BB326" s="181"/>
      <c r="BC326" s="181"/>
      <c r="BD326" s="181" t="s">
        <v>34</v>
      </c>
      <c r="BE326" s="181">
        <v>89</v>
      </c>
      <c r="BF326" s="181"/>
      <c r="BG326" s="181"/>
      <c r="BH326" s="181" t="s">
        <v>658</v>
      </c>
      <c r="BI326" s="181">
        <v>834997720</v>
      </c>
      <c r="BJ326" s="181"/>
      <c r="BK326" s="181"/>
      <c r="BL326" s="181"/>
      <c r="BM326" s="181"/>
      <c r="BN326" s="181"/>
      <c r="BO326" s="181"/>
      <c r="BP326" s="181"/>
      <c r="BQ326" s="181"/>
      <c r="BR326" s="181"/>
      <c r="BS326" s="181"/>
      <c r="BT326" s="181"/>
      <c r="BU326" s="181"/>
      <c r="BV326" s="181"/>
      <c r="BW326" s="181"/>
      <c r="BX326" s="181"/>
      <c r="BY326" s="181"/>
      <c r="BZ326" s="181"/>
      <c r="CA326" s="190"/>
      <c r="CB326" s="3"/>
      <c r="CC326" s="16"/>
      <c r="CD326" s="16"/>
      <c r="CE326" s="16"/>
      <c r="CF326" s="16"/>
      <c r="CG326" s="16"/>
      <c r="CH326" s="16"/>
      <c r="CI326" s="16" t="s">
        <v>3223</v>
      </c>
    </row>
    <row r="327" spans="1:87">
      <c r="A327" s="16"/>
      <c r="B327" s="16"/>
      <c r="C327" s="3">
        <v>46272</v>
      </c>
      <c r="D327" s="26" t="s">
        <v>14</v>
      </c>
      <c r="E327" s="180" t="s">
        <v>127</v>
      </c>
      <c r="F327" s="181">
        <v>2026161430274</v>
      </c>
      <c r="G327" s="181">
        <v>50</v>
      </c>
      <c r="H327" s="181">
        <v>89</v>
      </c>
      <c r="I327" s="181" t="s">
        <v>3018</v>
      </c>
      <c r="J327" s="181" t="s">
        <v>127</v>
      </c>
      <c r="K327" s="181" t="s">
        <v>895</v>
      </c>
      <c r="L327" s="181" t="s">
        <v>18</v>
      </c>
      <c r="M327" s="181">
        <v>24</v>
      </c>
      <c r="N327" s="181" t="s">
        <v>462</v>
      </c>
      <c r="O327" s="181" t="s">
        <v>606</v>
      </c>
      <c r="P327" s="181" t="s">
        <v>3224</v>
      </c>
      <c r="Q327" s="181" t="s">
        <v>564</v>
      </c>
      <c r="R327" s="181" t="s">
        <v>466</v>
      </c>
      <c r="S327" s="181" t="s">
        <v>3225</v>
      </c>
      <c r="T327" s="181">
        <v>170208</v>
      </c>
      <c r="U327" s="182">
        <v>46247.874305555553</v>
      </c>
      <c r="V327" s="181" t="s">
        <v>469</v>
      </c>
      <c r="W327" s="181" t="s">
        <v>568</v>
      </c>
      <c r="X327" s="181" t="s">
        <v>471</v>
      </c>
      <c r="Y327" s="181" t="s">
        <v>1724</v>
      </c>
      <c r="Z327" s="181" t="s">
        <v>570</v>
      </c>
      <c r="AA327" s="181" t="s">
        <v>474</v>
      </c>
      <c r="AB327" s="181" t="s">
        <v>3226</v>
      </c>
      <c r="AC327" s="181" t="s">
        <v>572</v>
      </c>
      <c r="AD327" s="181">
        <v>770495522</v>
      </c>
      <c r="AE327" s="181">
        <v>1881662856</v>
      </c>
      <c r="AF327" s="181"/>
      <c r="AG327" s="181"/>
      <c r="AH327" s="181"/>
      <c r="AI327" s="181" t="s">
        <v>20</v>
      </c>
      <c r="AJ327" s="181" t="s">
        <v>481</v>
      </c>
      <c r="AK327" s="181" t="s">
        <v>3227</v>
      </c>
      <c r="AL327" s="181">
        <v>57894.98</v>
      </c>
      <c r="AM327" s="181"/>
      <c r="AN327" s="181"/>
      <c r="AO327" s="181">
        <v>409</v>
      </c>
      <c r="AP327" s="181" t="s">
        <v>485</v>
      </c>
      <c r="AQ327" s="181" t="s">
        <v>3228</v>
      </c>
      <c r="AR327" s="183">
        <v>46248</v>
      </c>
      <c r="AS327" s="181" t="s">
        <v>20</v>
      </c>
      <c r="AT327" s="181" t="s">
        <v>899</v>
      </c>
      <c r="AU327" s="181"/>
      <c r="AV327" s="181" t="s">
        <v>2594</v>
      </c>
      <c r="AW327" s="181"/>
      <c r="AX327" s="181"/>
      <c r="AY327" s="181"/>
      <c r="AZ327" s="181"/>
      <c r="BA327" s="181"/>
      <c r="BB327" s="181"/>
      <c r="BC327" s="181"/>
      <c r="BD327" s="181" t="s">
        <v>20</v>
      </c>
      <c r="BE327" s="181">
        <v>89</v>
      </c>
      <c r="BF327" s="181"/>
      <c r="BG327" s="181" t="s">
        <v>490</v>
      </c>
      <c r="BH327" s="181" t="s">
        <v>491</v>
      </c>
      <c r="BI327" s="181">
        <v>413594259</v>
      </c>
      <c r="BJ327" s="181"/>
      <c r="BK327" s="181"/>
      <c r="BL327" s="181"/>
      <c r="BM327" s="181"/>
      <c r="BN327" s="181"/>
      <c r="BO327" s="181"/>
      <c r="BP327" s="181"/>
      <c r="BQ327" s="181"/>
      <c r="BR327" s="181"/>
      <c r="BS327" s="181"/>
      <c r="BT327" s="181"/>
      <c r="BU327" s="181"/>
      <c r="BV327" s="181"/>
      <c r="BW327" s="181"/>
      <c r="BX327" s="181"/>
      <c r="BY327" s="181"/>
      <c r="BZ327" s="181"/>
      <c r="CA327" s="190"/>
      <c r="CB327" s="3"/>
      <c r="CC327" s="16"/>
      <c r="CD327" s="16"/>
      <c r="CE327" s="16"/>
      <c r="CF327" s="16"/>
      <c r="CG327" s="16"/>
      <c r="CH327" s="16"/>
      <c r="CI327" s="16" t="s">
        <v>3229</v>
      </c>
    </row>
    <row r="328" spans="1:87">
      <c r="A328" s="16"/>
      <c r="B328" s="16"/>
      <c r="C328" s="3">
        <v>46272</v>
      </c>
      <c r="D328" s="26" t="s">
        <v>14</v>
      </c>
      <c r="E328" s="180" t="s">
        <v>3230</v>
      </c>
      <c r="F328" s="181">
        <v>2026188440291</v>
      </c>
      <c r="G328" s="181">
        <v>50</v>
      </c>
      <c r="H328" s="181">
        <v>62</v>
      </c>
      <c r="I328" s="181" t="s">
        <v>3018</v>
      </c>
      <c r="J328" s="181" t="s">
        <v>3230</v>
      </c>
      <c r="K328" s="181" t="s">
        <v>674</v>
      </c>
      <c r="L328" s="181" t="s">
        <v>16</v>
      </c>
      <c r="M328" s="181">
        <v>34</v>
      </c>
      <c r="N328" s="181" t="s">
        <v>462</v>
      </c>
      <c r="O328" s="181" t="s">
        <v>606</v>
      </c>
      <c r="P328" s="181">
        <v>193447460</v>
      </c>
      <c r="Q328" s="181" t="s">
        <v>465</v>
      </c>
      <c r="R328" s="181" t="s">
        <v>466</v>
      </c>
      <c r="S328" s="181" t="s">
        <v>3231</v>
      </c>
      <c r="T328" s="181" t="s">
        <v>664</v>
      </c>
      <c r="U328" s="182">
        <v>46237.86041666667</v>
      </c>
      <c r="V328" s="181" t="s">
        <v>469</v>
      </c>
      <c r="W328" s="181" t="s">
        <v>651</v>
      </c>
      <c r="X328" s="181" t="s">
        <v>652</v>
      </c>
      <c r="Y328" s="181" t="s">
        <v>653</v>
      </c>
      <c r="Z328" s="181" t="s">
        <v>665</v>
      </c>
      <c r="AA328" s="181" t="s">
        <v>474</v>
      </c>
      <c r="AB328" s="181" t="s">
        <v>1124</v>
      </c>
      <c r="AC328" s="181" t="s">
        <v>640</v>
      </c>
      <c r="AD328" s="181">
        <v>208451747</v>
      </c>
      <c r="AE328" s="181">
        <v>1699932806</v>
      </c>
      <c r="AF328" s="181">
        <v>1699932806</v>
      </c>
      <c r="AG328" s="181">
        <v>2.54202515523009E+16</v>
      </c>
      <c r="AH328" s="181"/>
      <c r="AI328" s="181" t="s">
        <v>54</v>
      </c>
      <c r="AJ328" s="181" t="s">
        <v>481</v>
      </c>
      <c r="AK328" s="181" t="s">
        <v>3232</v>
      </c>
      <c r="AL328" s="181">
        <v>3000</v>
      </c>
      <c r="AM328" s="181"/>
      <c r="AN328" s="181"/>
      <c r="AO328" s="181">
        <v>193</v>
      </c>
      <c r="AP328" s="181" t="s">
        <v>485</v>
      </c>
      <c r="AQ328" s="181" t="s">
        <v>3233</v>
      </c>
      <c r="AR328" s="183">
        <v>46238</v>
      </c>
      <c r="AS328" s="181" t="s">
        <v>54</v>
      </c>
      <c r="AT328" s="181" t="s">
        <v>678</v>
      </c>
      <c r="AU328" s="181"/>
      <c r="AV328" s="181" t="s">
        <v>3234</v>
      </c>
      <c r="AW328" s="181"/>
      <c r="AX328" s="181"/>
      <c r="AY328" s="181"/>
      <c r="AZ328" s="181"/>
      <c r="BA328" s="181"/>
      <c r="BB328" s="181"/>
      <c r="BC328" s="181"/>
      <c r="BD328" s="181" t="s">
        <v>54</v>
      </c>
      <c r="BE328" s="181">
        <v>62</v>
      </c>
      <c r="BF328" s="181"/>
      <c r="BG328" s="181" t="s">
        <v>490</v>
      </c>
      <c r="BH328" s="181" t="s">
        <v>658</v>
      </c>
      <c r="BI328" s="181">
        <v>193447460</v>
      </c>
      <c r="BJ328" s="181"/>
      <c r="BK328" s="181"/>
      <c r="BL328" s="181"/>
      <c r="BM328" s="181"/>
      <c r="BN328" s="181"/>
      <c r="BO328" s="181"/>
      <c r="BP328" s="181"/>
      <c r="BQ328" s="181"/>
      <c r="BR328" s="181"/>
      <c r="BS328" s="181"/>
      <c r="BT328" s="181"/>
      <c r="BU328" s="181"/>
      <c r="BV328" s="181"/>
      <c r="BW328" s="181"/>
      <c r="BX328" s="181"/>
      <c r="BY328" s="181"/>
      <c r="BZ328" s="181"/>
      <c r="CA328" s="190"/>
      <c r="CB328" s="3"/>
      <c r="CC328" s="16"/>
      <c r="CD328" s="16"/>
      <c r="CE328" s="16"/>
      <c r="CF328" s="16"/>
      <c r="CG328" s="16"/>
      <c r="CH328" s="16"/>
      <c r="CI328" s="16" t="s">
        <v>3235</v>
      </c>
    </row>
    <row r="329" spans="1:87">
      <c r="A329" s="16"/>
      <c r="B329" s="16"/>
      <c r="C329" s="3">
        <v>46272</v>
      </c>
      <c r="D329" s="26" t="s">
        <v>14</v>
      </c>
      <c r="E329" s="180" t="s">
        <v>361</v>
      </c>
      <c r="F329" s="181">
        <v>2026176070501</v>
      </c>
      <c r="G329" s="181">
        <v>50</v>
      </c>
      <c r="H329" s="181">
        <v>74</v>
      </c>
      <c r="I329" s="181" t="s">
        <v>3018</v>
      </c>
      <c r="J329" s="181" t="s">
        <v>361</v>
      </c>
      <c r="K329" s="181" t="s">
        <v>895</v>
      </c>
      <c r="L329" s="181" t="s">
        <v>18</v>
      </c>
      <c r="M329" s="181">
        <v>10</v>
      </c>
      <c r="N329" s="181" t="s">
        <v>462</v>
      </c>
      <c r="O329" s="181" t="s">
        <v>606</v>
      </c>
      <c r="P329" s="181" t="s">
        <v>3236</v>
      </c>
      <c r="Q329" s="181" t="s">
        <v>465</v>
      </c>
      <c r="R329" s="181" t="s">
        <v>466</v>
      </c>
      <c r="S329" s="181" t="s">
        <v>3237</v>
      </c>
      <c r="T329" s="181" t="s">
        <v>3238</v>
      </c>
      <c r="U329" s="182">
        <v>46262.255555555559</v>
      </c>
      <c r="V329" s="181" t="s">
        <v>469</v>
      </c>
      <c r="W329" s="181" t="s">
        <v>470</v>
      </c>
      <c r="X329" s="181" t="s">
        <v>471</v>
      </c>
      <c r="Y329" s="181" t="s">
        <v>523</v>
      </c>
      <c r="Z329" s="181" t="s">
        <v>665</v>
      </c>
      <c r="AA329" s="181" t="s">
        <v>474</v>
      </c>
      <c r="AB329" s="181" t="s">
        <v>3239</v>
      </c>
      <c r="AC329" s="181" t="s">
        <v>640</v>
      </c>
      <c r="AD329" s="181">
        <v>834437296</v>
      </c>
      <c r="AE329" s="181">
        <v>1679174841</v>
      </c>
      <c r="AF329" s="181"/>
      <c r="AG329" s="181"/>
      <c r="AH329" s="181"/>
      <c r="AI329" s="181" t="s">
        <v>20</v>
      </c>
      <c r="AJ329" s="181" t="s">
        <v>481</v>
      </c>
      <c r="AK329" s="181" t="s">
        <v>3240</v>
      </c>
      <c r="AL329" s="181">
        <v>29851.3</v>
      </c>
      <c r="AM329" s="181"/>
      <c r="AN329" s="181"/>
      <c r="AO329" s="181">
        <v>213</v>
      </c>
      <c r="AP329" s="181" t="s">
        <v>485</v>
      </c>
      <c r="AQ329" s="181" t="s">
        <v>3241</v>
      </c>
      <c r="AR329" s="183">
        <v>46262</v>
      </c>
      <c r="AS329" s="181" t="s">
        <v>20</v>
      </c>
      <c r="AT329" s="181" t="s">
        <v>899</v>
      </c>
      <c r="AU329" s="181"/>
      <c r="AV329" s="181" t="s">
        <v>1143</v>
      </c>
      <c r="AW329" s="181"/>
      <c r="AX329" s="181"/>
      <c r="AY329" s="181"/>
      <c r="AZ329" s="181"/>
      <c r="BA329" s="181"/>
      <c r="BB329" s="181"/>
      <c r="BC329" s="181"/>
      <c r="BD329" s="181" t="s">
        <v>20</v>
      </c>
      <c r="BE329" s="181">
        <v>74</v>
      </c>
      <c r="BF329" s="181"/>
      <c r="BG329" s="181"/>
      <c r="BH329" s="181" t="s">
        <v>491</v>
      </c>
      <c r="BI329" s="181">
        <v>119644172</v>
      </c>
      <c r="BJ329" s="181"/>
      <c r="BK329" s="181"/>
      <c r="BL329" s="181"/>
      <c r="BM329" s="181"/>
      <c r="BN329" s="181"/>
      <c r="BO329" s="181"/>
      <c r="BP329" s="181"/>
      <c r="BQ329" s="181"/>
      <c r="BR329" s="181"/>
      <c r="BS329" s="181"/>
      <c r="BT329" s="181"/>
      <c r="BU329" s="181"/>
      <c r="BV329" s="181"/>
      <c r="BW329" s="181"/>
      <c r="BX329" s="181"/>
      <c r="BY329" s="181"/>
      <c r="BZ329" s="181"/>
      <c r="CA329" s="190"/>
      <c r="CB329" s="3"/>
      <c r="CC329" s="16"/>
      <c r="CD329" s="16"/>
      <c r="CE329" s="16"/>
      <c r="CF329" s="16"/>
      <c r="CG329" s="16"/>
      <c r="CH329" s="16"/>
      <c r="CI329" s="16" t="s">
        <v>3242</v>
      </c>
    </row>
    <row r="330" spans="1:87">
      <c r="A330" s="16"/>
      <c r="B330" s="16"/>
      <c r="C330" s="3">
        <v>46272</v>
      </c>
      <c r="D330" s="26" t="s">
        <v>14</v>
      </c>
      <c r="E330" s="180" t="s">
        <v>360</v>
      </c>
      <c r="F330" s="181">
        <v>2026176020503</v>
      </c>
      <c r="G330" s="181">
        <v>50</v>
      </c>
      <c r="H330" s="181">
        <v>74</v>
      </c>
      <c r="I330" s="181" t="s">
        <v>3018</v>
      </c>
      <c r="J330" s="181" t="s">
        <v>360</v>
      </c>
      <c r="K330" s="181" t="s">
        <v>895</v>
      </c>
      <c r="L330" s="181" t="s">
        <v>18</v>
      </c>
      <c r="M330" s="181">
        <v>10</v>
      </c>
      <c r="N330" s="181" t="s">
        <v>462</v>
      </c>
      <c r="O330" s="181" t="s">
        <v>606</v>
      </c>
      <c r="P330" s="181" t="s">
        <v>3243</v>
      </c>
      <c r="Q330" s="181" t="s">
        <v>465</v>
      </c>
      <c r="R330" s="181" t="s">
        <v>466</v>
      </c>
      <c r="S330" s="181" t="s">
        <v>3244</v>
      </c>
      <c r="T330" s="181" t="s">
        <v>3245</v>
      </c>
      <c r="U330" s="182">
        <v>46262.254861111112</v>
      </c>
      <c r="V330" s="181" t="s">
        <v>469</v>
      </c>
      <c r="W330" s="181" t="s">
        <v>568</v>
      </c>
      <c r="X330" s="181" t="s">
        <v>471</v>
      </c>
      <c r="Y330" s="181" t="s">
        <v>628</v>
      </c>
      <c r="Z330" s="181" t="s">
        <v>570</v>
      </c>
      <c r="AA330" s="181" t="s">
        <v>3246</v>
      </c>
      <c r="AB330" s="181" t="s">
        <v>3247</v>
      </c>
      <c r="AC330" s="181" t="s">
        <v>572</v>
      </c>
      <c r="AD330" s="181">
        <v>951684089</v>
      </c>
      <c r="AE330" s="181">
        <v>1700829199</v>
      </c>
      <c r="AF330" s="181"/>
      <c r="AG330" s="181"/>
      <c r="AH330" s="181"/>
      <c r="AI330" s="181" t="s">
        <v>20</v>
      </c>
      <c r="AJ330" s="181" t="s">
        <v>481</v>
      </c>
      <c r="AK330" s="181" t="s">
        <v>3248</v>
      </c>
      <c r="AL330" s="181">
        <v>263300.19</v>
      </c>
      <c r="AM330" s="181"/>
      <c r="AN330" s="181"/>
      <c r="AO330" s="181">
        <v>472</v>
      </c>
      <c r="AP330" s="181" t="s">
        <v>485</v>
      </c>
      <c r="AQ330" s="181" t="s">
        <v>3249</v>
      </c>
      <c r="AR330" s="183">
        <v>46262</v>
      </c>
      <c r="AS330" s="181" t="s">
        <v>20</v>
      </c>
      <c r="AT330" s="181" t="s">
        <v>899</v>
      </c>
      <c r="AU330" s="181"/>
      <c r="AV330" s="181" t="s">
        <v>3250</v>
      </c>
      <c r="AW330" s="181"/>
      <c r="AX330" s="181"/>
      <c r="AY330" s="181"/>
      <c r="AZ330" s="181"/>
      <c r="BA330" s="181"/>
      <c r="BB330" s="181"/>
      <c r="BC330" s="181"/>
      <c r="BD330" s="181" t="s">
        <v>20</v>
      </c>
      <c r="BE330" s="181">
        <v>74</v>
      </c>
      <c r="BF330" s="181"/>
      <c r="BG330" s="181"/>
      <c r="BH330" s="181" t="s">
        <v>491</v>
      </c>
      <c r="BI330" s="181">
        <v>489948588</v>
      </c>
      <c r="BJ330" s="181"/>
      <c r="BK330" s="181"/>
      <c r="BL330" s="181"/>
      <c r="BM330" s="181"/>
      <c r="BN330" s="181"/>
      <c r="BO330" s="181"/>
      <c r="BP330" s="181"/>
      <c r="BQ330" s="181"/>
      <c r="BR330" s="181"/>
      <c r="BS330" s="181"/>
      <c r="BT330" s="181"/>
      <c r="BU330" s="181"/>
      <c r="BV330" s="181"/>
      <c r="BW330" s="181"/>
      <c r="BX330" s="181"/>
      <c r="BY330" s="181"/>
      <c r="BZ330" s="181"/>
      <c r="CA330" s="190"/>
      <c r="CB330" s="3"/>
      <c r="CC330" s="16"/>
      <c r="CD330" s="16"/>
      <c r="CE330" s="16"/>
      <c r="CF330" s="16"/>
      <c r="CG330" s="16"/>
      <c r="CH330" s="16"/>
      <c r="CI330" s="16" t="s">
        <v>3251</v>
      </c>
    </row>
    <row r="331" spans="1:87">
      <c r="A331" s="16" t="s">
        <v>5</v>
      </c>
      <c r="B331" s="16" t="s">
        <v>3252</v>
      </c>
      <c r="C331" s="3">
        <v>46272</v>
      </c>
      <c r="D331" s="26" t="s">
        <v>14</v>
      </c>
      <c r="E331" s="180" t="s">
        <v>167</v>
      </c>
      <c r="F331" s="181" t="s">
        <v>3253</v>
      </c>
      <c r="G331" s="181">
        <v>100</v>
      </c>
      <c r="H331" s="181">
        <v>67</v>
      </c>
      <c r="I331" s="181" t="s">
        <v>3018</v>
      </c>
      <c r="J331" s="181" t="s">
        <v>167</v>
      </c>
      <c r="K331" s="181" t="s">
        <v>1371</v>
      </c>
      <c r="L331" s="181" t="s">
        <v>17</v>
      </c>
      <c r="M331" s="181">
        <v>12</v>
      </c>
      <c r="N331" s="181" t="s">
        <v>462</v>
      </c>
      <c r="O331" s="181" t="s">
        <v>2575</v>
      </c>
      <c r="P331" s="181" t="s">
        <v>3254</v>
      </c>
      <c r="Q331" s="181" t="s">
        <v>3255</v>
      </c>
      <c r="R331" s="181" t="s">
        <v>1056</v>
      </c>
      <c r="S331" s="181" t="s">
        <v>3256</v>
      </c>
      <c r="T331" s="181" t="s">
        <v>465</v>
      </c>
      <c r="U331" s="182">
        <v>46259.746527777781</v>
      </c>
      <c r="V331" s="181" t="s">
        <v>3257</v>
      </c>
      <c r="W331" s="181" t="s">
        <v>470</v>
      </c>
      <c r="X331" s="181" t="s">
        <v>471</v>
      </c>
      <c r="Y331" s="181" t="s">
        <v>472</v>
      </c>
      <c r="Z331" s="181" t="s">
        <v>473</v>
      </c>
      <c r="AA331" s="181" t="s">
        <v>1059</v>
      </c>
      <c r="AB331" s="181" t="s">
        <v>3258</v>
      </c>
      <c r="AC331" s="181" t="s">
        <v>476</v>
      </c>
      <c r="AD331" s="181">
        <v>390806181</v>
      </c>
      <c r="AE331" s="181">
        <v>1861447179</v>
      </c>
      <c r="AF331" s="181"/>
      <c r="AG331" s="181"/>
      <c r="AH331" s="181"/>
      <c r="AI331" s="181" t="s">
        <v>164</v>
      </c>
      <c r="AJ331" s="181" t="s">
        <v>481</v>
      </c>
      <c r="AK331" s="181" t="s">
        <v>3259</v>
      </c>
      <c r="AL331" s="181">
        <v>62352.14</v>
      </c>
      <c r="AM331" s="181"/>
      <c r="AN331" s="181"/>
      <c r="AO331" s="181" t="s">
        <v>3260</v>
      </c>
      <c r="AP331" s="181" t="s">
        <v>1063</v>
      </c>
      <c r="AQ331" s="181" t="s">
        <v>3261</v>
      </c>
      <c r="AR331" s="183">
        <v>46260</v>
      </c>
      <c r="AS331" s="181" t="s">
        <v>164</v>
      </c>
      <c r="AT331" s="181" t="s">
        <v>2622</v>
      </c>
      <c r="AU331" s="181"/>
      <c r="AV331" s="181" t="s">
        <v>3262</v>
      </c>
      <c r="AW331" s="181"/>
      <c r="AX331" s="181"/>
      <c r="AY331" s="181"/>
      <c r="AZ331" s="181"/>
      <c r="BA331" s="181"/>
      <c r="BB331" s="181" t="s">
        <v>3263</v>
      </c>
      <c r="BC331" s="181"/>
      <c r="BD331" s="181" t="s">
        <v>164</v>
      </c>
      <c r="BE331" s="181">
        <v>63</v>
      </c>
      <c r="BF331" s="181"/>
      <c r="BG331" s="181" t="s">
        <v>1067</v>
      </c>
      <c r="BH331" s="181" t="s">
        <v>491</v>
      </c>
      <c r="BI331" s="181">
        <v>117709312</v>
      </c>
      <c r="BJ331" s="181"/>
      <c r="BK331" s="181"/>
      <c r="BL331" s="181"/>
      <c r="BM331" s="181"/>
      <c r="BN331" s="181"/>
      <c r="BO331" s="181"/>
      <c r="BP331" s="181"/>
      <c r="BQ331" s="181"/>
      <c r="BR331" s="181"/>
      <c r="BS331" s="181"/>
      <c r="BT331" s="181"/>
      <c r="BU331" s="181"/>
      <c r="BV331" s="181"/>
      <c r="BW331" s="181"/>
      <c r="BX331" s="181"/>
      <c r="BY331" s="181"/>
      <c r="BZ331" s="181"/>
      <c r="CA331" s="190">
        <v>46280.666666666701</v>
      </c>
      <c r="CB331" s="3"/>
      <c r="CC331" s="16"/>
      <c r="CD331" s="16"/>
      <c r="CE331" s="16"/>
      <c r="CF331" s="16"/>
      <c r="CG331" s="16"/>
      <c r="CH331" s="16"/>
      <c r="CI331" s="16" t="s">
        <v>3264</v>
      </c>
    </row>
    <row r="332" spans="1:87">
      <c r="A332" s="16"/>
      <c r="B332" s="16"/>
      <c r="C332" s="3">
        <v>46272</v>
      </c>
      <c r="D332" s="26" t="s">
        <v>14</v>
      </c>
      <c r="E332" s="180" t="s">
        <v>3265</v>
      </c>
      <c r="F332" s="181"/>
      <c r="G332" s="181">
        <v>60</v>
      </c>
      <c r="H332" s="181">
        <v>94</v>
      </c>
      <c r="I332" s="181" t="s">
        <v>3266</v>
      </c>
      <c r="J332" s="181" t="s">
        <v>3265</v>
      </c>
      <c r="K332" s="181" t="s">
        <v>682</v>
      </c>
      <c r="L332" s="181" t="s">
        <v>18</v>
      </c>
      <c r="M332" s="181">
        <v>21</v>
      </c>
      <c r="N332" s="181" t="s">
        <v>462</v>
      </c>
      <c r="O332" s="181" t="s">
        <v>606</v>
      </c>
      <c r="P332" s="181" t="s">
        <v>3267</v>
      </c>
      <c r="Q332" s="181" t="s">
        <v>1055</v>
      </c>
      <c r="R332" s="181" t="s">
        <v>1350</v>
      </c>
      <c r="S332" s="181" t="s">
        <v>3268</v>
      </c>
      <c r="T332" s="181">
        <v>173327</v>
      </c>
      <c r="U332" s="182">
        <v>46250.818055555559</v>
      </c>
      <c r="V332" s="181" t="s">
        <v>469</v>
      </c>
      <c r="W332" s="181" t="s">
        <v>651</v>
      </c>
      <c r="X332" s="181" t="s">
        <v>652</v>
      </c>
      <c r="Y332" s="181" t="s">
        <v>653</v>
      </c>
      <c r="Z332" s="181" t="s">
        <v>524</v>
      </c>
      <c r="AA332" s="181" t="s">
        <v>1354</v>
      </c>
      <c r="AB332" s="181" t="s">
        <v>757</v>
      </c>
      <c r="AC332" s="181" t="s">
        <v>526</v>
      </c>
      <c r="AD332" s="181">
        <v>344428218</v>
      </c>
      <c r="AE332" s="181">
        <v>1801884655</v>
      </c>
      <c r="AF332" s="181"/>
      <c r="AG332" s="181">
        <v>3.30202601000222E+16</v>
      </c>
      <c r="AH332" s="181"/>
      <c r="AI332" s="181" t="s">
        <v>19</v>
      </c>
      <c r="AJ332" s="181" t="s">
        <v>481</v>
      </c>
      <c r="AK332" s="181" t="s">
        <v>3269</v>
      </c>
      <c r="AL332" s="181">
        <v>39895.89</v>
      </c>
      <c r="AM332" s="181"/>
      <c r="AN332" s="181"/>
      <c r="AO332" s="181">
        <v>229</v>
      </c>
      <c r="AP332" s="181" t="s">
        <v>485</v>
      </c>
      <c r="AQ332" s="181" t="s">
        <v>3270</v>
      </c>
      <c r="AR332" s="183">
        <v>46251</v>
      </c>
      <c r="AS332" s="181" t="s">
        <v>19</v>
      </c>
      <c r="AT332" s="181" t="s">
        <v>3271</v>
      </c>
      <c r="AU332" s="181"/>
      <c r="AV332" s="181" t="s">
        <v>3272</v>
      </c>
      <c r="AW332" s="181"/>
      <c r="AX332" s="181"/>
      <c r="AY332" s="181"/>
      <c r="AZ332" s="181"/>
      <c r="BA332" s="181"/>
      <c r="BB332" s="181"/>
      <c r="BC332" s="181"/>
      <c r="BD332" s="181" t="s">
        <v>19</v>
      </c>
      <c r="BE332" s="181">
        <v>94</v>
      </c>
      <c r="BF332" s="181"/>
      <c r="BG332" s="181"/>
      <c r="BH332" s="181" t="s">
        <v>658</v>
      </c>
      <c r="BI332" s="181" t="s">
        <v>3267</v>
      </c>
      <c r="BJ332" s="181"/>
      <c r="BK332" s="181"/>
      <c r="BL332" s="181"/>
      <c r="BM332" s="181"/>
      <c r="BN332" s="181"/>
      <c r="BO332" s="181"/>
      <c r="BP332" s="181"/>
      <c r="BQ332" s="181"/>
      <c r="BR332" s="181"/>
      <c r="BS332" s="181"/>
      <c r="BT332" s="181"/>
      <c r="BU332" s="181"/>
      <c r="BV332" s="181"/>
      <c r="BW332" s="181"/>
      <c r="BX332" s="181"/>
      <c r="BY332" s="181"/>
      <c r="BZ332" s="181"/>
      <c r="CA332" s="190"/>
      <c r="CB332" s="3"/>
      <c r="CC332" s="16"/>
      <c r="CD332" s="16"/>
      <c r="CE332" s="16"/>
      <c r="CF332" s="16"/>
      <c r="CG332" s="16"/>
      <c r="CH332" s="16"/>
      <c r="CI332" s="16" t="s">
        <v>3273</v>
      </c>
    </row>
    <row r="333" spans="1:87">
      <c r="A333" s="16"/>
      <c r="B333" s="16"/>
      <c r="C333" s="3">
        <v>46272</v>
      </c>
      <c r="D333" s="26" t="s">
        <v>14</v>
      </c>
      <c r="E333" s="180" t="s">
        <v>3274</v>
      </c>
      <c r="F333" s="181">
        <v>2026142220404</v>
      </c>
      <c r="G333" s="181">
        <v>60</v>
      </c>
      <c r="H333" s="181">
        <v>108</v>
      </c>
      <c r="I333" s="181" t="s">
        <v>3266</v>
      </c>
      <c r="J333" s="181" t="s">
        <v>3274</v>
      </c>
      <c r="K333" s="181" t="s">
        <v>691</v>
      </c>
      <c r="L333" s="181" t="s">
        <v>13</v>
      </c>
      <c r="M333" s="181">
        <v>12</v>
      </c>
      <c r="N333" s="181" t="s">
        <v>462</v>
      </c>
      <c r="O333" s="181" t="s">
        <v>606</v>
      </c>
      <c r="P333" s="181">
        <v>844306230</v>
      </c>
      <c r="Q333" s="181" t="s">
        <v>465</v>
      </c>
      <c r="R333" s="181" t="s">
        <v>466</v>
      </c>
      <c r="S333" s="181" t="s">
        <v>3275</v>
      </c>
      <c r="T333" s="181">
        <v>173326</v>
      </c>
      <c r="U333" s="182">
        <v>46260.706944444442</v>
      </c>
      <c r="V333" s="181" t="s">
        <v>469</v>
      </c>
      <c r="W333" s="181" t="s">
        <v>651</v>
      </c>
      <c r="X333" s="181" t="s">
        <v>652</v>
      </c>
      <c r="Y333" s="181" t="s">
        <v>653</v>
      </c>
      <c r="Z333" s="181" t="s">
        <v>473</v>
      </c>
      <c r="AA333" s="181" t="s">
        <v>474</v>
      </c>
      <c r="AB333" s="181" t="s">
        <v>684</v>
      </c>
      <c r="AC333" s="181" t="s">
        <v>476</v>
      </c>
      <c r="AD333" s="181">
        <v>201759813</v>
      </c>
      <c r="AE333" s="181">
        <v>1689782427</v>
      </c>
      <c r="AF333" s="181">
        <v>1821393000</v>
      </c>
      <c r="AG333" s="181">
        <v>4.5820251550237104E+16</v>
      </c>
      <c r="AH333" s="181"/>
      <c r="AI333" s="181" t="s">
        <v>128</v>
      </c>
      <c r="AJ333" s="181" t="s">
        <v>481</v>
      </c>
      <c r="AK333" s="181" t="s">
        <v>3276</v>
      </c>
      <c r="AL333" s="181">
        <v>1800</v>
      </c>
      <c r="AM333" s="181"/>
      <c r="AN333" s="181"/>
      <c r="AO333" s="181">
        <v>844</v>
      </c>
      <c r="AP333" s="181" t="s">
        <v>485</v>
      </c>
      <c r="AQ333" s="181" t="s">
        <v>3277</v>
      </c>
      <c r="AR333" s="183">
        <v>46260</v>
      </c>
      <c r="AS333" s="181" t="s">
        <v>128</v>
      </c>
      <c r="AT333" s="181" t="s">
        <v>3278</v>
      </c>
      <c r="AU333" s="181"/>
      <c r="AV333" s="181" t="s">
        <v>3279</v>
      </c>
      <c r="AW333" s="181"/>
      <c r="AX333" s="181"/>
      <c r="AY333" s="181"/>
      <c r="AZ333" s="181"/>
      <c r="BA333" s="181"/>
      <c r="BB333" s="181"/>
      <c r="BC333" s="181"/>
      <c r="BD333" s="181" t="s">
        <v>128</v>
      </c>
      <c r="BE333" s="181">
        <v>108</v>
      </c>
      <c r="BF333" s="181"/>
      <c r="BG333" s="181" t="s">
        <v>490</v>
      </c>
      <c r="BH333" s="181" t="s">
        <v>658</v>
      </c>
      <c r="BI333" s="181">
        <v>844306230</v>
      </c>
      <c r="BJ333" s="181"/>
      <c r="BK333" s="181"/>
      <c r="BL333" s="181" t="s">
        <v>1151</v>
      </c>
      <c r="BM333" s="181"/>
      <c r="BN333" s="181"/>
      <c r="BO333" s="181"/>
      <c r="BP333" s="181"/>
      <c r="BQ333" s="181"/>
      <c r="BR333" s="181"/>
      <c r="BS333" s="181"/>
      <c r="BT333" s="181"/>
      <c r="BU333" s="181"/>
      <c r="BV333" s="181"/>
      <c r="BW333" s="181"/>
      <c r="BX333" s="181"/>
      <c r="BY333" s="181"/>
      <c r="BZ333" s="181"/>
      <c r="CA333" s="190"/>
      <c r="CB333" s="3"/>
      <c r="CC333" s="16"/>
      <c r="CD333" s="16"/>
      <c r="CE333" s="16"/>
      <c r="CF333" s="16"/>
      <c r="CG333" s="16"/>
      <c r="CH333" s="16"/>
      <c r="CI333" s="16" t="s">
        <v>3280</v>
      </c>
    </row>
    <row r="334" spans="1:87">
      <c r="A334" s="16"/>
      <c r="B334" s="16"/>
      <c r="C334" s="3">
        <v>46272</v>
      </c>
      <c r="D334" s="26" t="s">
        <v>14</v>
      </c>
      <c r="E334" s="180" t="s">
        <v>3281</v>
      </c>
      <c r="F334" s="181">
        <v>2026158250231</v>
      </c>
      <c r="G334" s="181">
        <v>60</v>
      </c>
      <c r="H334" s="181">
        <v>92</v>
      </c>
      <c r="I334" s="181" t="s">
        <v>3266</v>
      </c>
      <c r="J334" s="181" t="s">
        <v>3281</v>
      </c>
      <c r="K334" s="181" t="s">
        <v>1512</v>
      </c>
      <c r="L334" s="181" t="s">
        <v>17</v>
      </c>
      <c r="M334" s="181">
        <v>7</v>
      </c>
      <c r="N334" s="181" t="s">
        <v>462</v>
      </c>
      <c r="O334" s="181" t="s">
        <v>606</v>
      </c>
      <c r="P334" s="181">
        <v>805553236</v>
      </c>
      <c r="Q334" s="181" t="s">
        <v>465</v>
      </c>
      <c r="R334" s="181" t="s">
        <v>466</v>
      </c>
      <c r="S334" s="181" t="s">
        <v>3282</v>
      </c>
      <c r="T334" s="181">
        <v>173324</v>
      </c>
      <c r="U334" s="182">
        <v>46264.720833333333</v>
      </c>
      <c r="V334" s="181" t="s">
        <v>469</v>
      </c>
      <c r="W334" s="181" t="s">
        <v>651</v>
      </c>
      <c r="X334" s="181" t="s">
        <v>652</v>
      </c>
      <c r="Y334" s="181" t="s">
        <v>653</v>
      </c>
      <c r="Z334" s="181" t="s">
        <v>590</v>
      </c>
      <c r="AA334" s="181" t="s">
        <v>474</v>
      </c>
      <c r="AB334" s="181" t="s">
        <v>3283</v>
      </c>
      <c r="AC334" s="181" t="s">
        <v>1932</v>
      </c>
      <c r="AD334" s="181">
        <v>886000436</v>
      </c>
      <c r="AE334" s="181">
        <v>1548393127</v>
      </c>
      <c r="AF334" s="181"/>
      <c r="AG334" s="181">
        <v>2.66202523303549E+16</v>
      </c>
      <c r="AH334" s="181"/>
      <c r="AI334" s="181" t="s">
        <v>149</v>
      </c>
      <c r="AJ334" s="181" t="s">
        <v>481</v>
      </c>
      <c r="AK334" s="181" t="s">
        <v>3284</v>
      </c>
      <c r="AL334" s="181">
        <v>20196.39</v>
      </c>
      <c r="AM334" s="181"/>
      <c r="AN334" s="181"/>
      <c r="AO334" s="181">
        <v>805</v>
      </c>
      <c r="AP334" s="181" t="s">
        <v>485</v>
      </c>
      <c r="AQ334" s="181" t="s">
        <v>3285</v>
      </c>
      <c r="AR334" s="183">
        <v>46265</v>
      </c>
      <c r="AS334" s="181" t="s">
        <v>149</v>
      </c>
      <c r="AT334" s="181" t="s">
        <v>516</v>
      </c>
      <c r="AU334" s="181"/>
      <c r="AV334" s="181" t="s">
        <v>3286</v>
      </c>
      <c r="AW334" s="181"/>
      <c r="AX334" s="181"/>
      <c r="AY334" s="181"/>
      <c r="AZ334" s="181"/>
      <c r="BA334" s="181"/>
      <c r="BB334" s="181"/>
      <c r="BC334" s="181"/>
      <c r="BD334" s="181" t="s">
        <v>149</v>
      </c>
      <c r="BE334" s="181">
        <v>92</v>
      </c>
      <c r="BF334" s="181"/>
      <c r="BG334" s="181"/>
      <c r="BH334" s="181" t="s">
        <v>658</v>
      </c>
      <c r="BI334" s="181">
        <v>805553236</v>
      </c>
      <c r="BJ334" s="181"/>
      <c r="BK334" s="181"/>
      <c r="BL334" s="181"/>
      <c r="BM334" s="181"/>
      <c r="BN334" s="181"/>
      <c r="BO334" s="181"/>
      <c r="BP334" s="181"/>
      <c r="BQ334" s="181"/>
      <c r="BR334" s="181"/>
      <c r="BS334" s="181"/>
      <c r="BT334" s="181"/>
      <c r="BU334" s="181"/>
      <c r="BV334" s="181"/>
      <c r="BW334" s="181"/>
      <c r="BX334" s="181"/>
      <c r="BY334" s="181"/>
      <c r="BZ334" s="181"/>
      <c r="CA334" s="190"/>
      <c r="CB334" s="3"/>
      <c r="CC334" s="16"/>
      <c r="CD334" s="16"/>
      <c r="CE334" s="16"/>
      <c r="CF334" s="16"/>
      <c r="CG334" s="16"/>
      <c r="CH334" s="16"/>
      <c r="CI334" s="16" t="s">
        <v>3287</v>
      </c>
    </row>
    <row r="335" spans="1:87">
      <c r="A335" s="16"/>
      <c r="B335" s="16"/>
      <c r="C335" s="3">
        <v>46272</v>
      </c>
      <c r="D335" s="26" t="s">
        <v>14</v>
      </c>
      <c r="E335" s="180" t="s">
        <v>3288</v>
      </c>
      <c r="F335" s="181">
        <v>2026134540689</v>
      </c>
      <c r="G335" s="181">
        <v>60</v>
      </c>
      <c r="H335" s="181">
        <v>116</v>
      </c>
      <c r="I335" s="181" t="s">
        <v>3266</v>
      </c>
      <c r="J335" s="181" t="s">
        <v>3288</v>
      </c>
      <c r="K335" s="181" t="s">
        <v>560</v>
      </c>
      <c r="L335" s="181" t="s">
        <v>13</v>
      </c>
      <c r="M335" s="181">
        <v>13</v>
      </c>
      <c r="N335" s="181" t="s">
        <v>462</v>
      </c>
      <c r="O335" s="181" t="s">
        <v>606</v>
      </c>
      <c r="P335" s="181">
        <v>806640737</v>
      </c>
      <c r="Q335" s="181" t="s">
        <v>465</v>
      </c>
      <c r="R335" s="181" t="s">
        <v>466</v>
      </c>
      <c r="S335" s="181" t="s">
        <v>3289</v>
      </c>
      <c r="T335" s="181" t="s">
        <v>664</v>
      </c>
      <c r="U335" s="182">
        <v>46259.046527777777</v>
      </c>
      <c r="V335" s="181" t="s">
        <v>469</v>
      </c>
      <c r="W335" s="181" t="s">
        <v>651</v>
      </c>
      <c r="X335" s="181" t="s">
        <v>652</v>
      </c>
      <c r="Y335" s="181" t="s">
        <v>653</v>
      </c>
      <c r="Z335" s="181" t="s">
        <v>665</v>
      </c>
      <c r="AA335" s="181" t="s">
        <v>474</v>
      </c>
      <c r="AB335" s="181" t="s">
        <v>666</v>
      </c>
      <c r="AC335" s="181" t="s">
        <v>640</v>
      </c>
      <c r="AD335" s="181">
        <v>112811353</v>
      </c>
      <c r="AE335" s="181">
        <v>1841222353</v>
      </c>
      <c r="AF335" s="181"/>
      <c r="AG335" s="181">
        <v>2.54202505711881E+16</v>
      </c>
      <c r="AH335" s="181"/>
      <c r="AI335" s="181" t="s">
        <v>59</v>
      </c>
      <c r="AJ335" s="181" t="s">
        <v>481</v>
      </c>
      <c r="AK335" s="181" t="s">
        <v>3290</v>
      </c>
      <c r="AL335" s="181">
        <v>18701.439999999999</v>
      </c>
      <c r="AM335" s="181"/>
      <c r="AN335" s="181"/>
      <c r="AO335" s="181">
        <v>806</v>
      </c>
      <c r="AP335" s="181" t="s">
        <v>485</v>
      </c>
      <c r="AQ335" s="181" t="s">
        <v>3291</v>
      </c>
      <c r="AR335" s="183">
        <v>46259</v>
      </c>
      <c r="AS335" s="181" t="s">
        <v>59</v>
      </c>
      <c r="AT335" s="181" t="s">
        <v>3292</v>
      </c>
      <c r="AU335" s="181"/>
      <c r="AV335" s="181" t="s">
        <v>3293</v>
      </c>
      <c r="AW335" s="181"/>
      <c r="AX335" s="181"/>
      <c r="AY335" s="181"/>
      <c r="AZ335" s="181"/>
      <c r="BA335" s="181"/>
      <c r="BB335" s="181"/>
      <c r="BC335" s="181"/>
      <c r="BD335" s="181" t="s">
        <v>59</v>
      </c>
      <c r="BE335" s="181">
        <v>116</v>
      </c>
      <c r="BF335" s="181"/>
      <c r="BG335" s="181" t="s">
        <v>490</v>
      </c>
      <c r="BH335" s="181" t="s">
        <v>658</v>
      </c>
      <c r="BI335" s="181">
        <v>806640737</v>
      </c>
      <c r="BJ335" s="181"/>
      <c r="BK335" s="181"/>
      <c r="BL335" s="181"/>
      <c r="BM335" s="181"/>
      <c r="BN335" s="181"/>
      <c r="BO335" s="181"/>
      <c r="BP335" s="181"/>
      <c r="BQ335" s="181"/>
      <c r="BR335" s="181"/>
      <c r="BS335" s="181"/>
      <c r="BT335" s="181"/>
      <c r="BU335" s="181"/>
      <c r="BV335" s="181"/>
      <c r="BW335" s="181"/>
      <c r="BX335" s="181"/>
      <c r="BY335" s="181"/>
      <c r="BZ335" s="181"/>
      <c r="CA335" s="190"/>
      <c r="CB335" s="3"/>
      <c r="CC335" s="16"/>
      <c r="CD335" s="16"/>
      <c r="CE335" s="16"/>
      <c r="CF335" s="16"/>
      <c r="CG335" s="16"/>
      <c r="CH335" s="16"/>
      <c r="CI335" s="16" t="s">
        <v>3294</v>
      </c>
    </row>
    <row r="336" spans="1:87">
      <c r="A336" s="16"/>
      <c r="B336" s="16"/>
      <c r="C336" s="3">
        <v>46272</v>
      </c>
      <c r="D336" s="26" t="s">
        <v>14</v>
      </c>
      <c r="E336" s="180" t="s">
        <v>3295</v>
      </c>
      <c r="F336" s="181">
        <v>2026127720215</v>
      </c>
      <c r="G336" s="181">
        <v>60</v>
      </c>
      <c r="H336" s="181">
        <v>123</v>
      </c>
      <c r="I336" s="181" t="s">
        <v>3296</v>
      </c>
      <c r="J336" s="181" t="s">
        <v>3295</v>
      </c>
      <c r="K336" s="181" t="s">
        <v>674</v>
      </c>
      <c r="L336" s="181" t="s">
        <v>16</v>
      </c>
      <c r="M336" s="181">
        <v>12</v>
      </c>
      <c r="N336" s="181" t="s">
        <v>462</v>
      </c>
      <c r="O336" s="181" t="s">
        <v>606</v>
      </c>
      <c r="P336" s="181" t="s">
        <v>3297</v>
      </c>
      <c r="Q336" s="181" t="s">
        <v>465</v>
      </c>
      <c r="R336" s="181" t="s">
        <v>466</v>
      </c>
      <c r="S336" s="181" t="s">
        <v>3298</v>
      </c>
      <c r="T336" s="181">
        <v>201075</v>
      </c>
      <c r="U336" s="182">
        <v>46259.438888888886</v>
      </c>
      <c r="V336" s="181" t="s">
        <v>469</v>
      </c>
      <c r="W336" s="181" t="s">
        <v>568</v>
      </c>
      <c r="X336" s="181" t="s">
        <v>471</v>
      </c>
      <c r="Y336" s="181" t="s">
        <v>1724</v>
      </c>
      <c r="Z336" s="181" t="s">
        <v>501</v>
      </c>
      <c r="AA336" s="181" t="s">
        <v>1354</v>
      </c>
      <c r="AB336" s="181" t="s">
        <v>3299</v>
      </c>
      <c r="AC336" s="181" t="s">
        <v>503</v>
      </c>
      <c r="AD336" s="181">
        <v>541988843</v>
      </c>
      <c r="AE336" s="181">
        <v>1679591440</v>
      </c>
      <c r="AF336" s="181">
        <v>1568428258</v>
      </c>
      <c r="AG336" s="181"/>
      <c r="AH336" s="181"/>
      <c r="AI336" s="181" t="s">
        <v>54</v>
      </c>
      <c r="AJ336" s="181" t="s">
        <v>481</v>
      </c>
      <c r="AK336" s="181" t="s">
        <v>3300</v>
      </c>
      <c r="AL336" s="181">
        <v>8405</v>
      </c>
      <c r="AM336" s="181"/>
      <c r="AN336" s="181"/>
      <c r="AO336" s="181">
        <v>710</v>
      </c>
      <c r="AP336" s="181" t="s">
        <v>485</v>
      </c>
      <c r="AQ336" s="181" t="s">
        <v>3301</v>
      </c>
      <c r="AR336" s="183">
        <v>46260</v>
      </c>
      <c r="AS336" s="181" t="s">
        <v>1813</v>
      </c>
      <c r="AT336" s="181" t="s">
        <v>606</v>
      </c>
      <c r="AU336" s="181"/>
      <c r="AV336" s="181" t="s">
        <v>967</v>
      </c>
      <c r="AW336" s="181"/>
      <c r="AX336" s="181"/>
      <c r="AY336" s="181"/>
      <c r="AZ336" s="181"/>
      <c r="BA336" s="181"/>
      <c r="BB336" s="181"/>
      <c r="BC336" s="181"/>
      <c r="BD336" s="181" t="s">
        <v>54</v>
      </c>
      <c r="BE336" s="181">
        <v>13</v>
      </c>
      <c r="BF336" s="181"/>
      <c r="BG336" s="181" t="s">
        <v>490</v>
      </c>
      <c r="BH336" s="181" t="s">
        <v>491</v>
      </c>
      <c r="BI336" s="181">
        <v>226894028</v>
      </c>
      <c r="BJ336" s="181"/>
      <c r="BK336" s="181"/>
      <c r="BL336" s="181"/>
      <c r="BM336" s="181"/>
      <c r="BN336" s="181"/>
      <c r="BO336" s="181"/>
      <c r="BP336" s="181"/>
      <c r="BQ336" s="181"/>
      <c r="BR336" s="181"/>
      <c r="BS336" s="181"/>
      <c r="BT336" s="181"/>
      <c r="BU336" s="181"/>
      <c r="BV336" s="181"/>
      <c r="BW336" s="181"/>
      <c r="BX336" s="181"/>
      <c r="BY336" s="181"/>
      <c r="BZ336" s="181"/>
      <c r="CA336" s="190"/>
      <c r="CB336" s="3"/>
      <c r="CC336" s="16"/>
      <c r="CD336" s="16"/>
      <c r="CE336" s="16"/>
      <c r="CF336" s="16"/>
      <c r="CG336" s="16"/>
      <c r="CH336" s="16"/>
      <c r="CI336" s="16" t="s">
        <v>3302</v>
      </c>
    </row>
    <row r="337" spans="1:87">
      <c r="A337" s="16" t="s">
        <v>5</v>
      </c>
      <c r="B337" s="16" t="s">
        <v>3303</v>
      </c>
      <c r="C337" s="3">
        <v>46272</v>
      </c>
      <c r="D337" s="26" t="s">
        <v>14</v>
      </c>
      <c r="E337" s="180" t="s">
        <v>209</v>
      </c>
      <c r="F337" s="181">
        <v>2026129230254</v>
      </c>
      <c r="G337" s="181">
        <v>60</v>
      </c>
      <c r="H337" s="181">
        <v>121</v>
      </c>
      <c r="I337" s="181" t="s">
        <v>3296</v>
      </c>
      <c r="J337" s="181" t="s">
        <v>209</v>
      </c>
      <c r="K337" s="181" t="s">
        <v>662</v>
      </c>
      <c r="L337" s="181" t="s">
        <v>13</v>
      </c>
      <c r="M337" s="181">
        <v>29</v>
      </c>
      <c r="N337" s="181" t="s">
        <v>462</v>
      </c>
      <c r="O337" s="181" t="s">
        <v>562</v>
      </c>
      <c r="P337" s="181" t="s">
        <v>3304</v>
      </c>
      <c r="Q337" s="181" t="s">
        <v>564</v>
      </c>
      <c r="R337" s="181" t="s">
        <v>466</v>
      </c>
      <c r="S337" s="181" t="s">
        <v>3305</v>
      </c>
      <c r="T337" s="181">
        <v>281234</v>
      </c>
      <c r="U337" s="182">
        <v>46243.65</v>
      </c>
      <c r="V337" s="181" t="s">
        <v>469</v>
      </c>
      <c r="W337" s="181" t="s">
        <v>568</v>
      </c>
      <c r="X337" s="181" t="s">
        <v>471</v>
      </c>
      <c r="Y337" s="181" t="s">
        <v>569</v>
      </c>
      <c r="Z337" s="181" t="s">
        <v>570</v>
      </c>
      <c r="AA337" s="181" t="s">
        <v>474</v>
      </c>
      <c r="AB337" s="181" t="s">
        <v>774</v>
      </c>
      <c r="AC337" s="181" t="s">
        <v>572</v>
      </c>
      <c r="AD337" s="181">
        <v>851644866</v>
      </c>
      <c r="AE337" s="181">
        <v>1013514199</v>
      </c>
      <c r="AF337" s="181"/>
      <c r="AG337" s="181"/>
      <c r="AH337" s="181"/>
      <c r="AI337" s="181" t="s">
        <v>138</v>
      </c>
      <c r="AJ337" s="181" t="s">
        <v>481</v>
      </c>
      <c r="AK337" s="181" t="s">
        <v>3306</v>
      </c>
      <c r="AL337" s="181">
        <v>69394.490000000005</v>
      </c>
      <c r="AM337" s="181"/>
      <c r="AN337" s="181"/>
      <c r="AO337" s="181">
        <v>100</v>
      </c>
      <c r="AP337" s="181" t="s">
        <v>485</v>
      </c>
      <c r="AQ337" s="181" t="s">
        <v>3307</v>
      </c>
      <c r="AR337" s="183">
        <v>46243</v>
      </c>
      <c r="AS337" s="181" t="s">
        <v>138</v>
      </c>
      <c r="AT337" s="181" t="s">
        <v>3308</v>
      </c>
      <c r="AU337" s="181"/>
      <c r="AV337" s="181" t="s">
        <v>3309</v>
      </c>
      <c r="AW337" s="181"/>
      <c r="AX337" s="181"/>
      <c r="AY337" s="181"/>
      <c r="AZ337" s="181"/>
      <c r="BA337" s="181"/>
      <c r="BB337" s="181"/>
      <c r="BC337" s="181"/>
      <c r="BD337" s="181" t="s">
        <v>138</v>
      </c>
      <c r="BE337" s="181">
        <v>121</v>
      </c>
      <c r="BF337" s="181"/>
      <c r="BG337" s="181" t="s">
        <v>490</v>
      </c>
      <c r="BH337" s="181" t="s">
        <v>491</v>
      </c>
      <c r="BI337" s="181">
        <v>605158066</v>
      </c>
      <c r="BJ337" s="181"/>
      <c r="BK337" s="181"/>
      <c r="BL337" s="181"/>
      <c r="BM337" s="181"/>
      <c r="BN337" s="181"/>
      <c r="BO337" s="181"/>
      <c r="BP337" s="181"/>
      <c r="BQ337" s="181"/>
      <c r="BR337" s="181"/>
      <c r="BS337" s="181"/>
      <c r="BT337" s="181"/>
      <c r="BU337" s="181"/>
      <c r="BV337" s="181"/>
      <c r="BW337" s="181"/>
      <c r="BX337" s="181"/>
      <c r="BY337" s="181"/>
      <c r="BZ337" s="181"/>
      <c r="CA337" s="190">
        <v>46281.166666666701</v>
      </c>
      <c r="CB337" s="3"/>
      <c r="CC337" s="16"/>
      <c r="CD337" s="16"/>
      <c r="CE337" s="16"/>
      <c r="CF337" s="16"/>
      <c r="CG337" s="16"/>
      <c r="CH337" s="16"/>
      <c r="CI337" s="16" t="s">
        <v>3310</v>
      </c>
    </row>
    <row r="338" spans="1:87">
      <c r="A338" s="16" t="s">
        <v>5</v>
      </c>
      <c r="B338" s="16" t="s">
        <v>516</v>
      </c>
      <c r="C338" s="3">
        <v>46272</v>
      </c>
      <c r="D338" s="26" t="s">
        <v>1</v>
      </c>
      <c r="E338" s="180" t="s">
        <v>3311</v>
      </c>
      <c r="F338" s="181"/>
      <c r="G338" s="181">
        <v>40</v>
      </c>
      <c r="H338" s="181">
        <v>40</v>
      </c>
      <c r="I338" s="181" t="s">
        <v>460</v>
      </c>
      <c r="J338" s="181" t="s">
        <v>3311</v>
      </c>
      <c r="K338" s="181" t="s">
        <v>2270</v>
      </c>
      <c r="L338" s="181" t="s">
        <v>13</v>
      </c>
      <c r="M338" s="181">
        <v>4</v>
      </c>
      <c r="N338" s="181" t="s">
        <v>462</v>
      </c>
      <c r="O338" s="181" t="s">
        <v>606</v>
      </c>
      <c r="P338" s="181" t="s">
        <v>3312</v>
      </c>
      <c r="Q338" s="181" t="s">
        <v>465</v>
      </c>
      <c r="R338" s="181" t="s">
        <v>1056</v>
      </c>
      <c r="S338" s="181" t="s">
        <v>3313</v>
      </c>
      <c r="T338" s="181" t="s">
        <v>3314</v>
      </c>
      <c r="U338" s="182">
        <v>46267.772916666669</v>
      </c>
      <c r="V338" s="181" t="s">
        <v>469</v>
      </c>
      <c r="W338" s="181" t="s">
        <v>470</v>
      </c>
      <c r="X338" s="181" t="s">
        <v>471</v>
      </c>
      <c r="Y338" s="181" t="s">
        <v>628</v>
      </c>
      <c r="Z338" s="181" t="s">
        <v>473</v>
      </c>
      <c r="AA338" s="181" t="s">
        <v>474</v>
      </c>
      <c r="AB338" s="181" t="s">
        <v>3315</v>
      </c>
      <c r="AC338" s="181" t="s">
        <v>476</v>
      </c>
      <c r="AD338" s="181">
        <v>391670223</v>
      </c>
      <c r="AE338" s="181">
        <v>1568765550</v>
      </c>
      <c r="AF338" s="181">
        <v>1487964045</v>
      </c>
      <c r="AG338" s="181"/>
      <c r="AH338" s="181" t="s">
        <v>1076</v>
      </c>
      <c r="AI338" s="181" t="s">
        <v>28</v>
      </c>
      <c r="AJ338" s="181" t="s">
        <v>481</v>
      </c>
      <c r="AK338" s="181" t="s">
        <v>3316</v>
      </c>
      <c r="AL338" s="181">
        <v>14415</v>
      </c>
      <c r="AM338" s="181"/>
      <c r="AN338" s="181"/>
      <c r="AO338" s="181">
        <v>284</v>
      </c>
      <c r="AP338" s="181" t="s">
        <v>1063</v>
      </c>
      <c r="AQ338" s="181" t="s">
        <v>3317</v>
      </c>
      <c r="AR338" s="183">
        <v>46268</v>
      </c>
      <c r="AS338" s="181" t="s">
        <v>28</v>
      </c>
      <c r="AT338" s="181" t="s">
        <v>516</v>
      </c>
      <c r="AU338" s="181"/>
      <c r="AV338" s="181" t="s">
        <v>3318</v>
      </c>
      <c r="AW338" s="181"/>
      <c r="AX338" s="181"/>
      <c r="AY338" s="181"/>
      <c r="AZ338" s="181"/>
      <c r="BA338" s="181"/>
      <c r="BB338" s="181"/>
      <c r="BC338" s="181"/>
      <c r="BD338" s="181" t="s">
        <v>28</v>
      </c>
      <c r="BE338" s="181">
        <v>40</v>
      </c>
      <c r="BF338" s="181"/>
      <c r="BG338" s="181" t="s">
        <v>490</v>
      </c>
      <c r="BH338" s="181" t="s">
        <v>491</v>
      </c>
      <c r="BI338" s="181">
        <v>397984415</v>
      </c>
      <c r="BJ338" s="181"/>
      <c r="BK338" s="181"/>
      <c r="BL338" s="181"/>
      <c r="BM338" s="181"/>
      <c r="BN338" s="181"/>
      <c r="BO338" s="181"/>
      <c r="BP338" s="181"/>
      <c r="BQ338" s="181"/>
      <c r="BR338" s="181"/>
      <c r="BS338" s="181"/>
      <c r="BT338" s="181"/>
      <c r="BU338" s="181"/>
      <c r="BV338" s="181"/>
      <c r="BW338" s="181"/>
      <c r="BX338" s="181"/>
      <c r="BY338" s="181"/>
      <c r="BZ338" s="181"/>
      <c r="CA338" s="190">
        <v>46280.666666666701</v>
      </c>
      <c r="CB338" s="3"/>
      <c r="CC338" s="16"/>
      <c r="CD338" s="16"/>
      <c r="CE338" s="16"/>
      <c r="CF338" s="16"/>
      <c r="CG338" s="16"/>
      <c r="CH338" s="16"/>
      <c r="CI338" s="16" t="s">
        <v>3319</v>
      </c>
    </row>
    <row r="339" spans="1:87">
      <c r="A339" s="16"/>
      <c r="B339" s="16"/>
      <c r="C339" s="3">
        <v>46272</v>
      </c>
      <c r="D339" s="26" t="s">
        <v>1</v>
      </c>
      <c r="E339" s="180" t="s">
        <v>3320</v>
      </c>
      <c r="F339" s="181">
        <v>2026211220072</v>
      </c>
      <c r="G339" s="181">
        <v>40</v>
      </c>
      <c r="H339" s="181">
        <v>39</v>
      </c>
      <c r="I339" s="181" t="s">
        <v>460</v>
      </c>
      <c r="J339" s="181" t="s">
        <v>3320</v>
      </c>
      <c r="K339" s="181" t="s">
        <v>540</v>
      </c>
      <c r="L339" s="181" t="s">
        <v>18</v>
      </c>
      <c r="M339" s="181">
        <v>0</v>
      </c>
      <c r="N339" s="181" t="s">
        <v>462</v>
      </c>
      <c r="O339" s="181" t="s">
        <v>606</v>
      </c>
      <c r="P339" s="181" t="s">
        <v>3321</v>
      </c>
      <c r="Q339" s="181" t="s">
        <v>465</v>
      </c>
      <c r="R339" s="181" t="s">
        <v>466</v>
      </c>
      <c r="S339" s="181" t="s">
        <v>3322</v>
      </c>
      <c r="T339" s="181" t="s">
        <v>3323</v>
      </c>
      <c r="U339" s="182">
        <v>46261.357638888891</v>
      </c>
      <c r="V339" s="181" t="s">
        <v>469</v>
      </c>
      <c r="W339" s="181" t="s">
        <v>568</v>
      </c>
      <c r="X339" s="181" t="s">
        <v>471</v>
      </c>
      <c r="Y339" s="181" t="s">
        <v>628</v>
      </c>
      <c r="Z339" s="181" t="s">
        <v>473</v>
      </c>
      <c r="AA339" s="181" t="s">
        <v>474</v>
      </c>
      <c r="AB339" s="181" t="s">
        <v>3324</v>
      </c>
      <c r="AC339" s="181" t="s">
        <v>476</v>
      </c>
      <c r="AD339" s="181">
        <v>391157876</v>
      </c>
      <c r="AE339" s="181">
        <v>1972188555</v>
      </c>
      <c r="AF339" s="181">
        <v>1619420932</v>
      </c>
      <c r="AG339" s="181"/>
      <c r="AH339" s="181"/>
      <c r="AI339" s="181" t="s">
        <v>31</v>
      </c>
      <c r="AJ339" s="181" t="s">
        <v>481</v>
      </c>
      <c r="AK339" s="181" t="s">
        <v>3325</v>
      </c>
      <c r="AL339" s="181">
        <v>16640</v>
      </c>
      <c r="AM339" s="181"/>
      <c r="AN339" s="181"/>
      <c r="AO339" s="181" t="s">
        <v>3326</v>
      </c>
      <c r="AP339" s="181" t="s">
        <v>485</v>
      </c>
      <c r="AQ339" s="181" t="s">
        <v>3327</v>
      </c>
      <c r="AR339" s="183">
        <v>46272</v>
      </c>
      <c r="AS339" s="181" t="s">
        <v>31</v>
      </c>
      <c r="AT339" s="181" t="s">
        <v>3328</v>
      </c>
      <c r="AU339" s="181"/>
      <c r="AV339" s="181" t="s">
        <v>3329</v>
      </c>
      <c r="AW339" s="181"/>
      <c r="AX339" s="181"/>
      <c r="AY339" s="181"/>
      <c r="AZ339" s="181"/>
      <c r="BA339" s="181"/>
      <c r="BB339" s="181"/>
      <c r="BC339" s="181"/>
      <c r="BD339" s="181" t="s">
        <v>31</v>
      </c>
      <c r="BE339" s="181">
        <v>39</v>
      </c>
      <c r="BF339" s="181"/>
      <c r="BG339" s="181"/>
      <c r="BH339" s="181" t="s">
        <v>491</v>
      </c>
      <c r="BI339" s="181">
        <v>392760344</v>
      </c>
      <c r="BJ339" s="181"/>
      <c r="BK339" s="181"/>
      <c r="BL339" s="181"/>
      <c r="BM339" s="181"/>
      <c r="BN339" s="181"/>
      <c r="BO339" s="181"/>
      <c r="BP339" s="181"/>
      <c r="BQ339" s="181"/>
      <c r="BR339" s="181"/>
      <c r="BS339" s="181"/>
      <c r="BT339" s="181"/>
      <c r="BU339" s="181"/>
      <c r="BV339" s="181"/>
      <c r="BW339" s="181"/>
      <c r="BX339" s="181"/>
      <c r="BY339" s="181"/>
      <c r="BZ339" s="181"/>
      <c r="CA339" s="190"/>
      <c r="CB339" s="3"/>
      <c r="CC339" s="16"/>
      <c r="CD339" s="16"/>
      <c r="CE339" s="16"/>
      <c r="CF339" s="16"/>
      <c r="CG339" s="16"/>
      <c r="CH339" s="16"/>
      <c r="CI339" s="16" t="s">
        <v>3330</v>
      </c>
    </row>
    <row r="340" spans="1:87" ht="29.25">
      <c r="A340" s="16" t="s">
        <v>5</v>
      </c>
      <c r="B340" s="25" t="s">
        <v>3331</v>
      </c>
      <c r="C340" s="3">
        <v>46272</v>
      </c>
      <c r="D340" s="26" t="s">
        <v>1</v>
      </c>
      <c r="E340" s="180" t="s">
        <v>3332</v>
      </c>
      <c r="F340" s="181">
        <v>2026216520052</v>
      </c>
      <c r="G340" s="181">
        <v>40</v>
      </c>
      <c r="H340" s="181">
        <v>34</v>
      </c>
      <c r="I340" s="181" t="s">
        <v>460</v>
      </c>
      <c r="J340" s="181" t="s">
        <v>3332</v>
      </c>
      <c r="K340" s="181" t="s">
        <v>1348</v>
      </c>
      <c r="L340" s="181" t="s">
        <v>17</v>
      </c>
      <c r="M340" s="181">
        <v>12</v>
      </c>
      <c r="N340" s="181" t="s">
        <v>462</v>
      </c>
      <c r="O340" s="181" t="s">
        <v>606</v>
      </c>
      <c r="P340" s="181" t="s">
        <v>3333</v>
      </c>
      <c r="Q340" s="181" t="s">
        <v>465</v>
      </c>
      <c r="R340" s="181" t="s">
        <v>466</v>
      </c>
      <c r="S340" s="181" t="s">
        <v>3334</v>
      </c>
      <c r="T340" s="181" t="s">
        <v>3335</v>
      </c>
      <c r="U340" s="182">
        <v>46260.281944444447</v>
      </c>
      <c r="V340" s="181" t="s">
        <v>469</v>
      </c>
      <c r="W340" s="181" t="s">
        <v>470</v>
      </c>
      <c r="X340" s="181" t="s">
        <v>471</v>
      </c>
      <c r="Y340" s="181" t="s">
        <v>523</v>
      </c>
      <c r="Z340" s="181" t="s">
        <v>473</v>
      </c>
      <c r="AA340" s="181" t="s">
        <v>474</v>
      </c>
      <c r="AB340" s="181" t="s">
        <v>3336</v>
      </c>
      <c r="AC340" s="181" t="s">
        <v>476</v>
      </c>
      <c r="AD340" s="181">
        <v>391231411</v>
      </c>
      <c r="AE340" s="181">
        <v>1285792341</v>
      </c>
      <c r="AF340" s="181">
        <v>1508817073</v>
      </c>
      <c r="AG340" s="181"/>
      <c r="AH340" s="181"/>
      <c r="AI340" s="181" t="s">
        <v>267</v>
      </c>
      <c r="AJ340" s="181" t="s">
        <v>481</v>
      </c>
      <c r="AK340" s="181" t="s">
        <v>3337</v>
      </c>
      <c r="AL340" s="181">
        <v>19203</v>
      </c>
      <c r="AM340" s="181"/>
      <c r="AN340" s="181"/>
      <c r="AO340" s="181">
        <v>310</v>
      </c>
      <c r="AP340" s="181" t="s">
        <v>485</v>
      </c>
      <c r="AQ340" s="181" t="s">
        <v>3338</v>
      </c>
      <c r="AR340" s="183">
        <v>46260</v>
      </c>
      <c r="AS340" s="181" t="s">
        <v>267</v>
      </c>
      <c r="AT340" s="181" t="s">
        <v>3339</v>
      </c>
      <c r="AU340" s="181"/>
      <c r="AV340" s="181" t="s">
        <v>3340</v>
      </c>
      <c r="AW340" s="181"/>
      <c r="AX340" s="181"/>
      <c r="AY340" s="181"/>
      <c r="AZ340" s="181"/>
      <c r="BA340" s="181"/>
      <c r="BB340" s="181"/>
      <c r="BC340" s="181"/>
      <c r="BD340" s="181" t="s">
        <v>267</v>
      </c>
      <c r="BE340" s="181">
        <v>34</v>
      </c>
      <c r="BF340" s="181"/>
      <c r="BG340" s="181"/>
      <c r="BH340" s="181" t="s">
        <v>491</v>
      </c>
      <c r="BI340" s="181">
        <v>390907892</v>
      </c>
      <c r="BJ340" s="181"/>
      <c r="BK340" s="181"/>
      <c r="BL340" s="181"/>
      <c r="BM340" s="181"/>
      <c r="BN340" s="181"/>
      <c r="BO340" s="181"/>
      <c r="BP340" s="181"/>
      <c r="BQ340" s="181"/>
      <c r="BR340" s="181"/>
      <c r="BS340" s="181"/>
      <c r="BT340" s="181"/>
      <c r="BU340" s="181"/>
      <c r="BV340" s="181"/>
      <c r="BW340" s="181"/>
      <c r="BX340" s="181"/>
      <c r="BY340" s="181"/>
      <c r="BZ340" s="181"/>
      <c r="CA340" s="190">
        <v>46285.666666666701</v>
      </c>
      <c r="CB340" s="3"/>
      <c r="CC340" s="16"/>
      <c r="CD340" s="16"/>
      <c r="CE340" s="16"/>
      <c r="CF340" s="16"/>
      <c r="CG340" s="16"/>
      <c r="CH340" s="16"/>
      <c r="CI340" s="16" t="s">
        <v>3341</v>
      </c>
    </row>
    <row r="341" spans="1:87">
      <c r="A341" s="16" t="s">
        <v>5</v>
      </c>
      <c r="B341" s="16" t="s">
        <v>3342</v>
      </c>
      <c r="C341" s="3">
        <v>46272</v>
      </c>
      <c r="D341" s="26" t="s">
        <v>1</v>
      </c>
      <c r="E341" s="180" t="s">
        <v>3343</v>
      </c>
      <c r="F341" s="181">
        <v>2026219720360</v>
      </c>
      <c r="G341" s="181">
        <v>40</v>
      </c>
      <c r="H341" s="181">
        <v>31</v>
      </c>
      <c r="I341" s="181" t="s">
        <v>460</v>
      </c>
      <c r="J341" s="181" t="s">
        <v>3343</v>
      </c>
      <c r="K341" s="181" t="s">
        <v>585</v>
      </c>
      <c r="L341" s="181" t="s">
        <v>17</v>
      </c>
      <c r="M341" s="181">
        <v>7</v>
      </c>
      <c r="N341" s="181" t="s">
        <v>462</v>
      </c>
      <c r="O341" s="181" t="s">
        <v>606</v>
      </c>
      <c r="P341" s="181" t="s">
        <v>3344</v>
      </c>
      <c r="Q341" s="181" t="s">
        <v>465</v>
      </c>
      <c r="R341" s="181" t="s">
        <v>466</v>
      </c>
      <c r="S341" s="181" t="s">
        <v>3345</v>
      </c>
      <c r="T341" s="181" t="s">
        <v>3346</v>
      </c>
      <c r="U341" s="182">
        <v>46265.693749999999</v>
      </c>
      <c r="V341" s="181" t="s">
        <v>469</v>
      </c>
      <c r="W341" s="181" t="s">
        <v>568</v>
      </c>
      <c r="X341" s="181" t="s">
        <v>471</v>
      </c>
      <c r="Y341" s="181" t="s">
        <v>628</v>
      </c>
      <c r="Z341" s="181" t="s">
        <v>731</v>
      </c>
      <c r="AA341" s="181" t="s">
        <v>474</v>
      </c>
      <c r="AB341" s="181" t="s">
        <v>3347</v>
      </c>
      <c r="AC341" s="181" t="s">
        <v>733</v>
      </c>
      <c r="AD341" s="181">
        <v>440577118</v>
      </c>
      <c r="AE341" s="181">
        <v>1407500994</v>
      </c>
      <c r="AF341" s="181">
        <v>1306379524</v>
      </c>
      <c r="AG341" s="181"/>
      <c r="AH341" s="181" t="s">
        <v>1076</v>
      </c>
      <c r="AI341" s="181" t="s">
        <v>22</v>
      </c>
      <c r="AJ341" s="181" t="s">
        <v>481</v>
      </c>
      <c r="AK341" s="181" t="s">
        <v>3348</v>
      </c>
      <c r="AL341" s="181">
        <v>4858.96</v>
      </c>
      <c r="AM341" s="181"/>
      <c r="AN341" s="181"/>
      <c r="AO341" s="181" t="s">
        <v>3326</v>
      </c>
      <c r="AP341" s="181" t="s">
        <v>485</v>
      </c>
      <c r="AQ341" s="181" t="s">
        <v>3349</v>
      </c>
      <c r="AR341" s="183">
        <v>46265</v>
      </c>
      <c r="AS341" s="181" t="s">
        <v>22</v>
      </c>
      <c r="AT341" s="181" t="s">
        <v>3350</v>
      </c>
      <c r="AU341" s="181"/>
      <c r="AV341" s="181" t="s">
        <v>836</v>
      </c>
      <c r="AW341" s="181"/>
      <c r="AX341" s="181"/>
      <c r="AY341" s="181"/>
      <c r="AZ341" s="181"/>
      <c r="BA341" s="181"/>
      <c r="BB341" s="181"/>
      <c r="BC341" s="181"/>
      <c r="BD341" s="181" t="s">
        <v>22</v>
      </c>
      <c r="BE341" s="181">
        <v>31</v>
      </c>
      <c r="BF341" s="181"/>
      <c r="BG341" s="181"/>
      <c r="BH341" s="181" t="s">
        <v>491</v>
      </c>
      <c r="BI341" s="181">
        <v>487646770</v>
      </c>
      <c r="BJ341" s="181"/>
      <c r="BK341" s="181"/>
      <c r="BL341" s="181"/>
      <c r="BM341" s="181"/>
      <c r="BN341" s="181"/>
      <c r="BO341" s="181"/>
      <c r="BP341" s="181"/>
      <c r="BQ341" s="181"/>
      <c r="BR341" s="181"/>
      <c r="BS341" s="181"/>
      <c r="BT341" s="181"/>
      <c r="BU341" s="181"/>
      <c r="BV341" s="181"/>
      <c r="BW341" s="181"/>
      <c r="BX341" s="181"/>
      <c r="BY341" s="181"/>
      <c r="BZ341" s="181"/>
      <c r="CA341" s="190">
        <v>46285.166666666701</v>
      </c>
      <c r="CB341" s="3"/>
      <c r="CC341" s="16"/>
      <c r="CD341" s="16"/>
      <c r="CE341" s="16"/>
      <c r="CF341" s="16"/>
      <c r="CG341" s="16"/>
      <c r="CH341" s="16"/>
      <c r="CI341" s="16" t="s">
        <v>3351</v>
      </c>
    </row>
    <row r="342" spans="1:87">
      <c r="A342" s="16"/>
      <c r="B342" s="16"/>
      <c r="C342" s="3">
        <v>46272</v>
      </c>
      <c r="D342" s="26" t="s">
        <v>1</v>
      </c>
      <c r="E342" s="180" t="s">
        <v>3352</v>
      </c>
      <c r="F342" s="181">
        <v>2026217220706</v>
      </c>
      <c r="G342" s="181">
        <v>40</v>
      </c>
      <c r="H342" s="181">
        <v>33</v>
      </c>
      <c r="I342" s="181" t="s">
        <v>460</v>
      </c>
      <c r="J342" s="181" t="s">
        <v>3352</v>
      </c>
      <c r="K342" s="181" t="s">
        <v>854</v>
      </c>
      <c r="L342" s="181" t="s">
        <v>18</v>
      </c>
      <c r="M342" s="181">
        <v>3</v>
      </c>
      <c r="N342" s="181" t="s">
        <v>462</v>
      </c>
      <c r="O342" s="181" t="s">
        <v>562</v>
      </c>
      <c r="P342" s="181" t="s">
        <v>3353</v>
      </c>
      <c r="Q342" s="181" t="s">
        <v>465</v>
      </c>
      <c r="R342" s="181" t="s">
        <v>466</v>
      </c>
      <c r="S342" s="181" t="s">
        <v>3354</v>
      </c>
      <c r="T342" s="181" t="s">
        <v>3355</v>
      </c>
      <c r="U342" s="182">
        <v>46268.839583333334</v>
      </c>
      <c r="V342" s="181" t="s">
        <v>469</v>
      </c>
      <c r="W342" s="181" t="s">
        <v>568</v>
      </c>
      <c r="X342" s="181" t="s">
        <v>471</v>
      </c>
      <c r="Y342" s="181" t="s">
        <v>628</v>
      </c>
      <c r="Z342" s="181" t="s">
        <v>731</v>
      </c>
      <c r="AA342" s="181" t="s">
        <v>474</v>
      </c>
      <c r="AB342" s="181" t="s">
        <v>3356</v>
      </c>
      <c r="AC342" s="181" t="s">
        <v>733</v>
      </c>
      <c r="AD342" s="181">
        <v>262876334</v>
      </c>
      <c r="AE342" s="181">
        <v>1104082692</v>
      </c>
      <c r="AF342" s="181"/>
      <c r="AG342" s="181"/>
      <c r="AH342" s="181"/>
      <c r="AI342" s="181" t="s">
        <v>21</v>
      </c>
      <c r="AJ342" s="181" t="s">
        <v>481</v>
      </c>
      <c r="AK342" s="181" t="s">
        <v>3357</v>
      </c>
      <c r="AL342" s="181">
        <v>40834.75</v>
      </c>
      <c r="AM342" s="181"/>
      <c r="AN342" s="181"/>
      <c r="AO342" s="181" t="s">
        <v>3326</v>
      </c>
      <c r="AP342" s="181" t="s">
        <v>485</v>
      </c>
      <c r="AQ342" s="181" t="s">
        <v>3358</v>
      </c>
      <c r="AR342" s="183">
        <v>46269</v>
      </c>
      <c r="AS342" s="181" t="s">
        <v>21</v>
      </c>
      <c r="AT342" s="181" t="s">
        <v>3359</v>
      </c>
      <c r="AU342" s="181"/>
      <c r="AV342" s="181" t="s">
        <v>3360</v>
      </c>
      <c r="AW342" s="181"/>
      <c r="AX342" s="181"/>
      <c r="AY342" s="181"/>
      <c r="AZ342" s="181"/>
      <c r="BA342" s="181"/>
      <c r="BB342" s="181"/>
      <c r="BC342" s="181"/>
      <c r="BD342" s="181" t="s">
        <v>21</v>
      </c>
      <c r="BE342" s="181">
        <v>33</v>
      </c>
      <c r="BF342" s="181"/>
      <c r="BG342" s="181"/>
      <c r="BH342" s="181" t="s">
        <v>491</v>
      </c>
      <c r="BI342" s="181">
        <v>489941547</v>
      </c>
      <c r="BJ342" s="181"/>
      <c r="BK342" s="181"/>
      <c r="BL342" s="181"/>
      <c r="BM342" s="181"/>
      <c r="BN342" s="181"/>
      <c r="BO342" s="181"/>
      <c r="BP342" s="181"/>
      <c r="BQ342" s="181"/>
      <c r="BR342" s="181"/>
      <c r="BS342" s="181"/>
      <c r="BT342" s="181"/>
      <c r="BU342" s="181"/>
      <c r="BV342" s="181"/>
      <c r="BW342" s="181"/>
      <c r="BX342" s="181"/>
      <c r="BY342" s="181"/>
      <c r="BZ342" s="181"/>
      <c r="CA342" s="190"/>
      <c r="CB342" s="3"/>
      <c r="CC342" s="16"/>
      <c r="CD342" s="16"/>
      <c r="CE342" s="16"/>
      <c r="CF342" s="16"/>
      <c r="CG342" s="16"/>
      <c r="CH342" s="16"/>
      <c r="CI342" s="16" t="s">
        <v>3361</v>
      </c>
    </row>
    <row r="343" spans="1:87">
      <c r="A343" s="16" t="s">
        <v>5</v>
      </c>
      <c r="B343" s="16" t="s">
        <v>3362</v>
      </c>
      <c r="C343" s="3">
        <v>46272</v>
      </c>
      <c r="D343" s="26" t="s">
        <v>1</v>
      </c>
      <c r="E343" s="180" t="s">
        <v>3363</v>
      </c>
      <c r="F343" s="181">
        <v>2026212430364</v>
      </c>
      <c r="G343" s="181">
        <v>40</v>
      </c>
      <c r="H343" s="181">
        <v>38</v>
      </c>
      <c r="I343" s="181" t="s">
        <v>460</v>
      </c>
      <c r="J343" s="181" t="s">
        <v>3363</v>
      </c>
      <c r="K343" s="181" t="s">
        <v>1260</v>
      </c>
      <c r="L343" s="181" t="s">
        <v>13</v>
      </c>
      <c r="M343" s="181">
        <v>6</v>
      </c>
      <c r="N343" s="181" t="s">
        <v>462</v>
      </c>
      <c r="O343" s="181" t="s">
        <v>606</v>
      </c>
      <c r="P343" s="181" t="s">
        <v>3364</v>
      </c>
      <c r="Q343" s="181" t="s">
        <v>465</v>
      </c>
      <c r="R343" s="181" t="s">
        <v>466</v>
      </c>
      <c r="S343" s="181" t="s">
        <v>3365</v>
      </c>
      <c r="T343" s="181" t="s">
        <v>3123</v>
      </c>
      <c r="U343" s="182">
        <v>46258.81527777778</v>
      </c>
      <c r="V343" s="181" t="s">
        <v>469</v>
      </c>
      <c r="W343" s="181" t="s">
        <v>470</v>
      </c>
      <c r="X343" s="181" t="s">
        <v>471</v>
      </c>
      <c r="Y343" s="181" t="s">
        <v>628</v>
      </c>
      <c r="Z343" s="181" t="s">
        <v>731</v>
      </c>
      <c r="AA343" s="181" t="s">
        <v>474</v>
      </c>
      <c r="AB343" s="181" t="s">
        <v>3366</v>
      </c>
      <c r="AC343" s="181" t="s">
        <v>733</v>
      </c>
      <c r="AD343" s="181">
        <v>430653611</v>
      </c>
      <c r="AE343" s="181">
        <v>1679516033</v>
      </c>
      <c r="AF343" s="181">
        <v>1790103901</v>
      </c>
      <c r="AG343" s="181"/>
      <c r="AH343" s="181"/>
      <c r="AI343" s="181" t="s">
        <v>30</v>
      </c>
      <c r="AJ343" s="181" t="s">
        <v>481</v>
      </c>
      <c r="AK343" s="181" t="s">
        <v>3367</v>
      </c>
      <c r="AL343" s="181">
        <v>9085</v>
      </c>
      <c r="AM343" s="181"/>
      <c r="AN343" s="181"/>
      <c r="AO343" s="181">
        <v>719</v>
      </c>
      <c r="AP343" s="181" t="s">
        <v>485</v>
      </c>
      <c r="AQ343" s="181" t="s">
        <v>3368</v>
      </c>
      <c r="AR343" s="183">
        <v>46266</v>
      </c>
      <c r="AS343" s="181" t="s">
        <v>30</v>
      </c>
      <c r="AT343" s="181" t="s">
        <v>3369</v>
      </c>
      <c r="AU343" s="181"/>
      <c r="AV343" s="181" t="s">
        <v>3370</v>
      </c>
      <c r="AW343" s="181"/>
      <c r="AX343" s="181"/>
      <c r="AY343" s="181"/>
      <c r="AZ343" s="181"/>
      <c r="BA343" s="181"/>
      <c r="BB343" s="181"/>
      <c r="BC343" s="181"/>
      <c r="BD343" s="181" t="s">
        <v>30</v>
      </c>
      <c r="BE343" s="181">
        <v>38</v>
      </c>
      <c r="BF343" s="181"/>
      <c r="BG343" s="181" t="s">
        <v>490</v>
      </c>
      <c r="BH343" s="181" t="s">
        <v>491</v>
      </c>
      <c r="BI343" s="181">
        <v>495785886</v>
      </c>
      <c r="BJ343" s="181"/>
      <c r="BK343" s="181"/>
      <c r="BL343" s="181"/>
      <c r="BM343" s="181"/>
      <c r="BN343" s="181"/>
      <c r="BO343" s="181"/>
      <c r="BP343" s="181"/>
      <c r="BQ343" s="181"/>
      <c r="BR343" s="181"/>
      <c r="BS343" s="181"/>
      <c r="BT343" s="181"/>
      <c r="BU343" s="181"/>
      <c r="BV343" s="181"/>
      <c r="BW343" s="181"/>
      <c r="BX343" s="181"/>
      <c r="BY343" s="181"/>
      <c r="BZ343" s="181"/>
      <c r="CA343" s="190">
        <v>46273.666666666701</v>
      </c>
      <c r="CB343" s="3"/>
      <c r="CC343" s="16"/>
      <c r="CD343" s="16"/>
      <c r="CE343" s="16"/>
      <c r="CF343" s="16"/>
      <c r="CG343" s="16"/>
      <c r="CH343" s="16"/>
      <c r="CI343" s="16" t="s">
        <v>3371</v>
      </c>
    </row>
    <row r="344" spans="1:87">
      <c r="A344" s="16" t="s">
        <v>5</v>
      </c>
      <c r="B344" s="16" t="s">
        <v>3372</v>
      </c>
      <c r="C344" s="3">
        <v>46272</v>
      </c>
      <c r="D344" s="26" t="s">
        <v>1</v>
      </c>
      <c r="E344" s="180" t="s">
        <v>3373</v>
      </c>
      <c r="F344" s="181">
        <v>2026219390362</v>
      </c>
      <c r="G344" s="181">
        <v>40</v>
      </c>
      <c r="H344" s="181">
        <v>31</v>
      </c>
      <c r="I344" s="181" t="s">
        <v>460</v>
      </c>
      <c r="J344" s="181" t="s">
        <v>3373</v>
      </c>
      <c r="K344" s="181" t="s">
        <v>1260</v>
      </c>
      <c r="L344" s="181" t="s">
        <v>13</v>
      </c>
      <c r="M344" s="181">
        <v>4</v>
      </c>
      <c r="N344" s="181" t="s">
        <v>462</v>
      </c>
      <c r="O344" s="181" t="s">
        <v>606</v>
      </c>
      <c r="P344" s="181" t="s">
        <v>3374</v>
      </c>
      <c r="Q344" s="181" t="s">
        <v>465</v>
      </c>
      <c r="R344" s="181" t="s">
        <v>466</v>
      </c>
      <c r="S344" s="181" t="s">
        <v>3375</v>
      </c>
      <c r="T344" s="181" t="s">
        <v>3376</v>
      </c>
      <c r="U344" s="182">
        <v>46268.147222222222</v>
      </c>
      <c r="V344" s="181" t="s">
        <v>469</v>
      </c>
      <c r="W344" s="181" t="s">
        <v>470</v>
      </c>
      <c r="X344" s="181" t="s">
        <v>471</v>
      </c>
      <c r="Y344" s="181" t="s">
        <v>523</v>
      </c>
      <c r="Z344" s="181" t="s">
        <v>731</v>
      </c>
      <c r="AA344" s="181" t="s">
        <v>474</v>
      </c>
      <c r="AB344" s="181" t="s">
        <v>3377</v>
      </c>
      <c r="AC344" s="181" t="s">
        <v>733</v>
      </c>
      <c r="AD344" s="181">
        <v>205953313</v>
      </c>
      <c r="AE344" s="181">
        <v>1740673953</v>
      </c>
      <c r="AF344" s="181"/>
      <c r="AG344" s="181"/>
      <c r="AH344" s="181"/>
      <c r="AI344" s="181" t="s">
        <v>30</v>
      </c>
      <c r="AJ344" s="181" t="s">
        <v>481</v>
      </c>
      <c r="AK344" s="181" t="s">
        <v>3378</v>
      </c>
      <c r="AL344" s="181">
        <v>29620.5</v>
      </c>
      <c r="AM344" s="181"/>
      <c r="AN344" s="181"/>
      <c r="AO344" s="181">
        <v>108</v>
      </c>
      <c r="AP344" s="181" t="s">
        <v>485</v>
      </c>
      <c r="AQ344" s="181" t="s">
        <v>3379</v>
      </c>
      <c r="AR344" s="183">
        <v>46268</v>
      </c>
      <c r="AS344" s="181" t="s">
        <v>30</v>
      </c>
      <c r="AT344" s="181" t="s">
        <v>516</v>
      </c>
      <c r="AU344" s="181"/>
      <c r="AV344" s="181" t="s">
        <v>3380</v>
      </c>
      <c r="AW344" s="181"/>
      <c r="AX344" s="181"/>
      <c r="AY344" s="181"/>
      <c r="AZ344" s="181"/>
      <c r="BA344" s="181"/>
      <c r="BB344" s="181"/>
      <c r="BC344" s="181"/>
      <c r="BD344" s="181" t="s">
        <v>30</v>
      </c>
      <c r="BE344" s="181">
        <v>31</v>
      </c>
      <c r="BF344" s="181"/>
      <c r="BG344" s="181"/>
      <c r="BH344" s="181" t="s">
        <v>491</v>
      </c>
      <c r="BI344" s="181">
        <v>495984482</v>
      </c>
      <c r="BJ344" s="181"/>
      <c r="BK344" s="181"/>
      <c r="BL344" s="181"/>
      <c r="BM344" s="181"/>
      <c r="BN344" s="181"/>
      <c r="BO344" s="181"/>
      <c r="BP344" s="181"/>
      <c r="BQ344" s="181"/>
      <c r="BR344" s="181"/>
      <c r="BS344" s="181"/>
      <c r="BT344" s="181"/>
      <c r="BU344" s="181"/>
      <c r="BV344" s="181"/>
      <c r="BW344" s="181"/>
      <c r="BX344" s="181"/>
      <c r="BY344" s="181"/>
      <c r="BZ344" s="181"/>
      <c r="CA344" s="190">
        <v>46273.666666666701</v>
      </c>
      <c r="CB344" s="3"/>
      <c r="CC344" s="16"/>
      <c r="CD344" s="16"/>
      <c r="CE344" s="16"/>
      <c r="CF344" s="16"/>
      <c r="CG344" s="16"/>
      <c r="CH344" s="16"/>
      <c r="CI344" s="193" t="s">
        <v>3381</v>
      </c>
    </row>
    <row r="345" spans="1:87">
      <c r="A345" s="16" t="s">
        <v>5</v>
      </c>
      <c r="B345" s="16" t="s">
        <v>992</v>
      </c>
      <c r="C345" s="3">
        <v>46272</v>
      </c>
      <c r="D345" s="26" t="s">
        <v>1</v>
      </c>
      <c r="E345" s="180" t="s">
        <v>3382</v>
      </c>
      <c r="F345" s="181">
        <v>2026212730607</v>
      </c>
      <c r="G345" s="181">
        <v>40</v>
      </c>
      <c r="H345" s="181">
        <v>38</v>
      </c>
      <c r="I345" s="181" t="s">
        <v>460</v>
      </c>
      <c r="J345" s="181" t="s">
        <v>3382</v>
      </c>
      <c r="K345" s="181" t="s">
        <v>994</v>
      </c>
      <c r="L345" s="181" t="s">
        <v>17</v>
      </c>
      <c r="M345" s="181">
        <v>13</v>
      </c>
      <c r="N345" s="181" t="s">
        <v>462</v>
      </c>
      <c r="O345" s="181" t="s">
        <v>606</v>
      </c>
      <c r="P345" s="181" t="s">
        <v>3383</v>
      </c>
      <c r="Q345" s="181" t="s">
        <v>465</v>
      </c>
      <c r="R345" s="181" t="s">
        <v>466</v>
      </c>
      <c r="S345" s="181" t="s">
        <v>3384</v>
      </c>
      <c r="T345" s="181" t="s">
        <v>3385</v>
      </c>
      <c r="U345" s="182">
        <v>46258.831944444442</v>
      </c>
      <c r="V345" s="181" t="s">
        <v>469</v>
      </c>
      <c r="W345" s="181" t="s">
        <v>470</v>
      </c>
      <c r="X345" s="181" t="s">
        <v>471</v>
      </c>
      <c r="Y345" s="181" t="s">
        <v>523</v>
      </c>
      <c r="Z345" s="181" t="s">
        <v>731</v>
      </c>
      <c r="AA345" s="181" t="s">
        <v>474</v>
      </c>
      <c r="AB345" s="181" t="s">
        <v>3386</v>
      </c>
      <c r="AC345" s="181" t="s">
        <v>733</v>
      </c>
      <c r="AD345" s="181">
        <v>430653611</v>
      </c>
      <c r="AE345" s="181">
        <v>1619860913</v>
      </c>
      <c r="AF345" s="181">
        <v>1093078115</v>
      </c>
      <c r="AG345" s="181"/>
      <c r="AH345" s="181"/>
      <c r="AI345" s="181" t="s">
        <v>107</v>
      </c>
      <c r="AJ345" s="181" t="s">
        <v>481</v>
      </c>
      <c r="AK345" s="181" t="s">
        <v>3387</v>
      </c>
      <c r="AL345" s="181">
        <v>5990</v>
      </c>
      <c r="AM345" s="181"/>
      <c r="AN345" s="181"/>
      <c r="AO345" s="181">
        <v>796</v>
      </c>
      <c r="AP345" s="181" t="s">
        <v>485</v>
      </c>
      <c r="AQ345" s="181" t="s">
        <v>3388</v>
      </c>
      <c r="AR345" s="183">
        <v>46259</v>
      </c>
      <c r="AS345" s="181" t="s">
        <v>107</v>
      </c>
      <c r="AT345" s="181" t="s">
        <v>998</v>
      </c>
      <c r="AU345" s="181"/>
      <c r="AV345" s="181" t="s">
        <v>2293</v>
      </c>
      <c r="AW345" s="181"/>
      <c r="AX345" s="181"/>
      <c r="AY345" s="181"/>
      <c r="AZ345" s="181"/>
      <c r="BA345" s="181"/>
      <c r="BB345" s="181"/>
      <c r="BC345" s="181"/>
      <c r="BD345" s="181" t="s">
        <v>107</v>
      </c>
      <c r="BE345" s="181">
        <v>38</v>
      </c>
      <c r="BF345" s="181"/>
      <c r="BG345" s="181" t="s">
        <v>490</v>
      </c>
      <c r="BH345" s="181" t="s">
        <v>491</v>
      </c>
      <c r="BI345" s="181">
        <v>500784544</v>
      </c>
      <c r="BJ345" s="181"/>
      <c r="BK345" s="181"/>
      <c r="BL345" s="181"/>
      <c r="BM345" s="181"/>
      <c r="BN345" s="181"/>
      <c r="BO345" s="181"/>
      <c r="BP345" s="181"/>
      <c r="BQ345" s="181"/>
      <c r="BR345" s="181"/>
      <c r="BS345" s="181"/>
      <c r="BT345" s="181"/>
      <c r="BU345" s="181"/>
      <c r="BV345" s="181"/>
      <c r="BW345" s="181"/>
      <c r="BX345" s="181"/>
      <c r="BY345" s="181"/>
      <c r="BZ345" s="181"/>
      <c r="CA345" s="190">
        <v>46285.666666666701</v>
      </c>
      <c r="CB345" s="3"/>
      <c r="CC345" s="16"/>
      <c r="CD345" s="16"/>
      <c r="CE345" s="16"/>
      <c r="CF345" s="16"/>
      <c r="CG345" s="16"/>
      <c r="CH345" s="16"/>
      <c r="CI345" s="16" t="s">
        <v>3389</v>
      </c>
    </row>
    <row r="346" spans="1:87">
      <c r="A346" s="16"/>
      <c r="B346" s="16"/>
      <c r="C346" s="3">
        <v>46272</v>
      </c>
      <c r="D346" s="26" t="s">
        <v>1</v>
      </c>
      <c r="E346" s="180" t="s">
        <v>3390</v>
      </c>
      <c r="F346" s="181">
        <v>2026206840282</v>
      </c>
      <c r="G346" s="181">
        <v>40</v>
      </c>
      <c r="H346" s="181">
        <v>45</v>
      </c>
      <c r="I346" s="181" t="s">
        <v>460</v>
      </c>
      <c r="J346" s="181" t="s">
        <v>3390</v>
      </c>
      <c r="K346" s="181" t="s">
        <v>983</v>
      </c>
      <c r="L346" s="181" t="s">
        <v>17</v>
      </c>
      <c r="M346" s="181">
        <v>18</v>
      </c>
      <c r="N346" s="181" t="s">
        <v>462</v>
      </c>
      <c r="O346" s="181" t="s">
        <v>606</v>
      </c>
      <c r="P346" s="181" t="s">
        <v>3391</v>
      </c>
      <c r="Q346" s="181" t="s">
        <v>465</v>
      </c>
      <c r="R346" s="181" t="s">
        <v>466</v>
      </c>
      <c r="S346" s="181" t="s">
        <v>3392</v>
      </c>
      <c r="T346" s="181" t="s">
        <v>3393</v>
      </c>
      <c r="U346" s="182">
        <v>46253.984722222223</v>
      </c>
      <c r="V346" s="181" t="s">
        <v>469</v>
      </c>
      <c r="W346" s="181" t="s">
        <v>568</v>
      </c>
      <c r="X346" s="181" t="s">
        <v>471</v>
      </c>
      <c r="Y346" s="181" t="s">
        <v>628</v>
      </c>
      <c r="Z346" s="181" t="s">
        <v>524</v>
      </c>
      <c r="AA346" s="181" t="s">
        <v>474</v>
      </c>
      <c r="AB346" s="181" t="s">
        <v>3394</v>
      </c>
      <c r="AC346" s="181" t="s">
        <v>526</v>
      </c>
      <c r="AD346" s="181">
        <v>310588183</v>
      </c>
      <c r="AE346" s="181">
        <v>1013942101</v>
      </c>
      <c r="AF346" s="181">
        <v>1578725008</v>
      </c>
      <c r="AG346" s="181"/>
      <c r="AH346" s="181"/>
      <c r="AI346" s="181" t="s">
        <v>34</v>
      </c>
      <c r="AJ346" s="181" t="s">
        <v>481</v>
      </c>
      <c r="AK346" s="181" t="s">
        <v>3395</v>
      </c>
      <c r="AL346" s="181">
        <v>22955</v>
      </c>
      <c r="AM346" s="181"/>
      <c r="AN346" s="181"/>
      <c r="AO346" s="181">
        <v>975</v>
      </c>
      <c r="AP346" s="181" t="s">
        <v>485</v>
      </c>
      <c r="AQ346" s="181" t="s">
        <v>3396</v>
      </c>
      <c r="AR346" s="183">
        <v>46254</v>
      </c>
      <c r="AS346" s="181" t="s">
        <v>34</v>
      </c>
      <c r="AT346" s="181" t="s">
        <v>794</v>
      </c>
      <c r="AU346" s="181"/>
      <c r="AV346" s="181" t="s">
        <v>3397</v>
      </c>
      <c r="AW346" s="181"/>
      <c r="AX346" s="181"/>
      <c r="AY346" s="181"/>
      <c r="AZ346" s="181"/>
      <c r="BA346" s="181"/>
      <c r="BB346" s="181"/>
      <c r="BC346" s="181"/>
      <c r="BD346" s="181" t="s">
        <v>34</v>
      </c>
      <c r="BE346" s="181">
        <v>44</v>
      </c>
      <c r="BF346" s="181"/>
      <c r="BG346" s="181"/>
      <c r="BH346" s="181" t="s">
        <v>491</v>
      </c>
      <c r="BI346" s="181">
        <v>278640880</v>
      </c>
      <c r="BJ346" s="181"/>
      <c r="BK346" s="181"/>
      <c r="BL346" s="181"/>
      <c r="BM346" s="181"/>
      <c r="BN346" s="181"/>
      <c r="BO346" s="181"/>
      <c r="BP346" s="181"/>
      <c r="BQ346" s="181"/>
      <c r="BR346" s="181"/>
      <c r="BS346" s="181"/>
      <c r="BT346" s="181"/>
      <c r="BU346" s="181"/>
      <c r="BV346" s="181"/>
      <c r="BW346" s="181"/>
      <c r="BX346" s="181"/>
      <c r="BY346" s="181"/>
      <c r="BZ346" s="181"/>
      <c r="CA346" s="190"/>
      <c r="CB346" s="3"/>
      <c r="CC346" s="16"/>
      <c r="CD346" s="16"/>
      <c r="CE346" s="16"/>
      <c r="CF346" s="16"/>
      <c r="CG346" s="16"/>
      <c r="CH346" s="16"/>
      <c r="CI346" s="16" t="s">
        <v>3398</v>
      </c>
    </row>
    <row r="347" spans="1:87">
      <c r="A347" s="16"/>
      <c r="B347" s="16"/>
      <c r="C347" s="3">
        <v>46272</v>
      </c>
      <c r="D347" s="26" t="s">
        <v>1</v>
      </c>
      <c r="E347" s="180" t="s">
        <v>3399</v>
      </c>
      <c r="F347" s="181">
        <v>2026206000175</v>
      </c>
      <c r="G347" s="181">
        <v>40</v>
      </c>
      <c r="H347" s="181">
        <v>45</v>
      </c>
      <c r="I347" s="181" t="s">
        <v>460</v>
      </c>
      <c r="J347" s="181" t="s">
        <v>3399</v>
      </c>
      <c r="K347" s="181" t="s">
        <v>839</v>
      </c>
      <c r="L347" s="181" t="s">
        <v>18</v>
      </c>
      <c r="M347" s="181">
        <v>14</v>
      </c>
      <c r="N347" s="181" t="s">
        <v>462</v>
      </c>
      <c r="O347" s="181" t="s">
        <v>606</v>
      </c>
      <c r="P347" s="181" t="s">
        <v>3400</v>
      </c>
      <c r="Q347" s="181" t="s">
        <v>465</v>
      </c>
      <c r="R347" s="181" t="s">
        <v>466</v>
      </c>
      <c r="S347" s="181" t="s">
        <v>3401</v>
      </c>
      <c r="T347" s="181" t="s">
        <v>2360</v>
      </c>
      <c r="U347" s="182">
        <v>46257.950694444444</v>
      </c>
      <c r="V347" s="181" t="s">
        <v>469</v>
      </c>
      <c r="W347" s="181" t="s">
        <v>568</v>
      </c>
      <c r="X347" s="181" t="s">
        <v>471</v>
      </c>
      <c r="Y347" s="181" t="s">
        <v>628</v>
      </c>
      <c r="Z347" s="181" t="s">
        <v>524</v>
      </c>
      <c r="AA347" s="181" t="s">
        <v>474</v>
      </c>
      <c r="AB347" s="181" t="s">
        <v>3402</v>
      </c>
      <c r="AC347" s="181" t="s">
        <v>526</v>
      </c>
      <c r="AD347" s="181">
        <v>314379509</v>
      </c>
      <c r="AE347" s="181">
        <v>1215936927</v>
      </c>
      <c r="AF347" s="181">
        <v>1639326804</v>
      </c>
      <c r="AG347" s="181"/>
      <c r="AH347" s="181"/>
      <c r="AI347" s="181" t="s">
        <v>159</v>
      </c>
      <c r="AJ347" s="181" t="s">
        <v>481</v>
      </c>
      <c r="AK347" s="181" t="s">
        <v>3403</v>
      </c>
      <c r="AL347" s="181">
        <v>501.77</v>
      </c>
      <c r="AM347" s="181"/>
      <c r="AN347" s="181"/>
      <c r="AO347" s="181" t="s">
        <v>2856</v>
      </c>
      <c r="AP347" s="181" t="s">
        <v>485</v>
      </c>
      <c r="AQ347" s="181" t="s">
        <v>3404</v>
      </c>
      <c r="AR347" s="183">
        <v>46258</v>
      </c>
      <c r="AS347" s="181" t="s">
        <v>159</v>
      </c>
      <c r="AT347" s="181" t="s">
        <v>843</v>
      </c>
      <c r="AU347" s="181"/>
      <c r="AV347" s="181" t="s">
        <v>2365</v>
      </c>
      <c r="AW347" s="181"/>
      <c r="AX347" s="181"/>
      <c r="AY347" s="181"/>
      <c r="AZ347" s="181"/>
      <c r="BA347" s="181"/>
      <c r="BB347" s="181"/>
      <c r="BC347" s="181"/>
      <c r="BD347" s="181" t="s">
        <v>159</v>
      </c>
      <c r="BE347" s="181">
        <v>44</v>
      </c>
      <c r="BF347" s="181"/>
      <c r="BG347" s="181"/>
      <c r="BH347" s="181" t="s">
        <v>491</v>
      </c>
      <c r="BI347" s="181">
        <v>46665742</v>
      </c>
      <c r="BJ347" s="181"/>
      <c r="BK347" s="181"/>
      <c r="BL347" s="181"/>
      <c r="BM347" s="181"/>
      <c r="BN347" s="181"/>
      <c r="BO347" s="181"/>
      <c r="BP347" s="181"/>
      <c r="BQ347" s="181"/>
      <c r="BR347" s="181"/>
      <c r="BS347" s="181"/>
      <c r="BT347" s="181"/>
      <c r="BU347" s="181"/>
      <c r="BV347" s="181"/>
      <c r="BW347" s="181"/>
      <c r="BX347" s="181"/>
      <c r="BY347" s="181"/>
      <c r="BZ347" s="181"/>
      <c r="CA347" s="190"/>
      <c r="CB347" s="3"/>
      <c r="CC347" s="16"/>
      <c r="CD347" s="16"/>
      <c r="CE347" s="16"/>
      <c r="CF347" s="16"/>
      <c r="CG347" s="16"/>
      <c r="CH347" s="16"/>
      <c r="CI347" s="16" t="s">
        <v>3405</v>
      </c>
    </row>
    <row r="348" spans="1:87">
      <c r="A348" s="16" t="s">
        <v>5</v>
      </c>
      <c r="B348" s="16" t="s">
        <v>516</v>
      </c>
      <c r="C348" s="3">
        <v>46272</v>
      </c>
      <c r="D348" s="26" t="s">
        <v>1</v>
      </c>
      <c r="E348" s="180" t="s">
        <v>3406</v>
      </c>
      <c r="F348" s="181">
        <v>2026216100401</v>
      </c>
      <c r="G348" s="181">
        <v>40</v>
      </c>
      <c r="H348" s="181">
        <v>34</v>
      </c>
      <c r="I348" s="181" t="s">
        <v>460</v>
      </c>
      <c r="J348" s="181" t="s">
        <v>3406</v>
      </c>
      <c r="K348" s="181" t="s">
        <v>518</v>
      </c>
      <c r="L348" s="181" t="s">
        <v>17</v>
      </c>
      <c r="M348" s="181">
        <v>11</v>
      </c>
      <c r="N348" s="181" t="s">
        <v>462</v>
      </c>
      <c r="O348" s="181" t="s">
        <v>606</v>
      </c>
      <c r="P348" s="181" t="s">
        <v>3407</v>
      </c>
      <c r="Q348" s="181" t="s">
        <v>465</v>
      </c>
      <c r="R348" s="181" t="s">
        <v>466</v>
      </c>
      <c r="S348" s="181" t="s">
        <v>3408</v>
      </c>
      <c r="T348" s="181" t="s">
        <v>3409</v>
      </c>
      <c r="U348" s="182">
        <v>46260.790277777778</v>
      </c>
      <c r="V348" s="181" t="s">
        <v>469</v>
      </c>
      <c r="W348" s="181" t="s">
        <v>568</v>
      </c>
      <c r="X348" s="181" t="s">
        <v>471</v>
      </c>
      <c r="Y348" s="181" t="s">
        <v>628</v>
      </c>
      <c r="Z348" s="181" t="s">
        <v>1292</v>
      </c>
      <c r="AA348" s="181" t="s">
        <v>474</v>
      </c>
      <c r="AB348" s="181" t="s">
        <v>3410</v>
      </c>
      <c r="AC348" s="181" t="s">
        <v>1294</v>
      </c>
      <c r="AD348" s="181">
        <v>611276316</v>
      </c>
      <c r="AE348" s="181">
        <v>1922288760</v>
      </c>
      <c r="AF348" s="181">
        <v>1265827471</v>
      </c>
      <c r="AG348" s="181"/>
      <c r="AH348" s="181"/>
      <c r="AI348" s="181" t="s">
        <v>87</v>
      </c>
      <c r="AJ348" s="181" t="s">
        <v>481</v>
      </c>
      <c r="AK348" s="181" t="s">
        <v>3411</v>
      </c>
      <c r="AL348" s="181">
        <v>7132</v>
      </c>
      <c r="AM348" s="181"/>
      <c r="AN348" s="181"/>
      <c r="AO348" s="181" t="s">
        <v>3326</v>
      </c>
      <c r="AP348" s="181" t="s">
        <v>485</v>
      </c>
      <c r="AQ348" s="181" t="s">
        <v>3412</v>
      </c>
      <c r="AR348" s="183">
        <v>46261</v>
      </c>
      <c r="AS348" s="181" t="s">
        <v>87</v>
      </c>
      <c r="AT348" s="181" t="s">
        <v>516</v>
      </c>
      <c r="AU348" s="181"/>
      <c r="AV348" s="181" t="s">
        <v>3413</v>
      </c>
      <c r="AW348" s="181"/>
      <c r="AX348" s="181"/>
      <c r="AY348" s="181"/>
      <c r="AZ348" s="181"/>
      <c r="BA348" s="181"/>
      <c r="BB348" s="181"/>
      <c r="BC348" s="181"/>
      <c r="BD348" s="181" t="s">
        <v>87</v>
      </c>
      <c r="BE348" s="181">
        <v>34</v>
      </c>
      <c r="BF348" s="181"/>
      <c r="BG348" s="181"/>
      <c r="BH348" s="181" t="s">
        <v>491</v>
      </c>
      <c r="BI348" s="181">
        <v>402088082</v>
      </c>
      <c r="BJ348" s="181"/>
      <c r="BK348" s="181"/>
      <c r="BL348" s="181"/>
      <c r="BM348" s="181"/>
      <c r="BN348" s="181"/>
      <c r="BO348" s="181"/>
      <c r="BP348" s="181"/>
      <c r="BQ348" s="181"/>
      <c r="BR348" s="181"/>
      <c r="BS348" s="181"/>
      <c r="BT348" s="181"/>
      <c r="BU348" s="181"/>
      <c r="BV348" s="181"/>
      <c r="BW348" s="181"/>
      <c r="BX348" s="181"/>
      <c r="BY348" s="181"/>
      <c r="BZ348" s="181"/>
      <c r="CA348" s="190">
        <v>46274.666666666701</v>
      </c>
      <c r="CB348" s="3"/>
      <c r="CC348" s="16"/>
      <c r="CD348" s="16"/>
      <c r="CE348" s="16"/>
      <c r="CF348" s="16"/>
      <c r="CG348" s="16"/>
      <c r="CH348" s="16"/>
      <c r="CI348" s="193" t="s">
        <v>3414</v>
      </c>
    </row>
    <row r="349" spans="1:87">
      <c r="A349" s="16"/>
      <c r="B349" s="16"/>
      <c r="C349" s="3">
        <v>46272</v>
      </c>
      <c r="D349" s="26" t="s">
        <v>1</v>
      </c>
      <c r="E349" s="180" t="s">
        <v>3415</v>
      </c>
      <c r="F349" s="181">
        <v>2026220430127</v>
      </c>
      <c r="G349" s="181">
        <v>40</v>
      </c>
      <c r="H349" s="181">
        <v>31</v>
      </c>
      <c r="I349" s="181" t="s">
        <v>460</v>
      </c>
      <c r="J349" s="181" t="s">
        <v>3415</v>
      </c>
      <c r="K349" s="181" t="s">
        <v>3416</v>
      </c>
      <c r="L349" s="181" t="s">
        <v>1760</v>
      </c>
      <c r="M349" s="181">
        <v>3</v>
      </c>
      <c r="N349" s="181" t="s">
        <v>462</v>
      </c>
      <c r="O349" s="181" t="s">
        <v>497</v>
      </c>
      <c r="P349" s="181" t="s">
        <v>3417</v>
      </c>
      <c r="Q349" s="181" t="s">
        <v>465</v>
      </c>
      <c r="R349" s="181" t="s">
        <v>466</v>
      </c>
      <c r="S349" s="181" t="s">
        <v>3418</v>
      </c>
      <c r="T349" s="181" t="s">
        <v>3419</v>
      </c>
      <c r="U349" s="182">
        <v>46272.6</v>
      </c>
      <c r="V349" s="181" t="s">
        <v>469</v>
      </c>
      <c r="W349" s="181" t="s">
        <v>568</v>
      </c>
      <c r="X349" s="181" t="s">
        <v>471</v>
      </c>
      <c r="Y349" s="181" t="s">
        <v>628</v>
      </c>
      <c r="Z349" s="181" t="s">
        <v>1292</v>
      </c>
      <c r="AA349" s="181" t="s">
        <v>474</v>
      </c>
      <c r="AB349" s="181" t="s">
        <v>3420</v>
      </c>
      <c r="AC349" s="181" t="s">
        <v>1294</v>
      </c>
      <c r="AD349" s="181">
        <v>610920842</v>
      </c>
      <c r="AE349" s="181">
        <v>1043293608</v>
      </c>
      <c r="AF349" s="181"/>
      <c r="AG349" s="181"/>
      <c r="AH349" s="181"/>
      <c r="AI349" s="181" t="s">
        <v>3421</v>
      </c>
      <c r="AJ349" s="181" t="s">
        <v>481</v>
      </c>
      <c r="AK349" s="181" t="s">
        <v>3422</v>
      </c>
      <c r="AL349" s="181">
        <v>35625.78</v>
      </c>
      <c r="AM349" s="181"/>
      <c r="AN349" s="181"/>
      <c r="AO349" s="181">
        <v>955</v>
      </c>
      <c r="AP349" s="181" t="s">
        <v>485</v>
      </c>
      <c r="AQ349" s="181" t="s">
        <v>3423</v>
      </c>
      <c r="AR349" s="183">
        <v>46269</v>
      </c>
      <c r="AS349" s="181" t="s">
        <v>3421</v>
      </c>
      <c r="AT349" s="181" t="s">
        <v>3424</v>
      </c>
      <c r="AU349" s="181"/>
      <c r="AV349" s="181" t="s">
        <v>3425</v>
      </c>
      <c r="AW349" s="181"/>
      <c r="AX349" s="181"/>
      <c r="AY349" s="181"/>
      <c r="AZ349" s="181"/>
      <c r="BA349" s="181"/>
      <c r="BB349" s="181"/>
      <c r="BC349" s="181"/>
      <c r="BD349" s="181" t="s">
        <v>3421</v>
      </c>
      <c r="BE349" s="181">
        <v>30</v>
      </c>
      <c r="BF349" s="181"/>
      <c r="BG349" s="181"/>
      <c r="BH349" s="181" t="s">
        <v>491</v>
      </c>
      <c r="BI349" s="181">
        <v>404330463</v>
      </c>
      <c r="BJ349" s="181"/>
      <c r="BK349" s="181"/>
      <c r="BL349" s="181"/>
      <c r="BM349" s="181"/>
      <c r="BN349" s="181"/>
      <c r="BO349" s="181"/>
      <c r="BP349" s="181"/>
      <c r="BQ349" s="181"/>
      <c r="BR349" s="181"/>
      <c r="BS349" s="181"/>
      <c r="BT349" s="181"/>
      <c r="BU349" s="181"/>
      <c r="BV349" s="181"/>
      <c r="BW349" s="181"/>
      <c r="BX349" s="181"/>
      <c r="BY349" s="181"/>
      <c r="BZ349" s="181"/>
      <c r="CA349" s="190"/>
      <c r="CB349" s="3"/>
      <c r="CC349" s="16"/>
      <c r="CD349" s="16"/>
      <c r="CE349" s="16"/>
      <c r="CF349" s="16"/>
      <c r="CG349" s="16"/>
      <c r="CH349" s="16"/>
      <c r="CI349" s="16" t="s">
        <v>3426</v>
      </c>
    </row>
    <row r="350" spans="1:87">
      <c r="A350" s="16" t="s">
        <v>5</v>
      </c>
      <c r="B350" s="16" t="s">
        <v>2614</v>
      </c>
      <c r="C350" s="3">
        <v>46272</v>
      </c>
      <c r="D350" s="26" t="s">
        <v>1</v>
      </c>
      <c r="E350" s="180" t="s">
        <v>3427</v>
      </c>
      <c r="F350" s="181">
        <v>2026214950223</v>
      </c>
      <c r="G350" s="181">
        <v>40</v>
      </c>
      <c r="H350" s="181">
        <v>36</v>
      </c>
      <c r="I350" s="181" t="s">
        <v>460</v>
      </c>
      <c r="J350" s="181" t="s">
        <v>3427</v>
      </c>
      <c r="K350" s="181" t="s">
        <v>1371</v>
      </c>
      <c r="L350" s="181" t="s">
        <v>17</v>
      </c>
      <c r="M350" s="181">
        <v>5</v>
      </c>
      <c r="N350" s="181" t="s">
        <v>462</v>
      </c>
      <c r="O350" s="181" t="s">
        <v>2575</v>
      </c>
      <c r="P350" s="181" t="s">
        <v>3428</v>
      </c>
      <c r="Q350" s="181" t="s">
        <v>465</v>
      </c>
      <c r="R350" s="181" t="s">
        <v>466</v>
      </c>
      <c r="S350" s="181" t="s">
        <v>3429</v>
      </c>
      <c r="T350" s="181" t="s">
        <v>3430</v>
      </c>
      <c r="U350" s="182">
        <v>46267.627083333333</v>
      </c>
      <c r="V350" s="181" t="s">
        <v>469</v>
      </c>
      <c r="W350" s="181" t="s">
        <v>470</v>
      </c>
      <c r="X350" s="181" t="s">
        <v>471</v>
      </c>
      <c r="Y350" s="181" t="s">
        <v>523</v>
      </c>
      <c r="Z350" s="181" t="s">
        <v>1292</v>
      </c>
      <c r="AA350" s="181" t="s">
        <v>474</v>
      </c>
      <c r="AB350" s="181" t="s">
        <v>3431</v>
      </c>
      <c r="AC350" s="181" t="s">
        <v>1294</v>
      </c>
      <c r="AD350" s="181">
        <v>621772321</v>
      </c>
      <c r="AE350" s="181">
        <v>1811213994</v>
      </c>
      <c r="AF350" s="181"/>
      <c r="AG350" s="181"/>
      <c r="AH350" s="181"/>
      <c r="AI350" s="181" t="s">
        <v>164</v>
      </c>
      <c r="AJ350" s="181" t="s">
        <v>481</v>
      </c>
      <c r="AK350" s="181" t="s">
        <v>3432</v>
      </c>
      <c r="AL350" s="181">
        <v>58547.56</v>
      </c>
      <c r="AM350" s="181"/>
      <c r="AN350" s="181"/>
      <c r="AO350" s="181">
        <v>728</v>
      </c>
      <c r="AP350" s="181" t="s">
        <v>485</v>
      </c>
      <c r="AQ350" s="181" t="s">
        <v>3433</v>
      </c>
      <c r="AR350" s="183">
        <v>46267</v>
      </c>
      <c r="AS350" s="181" t="s">
        <v>164</v>
      </c>
      <c r="AT350" s="181" t="s">
        <v>2622</v>
      </c>
      <c r="AU350" s="181"/>
      <c r="AV350" s="181" t="s">
        <v>3434</v>
      </c>
      <c r="AW350" s="181"/>
      <c r="AX350" s="181"/>
      <c r="AY350" s="181"/>
      <c r="AZ350" s="181"/>
      <c r="BA350" s="181"/>
      <c r="BB350" s="181"/>
      <c r="BC350" s="181"/>
      <c r="BD350" s="181" t="s">
        <v>164</v>
      </c>
      <c r="BE350" s="181">
        <v>36</v>
      </c>
      <c r="BF350" s="181"/>
      <c r="BG350" s="181" t="s">
        <v>490</v>
      </c>
      <c r="BH350" s="181" t="s">
        <v>491</v>
      </c>
      <c r="BI350" s="181">
        <v>365924912</v>
      </c>
      <c r="BJ350" s="181"/>
      <c r="BK350" s="181"/>
      <c r="BL350" s="181"/>
      <c r="BM350" s="181"/>
      <c r="BN350" s="181"/>
      <c r="BO350" s="181"/>
      <c r="BP350" s="181"/>
      <c r="BQ350" s="181"/>
      <c r="BR350" s="181"/>
      <c r="BS350" s="181"/>
      <c r="BT350" s="181"/>
      <c r="BU350" s="181"/>
      <c r="BV350" s="181"/>
      <c r="BW350" s="181"/>
      <c r="BX350" s="181"/>
      <c r="BY350" s="181"/>
      <c r="BZ350" s="181"/>
      <c r="CA350" s="190">
        <v>46280.666666666701</v>
      </c>
      <c r="CB350" s="3"/>
      <c r="CC350" s="16"/>
      <c r="CD350" s="16"/>
      <c r="CE350" s="16"/>
      <c r="CF350" s="16"/>
      <c r="CG350" s="16"/>
      <c r="CH350" s="16"/>
      <c r="CI350" s="16" t="s">
        <v>3435</v>
      </c>
    </row>
    <row r="351" spans="1:87">
      <c r="A351" s="16"/>
      <c r="B351" s="16"/>
      <c r="C351" s="3">
        <v>46272</v>
      </c>
      <c r="D351" s="26" t="s">
        <v>1</v>
      </c>
      <c r="E351" s="180" t="s">
        <v>3436</v>
      </c>
      <c r="F351" s="181">
        <v>2026219080461</v>
      </c>
      <c r="G351" s="181">
        <v>40</v>
      </c>
      <c r="H351" s="181">
        <v>31</v>
      </c>
      <c r="I351" s="181" t="s">
        <v>460</v>
      </c>
      <c r="J351" s="181" t="s">
        <v>3436</v>
      </c>
      <c r="K351" s="181" t="s">
        <v>983</v>
      </c>
      <c r="L351" s="181" t="s">
        <v>17</v>
      </c>
      <c r="M351" s="181">
        <v>7</v>
      </c>
      <c r="N351" s="181" t="s">
        <v>462</v>
      </c>
      <c r="O351" s="181" t="s">
        <v>497</v>
      </c>
      <c r="P351" s="181" t="s">
        <v>3437</v>
      </c>
      <c r="Q351" s="181" t="s">
        <v>465</v>
      </c>
      <c r="R351" s="181" t="s">
        <v>466</v>
      </c>
      <c r="S351" s="181" t="s">
        <v>3438</v>
      </c>
      <c r="T351" s="181" t="s">
        <v>3439</v>
      </c>
      <c r="U351" s="182">
        <v>46265.70208333333</v>
      </c>
      <c r="V351" s="181" t="s">
        <v>469</v>
      </c>
      <c r="W351" s="181" t="s">
        <v>470</v>
      </c>
      <c r="X351" s="181" t="s">
        <v>471</v>
      </c>
      <c r="Y351" s="181" t="s">
        <v>628</v>
      </c>
      <c r="Z351" s="181" t="s">
        <v>1292</v>
      </c>
      <c r="AA351" s="181" t="s">
        <v>474</v>
      </c>
      <c r="AB351" s="181" t="s">
        <v>3440</v>
      </c>
      <c r="AC351" s="181" t="s">
        <v>1294</v>
      </c>
      <c r="AD351" s="181">
        <v>332023779</v>
      </c>
      <c r="AE351" s="181">
        <v>1457176695</v>
      </c>
      <c r="AF351" s="181">
        <v>1033686555</v>
      </c>
      <c r="AG351" s="181"/>
      <c r="AH351" s="181"/>
      <c r="AI351" s="181" t="s">
        <v>34</v>
      </c>
      <c r="AJ351" s="181" t="s">
        <v>481</v>
      </c>
      <c r="AK351" s="181" t="s">
        <v>3441</v>
      </c>
      <c r="AL351" s="181">
        <v>420.01</v>
      </c>
      <c r="AM351" s="181"/>
      <c r="AN351" s="181"/>
      <c r="AO351" s="181">
        <v>895</v>
      </c>
      <c r="AP351" s="181" t="s">
        <v>485</v>
      </c>
      <c r="AQ351" s="181" t="s">
        <v>3442</v>
      </c>
      <c r="AR351" s="183">
        <v>46265</v>
      </c>
      <c r="AS351" s="181" t="s">
        <v>34</v>
      </c>
      <c r="AT351" s="181" t="s">
        <v>3443</v>
      </c>
      <c r="AU351" s="181"/>
      <c r="AV351" s="181" t="s">
        <v>3444</v>
      </c>
      <c r="AW351" s="181"/>
      <c r="AX351" s="181"/>
      <c r="AY351" s="181"/>
      <c r="AZ351" s="181"/>
      <c r="BA351" s="181"/>
      <c r="BB351" s="181"/>
      <c r="BC351" s="181"/>
      <c r="BD351" s="181" t="s">
        <v>34</v>
      </c>
      <c r="BE351" s="181">
        <v>31</v>
      </c>
      <c r="BF351" s="181"/>
      <c r="BG351" s="181" t="s">
        <v>490</v>
      </c>
      <c r="BH351" s="181" t="s">
        <v>491</v>
      </c>
      <c r="BI351" s="181">
        <v>589058068</v>
      </c>
      <c r="BJ351" s="181"/>
      <c r="BK351" s="181"/>
      <c r="BL351" s="181"/>
      <c r="BM351" s="181"/>
      <c r="BN351" s="181"/>
      <c r="BO351" s="181"/>
      <c r="BP351" s="181"/>
      <c r="BQ351" s="181"/>
      <c r="BR351" s="181"/>
      <c r="BS351" s="181"/>
      <c r="BT351" s="181"/>
      <c r="BU351" s="181"/>
      <c r="BV351" s="181"/>
      <c r="BW351" s="181"/>
      <c r="BX351" s="181"/>
      <c r="BY351" s="181"/>
      <c r="BZ351" s="181"/>
      <c r="CA351" s="190"/>
      <c r="CB351" s="3"/>
      <c r="CC351" s="16"/>
      <c r="CD351" s="16"/>
      <c r="CE351" s="16"/>
      <c r="CF351" s="16"/>
      <c r="CG351" s="16"/>
      <c r="CH351" s="16"/>
      <c r="CI351" s="16" t="s">
        <v>3445</v>
      </c>
    </row>
    <row r="352" spans="1:87">
      <c r="A352" s="16"/>
      <c r="B352" s="16"/>
      <c r="C352" s="3">
        <v>46272</v>
      </c>
      <c r="D352" s="26" t="s">
        <v>1</v>
      </c>
      <c r="E352" s="180" t="s">
        <v>3446</v>
      </c>
      <c r="F352" s="181">
        <v>2026208480160</v>
      </c>
      <c r="G352" s="181">
        <v>40</v>
      </c>
      <c r="H352" s="181">
        <v>42</v>
      </c>
      <c r="I352" s="181" t="s">
        <v>460</v>
      </c>
      <c r="J352" s="181" t="s">
        <v>3446</v>
      </c>
      <c r="K352" s="181" t="s">
        <v>674</v>
      </c>
      <c r="L352" s="181" t="s">
        <v>16</v>
      </c>
      <c r="M352" s="181">
        <v>18</v>
      </c>
      <c r="N352" s="181" t="s">
        <v>462</v>
      </c>
      <c r="O352" s="181" t="s">
        <v>606</v>
      </c>
      <c r="P352" s="181" t="s">
        <v>3447</v>
      </c>
      <c r="Q352" s="181" t="s">
        <v>465</v>
      </c>
      <c r="R352" s="181" t="s">
        <v>466</v>
      </c>
      <c r="S352" s="181" t="s">
        <v>3448</v>
      </c>
      <c r="T352" s="181" t="s">
        <v>3439</v>
      </c>
      <c r="U352" s="182">
        <v>46254.23333333333</v>
      </c>
      <c r="V352" s="181" t="s">
        <v>469</v>
      </c>
      <c r="W352" s="181" t="s">
        <v>470</v>
      </c>
      <c r="X352" s="181" t="s">
        <v>471</v>
      </c>
      <c r="Y352" s="181" t="s">
        <v>628</v>
      </c>
      <c r="Z352" s="181" t="s">
        <v>1292</v>
      </c>
      <c r="AA352" s="181" t="s">
        <v>474</v>
      </c>
      <c r="AB352" s="181" t="s">
        <v>3449</v>
      </c>
      <c r="AC352" s="181" t="s">
        <v>526</v>
      </c>
      <c r="AD352" s="181">
        <v>272413974</v>
      </c>
      <c r="AE352" s="181">
        <v>1811215742</v>
      </c>
      <c r="AF352" s="181">
        <v>1790762136</v>
      </c>
      <c r="AG352" s="181"/>
      <c r="AH352" s="181"/>
      <c r="AI352" s="181" t="s">
        <v>54</v>
      </c>
      <c r="AJ352" s="181" t="s">
        <v>481</v>
      </c>
      <c r="AK352" s="181" t="s">
        <v>3450</v>
      </c>
      <c r="AL352" s="181">
        <v>5286</v>
      </c>
      <c r="AM352" s="181"/>
      <c r="AN352" s="181"/>
      <c r="AO352" s="181">
        <v>572</v>
      </c>
      <c r="AP352" s="181" t="s">
        <v>485</v>
      </c>
      <c r="AQ352" s="181" t="s">
        <v>3451</v>
      </c>
      <c r="AR352" s="183">
        <v>46254</v>
      </c>
      <c r="AS352" s="181" t="s">
        <v>54</v>
      </c>
      <c r="AT352" s="181" t="s">
        <v>606</v>
      </c>
      <c r="AU352" s="181"/>
      <c r="AV352" s="181" t="s">
        <v>3452</v>
      </c>
      <c r="AW352" s="181"/>
      <c r="AX352" s="181"/>
      <c r="AY352" s="181"/>
      <c r="AZ352" s="181"/>
      <c r="BA352" s="181"/>
      <c r="BB352" s="181"/>
      <c r="BC352" s="181"/>
      <c r="BD352" s="181" t="s">
        <v>54</v>
      </c>
      <c r="BE352" s="181">
        <v>42</v>
      </c>
      <c r="BF352" s="181"/>
      <c r="BG352" s="181"/>
      <c r="BH352" s="181" t="s">
        <v>491</v>
      </c>
      <c r="BI352" s="181">
        <v>402138086</v>
      </c>
      <c r="BJ352" s="181"/>
      <c r="BK352" s="181"/>
      <c r="BL352" s="181"/>
      <c r="BM352" s="181"/>
      <c r="BN352" s="181"/>
      <c r="BO352" s="181"/>
      <c r="BP352" s="181"/>
      <c r="BQ352" s="181"/>
      <c r="BR352" s="181"/>
      <c r="BS352" s="181"/>
      <c r="BT352" s="181"/>
      <c r="BU352" s="181"/>
      <c r="BV352" s="181"/>
      <c r="BW352" s="181"/>
      <c r="BX352" s="181"/>
      <c r="BY352" s="181"/>
      <c r="BZ352" s="181"/>
      <c r="CA352" s="190"/>
      <c r="CB352" s="3"/>
      <c r="CC352" s="16"/>
      <c r="CD352" s="16"/>
      <c r="CE352" s="16"/>
      <c r="CF352" s="16"/>
      <c r="CG352" s="16"/>
      <c r="CH352" s="16"/>
      <c r="CI352" s="193" t="s">
        <v>3453</v>
      </c>
    </row>
    <row r="353" spans="1:87">
      <c r="A353" s="16"/>
      <c r="B353" s="16"/>
      <c r="C353" s="3">
        <v>46272</v>
      </c>
      <c r="D353" s="26" t="s">
        <v>1</v>
      </c>
      <c r="E353" s="180" t="s">
        <v>3454</v>
      </c>
      <c r="F353" s="181">
        <v>2026211870245</v>
      </c>
      <c r="G353" s="181">
        <v>40</v>
      </c>
      <c r="H353" s="181">
        <v>39</v>
      </c>
      <c r="I353" s="181" t="s">
        <v>460</v>
      </c>
      <c r="J353" s="181" t="s">
        <v>3454</v>
      </c>
      <c r="K353" s="181" t="s">
        <v>674</v>
      </c>
      <c r="L353" s="181" t="s">
        <v>16</v>
      </c>
      <c r="M353" s="181">
        <v>14</v>
      </c>
      <c r="N353" s="181" t="s">
        <v>462</v>
      </c>
      <c r="O353" s="181" t="s">
        <v>606</v>
      </c>
      <c r="P353" s="181" t="s">
        <v>3455</v>
      </c>
      <c r="Q353" s="181" t="s">
        <v>465</v>
      </c>
      <c r="R353" s="181" t="s">
        <v>466</v>
      </c>
      <c r="S353" s="181" t="s">
        <v>3456</v>
      </c>
      <c r="T353" s="181" t="s">
        <v>3457</v>
      </c>
      <c r="U353" s="182">
        <v>46257.838888888888</v>
      </c>
      <c r="V353" s="181" t="s">
        <v>469</v>
      </c>
      <c r="W353" s="181" t="s">
        <v>568</v>
      </c>
      <c r="X353" s="181" t="s">
        <v>471</v>
      </c>
      <c r="Y353" s="181" t="s">
        <v>3458</v>
      </c>
      <c r="Z353" s="181" t="s">
        <v>638</v>
      </c>
      <c r="AA353" s="181" t="s">
        <v>474</v>
      </c>
      <c r="AB353" s="181" t="s">
        <v>3459</v>
      </c>
      <c r="AC353" s="181" t="s">
        <v>465</v>
      </c>
      <c r="AD353" s="181">
        <v>351188458</v>
      </c>
      <c r="AE353" s="181">
        <v>1801964960</v>
      </c>
      <c r="AF353" s="181">
        <v>1376639419</v>
      </c>
      <c r="AG353" s="181"/>
      <c r="AH353" s="181"/>
      <c r="AI353" s="181" t="s">
        <v>54</v>
      </c>
      <c r="AJ353" s="181" t="s">
        <v>481</v>
      </c>
      <c r="AK353" s="181" t="s">
        <v>3460</v>
      </c>
      <c r="AL353" s="181">
        <v>10286.6</v>
      </c>
      <c r="AM353" s="181"/>
      <c r="AN353" s="181"/>
      <c r="AO353" s="181" t="s">
        <v>2352</v>
      </c>
      <c r="AP353" s="181" t="s">
        <v>485</v>
      </c>
      <c r="AQ353" s="181" t="s">
        <v>3461</v>
      </c>
      <c r="AR353" s="183">
        <v>46258</v>
      </c>
      <c r="AS353" s="181" t="s">
        <v>54</v>
      </c>
      <c r="AT353" s="181" t="s">
        <v>606</v>
      </c>
      <c r="AU353" s="181"/>
      <c r="AV353" s="181" t="s">
        <v>3462</v>
      </c>
      <c r="AW353" s="181"/>
      <c r="AX353" s="181"/>
      <c r="AY353" s="181"/>
      <c r="AZ353" s="181"/>
      <c r="BA353" s="181"/>
      <c r="BB353" s="181"/>
      <c r="BC353" s="181"/>
      <c r="BD353" s="181" t="s">
        <v>54</v>
      </c>
      <c r="BE353" s="181">
        <v>39</v>
      </c>
      <c r="BF353" s="181"/>
      <c r="BG353" s="181"/>
      <c r="BH353" s="181" t="s">
        <v>491</v>
      </c>
      <c r="BI353" s="181">
        <v>314869509</v>
      </c>
      <c r="BJ353" s="181"/>
      <c r="BK353" s="181"/>
      <c r="BL353" s="181"/>
      <c r="BM353" s="181"/>
      <c r="BN353" s="181"/>
      <c r="BO353" s="181"/>
      <c r="BP353" s="181"/>
      <c r="BQ353" s="181"/>
      <c r="BR353" s="181"/>
      <c r="BS353" s="181"/>
      <c r="BT353" s="181"/>
      <c r="BU353" s="181"/>
      <c r="BV353" s="181"/>
      <c r="BW353" s="181"/>
      <c r="BX353" s="181"/>
      <c r="BY353" s="181"/>
      <c r="BZ353" s="181"/>
      <c r="CA353" s="190"/>
      <c r="CB353" s="3"/>
      <c r="CC353" s="16"/>
      <c r="CD353" s="16"/>
      <c r="CE353" s="16"/>
      <c r="CF353" s="16"/>
      <c r="CG353" s="16"/>
      <c r="CH353" s="16"/>
      <c r="CI353" s="16" t="s">
        <v>3463</v>
      </c>
    </row>
    <row r="354" spans="1:87">
      <c r="A354" s="16"/>
      <c r="B354" s="16"/>
      <c r="C354" s="3">
        <v>46272</v>
      </c>
      <c r="D354" s="26" t="s">
        <v>1</v>
      </c>
      <c r="E354" s="185" t="s">
        <v>3464</v>
      </c>
      <c r="F354" s="186">
        <v>2026216590006</v>
      </c>
      <c r="G354" s="186">
        <v>40</v>
      </c>
      <c r="H354" s="186">
        <v>34</v>
      </c>
      <c r="I354" s="186" t="s">
        <v>460</v>
      </c>
      <c r="J354" s="186" t="s">
        <v>3464</v>
      </c>
      <c r="K354" s="186" t="s">
        <v>983</v>
      </c>
      <c r="L354" s="186" t="s">
        <v>17</v>
      </c>
      <c r="M354" s="186">
        <v>5</v>
      </c>
      <c r="N354" s="186" t="s">
        <v>462</v>
      </c>
      <c r="O354" s="186" t="s">
        <v>606</v>
      </c>
      <c r="P354" s="186" t="s">
        <v>3465</v>
      </c>
      <c r="Q354" s="186" t="s">
        <v>465</v>
      </c>
      <c r="R354" s="186" t="s">
        <v>466</v>
      </c>
      <c r="S354" s="186" t="s">
        <v>3466</v>
      </c>
      <c r="T354" s="186" t="s">
        <v>3467</v>
      </c>
      <c r="U354" s="187">
        <v>46267.071527777778</v>
      </c>
      <c r="V354" s="186" t="s">
        <v>469</v>
      </c>
      <c r="W354" s="186" t="s">
        <v>470</v>
      </c>
      <c r="X354" s="186" t="s">
        <v>471</v>
      </c>
      <c r="Y354" s="186" t="s">
        <v>628</v>
      </c>
      <c r="Z354" s="186" t="s">
        <v>638</v>
      </c>
      <c r="AA354" s="186" t="s">
        <v>474</v>
      </c>
      <c r="AB354" s="186" t="s">
        <v>3468</v>
      </c>
      <c r="AC354" s="186" t="s">
        <v>465</v>
      </c>
      <c r="AD354" s="186">
        <v>202981280</v>
      </c>
      <c r="AE354" s="186">
        <v>1316966229</v>
      </c>
      <c r="AF354" s="186">
        <v>1275637498</v>
      </c>
      <c r="AG354" s="186"/>
      <c r="AH354" s="186"/>
      <c r="AI354" s="186" t="s">
        <v>34</v>
      </c>
      <c r="AJ354" s="186" t="s">
        <v>481</v>
      </c>
      <c r="AK354" s="186" t="s">
        <v>3469</v>
      </c>
      <c r="AL354" s="186">
        <v>2931</v>
      </c>
      <c r="AM354" s="186"/>
      <c r="AN354" s="186"/>
      <c r="AO354" s="186">
        <v>77</v>
      </c>
      <c r="AP354" s="186" t="s">
        <v>485</v>
      </c>
      <c r="AQ354" s="186" t="s">
        <v>3470</v>
      </c>
      <c r="AR354" s="188">
        <v>46267</v>
      </c>
      <c r="AS354" s="186" t="s">
        <v>34</v>
      </c>
      <c r="AT354" s="186" t="s">
        <v>976</v>
      </c>
      <c r="AU354" s="186"/>
      <c r="AV354" s="186" t="s">
        <v>3471</v>
      </c>
      <c r="AW354" s="186"/>
      <c r="AX354" s="186"/>
      <c r="AY354" s="186"/>
      <c r="AZ354" s="186"/>
      <c r="BA354" s="186"/>
      <c r="BB354" s="186"/>
      <c r="BC354" s="186"/>
      <c r="BD354" s="186" t="s">
        <v>34</v>
      </c>
      <c r="BE354" s="186">
        <v>34</v>
      </c>
      <c r="BF354" s="186"/>
      <c r="BG354" s="186"/>
      <c r="BH354" s="186" t="s">
        <v>491</v>
      </c>
      <c r="BI354" s="186">
        <v>310907685</v>
      </c>
      <c r="BJ354" s="186"/>
      <c r="BK354" s="186"/>
      <c r="BL354" s="186"/>
      <c r="BM354" s="186"/>
      <c r="BN354" s="186"/>
      <c r="BO354" s="186"/>
      <c r="BP354" s="186"/>
      <c r="BQ354" s="186"/>
      <c r="BR354" s="186"/>
      <c r="BS354" s="186"/>
      <c r="BT354" s="186"/>
      <c r="BU354" s="186"/>
      <c r="BV354" s="186"/>
      <c r="BW354" s="186"/>
      <c r="BX354" s="186"/>
      <c r="BY354" s="186"/>
      <c r="BZ354" s="186"/>
      <c r="CA354" s="190"/>
      <c r="CB354" s="3"/>
      <c r="CC354" s="16"/>
      <c r="CD354" s="16"/>
      <c r="CE354" s="16"/>
      <c r="CF354" s="16"/>
      <c r="CG354" s="16"/>
      <c r="CH354" s="16"/>
      <c r="CI354" s="16" t="s">
        <v>3472</v>
      </c>
    </row>
    <row r="355" spans="1:87">
      <c r="A355" s="16" t="s">
        <v>5</v>
      </c>
      <c r="B355" s="16" t="s">
        <v>1038</v>
      </c>
      <c r="C355" s="3">
        <v>46276</v>
      </c>
      <c r="D355" s="16" t="s">
        <v>14</v>
      </c>
      <c r="E355" s="16" t="s">
        <v>3473</v>
      </c>
      <c r="F355" s="16">
        <v>2026246990005</v>
      </c>
      <c r="G355" s="16">
        <v>20</v>
      </c>
      <c r="H355" s="16">
        <v>7</v>
      </c>
      <c r="I355" s="16" t="s">
        <v>3474</v>
      </c>
      <c r="J355" s="16" t="s">
        <v>3473</v>
      </c>
      <c r="K355" s="16" t="s">
        <v>1040</v>
      </c>
      <c r="L355" s="16" t="s">
        <v>17</v>
      </c>
      <c r="M355" s="16">
        <v>7</v>
      </c>
      <c r="N355" s="16" t="s">
        <v>462</v>
      </c>
      <c r="O355" s="16" t="s">
        <v>606</v>
      </c>
      <c r="P355" s="16">
        <v>927801852</v>
      </c>
      <c r="Q355" s="16" t="s">
        <v>465</v>
      </c>
      <c r="R355" s="16" t="s">
        <v>466</v>
      </c>
      <c r="S355" s="16" t="s">
        <v>3475</v>
      </c>
      <c r="T355" s="16">
        <v>173326</v>
      </c>
      <c r="U355" s="16">
        <v>46268.013888888891</v>
      </c>
      <c r="V355" s="16" t="s">
        <v>469</v>
      </c>
      <c r="W355" s="16" t="s">
        <v>651</v>
      </c>
      <c r="X355" s="16" t="s">
        <v>652</v>
      </c>
      <c r="Y355" s="16" t="s">
        <v>653</v>
      </c>
      <c r="Z355" s="16" t="s">
        <v>473</v>
      </c>
      <c r="AA355" s="16" t="s">
        <v>474</v>
      </c>
      <c r="AB355" s="16" t="s">
        <v>684</v>
      </c>
      <c r="AC355" s="16" t="s">
        <v>476</v>
      </c>
      <c r="AD355" s="16">
        <v>391824445</v>
      </c>
      <c r="AE355" s="16">
        <v>1598784555</v>
      </c>
      <c r="AF355" s="16">
        <v>1396242087</v>
      </c>
      <c r="AG355" s="16">
        <v>4.5820252550834304E+16</v>
      </c>
      <c r="AH355" s="16"/>
      <c r="AI355" s="16" t="s">
        <v>173</v>
      </c>
      <c r="AJ355" s="16" t="s">
        <v>481</v>
      </c>
      <c r="AK355" s="16" t="s">
        <v>3476</v>
      </c>
      <c r="AL355" s="16">
        <v>8907</v>
      </c>
      <c r="AM355" s="16"/>
      <c r="AN355" s="16"/>
      <c r="AO355" s="16">
        <v>927</v>
      </c>
      <c r="AP355" s="16" t="s">
        <v>485</v>
      </c>
      <c r="AQ355" s="16" t="s">
        <v>3477</v>
      </c>
      <c r="AR355" s="3">
        <v>46268</v>
      </c>
      <c r="AS355" s="16" t="s">
        <v>1040</v>
      </c>
      <c r="AT355" s="16" t="s">
        <v>3478</v>
      </c>
      <c r="AU355" s="16"/>
      <c r="AV355" s="16" t="s">
        <v>3479</v>
      </c>
      <c r="AW355" s="16"/>
      <c r="AX355" s="16"/>
      <c r="AY355" s="16"/>
      <c r="AZ355" s="16"/>
      <c r="BA355" s="16"/>
      <c r="BB355" s="16"/>
      <c r="BC355" s="16"/>
      <c r="BD355" s="16" t="s">
        <v>173</v>
      </c>
      <c r="BE355" s="16">
        <v>7</v>
      </c>
      <c r="BF355" s="16"/>
      <c r="BG355" s="16"/>
      <c r="BH355" s="16" t="s">
        <v>658</v>
      </c>
      <c r="BI355" s="16">
        <v>927801852</v>
      </c>
      <c r="BJ355" s="16"/>
      <c r="BK355" s="16"/>
      <c r="BL355" s="16"/>
      <c r="BM355" s="16"/>
      <c r="BN355" s="16"/>
      <c r="BO355" s="16"/>
      <c r="BP355" s="16"/>
      <c r="BQ355" s="16"/>
      <c r="BR355" s="16"/>
      <c r="BS355" s="16"/>
      <c r="BT355" s="16"/>
      <c r="BU355" s="16"/>
      <c r="BV355" s="16"/>
      <c r="BW355" s="16"/>
      <c r="BX355" s="16"/>
      <c r="BY355" s="16"/>
      <c r="BZ355" s="16"/>
      <c r="CA355" s="190">
        <v>46285.666666666701</v>
      </c>
      <c r="CB355" s="3"/>
      <c r="CC355" s="16"/>
      <c r="CD355" s="16"/>
      <c r="CE355" s="16"/>
      <c r="CF355" s="16"/>
      <c r="CG355" s="16"/>
      <c r="CH355" s="16"/>
      <c r="CI355" s="16" t="s">
        <v>3480</v>
      </c>
    </row>
    <row r="356" spans="1:87">
      <c r="A356" s="16"/>
      <c r="B356" s="16"/>
      <c r="C356" s="3">
        <v>46276</v>
      </c>
      <c r="D356" s="16" t="s">
        <v>14</v>
      </c>
      <c r="E356" s="16" t="s">
        <v>3481</v>
      </c>
      <c r="F356" s="16">
        <v>2026246290047</v>
      </c>
      <c r="G356" s="16">
        <v>20</v>
      </c>
      <c r="H356" s="16">
        <v>7</v>
      </c>
      <c r="I356" s="16" t="s">
        <v>3474</v>
      </c>
      <c r="J356" s="16" t="s">
        <v>3481</v>
      </c>
      <c r="K356" s="16" t="s">
        <v>691</v>
      </c>
      <c r="L356" s="16" t="s">
        <v>13</v>
      </c>
      <c r="M356" s="16">
        <v>7</v>
      </c>
      <c r="N356" s="16" t="s">
        <v>462</v>
      </c>
      <c r="O356" s="16" t="s">
        <v>606</v>
      </c>
      <c r="P356" s="16">
        <v>967184421</v>
      </c>
      <c r="Q356" s="16" t="s">
        <v>465</v>
      </c>
      <c r="R356" s="16" t="s">
        <v>466</v>
      </c>
      <c r="S356" s="16" t="s">
        <v>3482</v>
      </c>
      <c r="T356" s="16">
        <v>173325</v>
      </c>
      <c r="U356" s="16">
        <v>46268.097916666666</v>
      </c>
      <c r="V356" s="16" t="s">
        <v>469</v>
      </c>
      <c r="W356" s="16" t="s">
        <v>651</v>
      </c>
      <c r="X356" s="16" t="s">
        <v>652</v>
      </c>
      <c r="Y356" s="16" t="s">
        <v>653</v>
      </c>
      <c r="Z356" s="16" t="s">
        <v>731</v>
      </c>
      <c r="AA356" s="16" t="s">
        <v>474</v>
      </c>
      <c r="AB356" s="16" t="s">
        <v>883</v>
      </c>
      <c r="AC356" s="16" t="s">
        <v>733</v>
      </c>
      <c r="AD356" s="16">
        <v>431343281</v>
      </c>
      <c r="AE356" s="16">
        <v>1851496152</v>
      </c>
      <c r="AF356" s="16"/>
      <c r="AG356" s="16">
        <v>7.4820253031138592E+16</v>
      </c>
      <c r="AH356" s="16"/>
      <c r="AI356" s="16" t="s">
        <v>128</v>
      </c>
      <c r="AJ356" s="16" t="s">
        <v>481</v>
      </c>
      <c r="AK356" s="16" t="s">
        <v>3483</v>
      </c>
      <c r="AL356" s="16">
        <v>14116.92</v>
      </c>
      <c r="AM356" s="16"/>
      <c r="AN356" s="16"/>
      <c r="AO356" s="16">
        <v>967</v>
      </c>
      <c r="AP356" s="16" t="s">
        <v>485</v>
      </c>
      <c r="AQ356" s="16" t="s">
        <v>3484</v>
      </c>
      <c r="AR356" s="3">
        <v>46268</v>
      </c>
      <c r="AS356" s="16" t="s">
        <v>691</v>
      </c>
      <c r="AT356" s="16" t="s">
        <v>695</v>
      </c>
      <c r="AU356" s="16"/>
      <c r="AV356" s="16" t="s">
        <v>2831</v>
      </c>
      <c r="AW356" s="16"/>
      <c r="AX356" s="16"/>
      <c r="AY356" s="16"/>
      <c r="AZ356" s="16"/>
      <c r="BA356" s="16"/>
      <c r="BB356" s="16"/>
      <c r="BC356" s="16"/>
      <c r="BD356" s="16" t="s">
        <v>128</v>
      </c>
      <c r="BE356" s="16">
        <v>7</v>
      </c>
      <c r="BF356" s="16"/>
      <c r="BG356" s="16"/>
      <c r="BH356" s="16" t="s">
        <v>658</v>
      </c>
      <c r="BI356" s="16">
        <v>967184421</v>
      </c>
      <c r="BJ356" s="16"/>
      <c r="BK356" s="16"/>
      <c r="BL356" s="16"/>
      <c r="BM356" s="16"/>
      <c r="BN356" s="16"/>
      <c r="BO356" s="16"/>
      <c r="BP356" s="16"/>
      <c r="BQ356" s="16"/>
      <c r="BR356" s="16"/>
      <c r="BS356" s="16"/>
      <c r="BT356" s="16"/>
      <c r="BU356" s="16"/>
      <c r="BV356" s="16"/>
      <c r="BW356" s="16"/>
      <c r="BX356" s="16"/>
      <c r="BY356" s="16"/>
      <c r="BZ356" s="16"/>
      <c r="CA356" s="190">
        <v>46275</v>
      </c>
      <c r="CB356" s="3"/>
      <c r="CC356" s="16"/>
      <c r="CD356" s="16"/>
      <c r="CE356" s="16"/>
      <c r="CF356" s="16"/>
      <c r="CG356" s="16"/>
      <c r="CH356" s="16"/>
      <c r="CI356" s="16" t="s">
        <v>3485</v>
      </c>
    </row>
    <row r="357" spans="1:87">
      <c r="A357" s="16"/>
      <c r="B357" s="16"/>
      <c r="C357" s="3">
        <v>46276</v>
      </c>
      <c r="D357" s="16" t="s">
        <v>14</v>
      </c>
      <c r="E357" s="16" t="s">
        <v>3486</v>
      </c>
      <c r="F357" s="16">
        <v>2026244230020</v>
      </c>
      <c r="G357" s="16">
        <v>20</v>
      </c>
      <c r="H357" s="16">
        <v>9</v>
      </c>
      <c r="I357" s="16" t="s">
        <v>647</v>
      </c>
      <c r="J357" s="16" t="s">
        <v>3486</v>
      </c>
      <c r="K357" s="16" t="s">
        <v>895</v>
      </c>
      <c r="L357" s="16" t="s">
        <v>18</v>
      </c>
      <c r="M357" s="16">
        <v>7</v>
      </c>
      <c r="N357" s="16" t="s">
        <v>462</v>
      </c>
      <c r="O357" s="16" t="s">
        <v>606</v>
      </c>
      <c r="P357" s="16">
        <v>922683319</v>
      </c>
      <c r="Q357" s="16" t="s">
        <v>465</v>
      </c>
      <c r="R357" s="16" t="s">
        <v>466</v>
      </c>
      <c r="S357" s="16" t="s">
        <v>3487</v>
      </c>
      <c r="T357" s="16">
        <v>173327</v>
      </c>
      <c r="U357" s="16">
        <v>46266.067361111112</v>
      </c>
      <c r="V357" s="16" t="s">
        <v>469</v>
      </c>
      <c r="W357" s="16" t="s">
        <v>651</v>
      </c>
      <c r="X357" s="16" t="s">
        <v>652</v>
      </c>
      <c r="Y357" s="16" t="s">
        <v>653</v>
      </c>
      <c r="Z357" s="16" t="s">
        <v>524</v>
      </c>
      <c r="AA357" s="16" t="s">
        <v>474</v>
      </c>
      <c r="AB357" s="16" t="s">
        <v>757</v>
      </c>
      <c r="AC357" s="16" t="s">
        <v>526</v>
      </c>
      <c r="AD357" s="16">
        <v>314379509</v>
      </c>
      <c r="AE357" s="16">
        <v>1215936927</v>
      </c>
      <c r="AF357" s="16"/>
      <c r="AG357" s="16">
        <v>3.30202533008398E+16</v>
      </c>
      <c r="AH357" s="16"/>
      <c r="AI357" s="16" t="s">
        <v>20</v>
      </c>
      <c r="AJ357" s="16" t="s">
        <v>481</v>
      </c>
      <c r="AK357" s="16" t="s">
        <v>3488</v>
      </c>
      <c r="AL357" s="16">
        <v>28126.76</v>
      </c>
      <c r="AM357" s="16"/>
      <c r="AN357" s="16"/>
      <c r="AO357" s="16">
        <v>922</v>
      </c>
      <c r="AP357" s="16" t="s">
        <v>485</v>
      </c>
      <c r="AQ357" s="16" t="s">
        <v>3489</v>
      </c>
      <c r="AR357" s="3">
        <v>46268</v>
      </c>
      <c r="AS357" s="16" t="s">
        <v>895</v>
      </c>
      <c r="AT357" s="16" t="s">
        <v>3490</v>
      </c>
      <c r="AU357" s="16"/>
      <c r="AV357" s="16" t="s">
        <v>3491</v>
      </c>
      <c r="AW357" s="16"/>
      <c r="AX357" s="16"/>
      <c r="AY357" s="16"/>
      <c r="AZ357" s="16"/>
      <c r="BA357" s="16"/>
      <c r="BB357" s="16"/>
      <c r="BC357" s="16"/>
      <c r="BD357" s="16" t="s">
        <v>20</v>
      </c>
      <c r="BE357" s="16">
        <v>9</v>
      </c>
      <c r="BF357" s="16"/>
      <c r="BG357" s="16"/>
      <c r="BH357" s="16" t="s">
        <v>658</v>
      </c>
      <c r="BI357" s="16">
        <v>922683319</v>
      </c>
      <c r="BJ357" s="16"/>
      <c r="BK357" s="16"/>
      <c r="BL357" s="16"/>
      <c r="BM357" s="16"/>
      <c r="BN357" s="16"/>
      <c r="BO357" s="16"/>
      <c r="BP357" s="16"/>
      <c r="BQ357" s="16"/>
      <c r="BR357" s="16"/>
      <c r="BS357" s="16"/>
      <c r="BT357" s="16"/>
      <c r="BU357" s="16"/>
      <c r="BV357" s="16"/>
      <c r="BW357" s="16"/>
      <c r="BX357" s="16"/>
      <c r="BY357" s="16"/>
      <c r="BZ357" s="16"/>
      <c r="CA357" s="190">
        <v>46275</v>
      </c>
      <c r="CB357" s="3"/>
      <c r="CC357" s="16"/>
      <c r="CD357" s="16"/>
      <c r="CE357" s="16"/>
      <c r="CF357" s="16"/>
      <c r="CG357" s="16"/>
      <c r="CH357" s="16"/>
      <c r="CI357" s="16" t="s">
        <v>3492</v>
      </c>
    </row>
    <row r="358" spans="1:87" ht="29.25">
      <c r="A358" s="16" t="s">
        <v>5</v>
      </c>
      <c r="B358" s="25" t="s">
        <v>3493</v>
      </c>
      <c r="C358" s="3">
        <v>46276</v>
      </c>
      <c r="D358" s="16" t="s">
        <v>14</v>
      </c>
      <c r="E358" s="16" t="s">
        <v>3494</v>
      </c>
      <c r="F358" s="16">
        <v>2026244970424</v>
      </c>
      <c r="G358" s="16">
        <v>20</v>
      </c>
      <c r="H358" s="16">
        <v>9</v>
      </c>
      <c r="I358" s="16" t="s">
        <v>647</v>
      </c>
      <c r="J358" s="16" t="s">
        <v>3494</v>
      </c>
      <c r="K358" s="16" t="s">
        <v>461</v>
      </c>
      <c r="L358" s="16" t="s">
        <v>17</v>
      </c>
      <c r="M358" s="16">
        <v>7</v>
      </c>
      <c r="N358" s="16" t="s">
        <v>462</v>
      </c>
      <c r="O358" s="16" t="s">
        <v>606</v>
      </c>
      <c r="P358" s="16">
        <v>118977000</v>
      </c>
      <c r="Q358" s="16" t="s">
        <v>465</v>
      </c>
      <c r="R358" s="16" t="s">
        <v>466</v>
      </c>
      <c r="S358" s="16" t="s">
        <v>3495</v>
      </c>
      <c r="T358" s="16">
        <v>173326</v>
      </c>
      <c r="U358" s="16">
        <v>46267.12222222222</v>
      </c>
      <c r="V358" s="16" t="s">
        <v>469</v>
      </c>
      <c r="W358" s="16" t="s">
        <v>651</v>
      </c>
      <c r="X358" s="16" t="s">
        <v>652</v>
      </c>
      <c r="Y358" s="16" t="s">
        <v>653</v>
      </c>
      <c r="Z358" s="16" t="s">
        <v>473</v>
      </c>
      <c r="AA358" s="16" t="s">
        <v>474</v>
      </c>
      <c r="AB358" s="16" t="s">
        <v>684</v>
      </c>
      <c r="AC358" s="16" t="s">
        <v>476</v>
      </c>
      <c r="AD358" s="16">
        <v>391509362</v>
      </c>
      <c r="AE358" s="16">
        <v>1376656959</v>
      </c>
      <c r="AF358" s="16">
        <v>1790177681</v>
      </c>
      <c r="AG358" s="16">
        <v>4.5820253381561296E+16</v>
      </c>
      <c r="AH358" s="16"/>
      <c r="AI358" s="16" t="s">
        <v>67</v>
      </c>
      <c r="AJ358" s="16" t="s">
        <v>481</v>
      </c>
      <c r="AK358" s="16" t="s">
        <v>3496</v>
      </c>
      <c r="AL358" s="16">
        <v>10943.7</v>
      </c>
      <c r="AM358" s="16"/>
      <c r="AN358" s="16"/>
      <c r="AO358" s="16">
        <v>118</v>
      </c>
      <c r="AP358" s="16" t="s">
        <v>485</v>
      </c>
      <c r="AQ358" s="16" t="s">
        <v>3497</v>
      </c>
      <c r="AR358" s="3">
        <v>46268</v>
      </c>
      <c r="AS358" s="16" t="s">
        <v>461</v>
      </c>
      <c r="AT358" s="16" t="s">
        <v>487</v>
      </c>
      <c r="AU358" s="16"/>
      <c r="AV358" s="16" t="s">
        <v>3498</v>
      </c>
      <c r="AW358" s="16"/>
      <c r="AX358" s="16"/>
      <c r="AY358" s="16"/>
      <c r="AZ358" s="16"/>
      <c r="BA358" s="16"/>
      <c r="BB358" s="16"/>
      <c r="BC358" s="16"/>
      <c r="BD358" s="16" t="s">
        <v>67</v>
      </c>
      <c r="BE358" s="16">
        <v>9</v>
      </c>
      <c r="BF358" s="16"/>
      <c r="BG358" s="16"/>
      <c r="BH358" s="16" t="s">
        <v>658</v>
      </c>
      <c r="BI358" s="16">
        <v>118977000</v>
      </c>
      <c r="BJ358" s="16"/>
      <c r="BK358" s="16"/>
      <c r="BL358" s="16"/>
      <c r="BM358" s="16"/>
      <c r="BN358" s="16"/>
      <c r="BO358" s="16"/>
      <c r="BP358" s="16"/>
      <c r="BQ358" s="16"/>
      <c r="BR358" s="16"/>
      <c r="BS358" s="16"/>
      <c r="BT358" s="16"/>
      <c r="BU358" s="16"/>
      <c r="BV358" s="16"/>
      <c r="BW358" s="16"/>
      <c r="BX358" s="16"/>
      <c r="BY358" s="16"/>
      <c r="BZ358" s="16"/>
      <c r="CA358" s="190">
        <v>46275.166666666701</v>
      </c>
      <c r="CB358" s="3"/>
      <c r="CC358" s="16"/>
      <c r="CD358" s="16"/>
      <c r="CE358" s="16"/>
      <c r="CF358" s="16"/>
      <c r="CG358" s="16"/>
      <c r="CH358" s="16"/>
      <c r="CI358" s="16" t="s">
        <v>3499</v>
      </c>
    </row>
    <row r="359" spans="1:87">
      <c r="A359" s="16"/>
      <c r="B359" s="16"/>
      <c r="C359" s="3">
        <v>46276</v>
      </c>
      <c r="D359" s="16" t="s">
        <v>14</v>
      </c>
      <c r="E359" s="16" t="s">
        <v>3500</v>
      </c>
      <c r="F359" s="16">
        <v>2026245990439</v>
      </c>
      <c r="G359" s="16">
        <v>20</v>
      </c>
      <c r="H359" s="16">
        <v>8</v>
      </c>
      <c r="I359" s="16" t="s">
        <v>647</v>
      </c>
      <c r="J359" s="16" t="s">
        <v>3500</v>
      </c>
      <c r="K359" s="16" t="s">
        <v>682</v>
      </c>
      <c r="L359" s="16" t="s">
        <v>18</v>
      </c>
      <c r="M359" s="16">
        <v>7</v>
      </c>
      <c r="N359" s="16" t="s">
        <v>462</v>
      </c>
      <c r="O359" s="16" t="s">
        <v>606</v>
      </c>
      <c r="P359" s="16">
        <v>830998753</v>
      </c>
      <c r="Q359" s="16" t="s">
        <v>465</v>
      </c>
      <c r="R359" s="16" t="s">
        <v>466</v>
      </c>
      <c r="S359" s="16" t="s">
        <v>3501</v>
      </c>
      <c r="T359" s="16">
        <v>173326</v>
      </c>
      <c r="U359" s="16">
        <v>46268.031944444447</v>
      </c>
      <c r="V359" s="16" t="s">
        <v>469</v>
      </c>
      <c r="W359" s="16" t="s">
        <v>651</v>
      </c>
      <c r="X359" s="16" t="s">
        <v>652</v>
      </c>
      <c r="Y359" s="16" t="s">
        <v>653</v>
      </c>
      <c r="Z359" s="16" t="s">
        <v>473</v>
      </c>
      <c r="AA359" s="16" t="s">
        <v>474</v>
      </c>
      <c r="AB359" s="16" t="s">
        <v>684</v>
      </c>
      <c r="AC359" s="16" t="s">
        <v>476</v>
      </c>
      <c r="AD359" s="16">
        <v>391824445</v>
      </c>
      <c r="AE359" s="16">
        <v>1598784555</v>
      </c>
      <c r="AF359" s="16">
        <v>1124272430</v>
      </c>
      <c r="AG359" s="16">
        <v>4.5820253072064704E+16</v>
      </c>
      <c r="AH359" s="16"/>
      <c r="AI359" s="16" t="s">
        <v>19</v>
      </c>
      <c r="AJ359" s="16" t="s">
        <v>481</v>
      </c>
      <c r="AK359" s="16" t="s">
        <v>3502</v>
      </c>
      <c r="AL359" s="16">
        <v>6950</v>
      </c>
      <c r="AM359" s="16"/>
      <c r="AN359" s="16"/>
      <c r="AO359" s="16">
        <v>830</v>
      </c>
      <c r="AP359" s="16" t="s">
        <v>485</v>
      </c>
      <c r="AQ359" s="16" t="s">
        <v>3503</v>
      </c>
      <c r="AR359" s="3">
        <v>46268</v>
      </c>
      <c r="AS359" s="16" t="s">
        <v>682</v>
      </c>
      <c r="AT359" s="16" t="s">
        <v>3032</v>
      </c>
      <c r="AU359" s="16"/>
      <c r="AV359" s="16" t="s">
        <v>3504</v>
      </c>
      <c r="AW359" s="16"/>
      <c r="AX359" s="16"/>
      <c r="AY359" s="16"/>
      <c r="AZ359" s="16"/>
      <c r="BA359" s="16"/>
      <c r="BB359" s="16"/>
      <c r="BC359" s="16"/>
      <c r="BD359" s="16" t="s">
        <v>19</v>
      </c>
      <c r="BE359" s="16">
        <v>8</v>
      </c>
      <c r="BF359" s="16"/>
      <c r="BG359" s="16"/>
      <c r="BH359" s="16" t="s">
        <v>658</v>
      </c>
      <c r="BI359" s="16">
        <v>830998753</v>
      </c>
      <c r="BJ359" s="16"/>
      <c r="BK359" s="16"/>
      <c r="BL359" s="16"/>
      <c r="BM359" s="16"/>
      <c r="BN359" s="16"/>
      <c r="BO359" s="16"/>
      <c r="BP359" s="16"/>
      <c r="BQ359" s="16"/>
      <c r="BR359" s="16"/>
      <c r="BS359" s="16"/>
      <c r="BT359" s="16"/>
      <c r="BU359" s="16"/>
      <c r="BV359" s="16"/>
      <c r="BW359" s="16"/>
      <c r="BX359" s="16"/>
      <c r="BY359" s="16"/>
      <c r="BZ359" s="16"/>
      <c r="CA359" s="190">
        <v>46275</v>
      </c>
      <c r="CB359" s="3"/>
      <c r="CC359" s="16"/>
      <c r="CD359" s="16"/>
      <c r="CE359" s="16"/>
      <c r="CF359" s="16"/>
      <c r="CG359" s="16"/>
      <c r="CH359" s="16"/>
      <c r="CI359" s="16" t="s">
        <v>3505</v>
      </c>
    </row>
    <row r="360" spans="1:87">
      <c r="A360" s="16"/>
      <c r="B360" s="16"/>
      <c r="C360" s="3">
        <v>46276</v>
      </c>
      <c r="D360" s="16" t="s">
        <v>14</v>
      </c>
      <c r="E360" s="16" t="s">
        <v>3506</v>
      </c>
      <c r="F360" s="16">
        <v>2026243460366</v>
      </c>
      <c r="G360" s="16">
        <v>20</v>
      </c>
      <c r="H360" s="16">
        <v>10</v>
      </c>
      <c r="I360" s="16" t="s">
        <v>647</v>
      </c>
      <c r="J360" s="16" t="s">
        <v>3506</v>
      </c>
      <c r="K360" s="16" t="s">
        <v>682</v>
      </c>
      <c r="L360" s="16" t="s">
        <v>18</v>
      </c>
      <c r="M360" s="16">
        <v>9</v>
      </c>
      <c r="N360" s="16" t="s">
        <v>462</v>
      </c>
      <c r="O360" s="16" t="s">
        <v>606</v>
      </c>
      <c r="P360" s="16">
        <v>801060745</v>
      </c>
      <c r="Q360" s="16" t="s">
        <v>465</v>
      </c>
      <c r="R360" s="16" t="s">
        <v>466</v>
      </c>
      <c r="S360" s="16" t="s">
        <v>3507</v>
      </c>
      <c r="T360" s="16">
        <v>173326</v>
      </c>
      <c r="U360" s="16">
        <v>46266.051388888889</v>
      </c>
      <c r="V360" s="16" t="s">
        <v>469</v>
      </c>
      <c r="W360" s="16" t="s">
        <v>651</v>
      </c>
      <c r="X360" s="16" t="s">
        <v>652</v>
      </c>
      <c r="Y360" s="16" t="s">
        <v>653</v>
      </c>
      <c r="Z360" s="16" t="s">
        <v>473</v>
      </c>
      <c r="AA360" s="16" t="s">
        <v>474</v>
      </c>
      <c r="AB360" s="16" t="s">
        <v>684</v>
      </c>
      <c r="AC360" s="16" t="s">
        <v>476</v>
      </c>
      <c r="AD360" s="16">
        <v>391824445</v>
      </c>
      <c r="AE360" s="16">
        <v>1598784555</v>
      </c>
      <c r="AF360" s="16">
        <v>1972919959</v>
      </c>
      <c r="AG360" s="16">
        <v>4.58202526612982E+16</v>
      </c>
      <c r="AH360" s="16"/>
      <c r="AI360" s="16" t="s">
        <v>19</v>
      </c>
      <c r="AJ360" s="16" t="s">
        <v>481</v>
      </c>
      <c r="AK360" s="16" t="s">
        <v>3508</v>
      </c>
      <c r="AL360" s="16">
        <v>15077</v>
      </c>
      <c r="AM360" s="16"/>
      <c r="AN360" s="16"/>
      <c r="AO360" s="16">
        <v>801</v>
      </c>
      <c r="AP360" s="16" t="s">
        <v>485</v>
      </c>
      <c r="AQ360" s="16" t="s">
        <v>3509</v>
      </c>
      <c r="AR360" s="3">
        <v>46266</v>
      </c>
      <c r="AS360" s="16" t="s">
        <v>19</v>
      </c>
      <c r="AT360" s="16" t="s">
        <v>516</v>
      </c>
      <c r="AU360" s="16"/>
      <c r="AV360" s="16" t="s">
        <v>3510</v>
      </c>
      <c r="AW360" s="16"/>
      <c r="AX360" s="16"/>
      <c r="AY360" s="16"/>
      <c r="AZ360" s="16"/>
      <c r="BA360" s="16"/>
      <c r="BB360" s="16"/>
      <c r="BC360" s="16"/>
      <c r="BD360" s="16" t="s">
        <v>19</v>
      </c>
      <c r="BE360" s="16">
        <v>10</v>
      </c>
      <c r="BF360" s="16"/>
      <c r="BG360" s="16"/>
      <c r="BH360" s="16" t="s">
        <v>658</v>
      </c>
      <c r="BI360" s="16">
        <v>801060745</v>
      </c>
      <c r="BJ360" s="16"/>
      <c r="BK360" s="16"/>
      <c r="BL360" s="16"/>
      <c r="BM360" s="16"/>
      <c r="BN360" s="16"/>
      <c r="BO360" s="16"/>
      <c r="BP360" s="16"/>
      <c r="BQ360" s="16"/>
      <c r="BR360" s="16"/>
      <c r="BS360" s="16"/>
      <c r="BT360" s="16"/>
      <c r="BU360" s="16"/>
      <c r="BV360" s="16"/>
      <c r="BW360" s="16"/>
      <c r="BX360" s="16"/>
      <c r="BY360" s="16"/>
      <c r="BZ360" s="16"/>
      <c r="CA360" s="190">
        <v>46275</v>
      </c>
      <c r="CB360" s="3"/>
      <c r="CC360" s="16"/>
      <c r="CD360" s="16"/>
      <c r="CE360" s="16"/>
      <c r="CF360" s="16"/>
      <c r="CG360" s="16"/>
      <c r="CH360" s="16"/>
      <c r="CI360" s="16" t="s">
        <v>3511</v>
      </c>
    </row>
    <row r="361" spans="1:87">
      <c r="A361" s="16"/>
      <c r="B361" s="16"/>
      <c r="C361" s="3">
        <v>46276</v>
      </c>
      <c r="D361" s="16" t="s">
        <v>14</v>
      </c>
      <c r="E361" s="16" t="s">
        <v>3512</v>
      </c>
      <c r="F361" s="16">
        <v>2026245830213</v>
      </c>
      <c r="G361" s="16">
        <v>20</v>
      </c>
      <c r="H361" s="16">
        <v>8</v>
      </c>
      <c r="I361" s="16" t="s">
        <v>647</v>
      </c>
      <c r="J361" s="16" t="s">
        <v>3512</v>
      </c>
      <c r="K361" s="16" t="s">
        <v>839</v>
      </c>
      <c r="L361" s="16" t="s">
        <v>18</v>
      </c>
      <c r="M361" s="16">
        <v>7</v>
      </c>
      <c r="N361" s="16" t="s">
        <v>462</v>
      </c>
      <c r="O361" s="16" t="s">
        <v>606</v>
      </c>
      <c r="P361" s="16">
        <v>812699590</v>
      </c>
      <c r="Q361" s="16" t="s">
        <v>465</v>
      </c>
      <c r="R361" s="16" t="s">
        <v>466</v>
      </c>
      <c r="S361" s="16" t="s">
        <v>3513</v>
      </c>
      <c r="T361" s="16" t="s">
        <v>928</v>
      </c>
      <c r="U361" s="16">
        <v>46267.900694444441</v>
      </c>
      <c r="V361" s="16" t="s">
        <v>469</v>
      </c>
      <c r="W361" s="16" t="s">
        <v>651</v>
      </c>
      <c r="X361" s="16" t="s">
        <v>652</v>
      </c>
      <c r="Y361" s="16" t="s">
        <v>653</v>
      </c>
      <c r="Z361" s="16" t="s">
        <v>544</v>
      </c>
      <c r="AA361" s="16" t="s">
        <v>474</v>
      </c>
      <c r="AB361" s="16" t="s">
        <v>929</v>
      </c>
      <c r="AC361" s="16" t="s">
        <v>546</v>
      </c>
      <c r="AD361" s="16">
        <v>580566257</v>
      </c>
      <c r="AE361" s="16">
        <v>1679664395</v>
      </c>
      <c r="AF361" s="16"/>
      <c r="AG361" s="16">
        <v>1.02202524614976E+16</v>
      </c>
      <c r="AH361" s="16"/>
      <c r="AI361" s="16" t="s">
        <v>159</v>
      </c>
      <c r="AJ361" s="16" t="s">
        <v>481</v>
      </c>
      <c r="AK361" s="16" t="s">
        <v>3514</v>
      </c>
      <c r="AL361" s="16">
        <v>231664.42</v>
      </c>
      <c r="AM361" s="16"/>
      <c r="AN361" s="16"/>
      <c r="AO361" s="16">
        <v>812</v>
      </c>
      <c r="AP361" s="16" t="s">
        <v>485</v>
      </c>
      <c r="AQ361" s="16" t="s">
        <v>3515</v>
      </c>
      <c r="AR361" s="3">
        <v>46268</v>
      </c>
      <c r="AS361" s="16" t="s">
        <v>159</v>
      </c>
      <c r="AT361" s="16" t="s">
        <v>1276</v>
      </c>
      <c r="AU361" s="16"/>
      <c r="AV361" s="16" t="s">
        <v>3516</v>
      </c>
      <c r="AW361" s="16"/>
      <c r="AX361" s="16"/>
      <c r="AY361" s="16"/>
      <c r="AZ361" s="16"/>
      <c r="BA361" s="16"/>
      <c r="BB361" s="16"/>
      <c r="BC361" s="16"/>
      <c r="BD361" s="16" t="s">
        <v>159</v>
      </c>
      <c r="BE361" s="16">
        <v>8</v>
      </c>
      <c r="BF361" s="16"/>
      <c r="BG361" s="16"/>
      <c r="BH361" s="16" t="s">
        <v>658</v>
      </c>
      <c r="BI361" s="16">
        <v>812699590</v>
      </c>
      <c r="BJ361" s="16"/>
      <c r="BK361" s="16"/>
      <c r="BL361" s="16"/>
      <c r="BM361" s="16"/>
      <c r="BN361" s="16"/>
      <c r="BO361" s="16"/>
      <c r="BP361" s="16"/>
      <c r="BQ361" s="16"/>
      <c r="BR361" s="16"/>
      <c r="BS361" s="16"/>
      <c r="BT361" s="16"/>
      <c r="BU361" s="16"/>
      <c r="BV361" s="16"/>
      <c r="BW361" s="16"/>
      <c r="BX361" s="16"/>
      <c r="BY361" s="16"/>
      <c r="BZ361" s="16"/>
      <c r="CA361" s="190">
        <v>46275</v>
      </c>
      <c r="CB361" s="3"/>
      <c r="CC361" s="16"/>
      <c r="CD361" s="16"/>
      <c r="CE361" s="16"/>
      <c r="CF361" s="16"/>
      <c r="CG361" s="16"/>
      <c r="CH361" s="16"/>
      <c r="CI361" s="16" t="s">
        <v>3517</v>
      </c>
    </row>
    <row r="362" spans="1:87">
      <c r="A362" s="16" t="s">
        <v>5</v>
      </c>
      <c r="B362" s="16" t="s">
        <v>3518</v>
      </c>
      <c r="C362" s="3">
        <v>46276</v>
      </c>
      <c r="D362" s="16" t="s">
        <v>14</v>
      </c>
      <c r="E362" s="16" t="s">
        <v>3519</v>
      </c>
      <c r="F362" s="16">
        <v>2026244100439</v>
      </c>
      <c r="G362" s="16">
        <v>20</v>
      </c>
      <c r="H362" s="16">
        <v>9</v>
      </c>
      <c r="I362" s="16" t="s">
        <v>647</v>
      </c>
      <c r="J362" s="16" t="s">
        <v>3519</v>
      </c>
      <c r="K362" s="16" t="s">
        <v>782</v>
      </c>
      <c r="L362" s="16" t="s">
        <v>18</v>
      </c>
      <c r="M362" s="16">
        <v>7</v>
      </c>
      <c r="N362" s="16" t="s">
        <v>462</v>
      </c>
      <c r="O362" s="16" t="s">
        <v>606</v>
      </c>
      <c r="P362" s="16" t="s">
        <v>3520</v>
      </c>
      <c r="Q362" s="16" t="s">
        <v>564</v>
      </c>
      <c r="R362" s="16" t="s">
        <v>466</v>
      </c>
      <c r="S362" s="16" t="s">
        <v>3521</v>
      </c>
      <c r="T362" s="16">
        <v>281992</v>
      </c>
      <c r="U362" s="16">
        <v>46268.671527777777</v>
      </c>
      <c r="V362" s="16" t="s">
        <v>469</v>
      </c>
      <c r="W362" s="16" t="s">
        <v>568</v>
      </c>
      <c r="X362" s="16" t="s">
        <v>471</v>
      </c>
      <c r="Y362" s="16" t="s">
        <v>569</v>
      </c>
      <c r="Z362" s="16" t="s">
        <v>570</v>
      </c>
      <c r="AA362" s="16" t="s">
        <v>474</v>
      </c>
      <c r="AB362" s="16" t="s">
        <v>3522</v>
      </c>
      <c r="AC362" s="16" t="s">
        <v>546</v>
      </c>
      <c r="AD362" s="16">
        <v>831294232</v>
      </c>
      <c r="AE362" s="16">
        <v>1083174973</v>
      </c>
      <c r="AF362" s="16"/>
      <c r="AG362" s="16"/>
      <c r="AH362" s="16"/>
      <c r="AI362" s="16" t="s">
        <v>786</v>
      </c>
      <c r="AJ362" s="16" t="s">
        <v>481</v>
      </c>
      <c r="AK362" s="16" t="s">
        <v>3523</v>
      </c>
      <c r="AL362" s="16">
        <v>81949.75</v>
      </c>
      <c r="AM362" s="16"/>
      <c r="AN362" s="16"/>
      <c r="AO362" s="16">
        <v>165</v>
      </c>
      <c r="AP362" s="16" t="s">
        <v>485</v>
      </c>
      <c r="AQ362" s="16" t="s">
        <v>3524</v>
      </c>
      <c r="AR362" s="3">
        <v>46268</v>
      </c>
      <c r="AS362" s="16" t="s">
        <v>786</v>
      </c>
      <c r="AT362" s="16" t="s">
        <v>976</v>
      </c>
      <c r="AU362" s="16"/>
      <c r="AV362" s="16" t="s">
        <v>3525</v>
      </c>
      <c r="AW362" s="16"/>
      <c r="AX362" s="16"/>
      <c r="AY362" s="16"/>
      <c r="AZ362" s="16"/>
      <c r="BA362" s="16"/>
      <c r="BB362" s="16"/>
      <c r="BC362" s="16"/>
      <c r="BD362" s="16" t="s">
        <v>786</v>
      </c>
      <c r="BE362" s="16">
        <v>9</v>
      </c>
      <c r="BF362" s="16" t="s">
        <v>791</v>
      </c>
      <c r="BG362" s="16" t="s">
        <v>490</v>
      </c>
      <c r="BH362" s="16" t="s">
        <v>491</v>
      </c>
      <c r="BI362" s="16">
        <v>354941328</v>
      </c>
      <c r="BJ362" s="16"/>
      <c r="BK362" s="16"/>
      <c r="BL362" s="16"/>
      <c r="BM362" s="16"/>
      <c r="BN362" s="16"/>
      <c r="BO362" s="16"/>
      <c r="BP362" s="16"/>
      <c r="BQ362" s="16"/>
      <c r="BR362" s="16"/>
      <c r="BS362" s="16"/>
      <c r="BT362" s="16"/>
      <c r="BU362" s="16"/>
      <c r="BV362" s="16"/>
      <c r="BW362" s="16"/>
      <c r="BX362" s="16"/>
      <c r="BY362" s="16"/>
      <c r="BZ362" s="16"/>
      <c r="CA362" s="190" t="s">
        <v>792</v>
      </c>
      <c r="CB362" s="3"/>
      <c r="CC362" s="16"/>
      <c r="CD362" s="16"/>
      <c r="CE362" s="16"/>
      <c r="CF362" s="16"/>
      <c r="CG362" s="16"/>
      <c r="CH362" s="16"/>
      <c r="CI362" s="16" t="s">
        <v>3526</v>
      </c>
    </row>
    <row r="363" spans="1:87">
      <c r="A363" s="16" t="s">
        <v>5</v>
      </c>
      <c r="B363" s="16" t="s">
        <v>3527</v>
      </c>
      <c r="C363" s="3">
        <v>46276</v>
      </c>
      <c r="D363" s="16" t="s">
        <v>14</v>
      </c>
      <c r="E363" s="16" t="s">
        <v>3528</v>
      </c>
      <c r="F363" s="16">
        <v>2026224610013</v>
      </c>
      <c r="G363" s="16">
        <v>30</v>
      </c>
      <c r="H363" s="16">
        <v>29</v>
      </c>
      <c r="I363" s="16" t="s">
        <v>809</v>
      </c>
      <c r="J363" s="16" t="s">
        <v>3528</v>
      </c>
      <c r="K363" s="16" t="s">
        <v>585</v>
      </c>
      <c r="L363" s="16" t="s">
        <v>17</v>
      </c>
      <c r="M363" s="16">
        <v>7</v>
      </c>
      <c r="N363" s="16" t="s">
        <v>462</v>
      </c>
      <c r="O363" s="16" t="s">
        <v>606</v>
      </c>
      <c r="P363" s="16" t="s">
        <v>3529</v>
      </c>
      <c r="Q363" s="16" t="s">
        <v>465</v>
      </c>
      <c r="R363" s="16" t="s">
        <v>466</v>
      </c>
      <c r="S363" s="16" t="s">
        <v>3530</v>
      </c>
      <c r="T363" s="16" t="s">
        <v>3323</v>
      </c>
      <c r="U363" s="16">
        <v>46267.736805555556</v>
      </c>
      <c r="V363" s="16" t="s">
        <v>469</v>
      </c>
      <c r="W363" s="16" t="s">
        <v>568</v>
      </c>
      <c r="X363" s="16" t="s">
        <v>471</v>
      </c>
      <c r="Y363" s="16" t="s">
        <v>628</v>
      </c>
      <c r="Z363" s="16" t="s">
        <v>473</v>
      </c>
      <c r="AA363" s="16" t="s">
        <v>474</v>
      </c>
      <c r="AB363" s="16" t="s">
        <v>3531</v>
      </c>
      <c r="AC363" s="16" t="s">
        <v>476</v>
      </c>
      <c r="AD363" s="16">
        <v>391157876</v>
      </c>
      <c r="AE363" s="16">
        <v>1972188555</v>
      </c>
      <c r="AF363" s="16">
        <v>1568027555</v>
      </c>
      <c r="AG363" s="16"/>
      <c r="AH363" s="16"/>
      <c r="AI363" s="16" t="s">
        <v>22</v>
      </c>
      <c r="AJ363" s="16" t="s">
        <v>481</v>
      </c>
      <c r="AK363" s="16" t="s">
        <v>3532</v>
      </c>
      <c r="AL363" s="16">
        <v>15266</v>
      </c>
      <c r="AM363" s="16"/>
      <c r="AN363" s="16"/>
      <c r="AO363" s="16">
        <v>922</v>
      </c>
      <c r="AP363" s="16" t="s">
        <v>485</v>
      </c>
      <c r="AQ363" s="16" t="s">
        <v>3533</v>
      </c>
      <c r="AR363" s="3">
        <v>46268</v>
      </c>
      <c r="AS363" s="16" t="s">
        <v>22</v>
      </c>
      <c r="AT363" s="16" t="s">
        <v>3534</v>
      </c>
      <c r="AU363" s="16"/>
      <c r="AV363" s="16" t="s">
        <v>3535</v>
      </c>
      <c r="AW363" s="16"/>
      <c r="AX363" s="16"/>
      <c r="AY363" s="16"/>
      <c r="AZ363" s="16"/>
      <c r="BA363" s="16"/>
      <c r="BB363" s="16"/>
      <c r="BC363" s="16"/>
      <c r="BD363" s="16" t="s">
        <v>22</v>
      </c>
      <c r="BE363" s="16">
        <v>29</v>
      </c>
      <c r="BF363" s="16"/>
      <c r="BG363" s="16"/>
      <c r="BH363" s="16" t="s">
        <v>491</v>
      </c>
      <c r="BI363" s="16">
        <v>314884041</v>
      </c>
      <c r="BJ363" s="16"/>
      <c r="BK363" s="16"/>
      <c r="BL363" s="16"/>
      <c r="BM363" s="16"/>
      <c r="BN363" s="16"/>
      <c r="BO363" s="16"/>
      <c r="BP363" s="16"/>
      <c r="BQ363" s="16"/>
      <c r="BR363" s="16"/>
      <c r="BS363" s="16"/>
      <c r="BT363" s="16"/>
      <c r="BU363" s="16"/>
      <c r="BV363" s="16"/>
      <c r="BW363" s="16"/>
      <c r="BX363" s="16"/>
      <c r="BY363" s="16"/>
      <c r="BZ363" s="16"/>
      <c r="CA363" s="190">
        <v>46285.166666666701</v>
      </c>
      <c r="CB363" s="3"/>
      <c r="CC363" s="16"/>
      <c r="CD363" s="16"/>
      <c r="CE363" s="16"/>
      <c r="CF363" s="16"/>
      <c r="CG363" s="16"/>
      <c r="CH363" s="16"/>
      <c r="CI363" s="16" t="s">
        <v>3536</v>
      </c>
    </row>
    <row r="364" spans="1:87" ht="29.25">
      <c r="A364" s="16" t="s">
        <v>5</v>
      </c>
      <c r="B364" s="25" t="s">
        <v>3493</v>
      </c>
      <c r="C364" s="3">
        <v>46276</v>
      </c>
      <c r="D364" s="16" t="s">
        <v>14</v>
      </c>
      <c r="E364" s="16" t="s">
        <v>3537</v>
      </c>
      <c r="F364" s="16">
        <v>2026224440331</v>
      </c>
      <c r="G364" s="16">
        <v>30</v>
      </c>
      <c r="H364" s="16">
        <v>29</v>
      </c>
      <c r="I364" s="16" t="s">
        <v>809</v>
      </c>
      <c r="J364" s="16" t="s">
        <v>3537</v>
      </c>
      <c r="K364" s="16" t="s">
        <v>461</v>
      </c>
      <c r="L364" s="16" t="s">
        <v>17</v>
      </c>
      <c r="M364" s="16">
        <v>7</v>
      </c>
      <c r="N364" s="16" t="s">
        <v>462</v>
      </c>
      <c r="O364" s="16" t="s">
        <v>606</v>
      </c>
      <c r="P364" s="16" t="s">
        <v>3538</v>
      </c>
      <c r="Q364" s="16" t="s">
        <v>465</v>
      </c>
      <c r="R364" s="16" t="s">
        <v>466</v>
      </c>
      <c r="S364" s="16" t="s">
        <v>3539</v>
      </c>
      <c r="T364" s="16" t="s">
        <v>3131</v>
      </c>
      <c r="U364" s="16">
        <v>46267.990972222222</v>
      </c>
      <c r="V364" s="16" t="s">
        <v>469</v>
      </c>
      <c r="W364" s="16" t="s">
        <v>568</v>
      </c>
      <c r="X364" s="16" t="s">
        <v>471</v>
      </c>
      <c r="Y364" s="16" t="s">
        <v>628</v>
      </c>
      <c r="Z364" s="16" t="s">
        <v>1292</v>
      </c>
      <c r="AA364" s="16" t="s">
        <v>474</v>
      </c>
      <c r="AB364" s="16" t="s">
        <v>3132</v>
      </c>
      <c r="AC364" s="16" t="s">
        <v>1294</v>
      </c>
      <c r="AD364" s="16">
        <v>611276316</v>
      </c>
      <c r="AE364" s="16">
        <v>1588614994</v>
      </c>
      <c r="AF364" s="16">
        <v>1346653656</v>
      </c>
      <c r="AG364" s="16"/>
      <c r="AH364" s="16"/>
      <c r="AI364" s="16" t="s">
        <v>67</v>
      </c>
      <c r="AJ364" s="16" t="s">
        <v>481</v>
      </c>
      <c r="AK364" s="16" t="s">
        <v>3540</v>
      </c>
      <c r="AL364" s="16">
        <v>4695</v>
      </c>
      <c r="AM364" s="16"/>
      <c r="AN364" s="16"/>
      <c r="AO364" s="16">
        <v>862</v>
      </c>
      <c r="AP364" s="16" t="s">
        <v>485</v>
      </c>
      <c r="AQ364" s="16" t="s">
        <v>3541</v>
      </c>
      <c r="AR364" s="3">
        <v>46268</v>
      </c>
      <c r="AS364" s="16" t="s">
        <v>67</v>
      </c>
      <c r="AT364" s="16" t="s">
        <v>487</v>
      </c>
      <c r="AU364" s="16"/>
      <c r="AV364" s="16" t="s">
        <v>3542</v>
      </c>
      <c r="AW364" s="16"/>
      <c r="AX364" s="16"/>
      <c r="AY364" s="16"/>
      <c r="AZ364" s="16"/>
      <c r="BA364" s="16"/>
      <c r="BB364" s="16"/>
      <c r="BC364" s="16"/>
      <c r="BD364" s="16" t="s">
        <v>67</v>
      </c>
      <c r="BE364" s="16">
        <v>29</v>
      </c>
      <c r="BF364" s="16"/>
      <c r="BG364" s="16"/>
      <c r="BH364" s="16" t="s">
        <v>491</v>
      </c>
      <c r="BI364" s="16">
        <v>312463186</v>
      </c>
      <c r="BJ364" s="16"/>
      <c r="BK364" s="16"/>
      <c r="BL364" s="16"/>
      <c r="BM364" s="16"/>
      <c r="BN364" s="16"/>
      <c r="BO364" s="16"/>
      <c r="BP364" s="16"/>
      <c r="BQ364" s="16"/>
      <c r="BR364" s="16"/>
      <c r="BS364" s="16"/>
      <c r="BT364" s="16"/>
      <c r="BU364" s="16"/>
      <c r="BV364" s="16"/>
      <c r="BW364" s="16"/>
      <c r="BX364" s="16"/>
      <c r="BY364" s="16"/>
      <c r="BZ364" s="16"/>
      <c r="CA364" s="190">
        <v>46275.166666666701</v>
      </c>
      <c r="CB364" s="3"/>
      <c r="CC364" s="16"/>
      <c r="CD364" s="16"/>
      <c r="CE364" s="16"/>
      <c r="CF364" s="16"/>
      <c r="CG364" s="16"/>
      <c r="CH364" s="16"/>
      <c r="CI364" s="16" t="s">
        <v>3543</v>
      </c>
    </row>
    <row r="365" spans="1:87" ht="29.25">
      <c r="A365" s="16" t="s">
        <v>5</v>
      </c>
      <c r="B365" s="25" t="s">
        <v>3544</v>
      </c>
      <c r="C365" s="3">
        <v>46276</v>
      </c>
      <c r="D365" s="16" t="s">
        <v>14</v>
      </c>
      <c r="E365" s="16" t="s">
        <v>3545</v>
      </c>
      <c r="F365" s="16">
        <v>2026223160048</v>
      </c>
      <c r="G365" s="16">
        <v>30</v>
      </c>
      <c r="H365" s="16">
        <v>30</v>
      </c>
      <c r="I365" s="16" t="s">
        <v>809</v>
      </c>
      <c r="J365" s="16" t="s">
        <v>3545</v>
      </c>
      <c r="K365" s="16" t="s">
        <v>1555</v>
      </c>
      <c r="L365" s="16" t="s">
        <v>17</v>
      </c>
      <c r="M365" s="16">
        <v>8</v>
      </c>
      <c r="N365" s="16" t="s">
        <v>462</v>
      </c>
      <c r="O365" s="16" t="s">
        <v>606</v>
      </c>
      <c r="P365" s="16" t="s">
        <v>3546</v>
      </c>
      <c r="Q365" s="16" t="s">
        <v>465</v>
      </c>
      <c r="R365" s="16" t="s">
        <v>466</v>
      </c>
      <c r="S365" s="16" t="s">
        <v>3547</v>
      </c>
      <c r="T365" s="16" t="s">
        <v>3548</v>
      </c>
      <c r="U365" s="16">
        <v>46266.752083333333</v>
      </c>
      <c r="V365" s="16" t="s">
        <v>469</v>
      </c>
      <c r="W365" s="16" t="s">
        <v>470</v>
      </c>
      <c r="X365" s="16" t="s">
        <v>471</v>
      </c>
      <c r="Y365" s="16" t="s">
        <v>523</v>
      </c>
      <c r="Z365" s="16" t="s">
        <v>1292</v>
      </c>
      <c r="AA365" s="16" t="s">
        <v>474</v>
      </c>
      <c r="AB365" s="16" t="s">
        <v>3549</v>
      </c>
      <c r="AC365" s="16" t="s">
        <v>1294</v>
      </c>
      <c r="AD365" s="16">
        <v>610920842</v>
      </c>
      <c r="AE365" s="16">
        <v>1043293608</v>
      </c>
      <c r="AF365" s="16"/>
      <c r="AG365" s="16"/>
      <c r="AH365" s="16"/>
      <c r="AI365" s="16" t="s">
        <v>32</v>
      </c>
      <c r="AJ365" s="16" t="s">
        <v>481</v>
      </c>
      <c r="AK365" s="16" t="s">
        <v>3550</v>
      </c>
      <c r="AL365" s="16">
        <v>48304.35</v>
      </c>
      <c r="AM365" s="16"/>
      <c r="AN365" s="16"/>
      <c r="AO365" s="16">
        <v>28</v>
      </c>
      <c r="AP365" s="16" t="s">
        <v>485</v>
      </c>
      <c r="AQ365" s="16" t="s">
        <v>3551</v>
      </c>
      <c r="AR365" s="3">
        <v>46267</v>
      </c>
      <c r="AS365" s="16" t="s">
        <v>32</v>
      </c>
      <c r="AT365" s="16" t="s">
        <v>516</v>
      </c>
      <c r="AU365" s="16"/>
      <c r="AV365" s="16" t="s">
        <v>3425</v>
      </c>
      <c r="AW365" s="16"/>
      <c r="AX365" s="16"/>
      <c r="AY365" s="16"/>
      <c r="AZ365" s="16"/>
      <c r="BA365" s="16"/>
      <c r="BB365" s="16"/>
      <c r="BC365" s="16"/>
      <c r="BD365" s="16" t="s">
        <v>32</v>
      </c>
      <c r="BE365" s="16">
        <v>30</v>
      </c>
      <c r="BF365" s="16"/>
      <c r="BG365" s="16"/>
      <c r="BH365" s="16" t="s">
        <v>491</v>
      </c>
      <c r="BI365" s="16">
        <v>347664382</v>
      </c>
      <c r="BJ365" s="16"/>
      <c r="BK365" s="16"/>
      <c r="BL365" s="16"/>
      <c r="BM365" s="16"/>
      <c r="BN365" s="16"/>
      <c r="BO365" s="16"/>
      <c r="BP365" s="16"/>
      <c r="BQ365" s="16"/>
      <c r="BR365" s="16"/>
      <c r="BS365" s="16"/>
      <c r="BT365" s="16"/>
      <c r="BU365" s="16"/>
      <c r="BV365" s="16"/>
      <c r="BW365" s="16"/>
      <c r="BX365" s="16"/>
      <c r="BY365" s="16"/>
      <c r="BZ365" s="16"/>
      <c r="CA365" s="190">
        <v>46285.666666666701</v>
      </c>
      <c r="CB365" s="3"/>
      <c r="CC365" s="16"/>
      <c r="CD365" s="16"/>
      <c r="CE365" s="16"/>
      <c r="CF365" s="16"/>
      <c r="CG365" s="16"/>
      <c r="CH365" s="16"/>
      <c r="CI365" s="16" t="s">
        <v>3552</v>
      </c>
    </row>
    <row r="366" spans="1:87">
      <c r="A366" s="16"/>
      <c r="B366" s="16"/>
      <c r="C366" s="3">
        <v>46276</v>
      </c>
      <c r="D366" s="16" t="s">
        <v>14</v>
      </c>
      <c r="E366" s="16" t="s">
        <v>3553</v>
      </c>
      <c r="F366" s="16">
        <v>2026223910231</v>
      </c>
      <c r="G366" s="16">
        <v>30</v>
      </c>
      <c r="H366" s="16">
        <v>30</v>
      </c>
      <c r="I366" s="16" t="s">
        <v>809</v>
      </c>
      <c r="J366" s="16" t="s">
        <v>3553</v>
      </c>
      <c r="K366" s="16" t="s">
        <v>1083</v>
      </c>
      <c r="L366" s="16" t="s">
        <v>17</v>
      </c>
      <c r="M366" s="16">
        <v>8</v>
      </c>
      <c r="N366" s="16" t="s">
        <v>462</v>
      </c>
      <c r="O366" s="16" t="s">
        <v>606</v>
      </c>
      <c r="P366" s="16" t="s">
        <v>3554</v>
      </c>
      <c r="Q366" s="16" t="s">
        <v>465</v>
      </c>
      <c r="R366" s="16" t="s">
        <v>466</v>
      </c>
      <c r="S366" s="16" t="s">
        <v>3555</v>
      </c>
      <c r="T366" s="16" t="s">
        <v>3556</v>
      </c>
      <c r="U366" s="16">
        <v>46266.770138888889</v>
      </c>
      <c r="V366" s="16" t="s">
        <v>469</v>
      </c>
      <c r="W366" s="16" t="s">
        <v>470</v>
      </c>
      <c r="X366" s="16" t="s">
        <v>471</v>
      </c>
      <c r="Y366" s="16" t="s">
        <v>523</v>
      </c>
      <c r="Z366" s="16" t="s">
        <v>1292</v>
      </c>
      <c r="AA366" s="16" t="s">
        <v>474</v>
      </c>
      <c r="AB366" s="16" t="s">
        <v>3557</v>
      </c>
      <c r="AC366" s="16" t="s">
        <v>1294</v>
      </c>
      <c r="AD366" s="16">
        <v>610445850</v>
      </c>
      <c r="AE366" s="16">
        <v>1467492421</v>
      </c>
      <c r="AF366" s="16"/>
      <c r="AG366" s="16"/>
      <c r="AH366" s="16"/>
      <c r="AI366" s="16" t="s">
        <v>48</v>
      </c>
      <c r="AJ366" s="16" t="s">
        <v>481</v>
      </c>
      <c r="AK366" s="16" t="s">
        <v>3558</v>
      </c>
      <c r="AL366" s="16">
        <v>26050.07</v>
      </c>
      <c r="AM366" s="16"/>
      <c r="AN366" s="16"/>
      <c r="AO366" s="16">
        <v>383</v>
      </c>
      <c r="AP366" s="16" t="s">
        <v>485</v>
      </c>
      <c r="AQ366" s="16" t="s">
        <v>3559</v>
      </c>
      <c r="AR366" s="3">
        <v>46267</v>
      </c>
      <c r="AS366" s="16" t="s">
        <v>48</v>
      </c>
      <c r="AT366" s="16" t="s">
        <v>516</v>
      </c>
      <c r="AU366" s="16"/>
      <c r="AV366" s="16" t="s">
        <v>2069</v>
      </c>
      <c r="AW366" s="16"/>
      <c r="AX366" s="16"/>
      <c r="AY366" s="16"/>
      <c r="AZ366" s="16"/>
      <c r="BA366" s="16"/>
      <c r="BB366" s="16"/>
      <c r="BC366" s="16"/>
      <c r="BD366" s="16" t="s">
        <v>48</v>
      </c>
      <c r="BE366" s="16">
        <v>30</v>
      </c>
      <c r="BF366" s="16"/>
      <c r="BG366" s="16" t="s">
        <v>490</v>
      </c>
      <c r="BH366" s="16" t="s">
        <v>491</v>
      </c>
      <c r="BI366" s="16">
        <v>407027801</v>
      </c>
      <c r="BJ366" s="16"/>
      <c r="BK366" s="16"/>
      <c r="BL366" s="16"/>
      <c r="BM366" s="16"/>
      <c r="BN366" s="16"/>
      <c r="BO366" s="16"/>
      <c r="BP366" s="16"/>
      <c r="BQ366" s="16"/>
      <c r="BR366" s="16"/>
      <c r="BS366" s="16"/>
      <c r="BT366" s="16"/>
      <c r="BU366" s="16"/>
      <c r="BV366" s="16"/>
      <c r="BW366" s="16"/>
      <c r="BX366" s="16"/>
      <c r="BY366" s="16"/>
      <c r="BZ366" s="16"/>
      <c r="CA366" s="190">
        <v>46275</v>
      </c>
      <c r="CB366" s="3"/>
      <c r="CC366" s="16"/>
      <c r="CD366" s="16"/>
      <c r="CE366" s="16"/>
      <c r="CF366" s="16"/>
      <c r="CG366" s="16"/>
      <c r="CH366" s="16"/>
      <c r="CI366" s="16" t="s">
        <v>3560</v>
      </c>
    </row>
    <row r="367" spans="1:87">
      <c r="A367" s="16"/>
      <c r="B367" s="16"/>
      <c r="C367" s="3">
        <v>46276</v>
      </c>
      <c r="D367" s="16" t="s">
        <v>14</v>
      </c>
      <c r="E367" s="16" t="s">
        <v>3561</v>
      </c>
      <c r="F367" s="16">
        <v>2026224460192</v>
      </c>
      <c r="G367" s="16">
        <v>30</v>
      </c>
      <c r="H367" s="16">
        <v>29</v>
      </c>
      <c r="I367" s="16" t="s">
        <v>809</v>
      </c>
      <c r="J367" s="16" t="s">
        <v>3561</v>
      </c>
      <c r="K367" s="16" t="s">
        <v>560</v>
      </c>
      <c r="L367" s="16" t="s">
        <v>13</v>
      </c>
      <c r="M367" s="16">
        <v>7</v>
      </c>
      <c r="N367" s="16" t="s">
        <v>462</v>
      </c>
      <c r="O367" s="16" t="s">
        <v>606</v>
      </c>
      <c r="P367" s="16" t="s">
        <v>3562</v>
      </c>
      <c r="Q367" s="16" t="s">
        <v>465</v>
      </c>
      <c r="R367" s="16" t="s">
        <v>466</v>
      </c>
      <c r="S367" s="16" t="s">
        <v>3563</v>
      </c>
      <c r="T367" s="16" t="s">
        <v>3457</v>
      </c>
      <c r="U367" s="16">
        <v>46267.907638888886</v>
      </c>
      <c r="V367" s="16" t="s">
        <v>469</v>
      </c>
      <c r="W367" s="16" t="s">
        <v>568</v>
      </c>
      <c r="X367" s="16" t="s">
        <v>471</v>
      </c>
      <c r="Y367" s="16" t="s">
        <v>3458</v>
      </c>
      <c r="Z367" s="16" t="s">
        <v>638</v>
      </c>
      <c r="AA367" s="16" t="s">
        <v>474</v>
      </c>
      <c r="AB367" s="16" t="s">
        <v>3564</v>
      </c>
      <c r="AC367" s="16" t="s">
        <v>465</v>
      </c>
      <c r="AD367" s="16">
        <v>272039417</v>
      </c>
      <c r="AE367" s="16">
        <v>1144513375</v>
      </c>
      <c r="AF367" s="16">
        <v>1386886620</v>
      </c>
      <c r="AG367" s="16"/>
      <c r="AH367" s="16"/>
      <c r="AI367" s="16" t="s">
        <v>59</v>
      </c>
      <c r="AJ367" s="16" t="s">
        <v>481</v>
      </c>
      <c r="AK367" s="16" t="s">
        <v>3565</v>
      </c>
      <c r="AL367" s="16">
        <v>4445</v>
      </c>
      <c r="AM367" s="16"/>
      <c r="AN367" s="16"/>
      <c r="AO367" s="16">
        <v>502</v>
      </c>
      <c r="AP367" s="16" t="s">
        <v>485</v>
      </c>
      <c r="AQ367" s="16" t="s">
        <v>3566</v>
      </c>
      <c r="AR367" s="3">
        <v>46268</v>
      </c>
      <c r="AS367" s="16" t="s">
        <v>59</v>
      </c>
      <c r="AT367" s="16" t="s">
        <v>516</v>
      </c>
      <c r="AU367" s="16"/>
      <c r="AV367" s="16" t="s">
        <v>752</v>
      </c>
      <c r="AW367" s="16"/>
      <c r="AX367" s="16"/>
      <c r="AY367" s="16"/>
      <c r="AZ367" s="16"/>
      <c r="BA367" s="16"/>
      <c r="BB367" s="16"/>
      <c r="BC367" s="16"/>
      <c r="BD367" s="16" t="s">
        <v>59</v>
      </c>
      <c r="BE367" s="16">
        <v>29</v>
      </c>
      <c r="BF367" s="16"/>
      <c r="BG367" s="16" t="s">
        <v>490</v>
      </c>
      <c r="BH367" s="16" t="s">
        <v>491</v>
      </c>
      <c r="BI367" s="16">
        <v>310061967</v>
      </c>
      <c r="BJ367" s="16"/>
      <c r="BK367" s="16"/>
      <c r="BL367" s="16"/>
      <c r="BM367" s="16"/>
      <c r="BN367" s="16"/>
      <c r="BO367" s="16"/>
      <c r="BP367" s="16"/>
      <c r="BQ367" s="16"/>
      <c r="BR367" s="16"/>
      <c r="BS367" s="16"/>
      <c r="BT367" s="16"/>
      <c r="BU367" s="16"/>
      <c r="BV367" s="16"/>
      <c r="BW367" s="16"/>
      <c r="BX367" s="16"/>
      <c r="BY367" s="16"/>
      <c r="BZ367" s="16"/>
      <c r="CA367" s="190">
        <v>46275</v>
      </c>
      <c r="CB367" s="3"/>
      <c r="CC367" s="16"/>
      <c r="CD367" s="16"/>
      <c r="CE367" s="16"/>
      <c r="CF367" s="16"/>
      <c r="CG367" s="16"/>
      <c r="CH367" s="16"/>
      <c r="CI367" s="16" t="s">
        <v>3567</v>
      </c>
    </row>
    <row r="368" spans="1:87">
      <c r="A368" s="16" t="s">
        <v>4</v>
      </c>
      <c r="B368" s="16" t="s">
        <v>3568</v>
      </c>
      <c r="C368" s="3">
        <v>46276</v>
      </c>
      <c r="D368" s="16" t="s">
        <v>14</v>
      </c>
      <c r="E368" s="16" t="s">
        <v>3569</v>
      </c>
      <c r="F368" s="16">
        <v>2026225780472</v>
      </c>
      <c r="G368" s="16">
        <v>30</v>
      </c>
      <c r="H368" s="16">
        <v>30</v>
      </c>
      <c r="I368" s="16" t="s">
        <v>809</v>
      </c>
      <c r="J368" s="16" t="s">
        <v>3569</v>
      </c>
      <c r="K368" s="16" t="s">
        <v>1874</v>
      </c>
      <c r="L368" s="16" t="s">
        <v>17</v>
      </c>
      <c r="M368" s="16">
        <v>7</v>
      </c>
      <c r="N368" s="16" t="s">
        <v>462</v>
      </c>
      <c r="O368" s="16" t="s">
        <v>606</v>
      </c>
      <c r="P368" s="16" t="s">
        <v>3570</v>
      </c>
      <c r="Q368" s="16" t="s">
        <v>465</v>
      </c>
      <c r="R368" s="16" t="s">
        <v>466</v>
      </c>
      <c r="S368" s="16" t="s">
        <v>3571</v>
      </c>
      <c r="T368" s="16" t="s">
        <v>3572</v>
      </c>
      <c r="U368" s="16">
        <v>46267.895833333336</v>
      </c>
      <c r="V368" s="16" t="s">
        <v>469</v>
      </c>
      <c r="W368" s="16" t="s">
        <v>470</v>
      </c>
      <c r="X368" s="16" t="s">
        <v>471</v>
      </c>
      <c r="Y368" s="16" t="s">
        <v>523</v>
      </c>
      <c r="Z368" s="16" t="s">
        <v>544</v>
      </c>
      <c r="AA368" s="16" t="s">
        <v>474</v>
      </c>
      <c r="AB368" s="16" t="s">
        <v>3573</v>
      </c>
      <c r="AC368" s="16" t="s">
        <v>546</v>
      </c>
      <c r="AD368" s="16">
        <v>581954432</v>
      </c>
      <c r="AE368" s="16">
        <v>1225050396</v>
      </c>
      <c r="AF368" s="16"/>
      <c r="AG368" s="16"/>
      <c r="AH368" s="16" t="s">
        <v>1076</v>
      </c>
      <c r="AI368" s="16" t="s">
        <v>93</v>
      </c>
      <c r="AJ368" s="16" t="s">
        <v>481</v>
      </c>
      <c r="AK368" s="16" t="s">
        <v>3574</v>
      </c>
      <c r="AL368" s="16">
        <v>79399</v>
      </c>
      <c r="AM368" s="16"/>
      <c r="AN368" s="16"/>
      <c r="AO368" s="16">
        <v>650</v>
      </c>
      <c r="AP368" s="16" t="s">
        <v>485</v>
      </c>
      <c r="AQ368" s="16" t="s">
        <v>3575</v>
      </c>
      <c r="AR368" s="3">
        <v>46268</v>
      </c>
      <c r="AS368" s="16" t="s">
        <v>93</v>
      </c>
      <c r="AT368" s="16" t="s">
        <v>516</v>
      </c>
      <c r="AU368" s="16"/>
      <c r="AV368" s="16" t="s">
        <v>554</v>
      </c>
      <c r="AW368" s="16"/>
      <c r="AX368" s="16"/>
      <c r="AY368" s="16"/>
      <c r="AZ368" s="16"/>
      <c r="BA368" s="16"/>
      <c r="BB368" s="16"/>
      <c r="BC368" s="16"/>
      <c r="BD368" s="16" t="s">
        <v>93</v>
      </c>
      <c r="BE368" s="16">
        <v>28</v>
      </c>
      <c r="BF368" s="16"/>
      <c r="BG368" s="16" t="s">
        <v>490</v>
      </c>
      <c r="BH368" s="16" t="s">
        <v>491</v>
      </c>
      <c r="BI368" s="16">
        <v>590905042</v>
      </c>
      <c r="BJ368" s="16"/>
      <c r="BK368" s="16"/>
      <c r="BL368" s="16"/>
      <c r="BM368" s="16"/>
      <c r="BN368" s="16"/>
      <c r="BO368" s="16"/>
      <c r="BP368" s="16"/>
      <c r="BQ368" s="16"/>
      <c r="BR368" s="16"/>
      <c r="BS368" s="16"/>
      <c r="BT368" s="16"/>
      <c r="BU368" s="16"/>
      <c r="BV368" s="16"/>
      <c r="BW368" s="16"/>
      <c r="BX368" s="16"/>
      <c r="BY368" s="16"/>
      <c r="BZ368" s="16"/>
      <c r="CA368" s="190">
        <v>46285.666666666701</v>
      </c>
      <c r="CB368" s="3"/>
      <c r="CC368" s="16"/>
      <c r="CD368" s="16"/>
      <c r="CE368" s="16"/>
      <c r="CF368" s="16"/>
      <c r="CG368" s="16"/>
      <c r="CH368" s="16"/>
      <c r="CI368" s="16" t="s">
        <v>3576</v>
      </c>
    </row>
    <row r="369" spans="1:87">
      <c r="A369" s="16" t="s">
        <v>5</v>
      </c>
      <c r="B369" s="16" t="s">
        <v>3577</v>
      </c>
      <c r="C369" s="3">
        <v>46276</v>
      </c>
      <c r="D369" s="16" t="s">
        <v>14</v>
      </c>
      <c r="E369" s="16" t="s">
        <v>3578</v>
      </c>
      <c r="F369" s="16">
        <v>2026223860573</v>
      </c>
      <c r="G369" s="16">
        <v>30</v>
      </c>
      <c r="H369" s="16">
        <v>30</v>
      </c>
      <c r="I369" s="16" t="s">
        <v>809</v>
      </c>
      <c r="J369" s="16" t="s">
        <v>3578</v>
      </c>
      <c r="K369" s="16" t="s">
        <v>1884</v>
      </c>
      <c r="L369" s="16" t="s">
        <v>17</v>
      </c>
      <c r="M369" s="16">
        <v>8</v>
      </c>
      <c r="N369" s="16" t="s">
        <v>462</v>
      </c>
      <c r="O369" s="16" t="s">
        <v>606</v>
      </c>
      <c r="P369" s="16">
        <v>976259560</v>
      </c>
      <c r="Q369" s="16" t="s">
        <v>465</v>
      </c>
      <c r="R369" s="16" t="s">
        <v>466</v>
      </c>
      <c r="S369" s="16" t="s">
        <v>3579</v>
      </c>
      <c r="T369" s="16" t="s">
        <v>3580</v>
      </c>
      <c r="U369" s="16">
        <v>46267.689583333333</v>
      </c>
      <c r="V369" s="16" t="s">
        <v>469</v>
      </c>
      <c r="W369" s="16" t="s">
        <v>470</v>
      </c>
      <c r="X369" s="16" t="s">
        <v>471</v>
      </c>
      <c r="Y369" s="16" t="s">
        <v>472</v>
      </c>
      <c r="Z369" s="16" t="s">
        <v>1636</v>
      </c>
      <c r="AA369" s="16" t="s">
        <v>474</v>
      </c>
      <c r="AB369" s="16" t="s">
        <v>3581</v>
      </c>
      <c r="AC369" s="16" t="s">
        <v>3582</v>
      </c>
      <c r="AD369" s="16">
        <v>42704683</v>
      </c>
      <c r="AE369" s="16">
        <v>1538194980</v>
      </c>
      <c r="AF369" s="16">
        <v>1477997971</v>
      </c>
      <c r="AG369" s="16"/>
      <c r="AH369" s="16"/>
      <c r="AI369" s="16" t="s">
        <v>318</v>
      </c>
      <c r="AJ369" s="16" t="s">
        <v>481</v>
      </c>
      <c r="AK369" s="16" t="s">
        <v>3583</v>
      </c>
      <c r="AL369" s="16">
        <v>6212</v>
      </c>
      <c r="AM369" s="16"/>
      <c r="AN369" s="16"/>
      <c r="AO369" s="16">
        <v>976</v>
      </c>
      <c r="AP369" s="16" t="s">
        <v>485</v>
      </c>
      <c r="AQ369" s="16" t="s">
        <v>3584</v>
      </c>
      <c r="AR369" s="3">
        <v>46267</v>
      </c>
      <c r="AS369" s="16" t="s">
        <v>318</v>
      </c>
      <c r="AT369" s="16" t="s">
        <v>3585</v>
      </c>
      <c r="AU369" s="16"/>
      <c r="AV369" s="16" t="s">
        <v>3586</v>
      </c>
      <c r="AW369" s="16"/>
      <c r="AX369" s="16"/>
      <c r="AY369" s="16"/>
      <c r="AZ369" s="16"/>
      <c r="BA369" s="16"/>
      <c r="BB369" s="16"/>
      <c r="BC369" s="16"/>
      <c r="BD369" s="16" t="s">
        <v>318</v>
      </c>
      <c r="BE369" s="16">
        <v>30</v>
      </c>
      <c r="BF369" s="16"/>
      <c r="BG369" s="16"/>
      <c r="BH369" s="16" t="s">
        <v>491</v>
      </c>
      <c r="BI369" s="16">
        <v>4466681</v>
      </c>
      <c r="BJ369" s="16"/>
      <c r="BK369" s="16"/>
      <c r="BL369" s="16"/>
      <c r="BM369" s="16"/>
      <c r="BN369" s="16"/>
      <c r="BO369" s="16"/>
      <c r="BP369" s="16"/>
      <c r="BQ369" s="16"/>
      <c r="BR369" s="16"/>
      <c r="BS369" s="16"/>
      <c r="BT369" s="16"/>
      <c r="BU369" s="16"/>
      <c r="BV369" s="16"/>
      <c r="BW369" s="16"/>
      <c r="BX369" s="16"/>
      <c r="BY369" s="16"/>
      <c r="BZ369" s="16"/>
      <c r="CA369" s="190">
        <v>46285.666666666701</v>
      </c>
      <c r="CB369" s="3"/>
      <c r="CC369" s="16"/>
      <c r="CD369" s="16"/>
      <c r="CE369" s="16"/>
      <c r="CF369" s="16"/>
      <c r="CG369" s="16"/>
      <c r="CH369" s="16"/>
      <c r="CI369" s="16" t="s">
        <v>3587</v>
      </c>
    </row>
    <row r="370" spans="1:87" ht="29.25">
      <c r="A370" s="16" t="s">
        <v>5</v>
      </c>
      <c r="B370" s="25" t="s">
        <v>3493</v>
      </c>
      <c r="C370" s="3">
        <v>46276</v>
      </c>
      <c r="D370" s="16" t="s">
        <v>14</v>
      </c>
      <c r="E370" s="16" t="s">
        <v>3588</v>
      </c>
      <c r="F370" s="16">
        <v>2026223700441</v>
      </c>
      <c r="G370" s="16">
        <v>30</v>
      </c>
      <c r="H370" s="16">
        <v>30</v>
      </c>
      <c r="I370" s="16" t="s">
        <v>809</v>
      </c>
      <c r="J370" s="16" t="s">
        <v>3588</v>
      </c>
      <c r="K370" s="16" t="s">
        <v>461</v>
      </c>
      <c r="L370" s="16" t="s">
        <v>17</v>
      </c>
      <c r="M370" s="16">
        <v>8</v>
      </c>
      <c r="N370" s="16" t="s">
        <v>462</v>
      </c>
      <c r="O370" s="16" t="s">
        <v>606</v>
      </c>
      <c r="P370" s="16" t="s">
        <v>3589</v>
      </c>
      <c r="Q370" s="16" t="s">
        <v>465</v>
      </c>
      <c r="R370" s="16" t="s">
        <v>466</v>
      </c>
      <c r="S370" s="16" t="s">
        <v>3590</v>
      </c>
      <c r="T370" s="16" t="s">
        <v>3591</v>
      </c>
      <c r="U370" s="16">
        <v>46267.04583333333</v>
      </c>
      <c r="V370" s="16" t="s">
        <v>469</v>
      </c>
      <c r="W370" s="16" t="s">
        <v>470</v>
      </c>
      <c r="X370" s="16" t="s">
        <v>471</v>
      </c>
      <c r="Y370" s="16" t="s">
        <v>472</v>
      </c>
      <c r="Z370" s="16" t="s">
        <v>638</v>
      </c>
      <c r="AA370" s="16" t="s">
        <v>474</v>
      </c>
      <c r="AB370" s="16" t="s">
        <v>3592</v>
      </c>
      <c r="AC370" s="16" t="s">
        <v>1294</v>
      </c>
      <c r="AD370" s="16">
        <v>610703799</v>
      </c>
      <c r="AE370" s="16">
        <v>1982609442</v>
      </c>
      <c r="AF370" s="16"/>
      <c r="AG370" s="16"/>
      <c r="AH370" s="16"/>
      <c r="AI370" s="16" t="s">
        <v>67</v>
      </c>
      <c r="AJ370" s="16" t="s">
        <v>481</v>
      </c>
      <c r="AK370" s="16" t="s">
        <v>3593</v>
      </c>
      <c r="AL370" s="16">
        <v>30970.93</v>
      </c>
      <c r="AM370" s="16"/>
      <c r="AN370" s="16"/>
      <c r="AO370" s="16">
        <v>741</v>
      </c>
      <c r="AP370" s="16" t="s">
        <v>485</v>
      </c>
      <c r="AQ370" s="16" t="s">
        <v>3594</v>
      </c>
      <c r="AR370" s="3">
        <v>46267</v>
      </c>
      <c r="AS370" s="16" t="s">
        <v>67</v>
      </c>
      <c r="AT370" s="16" t="s">
        <v>487</v>
      </c>
      <c r="AU370" s="16"/>
      <c r="AV370" s="16" t="s">
        <v>3595</v>
      </c>
      <c r="AW370" s="16"/>
      <c r="AX370" s="16"/>
      <c r="AY370" s="16"/>
      <c r="AZ370" s="16"/>
      <c r="BA370" s="16"/>
      <c r="BB370" s="16"/>
      <c r="BC370" s="16"/>
      <c r="BD370" s="16" t="s">
        <v>67</v>
      </c>
      <c r="BE370" s="16">
        <v>30</v>
      </c>
      <c r="BF370" s="16"/>
      <c r="BG370" s="16"/>
      <c r="BH370" s="16" t="s">
        <v>491</v>
      </c>
      <c r="BI370" s="16">
        <v>315110818</v>
      </c>
      <c r="BJ370" s="16"/>
      <c r="BK370" s="16"/>
      <c r="BL370" s="16"/>
      <c r="BM370" s="16"/>
      <c r="BN370" s="16"/>
      <c r="BO370" s="16"/>
      <c r="BP370" s="16"/>
      <c r="BQ370" s="16"/>
      <c r="BR370" s="16"/>
      <c r="BS370" s="16"/>
      <c r="BT370" s="16"/>
      <c r="BU370" s="16"/>
      <c r="BV370" s="16"/>
      <c r="BW370" s="16"/>
      <c r="BX370" s="16"/>
      <c r="BY370" s="16"/>
      <c r="BZ370" s="16"/>
      <c r="CA370" s="190">
        <v>46275.166666666701</v>
      </c>
      <c r="CB370" s="3"/>
      <c r="CC370" s="16"/>
      <c r="CD370" s="16"/>
      <c r="CE370" s="16"/>
      <c r="CF370" s="16"/>
      <c r="CG370" s="16"/>
      <c r="CH370" s="16"/>
      <c r="CI370" s="16" t="s">
        <v>3596</v>
      </c>
    </row>
    <row r="371" spans="1:87" ht="29.25">
      <c r="A371" s="16" t="s">
        <v>5</v>
      </c>
      <c r="B371" s="25" t="s">
        <v>3597</v>
      </c>
      <c r="C371" s="3">
        <v>46276</v>
      </c>
      <c r="D371" s="16" t="s">
        <v>14</v>
      </c>
      <c r="E371" s="16" t="s">
        <v>3598</v>
      </c>
      <c r="F371" s="16">
        <v>2026223750482</v>
      </c>
      <c r="G371" s="16">
        <v>30</v>
      </c>
      <c r="H371" s="16">
        <v>30</v>
      </c>
      <c r="I371" s="16" t="s">
        <v>809</v>
      </c>
      <c r="J371" s="16" t="s">
        <v>3598</v>
      </c>
      <c r="K371" s="16" t="s">
        <v>496</v>
      </c>
      <c r="L371" s="16" t="s">
        <v>17</v>
      </c>
      <c r="M371" s="16">
        <v>8</v>
      </c>
      <c r="N371" s="16" t="s">
        <v>462</v>
      </c>
      <c r="O371" s="16" t="s">
        <v>606</v>
      </c>
      <c r="P371" s="16">
        <v>846712117</v>
      </c>
      <c r="Q371" s="16" t="s">
        <v>465</v>
      </c>
      <c r="R371" s="16" t="s">
        <v>466</v>
      </c>
      <c r="S371" s="16" t="s">
        <v>3599</v>
      </c>
      <c r="T371" s="16" t="s">
        <v>664</v>
      </c>
      <c r="U371" s="16">
        <v>46267.318055555559</v>
      </c>
      <c r="V371" s="16" t="s">
        <v>469</v>
      </c>
      <c r="W371" s="16" t="s">
        <v>651</v>
      </c>
      <c r="X371" s="16" t="s">
        <v>652</v>
      </c>
      <c r="Y371" s="16" t="s">
        <v>653</v>
      </c>
      <c r="Z371" s="16" t="s">
        <v>665</v>
      </c>
      <c r="AA371" s="16" t="s">
        <v>474</v>
      </c>
      <c r="AB371" s="16" t="s">
        <v>666</v>
      </c>
      <c r="AC371" s="16" t="s">
        <v>640</v>
      </c>
      <c r="AD371" s="16">
        <v>141338373</v>
      </c>
      <c r="AE371" s="16">
        <v>1528024718</v>
      </c>
      <c r="AF371" s="16"/>
      <c r="AG371" s="16">
        <v>2.54202536306601E+16</v>
      </c>
      <c r="AH371" s="16"/>
      <c r="AI371" s="16" t="s">
        <v>91</v>
      </c>
      <c r="AJ371" s="16" t="s">
        <v>481</v>
      </c>
      <c r="AK371" s="16" t="s">
        <v>3600</v>
      </c>
      <c r="AL371" s="16">
        <v>23461.360000000001</v>
      </c>
      <c r="AM371" s="16"/>
      <c r="AN371" s="16"/>
      <c r="AO371" s="16">
        <v>846</v>
      </c>
      <c r="AP371" s="16" t="s">
        <v>485</v>
      </c>
      <c r="AQ371" s="16" t="s">
        <v>3601</v>
      </c>
      <c r="AR371" s="3">
        <v>46267</v>
      </c>
      <c r="AS371" s="16" t="s">
        <v>91</v>
      </c>
      <c r="AT371" s="16" t="s">
        <v>516</v>
      </c>
      <c r="AU371" s="16"/>
      <c r="AV371" s="16" t="s">
        <v>3602</v>
      </c>
      <c r="AW371" s="16"/>
      <c r="AX371" s="16"/>
      <c r="AY371" s="16"/>
      <c r="AZ371" s="16"/>
      <c r="BA371" s="16"/>
      <c r="BB371" s="16"/>
      <c r="BC371" s="16"/>
      <c r="BD371" s="16" t="s">
        <v>91</v>
      </c>
      <c r="BE371" s="16">
        <v>30</v>
      </c>
      <c r="BF371" s="16"/>
      <c r="BG371" s="16"/>
      <c r="BH371" s="16" t="s">
        <v>658</v>
      </c>
      <c r="BI371" s="16">
        <v>846712117</v>
      </c>
      <c r="BJ371" s="16"/>
      <c r="BK371" s="16"/>
      <c r="BL371" s="16"/>
      <c r="BM371" s="16"/>
      <c r="BN371" s="16"/>
      <c r="BO371" s="16"/>
      <c r="BP371" s="16"/>
      <c r="BQ371" s="16"/>
      <c r="BR371" s="16"/>
      <c r="BS371" s="16"/>
      <c r="BT371" s="16"/>
      <c r="BU371" s="16"/>
      <c r="BV371" s="16"/>
      <c r="BW371" s="16"/>
      <c r="BX371" s="16"/>
      <c r="BY371" s="16"/>
      <c r="BZ371" s="16"/>
      <c r="CA371" s="190">
        <v>46281.666666666701</v>
      </c>
      <c r="CB371" s="3"/>
      <c r="CC371" s="16"/>
      <c r="CD371" s="16"/>
      <c r="CE371" s="16"/>
      <c r="CF371" s="16"/>
      <c r="CG371" s="16"/>
      <c r="CH371" s="16"/>
      <c r="CI371" s="16" t="s">
        <v>3603</v>
      </c>
    </row>
    <row r="372" spans="1:87">
      <c r="A372" s="16" t="s">
        <v>5</v>
      </c>
      <c r="B372" s="16" t="s">
        <v>1038</v>
      </c>
      <c r="C372" s="3">
        <v>46276</v>
      </c>
      <c r="D372" s="16" t="s">
        <v>14</v>
      </c>
      <c r="E372" s="16" t="s">
        <v>3604</v>
      </c>
      <c r="F372" s="16">
        <v>2026223450427</v>
      </c>
      <c r="G372" s="16">
        <v>30</v>
      </c>
      <c r="H372" s="16">
        <v>30</v>
      </c>
      <c r="I372" s="16" t="s">
        <v>809</v>
      </c>
      <c r="J372" s="16" t="s">
        <v>3604</v>
      </c>
      <c r="K372" s="16" t="s">
        <v>1040</v>
      </c>
      <c r="L372" s="16" t="s">
        <v>17</v>
      </c>
      <c r="M372" s="16">
        <v>8</v>
      </c>
      <c r="N372" s="16" t="s">
        <v>462</v>
      </c>
      <c r="O372" s="16" t="s">
        <v>606</v>
      </c>
      <c r="P372" s="16">
        <v>200154997</v>
      </c>
      <c r="Q372" s="16" t="s">
        <v>465</v>
      </c>
      <c r="R372" s="16" t="s">
        <v>466</v>
      </c>
      <c r="S372" s="16" t="s">
        <v>3605</v>
      </c>
      <c r="T372" s="16" t="s">
        <v>664</v>
      </c>
      <c r="U372" s="16">
        <v>46266.978472222225</v>
      </c>
      <c r="V372" s="16" t="s">
        <v>469</v>
      </c>
      <c r="W372" s="16" t="s">
        <v>651</v>
      </c>
      <c r="X372" s="16" t="s">
        <v>652</v>
      </c>
      <c r="Y372" s="16" t="s">
        <v>653</v>
      </c>
      <c r="Z372" s="16" t="s">
        <v>665</v>
      </c>
      <c r="AA372" s="16" t="s">
        <v>474</v>
      </c>
      <c r="AB372" s="16" t="s">
        <v>666</v>
      </c>
      <c r="AC372" s="16" t="s">
        <v>640</v>
      </c>
      <c r="AD372" s="16">
        <v>135598093</v>
      </c>
      <c r="AE372" s="16">
        <v>1508266347</v>
      </c>
      <c r="AF372" s="16">
        <v>1265496962</v>
      </c>
      <c r="AG372" s="16">
        <v>2.54202436610912E+16</v>
      </c>
      <c r="AH372" s="16"/>
      <c r="AI372" s="16" t="s">
        <v>173</v>
      </c>
      <c r="AJ372" s="16" t="s">
        <v>481</v>
      </c>
      <c r="AK372" s="16" t="s">
        <v>3606</v>
      </c>
      <c r="AL372" s="16">
        <v>22810</v>
      </c>
      <c r="AM372" s="16"/>
      <c r="AN372" s="16"/>
      <c r="AO372" s="16">
        <v>200</v>
      </c>
      <c r="AP372" s="16" t="s">
        <v>485</v>
      </c>
      <c r="AQ372" s="16" t="s">
        <v>3607</v>
      </c>
      <c r="AR372" s="3">
        <v>46267</v>
      </c>
      <c r="AS372" s="16" t="s">
        <v>173</v>
      </c>
      <c r="AT372" s="16" t="s">
        <v>1047</v>
      </c>
      <c r="AU372" s="16"/>
      <c r="AV372" s="16" t="s">
        <v>3608</v>
      </c>
      <c r="AW372" s="16"/>
      <c r="AX372" s="16"/>
      <c r="AY372" s="16"/>
      <c r="AZ372" s="16"/>
      <c r="BA372" s="16"/>
      <c r="BB372" s="16"/>
      <c r="BC372" s="16"/>
      <c r="BD372" s="16" t="s">
        <v>173</v>
      </c>
      <c r="BE372" s="16">
        <v>30</v>
      </c>
      <c r="BF372" s="16"/>
      <c r="BG372" s="16" t="s">
        <v>490</v>
      </c>
      <c r="BH372" s="16" t="s">
        <v>658</v>
      </c>
      <c r="BI372" s="16">
        <v>200154997</v>
      </c>
      <c r="BJ372" s="16"/>
      <c r="BK372" s="16"/>
      <c r="BL372" s="16"/>
      <c r="BM372" s="16"/>
      <c r="BN372" s="16"/>
      <c r="BO372" s="16"/>
      <c r="BP372" s="16"/>
      <c r="BQ372" s="16"/>
      <c r="BR372" s="16"/>
      <c r="BS372" s="16"/>
      <c r="BT372" s="16"/>
      <c r="BU372" s="16"/>
      <c r="BV372" s="16"/>
      <c r="BW372" s="16"/>
      <c r="BX372" s="16"/>
      <c r="BY372" s="16"/>
      <c r="BZ372" s="16"/>
      <c r="CA372" s="190">
        <v>46285.666666666701</v>
      </c>
      <c r="CB372" s="3"/>
      <c r="CC372" s="16"/>
      <c r="CD372" s="16"/>
      <c r="CE372" s="16"/>
      <c r="CF372" s="16"/>
      <c r="CG372" s="16"/>
      <c r="CH372" s="16"/>
      <c r="CI372" s="16" t="s">
        <v>3609</v>
      </c>
    </row>
    <row r="373" spans="1:87">
      <c r="A373" s="16"/>
      <c r="B373" s="16"/>
      <c r="C373" s="3">
        <v>46276</v>
      </c>
      <c r="D373" s="16" t="s">
        <v>14</v>
      </c>
      <c r="E373" s="16" t="s">
        <v>3610</v>
      </c>
      <c r="F373" s="16">
        <v>2026223970060</v>
      </c>
      <c r="G373" s="16">
        <v>30</v>
      </c>
      <c r="H373" s="16">
        <v>30</v>
      </c>
      <c r="I373" s="16" t="s">
        <v>809</v>
      </c>
      <c r="J373" s="16" t="s">
        <v>3610</v>
      </c>
      <c r="K373" s="16" t="s">
        <v>960</v>
      </c>
      <c r="L373" s="16" t="s">
        <v>13</v>
      </c>
      <c r="M373" s="16">
        <v>8</v>
      </c>
      <c r="N373" s="16" t="s">
        <v>462</v>
      </c>
      <c r="O373" s="16" t="s">
        <v>606</v>
      </c>
      <c r="P373" s="16">
        <v>967512824</v>
      </c>
      <c r="Q373" s="16" t="s">
        <v>465</v>
      </c>
      <c r="R373" s="16" t="s">
        <v>466</v>
      </c>
      <c r="S373" s="16" t="s">
        <v>3611</v>
      </c>
      <c r="T373" s="16" t="s">
        <v>664</v>
      </c>
      <c r="U373" s="16">
        <v>46266.758333333331</v>
      </c>
      <c r="V373" s="16" t="s">
        <v>469</v>
      </c>
      <c r="W373" s="16" t="s">
        <v>651</v>
      </c>
      <c r="X373" s="16" t="s">
        <v>652</v>
      </c>
      <c r="Y373" s="16" t="s">
        <v>653</v>
      </c>
      <c r="Z373" s="16" t="s">
        <v>665</v>
      </c>
      <c r="AA373" s="16" t="s">
        <v>474</v>
      </c>
      <c r="AB373" s="16" t="s">
        <v>666</v>
      </c>
      <c r="AC373" s="16" t="s">
        <v>640</v>
      </c>
      <c r="AD373" s="16">
        <v>134010372</v>
      </c>
      <c r="AE373" s="16">
        <v>1699766261</v>
      </c>
      <c r="AF373" s="16">
        <v>1265103436</v>
      </c>
      <c r="AG373" s="16">
        <v>2.5420252242969E+16</v>
      </c>
      <c r="AH373" s="16"/>
      <c r="AI373" s="16" t="s">
        <v>55</v>
      </c>
      <c r="AJ373" s="16" t="s">
        <v>481</v>
      </c>
      <c r="AK373" s="16" t="s">
        <v>3612</v>
      </c>
      <c r="AL373" s="16">
        <v>1898.4</v>
      </c>
      <c r="AM373" s="16"/>
      <c r="AN373" s="16"/>
      <c r="AO373" s="16">
        <v>967</v>
      </c>
      <c r="AP373" s="16" t="s">
        <v>485</v>
      </c>
      <c r="AQ373" s="16" t="s">
        <v>3613</v>
      </c>
      <c r="AR373" s="3">
        <v>46267</v>
      </c>
      <c r="AS373" s="16" t="s">
        <v>55</v>
      </c>
      <c r="AT373" s="16" t="s">
        <v>516</v>
      </c>
      <c r="AU373" s="16"/>
      <c r="AV373" s="16" t="s">
        <v>3614</v>
      </c>
      <c r="AW373" s="16"/>
      <c r="AX373" s="16"/>
      <c r="AY373" s="16"/>
      <c r="AZ373" s="16"/>
      <c r="BA373" s="16"/>
      <c r="BB373" s="16"/>
      <c r="BC373" s="16"/>
      <c r="BD373" s="16" t="s">
        <v>55</v>
      </c>
      <c r="BE373" s="16">
        <v>30</v>
      </c>
      <c r="BF373" s="16"/>
      <c r="BG373" s="16"/>
      <c r="BH373" s="16" t="s">
        <v>658</v>
      </c>
      <c r="BI373" s="16">
        <v>967512824</v>
      </c>
      <c r="BJ373" s="16"/>
      <c r="BK373" s="16"/>
      <c r="BL373" s="16"/>
      <c r="BM373" s="16"/>
      <c r="BN373" s="16"/>
      <c r="BO373" s="16"/>
      <c r="BP373" s="16"/>
      <c r="BQ373" s="16"/>
      <c r="BR373" s="16"/>
      <c r="BS373" s="16"/>
      <c r="BT373" s="16"/>
      <c r="BU373" s="16"/>
      <c r="BV373" s="16"/>
      <c r="BW373" s="16"/>
      <c r="BX373" s="16"/>
      <c r="BY373" s="16"/>
      <c r="BZ373" s="16"/>
      <c r="CA373" s="190">
        <v>46275</v>
      </c>
      <c r="CB373" s="3"/>
      <c r="CC373" s="16"/>
      <c r="CD373" s="16"/>
      <c r="CE373" s="16"/>
      <c r="CF373" s="16"/>
      <c r="CG373" s="16"/>
      <c r="CH373" s="16"/>
      <c r="CI373" s="16" t="s">
        <v>3615</v>
      </c>
    </row>
    <row r="374" spans="1:87">
      <c r="A374" s="16"/>
      <c r="B374" s="16"/>
      <c r="C374" s="3">
        <v>46276</v>
      </c>
      <c r="D374" s="16" t="s">
        <v>14</v>
      </c>
      <c r="E374" s="16" t="s">
        <v>3616</v>
      </c>
      <c r="F374" s="16">
        <v>2026223850051</v>
      </c>
      <c r="G374" s="16">
        <v>30</v>
      </c>
      <c r="H374" s="16">
        <v>30</v>
      </c>
      <c r="I374" s="16" t="s">
        <v>809</v>
      </c>
      <c r="J374" s="16" t="s">
        <v>3616</v>
      </c>
      <c r="K374" s="16" t="s">
        <v>3617</v>
      </c>
      <c r="L374" s="16" t="s">
        <v>16</v>
      </c>
      <c r="M374" s="16">
        <v>8</v>
      </c>
      <c r="N374" s="16" t="s">
        <v>561</v>
      </c>
      <c r="O374" s="16" t="s">
        <v>606</v>
      </c>
      <c r="P374" s="16">
        <v>137768322</v>
      </c>
      <c r="Q374" s="16" t="s">
        <v>465</v>
      </c>
      <c r="R374" s="16" t="s">
        <v>466</v>
      </c>
      <c r="S374" s="16" t="s">
        <v>3618</v>
      </c>
      <c r="T374" s="16" t="s">
        <v>664</v>
      </c>
      <c r="U374" s="16">
        <v>46266.753472222219</v>
      </c>
      <c r="V374" s="16" t="s">
        <v>469</v>
      </c>
      <c r="W374" s="16" t="s">
        <v>651</v>
      </c>
      <c r="X374" s="16" t="s">
        <v>652</v>
      </c>
      <c r="Y374" s="16" t="s">
        <v>653</v>
      </c>
      <c r="Z374" s="16" t="s">
        <v>665</v>
      </c>
      <c r="AA374" s="16" t="s">
        <v>474</v>
      </c>
      <c r="AB374" s="16" t="s">
        <v>666</v>
      </c>
      <c r="AC374" s="16" t="s">
        <v>640</v>
      </c>
      <c r="AD374" s="16">
        <v>134010372</v>
      </c>
      <c r="AE374" s="16">
        <v>1699766261</v>
      </c>
      <c r="AF374" s="16">
        <v>1134560147</v>
      </c>
      <c r="AG374" s="16">
        <v>2.5420253170242E+16</v>
      </c>
      <c r="AH374" s="16" t="s">
        <v>3619</v>
      </c>
      <c r="AI374" s="16" t="s">
        <v>1076</v>
      </c>
      <c r="AJ374" s="16" t="s">
        <v>481</v>
      </c>
      <c r="AK374" s="16" t="s">
        <v>3620</v>
      </c>
      <c r="AL374" s="16">
        <v>6394.8</v>
      </c>
      <c r="AM374" s="16"/>
      <c r="AN374" s="16"/>
      <c r="AO374" s="16">
        <v>137</v>
      </c>
      <c r="AP374" s="16" t="s">
        <v>485</v>
      </c>
      <c r="AQ374" s="16" t="s">
        <v>3621</v>
      </c>
      <c r="AR374" s="3">
        <v>46267</v>
      </c>
      <c r="AS374" s="16" t="s">
        <v>201</v>
      </c>
      <c r="AT374" s="16" t="s">
        <v>3622</v>
      </c>
      <c r="AU374" s="16"/>
      <c r="AV374" s="16" t="s">
        <v>3623</v>
      </c>
      <c r="AW374" s="16"/>
      <c r="AX374" s="16"/>
      <c r="AY374" s="16"/>
      <c r="AZ374" s="16"/>
      <c r="BA374" s="16"/>
      <c r="BB374" s="16"/>
      <c r="BC374" s="16"/>
      <c r="BD374" s="16" t="s">
        <v>1076</v>
      </c>
      <c r="BE374" s="16">
        <v>30</v>
      </c>
      <c r="BF374" s="16"/>
      <c r="BG374" s="16"/>
      <c r="BH374" s="16" t="s">
        <v>658</v>
      </c>
      <c r="BI374" s="16">
        <v>137768322</v>
      </c>
      <c r="BJ374" s="16"/>
      <c r="BK374" s="16"/>
      <c r="BL374" s="16"/>
      <c r="BM374" s="16"/>
      <c r="BN374" s="16"/>
      <c r="BO374" s="16"/>
      <c r="BP374" s="16"/>
      <c r="BQ374" s="16"/>
      <c r="BR374" s="16"/>
      <c r="BS374" s="16"/>
      <c r="BT374" s="16"/>
      <c r="BU374" s="16"/>
      <c r="BV374" s="16"/>
      <c r="BW374" s="16"/>
      <c r="BX374" s="16"/>
      <c r="BY374" s="16"/>
      <c r="BZ374" s="16"/>
      <c r="CA374" s="190">
        <v>46275</v>
      </c>
      <c r="CB374" s="3"/>
      <c r="CC374" s="16"/>
      <c r="CD374" s="16"/>
      <c r="CE374" s="16"/>
      <c r="CF374" s="16"/>
      <c r="CG374" s="16"/>
      <c r="CH374" s="16"/>
      <c r="CI374" s="16" t="s">
        <v>3624</v>
      </c>
    </row>
    <row r="375" spans="1:87">
      <c r="A375" s="16" t="s">
        <v>5</v>
      </c>
      <c r="B375" s="16" t="s">
        <v>516</v>
      </c>
      <c r="C375" s="3">
        <v>46276</v>
      </c>
      <c r="D375" s="16" t="s">
        <v>14</v>
      </c>
      <c r="E375" s="16" t="s">
        <v>3625</v>
      </c>
      <c r="F375" s="16">
        <v>2026223290208</v>
      </c>
      <c r="G375" s="16">
        <v>30</v>
      </c>
      <c r="H375" s="16">
        <v>30</v>
      </c>
      <c r="I375" s="16" t="s">
        <v>809</v>
      </c>
      <c r="J375" s="16" t="s">
        <v>3625</v>
      </c>
      <c r="K375" s="16" t="s">
        <v>2871</v>
      </c>
      <c r="L375" s="16" t="s">
        <v>18</v>
      </c>
      <c r="M375" s="16">
        <v>8</v>
      </c>
      <c r="N375" s="16" t="s">
        <v>462</v>
      </c>
      <c r="O375" s="16" t="s">
        <v>606</v>
      </c>
      <c r="P375" s="16" t="s">
        <v>3626</v>
      </c>
      <c r="Q375" s="16" t="s">
        <v>465</v>
      </c>
      <c r="R375" s="16" t="s">
        <v>466</v>
      </c>
      <c r="S375" s="16" t="s">
        <v>3627</v>
      </c>
      <c r="T375" s="16" t="s">
        <v>664</v>
      </c>
      <c r="U375" s="16">
        <v>46266.80972222222</v>
      </c>
      <c r="V375" s="16" t="s">
        <v>469</v>
      </c>
      <c r="W375" s="16" t="s">
        <v>651</v>
      </c>
      <c r="X375" s="16" t="s">
        <v>652</v>
      </c>
      <c r="Y375" s="16" t="s">
        <v>653</v>
      </c>
      <c r="Z375" s="16" t="s">
        <v>665</v>
      </c>
      <c r="AA375" s="16" t="s">
        <v>474</v>
      </c>
      <c r="AB375" s="16" t="s">
        <v>666</v>
      </c>
      <c r="AC375" s="16" t="s">
        <v>640</v>
      </c>
      <c r="AD375" s="16">
        <v>135562308</v>
      </c>
      <c r="AE375" s="16">
        <v>1285826438</v>
      </c>
      <c r="AF375" s="16">
        <v>1902867393</v>
      </c>
      <c r="AG375" s="16">
        <v>2.54202527625645E+16</v>
      </c>
      <c r="AH375" s="16"/>
      <c r="AI375" s="16" t="s">
        <v>143</v>
      </c>
      <c r="AJ375" s="16" t="s">
        <v>481</v>
      </c>
      <c r="AK375" s="16" t="s">
        <v>3628</v>
      </c>
      <c r="AL375" s="16">
        <v>159395</v>
      </c>
      <c r="AM375" s="16"/>
      <c r="AN375" s="16"/>
      <c r="AO375" s="16">
        <v>34</v>
      </c>
      <c r="AP375" s="16" t="s">
        <v>485</v>
      </c>
      <c r="AQ375" s="16" t="s">
        <v>3629</v>
      </c>
      <c r="AR375" s="3">
        <v>46267</v>
      </c>
      <c r="AS375" s="16" t="s">
        <v>143</v>
      </c>
      <c r="AT375" s="16" t="s">
        <v>516</v>
      </c>
      <c r="AU375" s="16"/>
      <c r="AV375" s="16" t="s">
        <v>1120</v>
      </c>
      <c r="AW375" s="16"/>
      <c r="AX375" s="16"/>
      <c r="AY375" s="16"/>
      <c r="AZ375" s="16"/>
      <c r="BA375" s="16"/>
      <c r="BB375" s="16"/>
      <c r="BC375" s="16"/>
      <c r="BD375" s="16" t="s">
        <v>143</v>
      </c>
      <c r="BE375" s="16">
        <v>30</v>
      </c>
      <c r="BF375" s="16"/>
      <c r="BG375" s="16" t="s">
        <v>490</v>
      </c>
      <c r="BH375" s="16" t="s">
        <v>658</v>
      </c>
      <c r="BI375" s="16" t="s">
        <v>3626</v>
      </c>
      <c r="BJ375" s="16"/>
      <c r="BK375" s="16"/>
      <c r="BL375" s="16"/>
      <c r="BM375" s="16"/>
      <c r="BN375" s="16"/>
      <c r="BO375" s="16"/>
      <c r="BP375" s="16"/>
      <c r="BQ375" s="16"/>
      <c r="BR375" s="16"/>
      <c r="BS375" s="16"/>
      <c r="BT375" s="16"/>
      <c r="BU375" s="16"/>
      <c r="BV375" s="16"/>
      <c r="BW375" s="16"/>
      <c r="BX375" s="16"/>
      <c r="BY375" s="16"/>
      <c r="BZ375" s="16"/>
      <c r="CA375" s="190">
        <v>46280.666666666701</v>
      </c>
      <c r="CB375" s="3"/>
      <c r="CC375" s="16"/>
      <c r="CD375" s="16"/>
      <c r="CE375" s="16"/>
      <c r="CF375" s="16"/>
      <c r="CG375" s="16"/>
      <c r="CH375" s="16"/>
      <c r="CI375" s="193" t="s">
        <v>3630</v>
      </c>
    </row>
    <row r="376" spans="1:87">
      <c r="A376" s="16" t="s">
        <v>4</v>
      </c>
      <c r="B376" s="16" t="s">
        <v>4</v>
      </c>
      <c r="C376" s="3">
        <v>46276</v>
      </c>
      <c r="D376" s="16" t="s">
        <v>14</v>
      </c>
      <c r="E376" s="16" t="s">
        <v>3631</v>
      </c>
      <c r="F376" s="16">
        <v>2026231730513</v>
      </c>
      <c r="G376" s="16">
        <v>30</v>
      </c>
      <c r="H376" s="16">
        <v>22</v>
      </c>
      <c r="I376" s="16" t="s">
        <v>809</v>
      </c>
      <c r="J376" s="16" t="s">
        <v>3631</v>
      </c>
      <c r="K376" s="16" t="s">
        <v>1201</v>
      </c>
      <c r="L376" s="16" t="s">
        <v>17</v>
      </c>
      <c r="M376" s="16">
        <v>19</v>
      </c>
      <c r="N376" s="16" t="s">
        <v>462</v>
      </c>
      <c r="O376" s="16" t="s">
        <v>606</v>
      </c>
      <c r="P376" s="16" t="s">
        <v>3632</v>
      </c>
      <c r="Q376" s="16" t="s">
        <v>465</v>
      </c>
      <c r="R376" s="16" t="s">
        <v>466</v>
      </c>
      <c r="S376" s="16" t="s">
        <v>3633</v>
      </c>
      <c r="T376" s="16" t="s">
        <v>3634</v>
      </c>
      <c r="U376" s="16">
        <v>46275.611111111109</v>
      </c>
      <c r="V376" s="16" t="s">
        <v>469</v>
      </c>
      <c r="W376" s="16" t="s">
        <v>470</v>
      </c>
      <c r="X376" s="16" t="s">
        <v>471</v>
      </c>
      <c r="Y376" s="16" t="s">
        <v>523</v>
      </c>
      <c r="Z376" s="16" t="s">
        <v>731</v>
      </c>
      <c r="AA376" s="16" t="s">
        <v>474</v>
      </c>
      <c r="AB376" s="16" t="s">
        <v>3635</v>
      </c>
      <c r="AC376" s="16" t="s">
        <v>733</v>
      </c>
      <c r="AD376" s="16">
        <v>262876334</v>
      </c>
      <c r="AE376" s="16">
        <v>1104082692</v>
      </c>
      <c r="AF376" s="16"/>
      <c r="AG376" s="16"/>
      <c r="AH376" s="16"/>
      <c r="AI376" s="16" t="s">
        <v>150</v>
      </c>
      <c r="AJ376" s="16" t="s">
        <v>481</v>
      </c>
      <c r="AK376" s="16" t="s">
        <v>3636</v>
      </c>
      <c r="AL376" s="16">
        <v>75273</v>
      </c>
      <c r="AM376" s="16"/>
      <c r="AN376" s="16"/>
      <c r="AO376" s="16">
        <v>465</v>
      </c>
      <c r="AP376" s="16" t="s">
        <v>485</v>
      </c>
      <c r="AQ376" s="16" t="s">
        <v>3637</v>
      </c>
      <c r="AR376" s="3">
        <v>46256</v>
      </c>
      <c r="AS376" s="16" t="s">
        <v>3638</v>
      </c>
      <c r="AT376" s="16" t="s">
        <v>3639</v>
      </c>
      <c r="AU376" s="16"/>
      <c r="AV376" s="16" t="s">
        <v>3360</v>
      </c>
      <c r="AW376" s="16"/>
      <c r="AX376" s="16"/>
      <c r="AY376" s="16"/>
      <c r="AZ376" s="16"/>
      <c r="BA376" s="16"/>
      <c r="BB376" s="16"/>
      <c r="BC376" s="16"/>
      <c r="BD376" s="16" t="s">
        <v>150</v>
      </c>
      <c r="BE376" s="16">
        <v>22</v>
      </c>
      <c r="BF376" s="16"/>
      <c r="BG376" s="16"/>
      <c r="BH376" s="16" t="s">
        <v>491</v>
      </c>
      <c r="BI376" s="16">
        <v>334563278</v>
      </c>
      <c r="BJ376" s="16"/>
      <c r="BK376" s="16"/>
      <c r="BL376" s="16"/>
      <c r="BM376" s="16"/>
      <c r="BN376" s="16"/>
      <c r="BO376" s="16"/>
      <c r="BP376" s="16"/>
      <c r="BQ376" s="16"/>
      <c r="BR376" s="16"/>
      <c r="BS376" s="16"/>
      <c r="BT376" s="16"/>
      <c r="BU376" s="16"/>
      <c r="BV376" s="16"/>
      <c r="BW376" s="16"/>
      <c r="BX376" s="16"/>
      <c r="BY376" s="16"/>
      <c r="BZ376" s="16"/>
      <c r="CA376" s="190">
        <v>46285.166666666701</v>
      </c>
      <c r="CB376" s="3"/>
      <c r="CC376" s="16"/>
      <c r="CD376" s="16"/>
      <c r="CE376" s="16"/>
      <c r="CF376" s="16"/>
      <c r="CG376" s="16"/>
      <c r="CH376" s="16"/>
      <c r="CI376" s="16" t="s">
        <v>3640</v>
      </c>
    </row>
    <row r="377" spans="1:87">
      <c r="A377" s="16"/>
      <c r="B377" s="16"/>
      <c r="C377" s="3">
        <v>46276</v>
      </c>
      <c r="D377" s="16" t="s">
        <v>14</v>
      </c>
      <c r="E377" s="16" t="s">
        <v>3641</v>
      </c>
      <c r="F377" s="16">
        <v>2026223170618</v>
      </c>
      <c r="G377" s="16">
        <v>30</v>
      </c>
      <c r="H377" s="16">
        <v>30</v>
      </c>
      <c r="I377" s="16" t="s">
        <v>809</v>
      </c>
      <c r="J377" s="16" t="s">
        <v>3641</v>
      </c>
      <c r="K377" s="16" t="s">
        <v>560</v>
      </c>
      <c r="L377" s="16" t="s">
        <v>13</v>
      </c>
      <c r="M377" s="16">
        <v>8</v>
      </c>
      <c r="N377" s="16" t="s">
        <v>462</v>
      </c>
      <c r="O377" s="16" t="s">
        <v>606</v>
      </c>
      <c r="P377" s="16" t="s">
        <v>3642</v>
      </c>
      <c r="Q377" s="16" t="s">
        <v>465</v>
      </c>
      <c r="R377" s="16" t="s">
        <v>466</v>
      </c>
      <c r="S377" s="16" t="s">
        <v>3643</v>
      </c>
      <c r="T377" s="16" t="s">
        <v>3644</v>
      </c>
      <c r="U377" s="16">
        <v>46267.701388888891</v>
      </c>
      <c r="V377" s="16" t="s">
        <v>469</v>
      </c>
      <c r="W377" s="16" t="s">
        <v>470</v>
      </c>
      <c r="X377" s="16" t="s">
        <v>471</v>
      </c>
      <c r="Y377" s="16" t="s">
        <v>628</v>
      </c>
      <c r="Z377" s="16" t="s">
        <v>524</v>
      </c>
      <c r="AA377" s="16" t="s">
        <v>474</v>
      </c>
      <c r="AB377" s="16" t="s">
        <v>3645</v>
      </c>
      <c r="AC377" s="16" t="s">
        <v>526</v>
      </c>
      <c r="AD377" s="16">
        <v>310833936</v>
      </c>
      <c r="AE377" s="16">
        <v>1548212988</v>
      </c>
      <c r="AF377" s="16"/>
      <c r="AG377" s="16"/>
      <c r="AH377" s="16"/>
      <c r="AI377" s="16" t="s">
        <v>59</v>
      </c>
      <c r="AJ377" s="16" t="s">
        <v>481</v>
      </c>
      <c r="AK377" s="16" t="s">
        <v>3646</v>
      </c>
      <c r="AL377" s="16">
        <v>202241.91</v>
      </c>
      <c r="AM377" s="16"/>
      <c r="AN377" s="16"/>
      <c r="AO377" s="16">
        <v>927</v>
      </c>
      <c r="AP377" s="16" t="s">
        <v>485</v>
      </c>
      <c r="AQ377" s="16" t="s">
        <v>3647</v>
      </c>
      <c r="AR377" s="3">
        <v>46267</v>
      </c>
      <c r="AS377" s="16" t="s">
        <v>59</v>
      </c>
      <c r="AT377" s="16" t="s">
        <v>516</v>
      </c>
      <c r="AU377" s="16"/>
      <c r="AV377" s="16" t="s">
        <v>3648</v>
      </c>
      <c r="AW377" s="16"/>
      <c r="AX377" s="16"/>
      <c r="AY377" s="16"/>
      <c r="AZ377" s="16"/>
      <c r="BA377" s="16"/>
      <c r="BB377" s="16"/>
      <c r="BC377" s="16"/>
      <c r="BD377" s="16" t="s">
        <v>59</v>
      </c>
      <c r="BE377" s="16">
        <v>30</v>
      </c>
      <c r="BF377" s="16"/>
      <c r="BG377" s="16"/>
      <c r="BH377" s="16" t="s">
        <v>491</v>
      </c>
      <c r="BI377" s="16">
        <v>279021644</v>
      </c>
      <c r="BJ377" s="16"/>
      <c r="BK377" s="16"/>
      <c r="BL377" s="16"/>
      <c r="BM377" s="16"/>
      <c r="BN377" s="16"/>
      <c r="BO377" s="16"/>
      <c r="BP377" s="16"/>
      <c r="BQ377" s="16"/>
      <c r="BR377" s="16"/>
      <c r="BS377" s="16"/>
      <c r="BT377" s="16"/>
      <c r="BU377" s="16"/>
      <c r="BV377" s="16"/>
      <c r="BW377" s="16"/>
      <c r="BX377" s="16"/>
      <c r="BY377" s="16"/>
      <c r="BZ377" s="16"/>
      <c r="CA377" s="190">
        <v>46275</v>
      </c>
      <c r="CB377" s="3"/>
      <c r="CC377" s="16"/>
      <c r="CD377" s="16"/>
      <c r="CE377" s="16"/>
      <c r="CF377" s="16"/>
      <c r="CG377" s="16"/>
      <c r="CH377" s="16"/>
      <c r="CI377" s="193" t="s">
        <v>3649</v>
      </c>
    </row>
    <row r="378" spans="1:87">
      <c r="A378" s="16" t="s">
        <v>4</v>
      </c>
      <c r="B378" s="16" t="s">
        <v>3650</v>
      </c>
      <c r="C378" s="3">
        <v>46276</v>
      </c>
      <c r="D378" s="16" t="s">
        <v>14</v>
      </c>
      <c r="E378" s="16" t="s">
        <v>3651</v>
      </c>
      <c r="F378" s="16">
        <v>2026226200172</v>
      </c>
      <c r="G378" s="16">
        <v>30</v>
      </c>
      <c r="H378" s="16">
        <v>30</v>
      </c>
      <c r="I378" s="16" t="s">
        <v>809</v>
      </c>
      <c r="J378" s="16" t="s">
        <v>3651</v>
      </c>
      <c r="K378" s="16" t="s">
        <v>1874</v>
      </c>
      <c r="L378" s="16" t="s">
        <v>17</v>
      </c>
      <c r="M378" s="16">
        <v>7</v>
      </c>
      <c r="N378" s="16" t="s">
        <v>462</v>
      </c>
      <c r="O378" s="16" t="s">
        <v>606</v>
      </c>
      <c r="P378" s="16" t="s">
        <v>3652</v>
      </c>
      <c r="Q378" s="16" t="s">
        <v>465</v>
      </c>
      <c r="R378" s="16" t="s">
        <v>466</v>
      </c>
      <c r="S378" s="16" t="s">
        <v>3653</v>
      </c>
      <c r="T378" s="16" t="s">
        <v>3654</v>
      </c>
      <c r="U378" s="16">
        <v>46267.918749999997</v>
      </c>
      <c r="V378" s="16" t="s">
        <v>469</v>
      </c>
      <c r="W378" s="16" t="s">
        <v>568</v>
      </c>
      <c r="X378" s="16" t="s">
        <v>471</v>
      </c>
      <c r="Y378" s="16" t="s">
        <v>628</v>
      </c>
      <c r="Z378" s="16" t="s">
        <v>731</v>
      </c>
      <c r="AA378" s="16" t="s">
        <v>474</v>
      </c>
      <c r="AB378" s="16" t="s">
        <v>3655</v>
      </c>
      <c r="AC378" s="16" t="s">
        <v>733</v>
      </c>
      <c r="AD378" s="16">
        <v>440546097</v>
      </c>
      <c r="AE378" s="16">
        <v>1518065523</v>
      </c>
      <c r="AF378" s="16"/>
      <c r="AG378" s="16"/>
      <c r="AH378" s="16" t="s">
        <v>1076</v>
      </c>
      <c r="AI378" s="16" t="s">
        <v>93</v>
      </c>
      <c r="AJ378" s="16" t="s">
        <v>481</v>
      </c>
      <c r="AK378" s="16" t="s">
        <v>3656</v>
      </c>
      <c r="AL378" s="16">
        <v>51325.19</v>
      </c>
      <c r="AM378" s="16"/>
      <c r="AN378" s="16"/>
      <c r="AO378" s="16">
        <v>510</v>
      </c>
      <c r="AP378" s="16" t="s">
        <v>485</v>
      </c>
      <c r="AQ378" s="16" t="s">
        <v>3657</v>
      </c>
      <c r="AR378" s="3">
        <v>46268</v>
      </c>
      <c r="AS378" s="16" t="s">
        <v>93</v>
      </c>
      <c r="AT378" s="16" t="s">
        <v>516</v>
      </c>
      <c r="AU378" s="16"/>
      <c r="AV378" s="16" t="s">
        <v>1528</v>
      </c>
      <c r="AW378" s="16"/>
      <c r="AX378" s="16"/>
      <c r="AY378" s="16"/>
      <c r="AZ378" s="16"/>
      <c r="BA378" s="16"/>
      <c r="BB378" s="16"/>
      <c r="BC378" s="16"/>
      <c r="BD378" s="16" t="s">
        <v>93</v>
      </c>
      <c r="BE378" s="16">
        <v>27</v>
      </c>
      <c r="BF378" s="16"/>
      <c r="BG378" s="16" t="s">
        <v>490</v>
      </c>
      <c r="BH378" s="16" t="s">
        <v>491</v>
      </c>
      <c r="BI378" s="16">
        <v>496682083</v>
      </c>
      <c r="BJ378" s="16"/>
      <c r="BK378" s="16"/>
      <c r="BL378" s="16"/>
      <c r="BM378" s="16"/>
      <c r="BN378" s="16"/>
      <c r="BO378" s="16"/>
      <c r="BP378" s="16"/>
      <c r="BQ378" s="16"/>
      <c r="BR378" s="16"/>
      <c r="BS378" s="16"/>
      <c r="BT378" s="16"/>
      <c r="BU378" s="16"/>
      <c r="BV378" s="16"/>
      <c r="BW378" s="16"/>
      <c r="BX378" s="16"/>
      <c r="BY378" s="16"/>
      <c r="BZ378" s="16"/>
      <c r="CA378" s="190">
        <v>46285.666666666701</v>
      </c>
      <c r="CB378" s="3"/>
      <c r="CC378" s="16"/>
      <c r="CD378" s="16"/>
      <c r="CE378" s="16"/>
      <c r="CF378" s="16"/>
      <c r="CG378" s="16"/>
      <c r="CH378" s="16"/>
      <c r="CI378" s="16" t="s">
        <v>3658</v>
      </c>
    </row>
    <row r="379" spans="1:87">
      <c r="A379" s="16"/>
      <c r="B379" s="16"/>
      <c r="C379" s="3">
        <v>46276</v>
      </c>
      <c r="D379" s="16" t="s">
        <v>14</v>
      </c>
      <c r="E379" s="16" t="s">
        <v>3659</v>
      </c>
      <c r="F379" s="16">
        <v>2026223210336</v>
      </c>
      <c r="G379" s="16">
        <v>30</v>
      </c>
      <c r="H379" s="16">
        <v>30</v>
      </c>
      <c r="I379" s="16" t="s">
        <v>809</v>
      </c>
      <c r="J379" s="16" t="s">
        <v>3659</v>
      </c>
      <c r="K379" s="16" t="s">
        <v>625</v>
      </c>
      <c r="L379" s="16" t="s">
        <v>17</v>
      </c>
      <c r="M379" s="16">
        <v>8</v>
      </c>
      <c r="N379" s="16" t="s">
        <v>462</v>
      </c>
      <c r="O379" s="16" t="s">
        <v>606</v>
      </c>
      <c r="P379" s="16" t="s">
        <v>3660</v>
      </c>
      <c r="Q379" s="16" t="s">
        <v>465</v>
      </c>
      <c r="R379" s="16" t="s">
        <v>466</v>
      </c>
      <c r="S379" s="16" t="s">
        <v>3661</v>
      </c>
      <c r="T379" s="16" t="s">
        <v>3662</v>
      </c>
      <c r="U379" s="16">
        <v>46266.875</v>
      </c>
      <c r="V379" s="16" t="s">
        <v>469</v>
      </c>
      <c r="W379" s="16" t="s">
        <v>470</v>
      </c>
      <c r="X379" s="16" t="s">
        <v>471</v>
      </c>
      <c r="Y379" s="16" t="s">
        <v>523</v>
      </c>
      <c r="Z379" s="16" t="s">
        <v>638</v>
      </c>
      <c r="AA379" s="16" t="s">
        <v>474</v>
      </c>
      <c r="AB379" s="16" t="s">
        <v>3663</v>
      </c>
      <c r="AC379" s="16" t="s">
        <v>465</v>
      </c>
      <c r="AD379" s="16">
        <v>270426722</v>
      </c>
      <c r="AE379" s="16">
        <v>1902134372</v>
      </c>
      <c r="AF379" s="16"/>
      <c r="AG379" s="16"/>
      <c r="AH379" s="16"/>
      <c r="AI379" s="16" t="s">
        <v>70</v>
      </c>
      <c r="AJ379" s="16" t="s">
        <v>481</v>
      </c>
      <c r="AK379" s="16" t="s">
        <v>3664</v>
      </c>
      <c r="AL379" s="16">
        <v>15439.73</v>
      </c>
      <c r="AM379" s="16"/>
      <c r="AN379" s="16"/>
      <c r="AO379" s="16">
        <v>948</v>
      </c>
      <c r="AP379" s="16" t="s">
        <v>485</v>
      </c>
      <c r="AQ379" s="16" t="s">
        <v>3665</v>
      </c>
      <c r="AR379" s="3">
        <v>46267</v>
      </c>
      <c r="AS379" s="16" t="s">
        <v>70</v>
      </c>
      <c r="AT379" s="16" t="s">
        <v>1142</v>
      </c>
      <c r="AU379" s="16"/>
      <c r="AV379" s="16" t="s">
        <v>2075</v>
      </c>
      <c r="AW379" s="16"/>
      <c r="AX379" s="16"/>
      <c r="AY379" s="16"/>
      <c r="AZ379" s="16"/>
      <c r="BA379" s="16"/>
      <c r="BB379" s="16"/>
      <c r="BC379" s="16"/>
      <c r="BD379" s="16" t="s">
        <v>70</v>
      </c>
      <c r="BE379" s="16">
        <v>30</v>
      </c>
      <c r="BF379" s="16"/>
      <c r="BG379" s="16" t="s">
        <v>490</v>
      </c>
      <c r="BH379" s="16" t="s">
        <v>491</v>
      </c>
      <c r="BI379" s="16">
        <v>400964488</v>
      </c>
      <c r="BJ379" s="16"/>
      <c r="BK379" s="16"/>
      <c r="BL379" s="16"/>
      <c r="BM379" s="16"/>
      <c r="BN379" s="16"/>
      <c r="BO379" s="16"/>
      <c r="BP379" s="16"/>
      <c r="BQ379" s="16"/>
      <c r="BR379" s="16"/>
      <c r="BS379" s="16"/>
      <c r="BT379" s="16"/>
      <c r="BU379" s="16"/>
      <c r="BV379" s="16"/>
      <c r="BW379" s="16"/>
      <c r="BX379" s="16"/>
      <c r="BY379" s="16"/>
      <c r="BZ379" s="16"/>
      <c r="CA379" s="190">
        <v>46275</v>
      </c>
      <c r="CB379" s="3"/>
      <c r="CC379" s="16"/>
      <c r="CD379" s="16"/>
      <c r="CE379" s="16"/>
      <c r="CF379" s="16"/>
      <c r="CG379" s="16"/>
      <c r="CH379" s="16"/>
      <c r="CI379" s="16" t="s">
        <v>3666</v>
      </c>
    </row>
    <row r="380" spans="1:87">
      <c r="A380" s="16"/>
      <c r="B380" s="16"/>
      <c r="C380" s="3">
        <v>46276</v>
      </c>
      <c r="D380" s="16" t="s">
        <v>14</v>
      </c>
      <c r="E380" s="16" t="s">
        <v>3667</v>
      </c>
      <c r="F380" s="16"/>
      <c r="G380" s="16">
        <v>30</v>
      </c>
      <c r="H380" s="16">
        <v>30</v>
      </c>
      <c r="I380" s="16" t="s">
        <v>809</v>
      </c>
      <c r="J380" s="16" t="s">
        <v>3667</v>
      </c>
      <c r="K380" s="16" t="s">
        <v>1759</v>
      </c>
      <c r="L380" s="16" t="s">
        <v>1760</v>
      </c>
      <c r="M380" s="16">
        <v>8</v>
      </c>
      <c r="N380" s="16" t="s">
        <v>462</v>
      </c>
      <c r="O380" s="16" t="s">
        <v>606</v>
      </c>
      <c r="P380" s="16" t="s">
        <v>3668</v>
      </c>
      <c r="Q380" s="16" t="s">
        <v>465</v>
      </c>
      <c r="R380" s="16" t="s">
        <v>1056</v>
      </c>
      <c r="S380" s="16" t="s">
        <v>3669</v>
      </c>
      <c r="T380" s="16" t="s">
        <v>3670</v>
      </c>
      <c r="U380" s="16">
        <v>46266.945138888892</v>
      </c>
      <c r="V380" s="16" t="s">
        <v>469</v>
      </c>
      <c r="W380" s="16" t="s">
        <v>470</v>
      </c>
      <c r="X380" s="16" t="s">
        <v>471</v>
      </c>
      <c r="Y380" s="16" t="s">
        <v>523</v>
      </c>
      <c r="Z380" s="16" t="s">
        <v>1338</v>
      </c>
      <c r="AA380" s="16" t="s">
        <v>1354</v>
      </c>
      <c r="AB380" s="16" t="s">
        <v>3671</v>
      </c>
      <c r="AC380" s="16" t="s">
        <v>1429</v>
      </c>
      <c r="AD380" s="16">
        <v>510501263</v>
      </c>
      <c r="AE380" s="16">
        <v>1649209123</v>
      </c>
      <c r="AF380" s="16">
        <v>1649209123</v>
      </c>
      <c r="AG380" s="16"/>
      <c r="AH380" s="16"/>
      <c r="AI380" s="16" t="s">
        <v>1764</v>
      </c>
      <c r="AJ380" s="16" t="s">
        <v>481</v>
      </c>
      <c r="AK380" s="16" t="s">
        <v>3672</v>
      </c>
      <c r="AL380" s="16">
        <v>245</v>
      </c>
      <c r="AM380" s="16"/>
      <c r="AN380" s="16"/>
      <c r="AO380" s="16">
        <v>311</v>
      </c>
      <c r="AP380" s="16" t="s">
        <v>1063</v>
      </c>
      <c r="AQ380" s="16" t="s">
        <v>3673</v>
      </c>
      <c r="AR380" s="3">
        <v>46267</v>
      </c>
      <c r="AS380" s="16" t="s">
        <v>1764</v>
      </c>
      <c r="AT380" s="16" t="s">
        <v>1767</v>
      </c>
      <c r="AU380" s="16"/>
      <c r="AV380" s="16" t="s">
        <v>3674</v>
      </c>
      <c r="AW380" s="16"/>
      <c r="AX380" s="16"/>
      <c r="AY380" s="16"/>
      <c r="AZ380" s="16"/>
      <c r="BA380" s="16"/>
      <c r="BB380" s="16"/>
      <c r="BC380" s="16"/>
      <c r="BD380" s="16" t="s">
        <v>1764</v>
      </c>
      <c r="BE380" s="16">
        <v>30</v>
      </c>
      <c r="BF380" s="16"/>
      <c r="BG380" s="16" t="s">
        <v>490</v>
      </c>
      <c r="BH380" s="16" t="s">
        <v>491</v>
      </c>
      <c r="BI380" s="16">
        <v>45720177</v>
      </c>
      <c r="BJ380" s="16"/>
      <c r="BK380" s="16"/>
      <c r="BL380" s="16"/>
      <c r="BM380" s="16"/>
      <c r="BN380" s="16"/>
      <c r="BO380" s="16"/>
      <c r="BP380" s="16"/>
      <c r="BQ380" s="16"/>
      <c r="BR380" s="16"/>
      <c r="BS380" s="16"/>
      <c r="BT380" s="16"/>
      <c r="BU380" s="16"/>
      <c r="BV380" s="16"/>
      <c r="BW380" s="16"/>
      <c r="BX380" s="16"/>
      <c r="BY380" s="16"/>
      <c r="BZ380" s="16"/>
      <c r="CA380" s="190">
        <v>46275</v>
      </c>
      <c r="CB380" s="3"/>
      <c r="CC380" s="16"/>
      <c r="CD380" s="16"/>
      <c r="CE380" s="16"/>
      <c r="CF380" s="16"/>
      <c r="CG380" s="16"/>
      <c r="CH380" s="16"/>
      <c r="CI380" s="16" t="s">
        <v>3675</v>
      </c>
    </row>
    <row r="381" spans="1:87" ht="29.25">
      <c r="A381" s="16" t="s">
        <v>5</v>
      </c>
      <c r="B381" s="25" t="s">
        <v>3493</v>
      </c>
      <c r="C381" s="3">
        <v>46276</v>
      </c>
      <c r="D381" s="16" t="s">
        <v>14</v>
      </c>
      <c r="E381" s="16" t="s">
        <v>3676</v>
      </c>
      <c r="F381" s="16"/>
      <c r="G381" s="16">
        <v>30</v>
      </c>
      <c r="H381" s="16">
        <v>29</v>
      </c>
      <c r="I381" s="16" t="s">
        <v>809</v>
      </c>
      <c r="J381" s="16" t="s">
        <v>3676</v>
      </c>
      <c r="K381" s="16" t="s">
        <v>461</v>
      </c>
      <c r="L381" s="16" t="s">
        <v>17</v>
      </c>
      <c r="M381" s="16">
        <v>7</v>
      </c>
      <c r="N381" s="16" t="s">
        <v>462</v>
      </c>
      <c r="O381" s="16" t="s">
        <v>606</v>
      </c>
      <c r="P381" s="16" t="s">
        <v>3668</v>
      </c>
      <c r="Q381" s="16" t="s">
        <v>465</v>
      </c>
      <c r="R381" s="16" t="s">
        <v>1056</v>
      </c>
      <c r="S381" s="16" t="s">
        <v>3677</v>
      </c>
      <c r="T381" s="16" t="s">
        <v>3670</v>
      </c>
      <c r="U381" s="16">
        <v>46267.992361111108</v>
      </c>
      <c r="V381" s="16" t="s">
        <v>469</v>
      </c>
      <c r="W381" s="16" t="s">
        <v>470</v>
      </c>
      <c r="X381" s="16" t="s">
        <v>471</v>
      </c>
      <c r="Y381" s="16" t="s">
        <v>523</v>
      </c>
      <c r="Z381" s="16" t="s">
        <v>1338</v>
      </c>
      <c r="AA381" s="16" t="s">
        <v>1354</v>
      </c>
      <c r="AB381" s="16" t="s">
        <v>3671</v>
      </c>
      <c r="AC381" s="16" t="s">
        <v>1429</v>
      </c>
      <c r="AD381" s="16">
        <v>510501263</v>
      </c>
      <c r="AE381" s="16">
        <v>1649209123</v>
      </c>
      <c r="AF381" s="16">
        <v>1649209123</v>
      </c>
      <c r="AG381" s="16"/>
      <c r="AH381" s="16"/>
      <c r="AI381" s="16" t="s">
        <v>67</v>
      </c>
      <c r="AJ381" s="16" t="s">
        <v>481</v>
      </c>
      <c r="AK381" s="16" t="s">
        <v>3678</v>
      </c>
      <c r="AL381" s="16">
        <v>245</v>
      </c>
      <c r="AM381" s="16"/>
      <c r="AN381" s="16"/>
      <c r="AO381" s="16">
        <v>311</v>
      </c>
      <c r="AP381" s="16" t="s">
        <v>1063</v>
      </c>
      <c r="AQ381" s="16" t="s">
        <v>3679</v>
      </c>
      <c r="AR381" s="3">
        <v>46268</v>
      </c>
      <c r="AS381" s="16" t="s">
        <v>67</v>
      </c>
      <c r="AT381" s="16" t="s">
        <v>487</v>
      </c>
      <c r="AU381" s="16"/>
      <c r="AV381" s="16" t="s">
        <v>3674</v>
      </c>
      <c r="AW381" s="16"/>
      <c r="AX381" s="16"/>
      <c r="AY381" s="16"/>
      <c r="AZ381" s="16"/>
      <c r="BA381" s="16"/>
      <c r="BB381" s="16"/>
      <c r="BC381" s="16"/>
      <c r="BD381" s="16" t="s">
        <v>67</v>
      </c>
      <c r="BE381" s="16">
        <v>29</v>
      </c>
      <c r="BF381" s="16"/>
      <c r="BG381" s="16" t="s">
        <v>490</v>
      </c>
      <c r="BH381" s="16" t="s">
        <v>491</v>
      </c>
      <c r="BI381" s="16">
        <v>45720177</v>
      </c>
      <c r="BJ381" s="16"/>
      <c r="BK381" s="16"/>
      <c r="BL381" s="16"/>
      <c r="BM381" s="16"/>
      <c r="BN381" s="16"/>
      <c r="BO381" s="16"/>
      <c r="BP381" s="16"/>
      <c r="BQ381" s="16"/>
      <c r="BR381" s="16"/>
      <c r="BS381" s="16"/>
      <c r="BT381" s="16"/>
      <c r="BU381" s="16"/>
      <c r="BV381" s="16"/>
      <c r="BW381" s="16"/>
      <c r="BX381" s="16"/>
      <c r="BY381" s="16"/>
      <c r="BZ381" s="16"/>
      <c r="CA381" s="190">
        <v>46275.166666666701</v>
      </c>
      <c r="CB381" s="3"/>
      <c r="CC381" s="16"/>
      <c r="CD381" s="16"/>
      <c r="CE381" s="16"/>
      <c r="CF381" s="16"/>
      <c r="CG381" s="16"/>
      <c r="CH381" s="16"/>
      <c r="CI381" s="16" t="s">
        <v>3680</v>
      </c>
    </row>
    <row r="382" spans="1:87">
      <c r="A382" s="16" t="s">
        <v>5</v>
      </c>
      <c r="B382" s="16" t="s">
        <v>1038</v>
      </c>
      <c r="C382" s="3">
        <v>46276</v>
      </c>
      <c r="D382" s="16" t="s">
        <v>14</v>
      </c>
      <c r="E382" s="16" t="s">
        <v>3681</v>
      </c>
      <c r="F382" s="16">
        <v>2026223620534</v>
      </c>
      <c r="G382" s="16">
        <v>30</v>
      </c>
      <c r="H382" s="16">
        <v>30</v>
      </c>
      <c r="I382" s="16" t="s">
        <v>809</v>
      </c>
      <c r="J382" s="16" t="s">
        <v>3681</v>
      </c>
      <c r="K382" s="16" t="s">
        <v>1040</v>
      </c>
      <c r="L382" s="16" t="s">
        <v>17</v>
      </c>
      <c r="M382" s="16">
        <v>8</v>
      </c>
      <c r="N382" s="16" t="s">
        <v>462</v>
      </c>
      <c r="O382" s="16" t="s">
        <v>606</v>
      </c>
      <c r="P382" s="16" t="s">
        <v>3682</v>
      </c>
      <c r="Q382" s="16" t="s">
        <v>465</v>
      </c>
      <c r="R382" s="16" t="s">
        <v>466</v>
      </c>
      <c r="S382" s="16" t="s">
        <v>3683</v>
      </c>
      <c r="T382" s="16" t="s">
        <v>465</v>
      </c>
      <c r="U382" s="16">
        <v>46267.037499999999</v>
      </c>
      <c r="V382" s="16" t="s">
        <v>469</v>
      </c>
      <c r="W382" s="16" t="s">
        <v>470</v>
      </c>
      <c r="X382" s="16" t="s">
        <v>471</v>
      </c>
      <c r="Y382" s="16" t="s">
        <v>472</v>
      </c>
      <c r="Z382" s="16" t="s">
        <v>1338</v>
      </c>
      <c r="AA382" s="16" t="s">
        <v>474</v>
      </c>
      <c r="AB382" s="16" t="s">
        <v>3684</v>
      </c>
      <c r="AC382" s="16" t="s">
        <v>1429</v>
      </c>
      <c r="AD382" s="16">
        <v>371911194</v>
      </c>
      <c r="AE382" s="16">
        <v>1023584216</v>
      </c>
      <c r="AF382" s="16">
        <v>1942515408</v>
      </c>
      <c r="AG382" s="16"/>
      <c r="AH382" s="16"/>
      <c r="AI382" s="16" t="s">
        <v>173</v>
      </c>
      <c r="AJ382" s="16" t="s">
        <v>481</v>
      </c>
      <c r="AK382" s="16" t="s">
        <v>3685</v>
      </c>
      <c r="AL382" s="16">
        <v>9865</v>
      </c>
      <c r="AM382" s="16"/>
      <c r="AN382" s="16"/>
      <c r="AO382" s="16">
        <v>213</v>
      </c>
      <c r="AP382" s="16" t="s">
        <v>485</v>
      </c>
      <c r="AQ382" s="16" t="s">
        <v>3686</v>
      </c>
      <c r="AR382" s="3">
        <v>46267</v>
      </c>
      <c r="AS382" s="16" t="s">
        <v>173</v>
      </c>
      <c r="AT382" s="16" t="s">
        <v>1047</v>
      </c>
      <c r="AU382" s="16"/>
      <c r="AV382" s="16" t="s">
        <v>3687</v>
      </c>
      <c r="AW382" s="16"/>
      <c r="AX382" s="16"/>
      <c r="AY382" s="16"/>
      <c r="AZ382" s="16"/>
      <c r="BA382" s="16"/>
      <c r="BB382" s="16"/>
      <c r="BC382" s="16"/>
      <c r="BD382" s="16" t="s">
        <v>173</v>
      </c>
      <c r="BE382" s="16">
        <v>30</v>
      </c>
      <c r="BF382" s="16"/>
      <c r="BG382" s="16"/>
      <c r="BH382" s="16" t="s">
        <v>491</v>
      </c>
      <c r="BI382" s="16">
        <v>46746148</v>
      </c>
      <c r="BJ382" s="16"/>
      <c r="BK382" s="16"/>
      <c r="BL382" s="16"/>
      <c r="BM382" s="16"/>
      <c r="BN382" s="16"/>
      <c r="BO382" s="16"/>
      <c r="BP382" s="16"/>
      <c r="BQ382" s="16"/>
      <c r="BR382" s="16"/>
      <c r="BS382" s="16"/>
      <c r="BT382" s="16"/>
      <c r="BU382" s="16"/>
      <c r="BV382" s="16"/>
      <c r="BW382" s="16"/>
      <c r="BX382" s="16"/>
      <c r="BY382" s="16"/>
      <c r="BZ382" s="16"/>
      <c r="CA382" s="190">
        <v>46285.666666666701</v>
      </c>
      <c r="CB382" s="3"/>
      <c r="CC382" s="16"/>
      <c r="CD382" s="16"/>
      <c r="CE382" s="16"/>
      <c r="CF382" s="16"/>
      <c r="CG382" s="16"/>
      <c r="CH382" s="16"/>
      <c r="CI382" s="16" t="s">
        <v>3688</v>
      </c>
    </row>
    <row r="383" spans="1:87">
      <c r="A383" s="16"/>
      <c r="B383" s="16"/>
      <c r="C383" s="3">
        <v>46276</v>
      </c>
      <c r="D383" s="16" t="s">
        <v>14</v>
      </c>
      <c r="E383" s="16" t="s">
        <v>3689</v>
      </c>
      <c r="F383" s="16">
        <v>2026223570417</v>
      </c>
      <c r="G383" s="16">
        <v>30</v>
      </c>
      <c r="H383" s="16">
        <v>30</v>
      </c>
      <c r="I383" s="16" t="s">
        <v>809</v>
      </c>
      <c r="J383" s="16" t="s">
        <v>3689</v>
      </c>
      <c r="K383" s="16" t="s">
        <v>810</v>
      </c>
      <c r="L383" s="16" t="s">
        <v>17</v>
      </c>
      <c r="M383" s="16">
        <v>8</v>
      </c>
      <c r="N383" s="16" t="s">
        <v>462</v>
      </c>
      <c r="O383" s="16" t="s">
        <v>606</v>
      </c>
      <c r="P383" s="16" t="s">
        <v>3690</v>
      </c>
      <c r="Q383" s="16" t="s">
        <v>465</v>
      </c>
      <c r="R383" s="16" t="s">
        <v>466</v>
      </c>
      <c r="S383" s="16" t="s">
        <v>3691</v>
      </c>
      <c r="T383" s="16" t="s">
        <v>928</v>
      </c>
      <c r="U383" s="16">
        <v>46266.984722222223</v>
      </c>
      <c r="V383" s="16" t="s">
        <v>469</v>
      </c>
      <c r="W383" s="16" t="s">
        <v>651</v>
      </c>
      <c r="X383" s="16" t="s">
        <v>652</v>
      </c>
      <c r="Y383" s="16" t="s">
        <v>653</v>
      </c>
      <c r="Z383" s="16" t="s">
        <v>544</v>
      </c>
      <c r="AA383" s="16" t="s">
        <v>474</v>
      </c>
      <c r="AB383" s="16" t="s">
        <v>929</v>
      </c>
      <c r="AC383" s="16" t="s">
        <v>546</v>
      </c>
      <c r="AD383" s="16">
        <v>581973570</v>
      </c>
      <c r="AE383" s="16">
        <v>1154377166</v>
      </c>
      <c r="AF383" s="16"/>
      <c r="AG383" s="16">
        <v>1.02202518426386E+16</v>
      </c>
      <c r="AH383" s="16"/>
      <c r="AI383" s="16" t="s">
        <v>37</v>
      </c>
      <c r="AJ383" s="16" t="s">
        <v>481</v>
      </c>
      <c r="AK383" s="16" t="s">
        <v>3692</v>
      </c>
      <c r="AL383" s="16">
        <v>48769.18</v>
      </c>
      <c r="AM383" s="16"/>
      <c r="AN383" s="16"/>
      <c r="AO383" s="16" t="s">
        <v>3693</v>
      </c>
      <c r="AP383" s="16" t="s">
        <v>485</v>
      </c>
      <c r="AQ383" s="16" t="s">
        <v>3694</v>
      </c>
      <c r="AR383" s="3">
        <v>46267</v>
      </c>
      <c r="AS383" s="16" t="s">
        <v>37</v>
      </c>
      <c r="AT383" s="16" t="s">
        <v>1119</v>
      </c>
      <c r="AU383" s="16"/>
      <c r="AV383" s="16" t="s">
        <v>3695</v>
      </c>
      <c r="AW383" s="16"/>
      <c r="AX383" s="16"/>
      <c r="AY383" s="16"/>
      <c r="AZ383" s="16"/>
      <c r="BA383" s="16"/>
      <c r="BB383" s="16"/>
      <c r="BC383" s="16"/>
      <c r="BD383" s="16" t="s">
        <v>37</v>
      </c>
      <c r="BE383" s="16">
        <v>30</v>
      </c>
      <c r="BF383" s="16"/>
      <c r="BG383" s="16" t="s">
        <v>490</v>
      </c>
      <c r="BH383" s="16" t="s">
        <v>658</v>
      </c>
      <c r="BI383" s="16" t="s">
        <v>3690</v>
      </c>
      <c r="BJ383" s="16"/>
      <c r="BK383" s="16"/>
      <c r="BL383" s="16"/>
      <c r="BM383" s="16"/>
      <c r="BN383" s="16"/>
      <c r="BO383" s="16"/>
      <c r="BP383" s="16"/>
      <c r="BQ383" s="16"/>
      <c r="BR383" s="16"/>
      <c r="BS383" s="16"/>
      <c r="BT383" s="16"/>
      <c r="BU383" s="16"/>
      <c r="BV383" s="16"/>
      <c r="BW383" s="16"/>
      <c r="BX383" s="16"/>
      <c r="BY383" s="16"/>
      <c r="BZ383" s="16"/>
      <c r="CA383" s="190">
        <v>46275</v>
      </c>
      <c r="CB383" s="3"/>
      <c r="CC383" s="16"/>
      <c r="CD383" s="16"/>
      <c r="CE383" s="16"/>
      <c r="CF383" s="16"/>
      <c r="CG383" s="16"/>
      <c r="CH383" s="16"/>
      <c r="CI383" s="16" t="s">
        <v>3696</v>
      </c>
    </row>
    <row r="384" spans="1:87">
      <c r="A384" s="16"/>
      <c r="B384" s="16"/>
      <c r="C384" s="3">
        <v>46276</v>
      </c>
      <c r="D384" s="16" t="s">
        <v>14</v>
      </c>
      <c r="E384" s="16" t="s">
        <v>3697</v>
      </c>
      <c r="F384" s="16">
        <v>2026223790431</v>
      </c>
      <c r="G384" s="16">
        <v>30</v>
      </c>
      <c r="H384" s="16">
        <v>30</v>
      </c>
      <c r="I384" s="16" t="s">
        <v>809</v>
      </c>
      <c r="J384" s="16" t="s">
        <v>3697</v>
      </c>
      <c r="K384" s="16" t="s">
        <v>1512</v>
      </c>
      <c r="L384" s="16" t="s">
        <v>17</v>
      </c>
      <c r="M384" s="16">
        <v>8</v>
      </c>
      <c r="N384" s="16" t="s">
        <v>462</v>
      </c>
      <c r="O384" s="16" t="s">
        <v>606</v>
      </c>
      <c r="P384" s="16">
        <v>805729633</v>
      </c>
      <c r="Q384" s="16" t="s">
        <v>465</v>
      </c>
      <c r="R384" s="16" t="s">
        <v>466</v>
      </c>
      <c r="S384" s="16" t="s">
        <v>3698</v>
      </c>
      <c r="T384" s="16" t="s">
        <v>928</v>
      </c>
      <c r="U384" s="16">
        <v>46266.962500000001</v>
      </c>
      <c r="V384" s="16" t="s">
        <v>469</v>
      </c>
      <c r="W384" s="16" t="s">
        <v>651</v>
      </c>
      <c r="X384" s="16" t="s">
        <v>652</v>
      </c>
      <c r="Y384" s="16" t="s">
        <v>653</v>
      </c>
      <c r="Z384" s="16" t="s">
        <v>544</v>
      </c>
      <c r="AA384" s="16" t="s">
        <v>474</v>
      </c>
      <c r="AB384" s="16" t="s">
        <v>929</v>
      </c>
      <c r="AC384" s="16" t="s">
        <v>546</v>
      </c>
      <c r="AD384" s="16">
        <v>580566256</v>
      </c>
      <c r="AE384" s="16">
        <v>1588640692</v>
      </c>
      <c r="AF384" s="16"/>
      <c r="AG384" s="16">
        <v>1.02202532811636E+16</v>
      </c>
      <c r="AH384" s="16"/>
      <c r="AI384" s="16" t="s">
        <v>149</v>
      </c>
      <c r="AJ384" s="16" t="s">
        <v>481</v>
      </c>
      <c r="AK384" s="16" t="s">
        <v>3699</v>
      </c>
      <c r="AL384" s="16">
        <v>34206.28</v>
      </c>
      <c r="AM384" s="16"/>
      <c r="AN384" s="16"/>
      <c r="AO384" s="16">
        <v>805</v>
      </c>
      <c r="AP384" s="16" t="s">
        <v>485</v>
      </c>
      <c r="AQ384" s="16" t="s">
        <v>3700</v>
      </c>
      <c r="AR384" s="3">
        <v>46267</v>
      </c>
      <c r="AS384" s="16" t="s">
        <v>149</v>
      </c>
      <c r="AT384" s="16" t="s">
        <v>516</v>
      </c>
      <c r="AU384" s="16"/>
      <c r="AV384" s="16" t="s">
        <v>2757</v>
      </c>
      <c r="AW384" s="16"/>
      <c r="AX384" s="16"/>
      <c r="AY384" s="16"/>
      <c r="AZ384" s="16"/>
      <c r="BA384" s="16"/>
      <c r="BB384" s="16"/>
      <c r="BC384" s="16"/>
      <c r="BD384" s="16" t="s">
        <v>149</v>
      </c>
      <c r="BE384" s="16">
        <v>30</v>
      </c>
      <c r="BF384" s="16"/>
      <c r="BG384" s="16"/>
      <c r="BH384" s="16" t="s">
        <v>658</v>
      </c>
      <c r="BI384" s="16">
        <v>805729633</v>
      </c>
      <c r="BJ384" s="16"/>
      <c r="BK384" s="16"/>
      <c r="BL384" s="16"/>
      <c r="BM384" s="16"/>
      <c r="BN384" s="16"/>
      <c r="BO384" s="16"/>
      <c r="BP384" s="16"/>
      <c r="BQ384" s="16"/>
      <c r="BR384" s="16"/>
      <c r="BS384" s="16"/>
      <c r="BT384" s="16"/>
      <c r="BU384" s="16"/>
      <c r="BV384" s="16"/>
      <c r="BW384" s="16"/>
      <c r="BX384" s="16"/>
      <c r="BY384" s="16"/>
      <c r="BZ384" s="16"/>
      <c r="CA384" s="190">
        <v>46275</v>
      </c>
      <c r="CB384" s="3"/>
      <c r="CC384" s="16"/>
      <c r="CD384" s="16"/>
      <c r="CE384" s="16"/>
      <c r="CF384" s="16"/>
      <c r="CG384" s="16"/>
      <c r="CH384" s="16"/>
      <c r="CI384" s="16" t="s">
        <v>3701</v>
      </c>
    </row>
    <row r="385" spans="1:87">
      <c r="A385" s="16" t="s">
        <v>5</v>
      </c>
      <c r="B385" s="16" t="s">
        <v>1107</v>
      </c>
      <c r="C385" s="3">
        <v>46276</v>
      </c>
      <c r="D385" s="16" t="s">
        <v>14</v>
      </c>
      <c r="E385" s="16" t="s">
        <v>3702</v>
      </c>
      <c r="F385" s="16">
        <v>2026223911093</v>
      </c>
      <c r="G385" s="16">
        <v>30</v>
      </c>
      <c r="H385" s="16">
        <v>30</v>
      </c>
      <c r="I385" s="16" t="s">
        <v>809</v>
      </c>
      <c r="J385" s="16" t="s">
        <v>3702</v>
      </c>
      <c r="K385" s="16" t="s">
        <v>1109</v>
      </c>
      <c r="L385" s="16" t="s">
        <v>17</v>
      </c>
      <c r="M385" s="16">
        <v>7</v>
      </c>
      <c r="N385" s="16" t="s">
        <v>462</v>
      </c>
      <c r="O385" s="16" t="s">
        <v>606</v>
      </c>
      <c r="P385" s="16">
        <v>847886815</v>
      </c>
      <c r="Q385" s="16" t="s">
        <v>465</v>
      </c>
      <c r="R385" s="16" t="s">
        <v>466</v>
      </c>
      <c r="S385" s="16" t="s">
        <v>3703</v>
      </c>
      <c r="T385" s="16" t="s">
        <v>928</v>
      </c>
      <c r="U385" s="16">
        <v>46267.724305555559</v>
      </c>
      <c r="V385" s="16" t="s">
        <v>469</v>
      </c>
      <c r="W385" s="16" t="s">
        <v>651</v>
      </c>
      <c r="X385" s="16" t="s">
        <v>652</v>
      </c>
      <c r="Y385" s="16" t="s">
        <v>653</v>
      </c>
      <c r="Z385" s="16" t="s">
        <v>544</v>
      </c>
      <c r="AA385" s="16" t="s">
        <v>474</v>
      </c>
      <c r="AB385" s="16" t="s">
        <v>929</v>
      </c>
      <c r="AC385" s="16" t="s">
        <v>546</v>
      </c>
      <c r="AD385" s="16">
        <v>580566256</v>
      </c>
      <c r="AE385" s="16">
        <v>1588640692</v>
      </c>
      <c r="AF385" s="16"/>
      <c r="AG385" s="16">
        <v>1.02202508714643E+16</v>
      </c>
      <c r="AH385" s="16"/>
      <c r="AI385" s="16" t="s">
        <v>25</v>
      </c>
      <c r="AJ385" s="16" t="s">
        <v>481</v>
      </c>
      <c r="AK385" s="16" t="s">
        <v>3704</v>
      </c>
      <c r="AL385" s="16">
        <v>319640.71000000002</v>
      </c>
      <c r="AM385" s="16"/>
      <c r="AN385" s="16"/>
      <c r="AO385" s="16">
        <v>847</v>
      </c>
      <c r="AP385" s="16" t="s">
        <v>485</v>
      </c>
      <c r="AQ385" s="16" t="s">
        <v>3705</v>
      </c>
      <c r="AR385" s="3">
        <v>46268</v>
      </c>
      <c r="AS385" s="16" t="s">
        <v>25</v>
      </c>
      <c r="AT385" s="16" t="s">
        <v>516</v>
      </c>
      <c r="AU385" s="16"/>
      <c r="AV385" s="16" t="s">
        <v>2757</v>
      </c>
      <c r="AW385" s="16"/>
      <c r="AX385" s="16"/>
      <c r="AY385" s="16"/>
      <c r="AZ385" s="16"/>
      <c r="BA385" s="16"/>
      <c r="BB385" s="16"/>
      <c r="BC385" s="16"/>
      <c r="BD385" s="16" t="s">
        <v>25</v>
      </c>
      <c r="BE385" s="16">
        <v>30</v>
      </c>
      <c r="BF385" s="16"/>
      <c r="BG385" s="16" t="s">
        <v>490</v>
      </c>
      <c r="BH385" s="16" t="s">
        <v>658</v>
      </c>
      <c r="BI385" s="16">
        <v>847886815</v>
      </c>
      <c r="BJ385" s="16"/>
      <c r="BK385" s="16"/>
      <c r="BL385" s="16"/>
      <c r="BM385" s="16"/>
      <c r="BN385" s="16"/>
      <c r="BO385" s="16"/>
      <c r="BP385" s="16"/>
      <c r="BQ385" s="16"/>
      <c r="BR385" s="16"/>
      <c r="BS385" s="16"/>
      <c r="BT385" s="16"/>
      <c r="BU385" s="16"/>
      <c r="BV385" s="16"/>
      <c r="BW385" s="16"/>
      <c r="BX385" s="16"/>
      <c r="BY385" s="16"/>
      <c r="BZ385" s="16"/>
      <c r="CA385" s="190">
        <v>46281.666666666701</v>
      </c>
      <c r="CB385" s="3"/>
      <c r="CC385" s="16"/>
      <c r="CD385" s="16"/>
      <c r="CE385" s="16"/>
      <c r="CF385" s="16"/>
      <c r="CG385" s="16"/>
      <c r="CH385" s="16"/>
      <c r="CI385" s="16" t="s">
        <v>3706</v>
      </c>
    </row>
    <row r="386" spans="1:87" ht="29.25">
      <c r="A386" s="16" t="s">
        <v>5</v>
      </c>
      <c r="B386" s="25" t="s">
        <v>3707</v>
      </c>
      <c r="C386" s="3">
        <v>46276</v>
      </c>
      <c r="D386" s="16" t="s">
        <v>14</v>
      </c>
      <c r="E386" s="16" t="s">
        <v>3708</v>
      </c>
      <c r="F386" s="16"/>
      <c r="G386" s="16">
        <v>30</v>
      </c>
      <c r="H386" s="16">
        <v>30</v>
      </c>
      <c r="I386" s="16" t="s">
        <v>809</v>
      </c>
      <c r="J386" s="16" t="s">
        <v>3708</v>
      </c>
      <c r="K386" s="16" t="s">
        <v>1555</v>
      </c>
      <c r="L386" s="16" t="s">
        <v>17</v>
      </c>
      <c r="M386" s="16">
        <v>8</v>
      </c>
      <c r="N386" s="16" t="s">
        <v>462</v>
      </c>
      <c r="O386" s="16" t="s">
        <v>606</v>
      </c>
      <c r="P386" s="16">
        <v>839069684</v>
      </c>
      <c r="Q386" s="16" t="s">
        <v>465</v>
      </c>
      <c r="R386" s="16" t="s">
        <v>1056</v>
      </c>
      <c r="S386" s="16" t="s">
        <v>3709</v>
      </c>
      <c r="T386" s="16" t="s">
        <v>2771</v>
      </c>
      <c r="U386" s="16">
        <v>46267.077777777777</v>
      </c>
      <c r="V386" s="16" t="s">
        <v>469</v>
      </c>
      <c r="W386" s="16" t="s">
        <v>651</v>
      </c>
      <c r="X386" s="16" t="s">
        <v>652</v>
      </c>
      <c r="Y386" s="16" t="s">
        <v>653</v>
      </c>
      <c r="Z386" s="16" t="s">
        <v>1338</v>
      </c>
      <c r="AA386" s="16" t="s">
        <v>1354</v>
      </c>
      <c r="AB386" s="16" t="s">
        <v>2772</v>
      </c>
      <c r="AC386" s="16" t="s">
        <v>1429</v>
      </c>
      <c r="AD386" s="16">
        <v>510501263</v>
      </c>
      <c r="AE386" s="16">
        <v>1649209123</v>
      </c>
      <c r="AF386" s="16">
        <v>1649209123</v>
      </c>
      <c r="AG386" s="16">
        <v>6220253630143800</v>
      </c>
      <c r="AH386" s="16"/>
      <c r="AI386" s="16" t="s">
        <v>32</v>
      </c>
      <c r="AJ386" s="16" t="s">
        <v>481</v>
      </c>
      <c r="AK386" s="16" t="s">
        <v>3710</v>
      </c>
      <c r="AL386" s="16">
        <v>245</v>
      </c>
      <c r="AM386" s="16"/>
      <c r="AN386" s="16"/>
      <c r="AO386" s="16">
        <v>839</v>
      </c>
      <c r="AP386" s="16" t="s">
        <v>1063</v>
      </c>
      <c r="AQ386" s="16" t="s">
        <v>3711</v>
      </c>
      <c r="AR386" s="3">
        <v>46267</v>
      </c>
      <c r="AS386" s="16" t="s">
        <v>32</v>
      </c>
      <c r="AT386" s="16" t="s">
        <v>516</v>
      </c>
      <c r="AU386" s="16"/>
      <c r="AV386" s="16" t="s">
        <v>3712</v>
      </c>
      <c r="AW386" s="16"/>
      <c r="AX386" s="16"/>
      <c r="AY386" s="16"/>
      <c r="AZ386" s="16"/>
      <c r="BA386" s="16"/>
      <c r="BB386" s="16"/>
      <c r="BC386" s="16"/>
      <c r="BD386" s="16" t="s">
        <v>32</v>
      </c>
      <c r="BE386" s="16">
        <v>30</v>
      </c>
      <c r="BF386" s="16"/>
      <c r="BG386" s="16" t="s">
        <v>490</v>
      </c>
      <c r="BH386" s="16" t="s">
        <v>658</v>
      </c>
      <c r="BI386" s="16">
        <v>839069684</v>
      </c>
      <c r="BJ386" s="16"/>
      <c r="BK386" s="16"/>
      <c r="BL386" s="16"/>
      <c r="BM386" s="16"/>
      <c r="BN386" s="16"/>
      <c r="BO386" s="16"/>
      <c r="BP386" s="16"/>
      <c r="BQ386" s="16"/>
      <c r="BR386" s="16"/>
      <c r="BS386" s="16"/>
      <c r="BT386" s="16"/>
      <c r="BU386" s="16"/>
      <c r="BV386" s="16"/>
      <c r="BW386" s="16"/>
      <c r="BX386" s="16"/>
      <c r="BY386" s="16"/>
      <c r="BZ386" s="16"/>
      <c r="CA386" s="190">
        <v>46285.666666666701</v>
      </c>
      <c r="CB386" s="3"/>
      <c r="CC386" s="16"/>
      <c r="CD386" s="16"/>
      <c r="CE386" s="16"/>
      <c r="CF386" s="16"/>
      <c r="CG386" s="16"/>
      <c r="CH386" s="16"/>
      <c r="CI386" s="16" t="s">
        <v>3713</v>
      </c>
    </row>
    <row r="387" spans="1:87">
      <c r="A387" s="16"/>
      <c r="B387" s="16"/>
      <c r="C387" s="3">
        <v>46276</v>
      </c>
      <c r="D387" s="16" t="s">
        <v>14</v>
      </c>
      <c r="E387" s="16" t="s">
        <v>3714</v>
      </c>
      <c r="F387" s="16">
        <v>2026224890027</v>
      </c>
      <c r="G387" s="16">
        <v>30</v>
      </c>
      <c r="H387" s="16">
        <v>29</v>
      </c>
      <c r="I387" s="16" t="s">
        <v>809</v>
      </c>
      <c r="J387" s="16" t="s">
        <v>3714</v>
      </c>
      <c r="K387" s="16" t="s">
        <v>810</v>
      </c>
      <c r="L387" s="16" t="s">
        <v>17</v>
      </c>
      <c r="M387" s="16">
        <v>7</v>
      </c>
      <c r="N387" s="16" t="s">
        <v>462</v>
      </c>
      <c r="O387" s="16" t="s">
        <v>606</v>
      </c>
      <c r="P387" s="16" t="s">
        <v>3715</v>
      </c>
      <c r="Q387" s="16" t="s">
        <v>465</v>
      </c>
      <c r="R387" s="16" t="s">
        <v>466</v>
      </c>
      <c r="S387" s="16" t="s">
        <v>3716</v>
      </c>
      <c r="T387" s="16">
        <v>980925</v>
      </c>
      <c r="U387" s="16">
        <v>46267.780555555553</v>
      </c>
      <c r="V387" s="16" t="s">
        <v>469</v>
      </c>
      <c r="W387" s="16" t="s">
        <v>470</v>
      </c>
      <c r="X387" s="16" t="s">
        <v>471</v>
      </c>
      <c r="Y387" s="16" t="s">
        <v>523</v>
      </c>
      <c r="Z387" s="16" t="s">
        <v>665</v>
      </c>
      <c r="AA387" s="16" t="s">
        <v>474</v>
      </c>
      <c r="AB387" s="16" t="s">
        <v>3717</v>
      </c>
      <c r="AC387" s="16" t="s">
        <v>640</v>
      </c>
      <c r="AD387" s="16">
        <v>141364536</v>
      </c>
      <c r="AE387" s="16">
        <v>1609875772</v>
      </c>
      <c r="AF387" s="16"/>
      <c r="AG387" s="16"/>
      <c r="AH387" s="16"/>
      <c r="AI387" s="16" t="s">
        <v>37</v>
      </c>
      <c r="AJ387" s="16" t="s">
        <v>481</v>
      </c>
      <c r="AK387" s="16" t="s">
        <v>3718</v>
      </c>
      <c r="AL387" s="16">
        <v>98161.5</v>
      </c>
      <c r="AM387" s="16"/>
      <c r="AN387" s="16"/>
      <c r="AO387" s="16">
        <v>277</v>
      </c>
      <c r="AP387" s="16" t="s">
        <v>485</v>
      </c>
      <c r="AQ387" s="16" t="s">
        <v>3719</v>
      </c>
      <c r="AR387" s="3">
        <v>46268</v>
      </c>
      <c r="AS387" s="16" t="s">
        <v>37</v>
      </c>
      <c r="AT387" s="16" t="s">
        <v>579</v>
      </c>
      <c r="AU387" s="16"/>
      <c r="AV387" s="16" t="s">
        <v>2465</v>
      </c>
      <c r="AW387" s="16"/>
      <c r="AX387" s="16"/>
      <c r="AY387" s="16"/>
      <c r="AZ387" s="16"/>
      <c r="BA387" s="16"/>
      <c r="BB387" s="16"/>
      <c r="BC387" s="16"/>
      <c r="BD387" s="16" t="s">
        <v>37</v>
      </c>
      <c r="BE387" s="16">
        <v>29</v>
      </c>
      <c r="BF387" s="16"/>
      <c r="BG387" s="16" t="s">
        <v>490</v>
      </c>
      <c r="BH387" s="16" t="s">
        <v>491</v>
      </c>
      <c r="BI387" s="16">
        <v>88607683</v>
      </c>
      <c r="BJ387" s="16"/>
      <c r="BK387" s="16"/>
      <c r="BL387" s="16"/>
      <c r="BM387" s="16"/>
      <c r="BN387" s="16"/>
      <c r="BO387" s="16"/>
      <c r="BP387" s="16"/>
      <c r="BQ387" s="16"/>
      <c r="BR387" s="16"/>
      <c r="BS387" s="16"/>
      <c r="BT387" s="16"/>
      <c r="BU387" s="16"/>
      <c r="BV387" s="16"/>
      <c r="BW387" s="16"/>
      <c r="BX387" s="16"/>
      <c r="BY387" s="16"/>
      <c r="BZ387" s="16"/>
      <c r="CA387" s="190">
        <v>46275</v>
      </c>
      <c r="CB387" s="3"/>
      <c r="CC387" s="16"/>
      <c r="CD387" s="16"/>
      <c r="CE387" s="16"/>
      <c r="CF387" s="16"/>
      <c r="CG387" s="16"/>
      <c r="CH387" s="16"/>
      <c r="CI387" s="16" t="s">
        <v>3720</v>
      </c>
    </row>
    <row r="388" spans="1:87">
      <c r="A388" s="16"/>
      <c r="B388" s="16"/>
      <c r="C388" s="3">
        <v>46276</v>
      </c>
      <c r="D388" s="16" t="s">
        <v>14</v>
      </c>
      <c r="E388" s="16" t="s">
        <v>3721</v>
      </c>
      <c r="F388" s="16">
        <v>2026223340160</v>
      </c>
      <c r="G388" s="16">
        <v>30</v>
      </c>
      <c r="H388" s="16">
        <v>30</v>
      </c>
      <c r="I388" s="16" t="s">
        <v>809</v>
      </c>
      <c r="J388" s="16" t="s">
        <v>3721</v>
      </c>
      <c r="K388" s="16" t="s">
        <v>810</v>
      </c>
      <c r="L388" s="16" t="s">
        <v>17</v>
      </c>
      <c r="M388" s="16">
        <v>8</v>
      </c>
      <c r="N388" s="16" t="s">
        <v>462</v>
      </c>
      <c r="O388" s="16" t="s">
        <v>606</v>
      </c>
      <c r="P388" s="16" t="s">
        <v>3722</v>
      </c>
      <c r="Q388" s="16" t="s">
        <v>465</v>
      </c>
      <c r="R388" s="16" t="s">
        <v>466</v>
      </c>
      <c r="S388" s="16" t="s">
        <v>3723</v>
      </c>
      <c r="T388" s="16">
        <v>721330</v>
      </c>
      <c r="U388" s="16">
        <v>46266.789583333331</v>
      </c>
      <c r="V388" s="16" t="s">
        <v>469</v>
      </c>
      <c r="W388" s="16" t="s">
        <v>470</v>
      </c>
      <c r="X388" s="16" t="s">
        <v>471</v>
      </c>
      <c r="Y388" s="16" t="s">
        <v>628</v>
      </c>
      <c r="Z388" s="16" t="s">
        <v>665</v>
      </c>
      <c r="AA388" s="16" t="s">
        <v>474</v>
      </c>
      <c r="AB388" s="16" t="s">
        <v>3724</v>
      </c>
      <c r="AC388" s="16" t="s">
        <v>640</v>
      </c>
      <c r="AD388" s="16">
        <v>133843560</v>
      </c>
      <c r="AE388" s="16">
        <v>1952376410</v>
      </c>
      <c r="AF388" s="16">
        <v>1538463799</v>
      </c>
      <c r="AG388" s="16"/>
      <c r="AH388" s="16"/>
      <c r="AI388" s="16" t="s">
        <v>37</v>
      </c>
      <c r="AJ388" s="16" t="s">
        <v>481</v>
      </c>
      <c r="AK388" s="16" t="s">
        <v>3725</v>
      </c>
      <c r="AL388" s="16">
        <v>3500</v>
      </c>
      <c r="AM388" s="16"/>
      <c r="AN388" s="16"/>
      <c r="AO388" s="16">
        <v>988</v>
      </c>
      <c r="AP388" s="16" t="s">
        <v>485</v>
      </c>
      <c r="AQ388" s="16" t="s">
        <v>3726</v>
      </c>
      <c r="AR388" s="3">
        <v>46267</v>
      </c>
      <c r="AS388" s="16" t="s">
        <v>37</v>
      </c>
      <c r="AT388" s="16" t="s">
        <v>579</v>
      </c>
      <c r="AU388" s="16"/>
      <c r="AV388" s="16" t="s">
        <v>3727</v>
      </c>
      <c r="AW388" s="16"/>
      <c r="AX388" s="16"/>
      <c r="AY388" s="16"/>
      <c r="AZ388" s="16"/>
      <c r="BA388" s="16"/>
      <c r="BB388" s="16"/>
      <c r="BC388" s="16"/>
      <c r="BD388" s="16" t="s">
        <v>37</v>
      </c>
      <c r="BE388" s="16">
        <v>30</v>
      </c>
      <c r="BF388" s="16"/>
      <c r="BG388" s="16"/>
      <c r="BH388" s="16" t="s">
        <v>491</v>
      </c>
      <c r="BI388" s="16">
        <v>101863005</v>
      </c>
      <c r="BJ388" s="16"/>
      <c r="BK388" s="16"/>
      <c r="BL388" s="16"/>
      <c r="BM388" s="16"/>
      <c r="BN388" s="16"/>
      <c r="BO388" s="16"/>
      <c r="BP388" s="16"/>
      <c r="BQ388" s="16"/>
      <c r="BR388" s="16"/>
      <c r="BS388" s="16"/>
      <c r="BT388" s="16"/>
      <c r="BU388" s="16"/>
      <c r="BV388" s="16"/>
      <c r="BW388" s="16"/>
      <c r="BX388" s="16"/>
      <c r="BY388" s="16"/>
      <c r="BZ388" s="16"/>
      <c r="CA388" s="190">
        <v>46275</v>
      </c>
      <c r="CB388" s="3"/>
      <c r="CC388" s="16"/>
      <c r="CD388" s="16"/>
      <c r="CE388" s="16"/>
      <c r="CF388" s="16"/>
      <c r="CG388" s="16"/>
      <c r="CH388" s="16"/>
      <c r="CI388" s="16" t="s">
        <v>3728</v>
      </c>
    </row>
    <row r="389" spans="1:87">
      <c r="A389" s="16" t="s">
        <v>5</v>
      </c>
      <c r="B389" s="16" t="s">
        <v>1107</v>
      </c>
      <c r="C389" s="3">
        <v>46276</v>
      </c>
      <c r="D389" s="16" t="s">
        <v>14</v>
      </c>
      <c r="E389" s="16" t="s">
        <v>3729</v>
      </c>
      <c r="F389" s="16">
        <v>2026224170045</v>
      </c>
      <c r="G389" s="16">
        <v>30</v>
      </c>
      <c r="H389" s="16">
        <v>29</v>
      </c>
      <c r="I389" s="16" t="s">
        <v>809</v>
      </c>
      <c r="J389" s="16" t="s">
        <v>3729</v>
      </c>
      <c r="K389" s="16" t="s">
        <v>1109</v>
      </c>
      <c r="L389" s="16" t="s">
        <v>17</v>
      </c>
      <c r="M389" s="16">
        <v>7</v>
      </c>
      <c r="N389" s="16" t="s">
        <v>462</v>
      </c>
      <c r="O389" s="16" t="s">
        <v>606</v>
      </c>
      <c r="P389" s="16" t="s">
        <v>3730</v>
      </c>
      <c r="Q389" s="16" t="s">
        <v>465</v>
      </c>
      <c r="R389" s="16" t="s">
        <v>466</v>
      </c>
      <c r="S389" s="16" t="s">
        <v>3731</v>
      </c>
      <c r="T389" s="16">
        <v>720858</v>
      </c>
      <c r="U389" s="16">
        <v>46267.771527777775</v>
      </c>
      <c r="V389" s="16" t="s">
        <v>469</v>
      </c>
      <c r="W389" s="16" t="s">
        <v>470</v>
      </c>
      <c r="X389" s="16" t="s">
        <v>471</v>
      </c>
      <c r="Y389" s="16" t="s">
        <v>628</v>
      </c>
      <c r="Z389" s="16" t="s">
        <v>665</v>
      </c>
      <c r="AA389" s="16" t="s">
        <v>474</v>
      </c>
      <c r="AB389" s="16" t="s">
        <v>3732</v>
      </c>
      <c r="AC389" s="16" t="s">
        <v>476</v>
      </c>
      <c r="AD389" s="16">
        <v>390806261</v>
      </c>
      <c r="AE389" s="16">
        <v>1699720086</v>
      </c>
      <c r="AF389" s="16">
        <v>1215213210</v>
      </c>
      <c r="AG389" s="16"/>
      <c r="AH389" s="16"/>
      <c r="AI389" s="16" t="s">
        <v>25</v>
      </c>
      <c r="AJ389" s="16" t="s">
        <v>481</v>
      </c>
      <c r="AK389" s="16" t="s">
        <v>3733</v>
      </c>
      <c r="AL389" s="16">
        <v>11257</v>
      </c>
      <c r="AM389" s="16"/>
      <c r="AN389" s="16"/>
      <c r="AO389" s="16">
        <v>710</v>
      </c>
      <c r="AP389" s="16" t="s">
        <v>485</v>
      </c>
      <c r="AQ389" s="16" t="s">
        <v>3734</v>
      </c>
      <c r="AR389" s="3">
        <v>46268</v>
      </c>
      <c r="AS389" s="16" t="s">
        <v>25</v>
      </c>
      <c r="AT389" s="16" t="s">
        <v>516</v>
      </c>
      <c r="AU389" s="16"/>
      <c r="AV389" s="16" t="s">
        <v>3735</v>
      </c>
      <c r="AW389" s="16"/>
      <c r="AX389" s="16"/>
      <c r="AY389" s="16"/>
      <c r="AZ389" s="16"/>
      <c r="BA389" s="16"/>
      <c r="BB389" s="16"/>
      <c r="BC389" s="16"/>
      <c r="BD389" s="16" t="s">
        <v>25</v>
      </c>
      <c r="BE389" s="16">
        <v>29</v>
      </c>
      <c r="BF389" s="16"/>
      <c r="BG389" s="16"/>
      <c r="BH389" s="16" t="s">
        <v>491</v>
      </c>
      <c r="BI389" s="16">
        <v>397820305</v>
      </c>
      <c r="BJ389" s="16"/>
      <c r="BK389" s="16"/>
      <c r="BL389" s="16"/>
      <c r="BM389" s="16"/>
      <c r="BN389" s="16"/>
      <c r="BO389" s="16"/>
      <c r="BP389" s="16"/>
      <c r="BQ389" s="16"/>
      <c r="BR389" s="16"/>
      <c r="BS389" s="16"/>
      <c r="BT389" s="16"/>
      <c r="BU389" s="16"/>
      <c r="BV389" s="16"/>
      <c r="BW389" s="16"/>
      <c r="BX389" s="16"/>
      <c r="BY389" s="16"/>
      <c r="BZ389" s="16"/>
      <c r="CA389" s="190">
        <v>46281.666666666701</v>
      </c>
      <c r="CB389" s="3"/>
      <c r="CC389" s="16"/>
      <c r="CD389" s="16"/>
      <c r="CE389" s="16"/>
      <c r="CF389" s="16"/>
      <c r="CG389" s="16"/>
      <c r="CH389" s="16"/>
      <c r="CI389" s="16" t="s">
        <v>3736</v>
      </c>
    </row>
    <row r="390" spans="1:87">
      <c r="A390" s="16" t="s">
        <v>5</v>
      </c>
      <c r="B390" s="16" t="s">
        <v>1038</v>
      </c>
      <c r="C390" s="3">
        <v>46276</v>
      </c>
      <c r="D390" s="16" t="s">
        <v>14</v>
      </c>
      <c r="E390" s="16" t="s">
        <v>3737</v>
      </c>
      <c r="F390" s="16">
        <v>2026224690189</v>
      </c>
      <c r="G390" s="16">
        <v>30</v>
      </c>
      <c r="H390" s="16">
        <v>29</v>
      </c>
      <c r="I390" s="16" t="s">
        <v>809</v>
      </c>
      <c r="J390" s="16" t="s">
        <v>3737</v>
      </c>
      <c r="K390" s="16" t="s">
        <v>1040</v>
      </c>
      <c r="L390" s="16" t="s">
        <v>17</v>
      </c>
      <c r="M390" s="16">
        <v>7</v>
      </c>
      <c r="N390" s="16" t="s">
        <v>462</v>
      </c>
      <c r="O390" s="16" t="s">
        <v>606</v>
      </c>
      <c r="P390" s="16" t="s">
        <v>3738</v>
      </c>
      <c r="Q390" s="16" t="s">
        <v>465</v>
      </c>
      <c r="R390" s="16" t="s">
        <v>466</v>
      </c>
      <c r="S390" s="16" t="s">
        <v>3739</v>
      </c>
      <c r="T390" s="16">
        <v>377650</v>
      </c>
      <c r="U390" s="16">
        <v>46267.904861111114</v>
      </c>
      <c r="V390" s="16" t="s">
        <v>469</v>
      </c>
      <c r="W390" s="16" t="s">
        <v>1752</v>
      </c>
      <c r="X390" s="16" t="s">
        <v>471</v>
      </c>
      <c r="Y390" s="16" t="s">
        <v>628</v>
      </c>
      <c r="Z390" s="16" t="s">
        <v>665</v>
      </c>
      <c r="AA390" s="16" t="s">
        <v>474</v>
      </c>
      <c r="AB390" s="16" t="s">
        <v>3740</v>
      </c>
      <c r="AC390" s="16" t="s">
        <v>640</v>
      </c>
      <c r="AD390" s="16">
        <v>113613997</v>
      </c>
      <c r="AE390" s="16">
        <v>1386779296</v>
      </c>
      <c r="AF390" s="16">
        <v>1386779296</v>
      </c>
      <c r="AG390" s="16"/>
      <c r="AH390" s="16"/>
      <c r="AI390" s="16" t="s">
        <v>173</v>
      </c>
      <c r="AJ390" s="16" t="s">
        <v>481</v>
      </c>
      <c r="AK390" s="16" t="s">
        <v>3741</v>
      </c>
      <c r="AL390" s="16">
        <v>436</v>
      </c>
      <c r="AM390" s="16"/>
      <c r="AN390" s="16"/>
      <c r="AO390" s="16">
        <v>605</v>
      </c>
      <c r="AP390" s="16" t="s">
        <v>485</v>
      </c>
      <c r="AQ390" s="16" t="s">
        <v>3742</v>
      </c>
      <c r="AR390" s="3">
        <v>46268</v>
      </c>
      <c r="AS390" s="16" t="s">
        <v>173</v>
      </c>
      <c r="AT390" s="16" t="s">
        <v>1047</v>
      </c>
      <c r="AU390" s="16"/>
      <c r="AV390" s="16" t="s">
        <v>3743</v>
      </c>
      <c r="AW390" s="16"/>
      <c r="AX390" s="16"/>
      <c r="AY390" s="16"/>
      <c r="AZ390" s="16"/>
      <c r="BA390" s="16"/>
      <c r="BB390" s="16"/>
      <c r="BC390" s="16"/>
      <c r="BD390" s="16" t="s">
        <v>173</v>
      </c>
      <c r="BE390" s="16">
        <v>29</v>
      </c>
      <c r="BF390" s="16"/>
      <c r="BG390" s="16"/>
      <c r="BH390" s="16" t="s">
        <v>491</v>
      </c>
      <c r="BI390" s="16">
        <v>121608858</v>
      </c>
      <c r="BJ390" s="16"/>
      <c r="BK390" s="16"/>
      <c r="BL390" s="16"/>
      <c r="BM390" s="16"/>
      <c r="BN390" s="16"/>
      <c r="BO390" s="16"/>
      <c r="BP390" s="16"/>
      <c r="BQ390" s="16"/>
      <c r="BR390" s="16"/>
      <c r="BS390" s="16"/>
      <c r="BT390" s="16"/>
      <c r="BU390" s="16"/>
      <c r="BV390" s="16"/>
      <c r="BW390" s="16"/>
      <c r="BX390" s="16"/>
      <c r="BY390" s="16"/>
      <c r="BZ390" s="16"/>
      <c r="CA390" s="190">
        <v>46285.666666666701</v>
      </c>
      <c r="CB390" s="3"/>
      <c r="CC390" s="16"/>
      <c r="CD390" s="16"/>
      <c r="CE390" s="16"/>
      <c r="CF390" s="16"/>
      <c r="CG390" s="16"/>
      <c r="CH390" s="16"/>
      <c r="CI390" s="16" t="s">
        <v>3744</v>
      </c>
    </row>
    <row r="391" spans="1:87">
      <c r="A391" s="16"/>
      <c r="B391" s="16"/>
      <c r="C391" s="3">
        <v>46276</v>
      </c>
      <c r="D391" s="16" t="s">
        <v>14</v>
      </c>
      <c r="E391" s="16" t="s">
        <v>3745</v>
      </c>
      <c r="F391" s="16">
        <v>2026224290180</v>
      </c>
      <c r="G391" s="16">
        <v>30</v>
      </c>
      <c r="H391" s="16">
        <v>29</v>
      </c>
      <c r="I391" s="16" t="s">
        <v>809</v>
      </c>
      <c r="J391" s="16" t="s">
        <v>3745</v>
      </c>
      <c r="K391" s="16" t="s">
        <v>839</v>
      </c>
      <c r="L391" s="16" t="s">
        <v>18</v>
      </c>
      <c r="M391" s="16">
        <v>7</v>
      </c>
      <c r="N391" s="16" t="s">
        <v>462</v>
      </c>
      <c r="O391" s="16" t="s">
        <v>606</v>
      </c>
      <c r="P391" s="16" t="s">
        <v>3738</v>
      </c>
      <c r="Q391" s="16" t="s">
        <v>465</v>
      </c>
      <c r="R391" s="16" t="s">
        <v>466</v>
      </c>
      <c r="S391" s="16" t="s">
        <v>3746</v>
      </c>
      <c r="T391" s="16">
        <v>377650</v>
      </c>
      <c r="U391" s="16">
        <v>46267.87777777778</v>
      </c>
      <c r="V391" s="16" t="s">
        <v>469</v>
      </c>
      <c r="W391" s="16" t="s">
        <v>1752</v>
      </c>
      <c r="X391" s="16" t="s">
        <v>471</v>
      </c>
      <c r="Y391" s="16" t="s">
        <v>628</v>
      </c>
      <c r="Z391" s="16" t="s">
        <v>665</v>
      </c>
      <c r="AA391" s="16" t="s">
        <v>474</v>
      </c>
      <c r="AB391" s="16" t="s">
        <v>3740</v>
      </c>
      <c r="AC391" s="16" t="s">
        <v>640</v>
      </c>
      <c r="AD391" s="16">
        <v>113613997</v>
      </c>
      <c r="AE391" s="16">
        <v>1386779296</v>
      </c>
      <c r="AF391" s="16">
        <v>1386779296</v>
      </c>
      <c r="AG391" s="16"/>
      <c r="AH391" s="16"/>
      <c r="AI391" s="16" t="s">
        <v>159</v>
      </c>
      <c r="AJ391" s="16" t="s">
        <v>481</v>
      </c>
      <c r="AK391" s="16" t="s">
        <v>3747</v>
      </c>
      <c r="AL391" s="16">
        <v>1282</v>
      </c>
      <c r="AM391" s="16"/>
      <c r="AN391" s="16"/>
      <c r="AO391" s="16">
        <v>605</v>
      </c>
      <c r="AP391" s="16" t="s">
        <v>485</v>
      </c>
      <c r="AQ391" s="16" t="s">
        <v>3748</v>
      </c>
      <c r="AR391" s="3">
        <v>46268</v>
      </c>
      <c r="AS391" s="16" t="s">
        <v>159</v>
      </c>
      <c r="AT391" s="16" t="s">
        <v>1276</v>
      </c>
      <c r="AU391" s="16"/>
      <c r="AV391" s="16" t="s">
        <v>3743</v>
      </c>
      <c r="AW391" s="16"/>
      <c r="AX391" s="16"/>
      <c r="AY391" s="16"/>
      <c r="AZ391" s="16"/>
      <c r="BA391" s="16"/>
      <c r="BB391" s="16"/>
      <c r="BC391" s="16"/>
      <c r="BD391" s="16" t="s">
        <v>159</v>
      </c>
      <c r="BE391" s="16">
        <v>29</v>
      </c>
      <c r="BF391" s="16"/>
      <c r="BG391" s="16"/>
      <c r="BH391" s="16" t="s">
        <v>491</v>
      </c>
      <c r="BI391" s="16">
        <v>121608858</v>
      </c>
      <c r="BJ391" s="16"/>
      <c r="BK391" s="16"/>
      <c r="BL391" s="16"/>
      <c r="BM391" s="16"/>
      <c r="BN391" s="16"/>
      <c r="BO391" s="16"/>
      <c r="BP391" s="16"/>
      <c r="BQ391" s="16"/>
      <c r="BR391" s="16"/>
      <c r="BS391" s="16"/>
      <c r="BT391" s="16"/>
      <c r="BU391" s="16"/>
      <c r="BV391" s="16"/>
      <c r="BW391" s="16"/>
      <c r="BX391" s="16"/>
      <c r="BY391" s="16"/>
      <c r="BZ391" s="16"/>
      <c r="CA391" s="190">
        <v>46275</v>
      </c>
      <c r="CB391" s="3"/>
      <c r="CC391" s="16"/>
      <c r="CD391" s="16"/>
      <c r="CE391" s="16"/>
      <c r="CF391" s="16"/>
      <c r="CG391" s="16"/>
      <c r="CH391" s="16"/>
      <c r="CI391" s="16" t="s">
        <v>3749</v>
      </c>
    </row>
    <row r="392" spans="1:87">
      <c r="A392" s="16"/>
      <c r="B392" s="16"/>
      <c r="C392" s="3">
        <v>46276</v>
      </c>
      <c r="D392" s="16" t="s">
        <v>14</v>
      </c>
      <c r="E392" s="16" t="s">
        <v>3750</v>
      </c>
      <c r="F392" s="16">
        <v>2026224230190</v>
      </c>
      <c r="G392" s="16">
        <v>30</v>
      </c>
      <c r="H392" s="16">
        <v>29</v>
      </c>
      <c r="I392" s="16" t="s">
        <v>809</v>
      </c>
      <c r="J392" s="16" t="s">
        <v>3750</v>
      </c>
      <c r="K392" s="16" t="s">
        <v>691</v>
      </c>
      <c r="L392" s="16" t="s">
        <v>13</v>
      </c>
      <c r="M392" s="16">
        <v>7</v>
      </c>
      <c r="N392" s="16" t="s">
        <v>462</v>
      </c>
      <c r="O392" s="16" t="s">
        <v>606</v>
      </c>
      <c r="P392" s="16" t="s">
        <v>3751</v>
      </c>
      <c r="Q392" s="16" t="s">
        <v>465</v>
      </c>
      <c r="R392" s="16" t="s">
        <v>466</v>
      </c>
      <c r="S392" s="16" t="s">
        <v>3752</v>
      </c>
      <c r="T392" s="16">
        <v>377650</v>
      </c>
      <c r="U392" s="16">
        <v>46267.925000000003</v>
      </c>
      <c r="V392" s="16" t="s">
        <v>469</v>
      </c>
      <c r="W392" s="16" t="s">
        <v>1752</v>
      </c>
      <c r="X392" s="16" t="s">
        <v>471</v>
      </c>
      <c r="Y392" s="16" t="s">
        <v>628</v>
      </c>
      <c r="Z392" s="16" t="s">
        <v>665</v>
      </c>
      <c r="AA392" s="16" t="s">
        <v>474</v>
      </c>
      <c r="AB392" s="16" t="s">
        <v>3753</v>
      </c>
      <c r="AC392" s="16" t="s">
        <v>640</v>
      </c>
      <c r="AD392" s="16">
        <v>113613997</v>
      </c>
      <c r="AE392" s="16">
        <v>1386779296</v>
      </c>
      <c r="AF392" s="16">
        <v>1386779296</v>
      </c>
      <c r="AG392" s="16"/>
      <c r="AH392" s="16"/>
      <c r="AI392" s="16" t="s">
        <v>128</v>
      </c>
      <c r="AJ392" s="16" t="s">
        <v>481</v>
      </c>
      <c r="AK392" s="16" t="s">
        <v>3754</v>
      </c>
      <c r="AL392" s="16">
        <v>755</v>
      </c>
      <c r="AM392" s="16"/>
      <c r="AN392" s="16"/>
      <c r="AO392" s="16">
        <v>645</v>
      </c>
      <c r="AP392" s="16" t="s">
        <v>485</v>
      </c>
      <c r="AQ392" s="16" t="s">
        <v>3755</v>
      </c>
      <c r="AR392" s="3">
        <v>46268</v>
      </c>
      <c r="AS392" s="16" t="s">
        <v>128</v>
      </c>
      <c r="AT392" s="16" t="s">
        <v>695</v>
      </c>
      <c r="AU392" s="16"/>
      <c r="AV392" s="16" t="s">
        <v>3743</v>
      </c>
      <c r="AW392" s="16"/>
      <c r="AX392" s="16"/>
      <c r="AY392" s="16"/>
      <c r="AZ392" s="16"/>
      <c r="BA392" s="16"/>
      <c r="BB392" s="16"/>
      <c r="BC392" s="16"/>
      <c r="BD392" s="16" t="s">
        <v>128</v>
      </c>
      <c r="BE392" s="16">
        <v>29</v>
      </c>
      <c r="BF392" s="16"/>
      <c r="BG392" s="16"/>
      <c r="BH392" s="16" t="s">
        <v>491</v>
      </c>
      <c r="BI392" s="16">
        <v>94628501</v>
      </c>
      <c r="BJ392" s="16"/>
      <c r="BK392" s="16"/>
      <c r="BL392" s="16"/>
      <c r="BM392" s="16"/>
      <c r="BN392" s="16"/>
      <c r="BO392" s="16"/>
      <c r="BP392" s="16"/>
      <c r="BQ392" s="16"/>
      <c r="BR392" s="16"/>
      <c r="BS392" s="16"/>
      <c r="BT392" s="16"/>
      <c r="BU392" s="16"/>
      <c r="BV392" s="16"/>
      <c r="BW392" s="16"/>
      <c r="BX392" s="16"/>
      <c r="BY392" s="16"/>
      <c r="BZ392" s="16"/>
      <c r="CA392" s="190">
        <v>46275</v>
      </c>
      <c r="CB392" s="3"/>
      <c r="CC392" s="16"/>
      <c r="CD392" s="16"/>
      <c r="CE392" s="16"/>
      <c r="CF392" s="16"/>
      <c r="CG392" s="16"/>
      <c r="CH392" s="16"/>
      <c r="CI392" s="16" t="s">
        <v>3756</v>
      </c>
    </row>
    <row r="393" spans="1:87">
      <c r="A393" s="16"/>
      <c r="B393" s="16"/>
      <c r="C393" s="3">
        <v>46276</v>
      </c>
      <c r="D393" s="16" t="s">
        <v>14</v>
      </c>
      <c r="E393" s="16" t="s">
        <v>3757</v>
      </c>
      <c r="F393" s="16">
        <v>2026224800215</v>
      </c>
      <c r="G393" s="16">
        <v>30</v>
      </c>
      <c r="H393" s="16">
        <v>29</v>
      </c>
      <c r="I393" s="16" t="s">
        <v>809</v>
      </c>
      <c r="J393" s="16" t="s">
        <v>3757</v>
      </c>
      <c r="K393" s="16" t="s">
        <v>839</v>
      </c>
      <c r="L393" s="16" t="s">
        <v>18</v>
      </c>
      <c r="M393" s="16">
        <v>7</v>
      </c>
      <c r="N393" s="16" t="s">
        <v>462</v>
      </c>
      <c r="O393" s="16" t="s">
        <v>606</v>
      </c>
      <c r="P393" s="16" t="s">
        <v>3751</v>
      </c>
      <c r="Q393" s="16" t="s">
        <v>465</v>
      </c>
      <c r="R393" s="16" t="s">
        <v>466</v>
      </c>
      <c r="S393" s="16" t="s">
        <v>3758</v>
      </c>
      <c r="T393" s="16">
        <v>377650</v>
      </c>
      <c r="U393" s="16">
        <v>46267.885416666664</v>
      </c>
      <c r="V393" s="16" t="s">
        <v>469</v>
      </c>
      <c r="W393" s="16" t="s">
        <v>1752</v>
      </c>
      <c r="X393" s="16" t="s">
        <v>471</v>
      </c>
      <c r="Y393" s="16" t="s">
        <v>628</v>
      </c>
      <c r="Z393" s="16" t="s">
        <v>665</v>
      </c>
      <c r="AA393" s="16" t="s">
        <v>474</v>
      </c>
      <c r="AB393" s="16" t="s">
        <v>3753</v>
      </c>
      <c r="AC393" s="16" t="s">
        <v>640</v>
      </c>
      <c r="AD393" s="16">
        <v>113613997</v>
      </c>
      <c r="AE393" s="16">
        <v>1386779296</v>
      </c>
      <c r="AF393" s="16">
        <v>1386779296</v>
      </c>
      <c r="AG393" s="16"/>
      <c r="AH393" s="16"/>
      <c r="AI393" s="16" t="s">
        <v>159</v>
      </c>
      <c r="AJ393" s="16" t="s">
        <v>481</v>
      </c>
      <c r="AK393" s="16" t="s">
        <v>3759</v>
      </c>
      <c r="AL393" s="16">
        <v>436</v>
      </c>
      <c r="AM393" s="16"/>
      <c r="AN393" s="16"/>
      <c r="AO393" s="16">
        <v>645</v>
      </c>
      <c r="AP393" s="16" t="s">
        <v>485</v>
      </c>
      <c r="AQ393" s="16" t="s">
        <v>3760</v>
      </c>
      <c r="AR393" s="3">
        <v>46268</v>
      </c>
      <c r="AS393" s="16" t="s">
        <v>159</v>
      </c>
      <c r="AT393" s="16" t="s">
        <v>1276</v>
      </c>
      <c r="AU393" s="16"/>
      <c r="AV393" s="16" t="s">
        <v>3743</v>
      </c>
      <c r="AW393" s="16"/>
      <c r="AX393" s="16"/>
      <c r="AY393" s="16"/>
      <c r="AZ393" s="16"/>
      <c r="BA393" s="16"/>
      <c r="BB393" s="16"/>
      <c r="BC393" s="16"/>
      <c r="BD393" s="16" t="s">
        <v>159</v>
      </c>
      <c r="BE393" s="16">
        <v>29</v>
      </c>
      <c r="BF393" s="16"/>
      <c r="BG393" s="16"/>
      <c r="BH393" s="16" t="s">
        <v>491</v>
      </c>
      <c r="BI393" s="16">
        <v>94628501</v>
      </c>
      <c r="BJ393" s="16"/>
      <c r="BK393" s="16"/>
      <c r="BL393" s="16"/>
      <c r="BM393" s="16"/>
      <c r="BN393" s="16"/>
      <c r="BO393" s="16"/>
      <c r="BP393" s="16"/>
      <c r="BQ393" s="16"/>
      <c r="BR393" s="16"/>
      <c r="BS393" s="16"/>
      <c r="BT393" s="16"/>
      <c r="BU393" s="16"/>
      <c r="BV393" s="16"/>
      <c r="BW393" s="16"/>
      <c r="BX393" s="16"/>
      <c r="BY393" s="16"/>
      <c r="BZ393" s="16"/>
      <c r="CA393" s="190">
        <v>46275</v>
      </c>
      <c r="CB393" s="3"/>
      <c r="CC393" s="16"/>
      <c r="CD393" s="16"/>
      <c r="CE393" s="16"/>
      <c r="CF393" s="16"/>
      <c r="CG393" s="16"/>
      <c r="CH393" s="16"/>
      <c r="CI393" s="16" t="s">
        <v>3761</v>
      </c>
    </row>
    <row r="394" spans="1:87">
      <c r="A394" s="16"/>
      <c r="B394" s="16"/>
      <c r="C394" s="3">
        <v>46276</v>
      </c>
      <c r="D394" s="16" t="s">
        <v>14</v>
      </c>
      <c r="E394" s="16" t="s">
        <v>3762</v>
      </c>
      <c r="F394" s="16">
        <v>2026224700183</v>
      </c>
      <c r="G394" s="16">
        <v>30</v>
      </c>
      <c r="H394" s="16">
        <v>29</v>
      </c>
      <c r="I394" s="16" t="s">
        <v>809</v>
      </c>
      <c r="J394" s="16" t="s">
        <v>3762</v>
      </c>
      <c r="K394" s="16" t="s">
        <v>691</v>
      </c>
      <c r="L394" s="16" t="s">
        <v>13</v>
      </c>
      <c r="M394" s="16">
        <v>7</v>
      </c>
      <c r="N394" s="16" t="s">
        <v>462</v>
      </c>
      <c r="O394" s="16" t="s">
        <v>606</v>
      </c>
      <c r="P394" s="16" t="s">
        <v>3763</v>
      </c>
      <c r="Q394" s="16" t="s">
        <v>465</v>
      </c>
      <c r="R394" s="16" t="s">
        <v>466</v>
      </c>
      <c r="S394" s="16" t="s">
        <v>3764</v>
      </c>
      <c r="T394" s="16">
        <v>377650</v>
      </c>
      <c r="U394" s="16">
        <v>46267.879861111112</v>
      </c>
      <c r="V394" s="16" t="s">
        <v>469</v>
      </c>
      <c r="W394" s="16" t="s">
        <v>1752</v>
      </c>
      <c r="X394" s="16" t="s">
        <v>471</v>
      </c>
      <c r="Y394" s="16" t="s">
        <v>628</v>
      </c>
      <c r="Z394" s="16" t="s">
        <v>665</v>
      </c>
      <c r="AA394" s="16" t="s">
        <v>474</v>
      </c>
      <c r="AB394" s="16" t="s">
        <v>3740</v>
      </c>
      <c r="AC394" s="16" t="s">
        <v>640</v>
      </c>
      <c r="AD394" s="16">
        <v>113613997</v>
      </c>
      <c r="AE394" s="16">
        <v>1386779296</v>
      </c>
      <c r="AF394" s="16">
        <v>1386779296</v>
      </c>
      <c r="AG394" s="16"/>
      <c r="AH394" s="16"/>
      <c r="AI394" s="16" t="s">
        <v>128</v>
      </c>
      <c r="AJ394" s="16" t="s">
        <v>481</v>
      </c>
      <c r="AK394" s="16" t="s">
        <v>3765</v>
      </c>
      <c r="AL394" s="16">
        <v>436</v>
      </c>
      <c r="AM394" s="16"/>
      <c r="AN394" s="16"/>
      <c r="AO394" s="16">
        <v>222</v>
      </c>
      <c r="AP394" s="16" t="s">
        <v>485</v>
      </c>
      <c r="AQ394" s="16" t="s">
        <v>3766</v>
      </c>
      <c r="AR394" s="3">
        <v>46268</v>
      </c>
      <c r="AS394" s="16" t="s">
        <v>128</v>
      </c>
      <c r="AT394" s="16" t="s">
        <v>695</v>
      </c>
      <c r="AU394" s="16"/>
      <c r="AV394" s="16" t="s">
        <v>3743</v>
      </c>
      <c r="AW394" s="16"/>
      <c r="AX394" s="16"/>
      <c r="AY394" s="16"/>
      <c r="AZ394" s="16"/>
      <c r="BA394" s="16"/>
      <c r="BB394" s="16"/>
      <c r="BC394" s="16"/>
      <c r="BD394" s="16" t="s">
        <v>128</v>
      </c>
      <c r="BE394" s="16">
        <v>29</v>
      </c>
      <c r="BF394" s="16"/>
      <c r="BG394" s="16"/>
      <c r="BH394" s="16" t="s">
        <v>491</v>
      </c>
      <c r="BI394" s="16">
        <v>102646329</v>
      </c>
      <c r="BJ394" s="16"/>
      <c r="BK394" s="16"/>
      <c r="BL394" s="16"/>
      <c r="BM394" s="16"/>
      <c r="BN394" s="16"/>
      <c r="BO394" s="16"/>
      <c r="BP394" s="16"/>
      <c r="BQ394" s="16"/>
      <c r="BR394" s="16"/>
      <c r="BS394" s="16"/>
      <c r="BT394" s="16"/>
      <c r="BU394" s="16"/>
      <c r="BV394" s="16"/>
      <c r="BW394" s="16"/>
      <c r="BX394" s="16"/>
      <c r="BY394" s="16"/>
      <c r="BZ394" s="16"/>
      <c r="CA394" s="190">
        <v>46275</v>
      </c>
      <c r="CB394" s="3"/>
      <c r="CC394" s="16"/>
      <c r="CD394" s="16"/>
      <c r="CE394" s="16"/>
      <c r="CF394" s="16"/>
      <c r="CG394" s="16"/>
      <c r="CH394" s="16"/>
      <c r="CI394" s="16" t="s">
        <v>3767</v>
      </c>
    </row>
    <row r="395" spans="1:87">
      <c r="A395" s="16"/>
      <c r="B395" s="16"/>
      <c r="C395" s="3">
        <v>46276</v>
      </c>
      <c r="D395" s="16" t="s">
        <v>14</v>
      </c>
      <c r="E395" s="16" t="s">
        <v>3768</v>
      </c>
      <c r="F395" s="16">
        <v>2026224250183</v>
      </c>
      <c r="G395" s="16">
        <v>30</v>
      </c>
      <c r="H395" s="16">
        <v>29</v>
      </c>
      <c r="I395" s="16" t="s">
        <v>809</v>
      </c>
      <c r="J395" s="16" t="s">
        <v>3768</v>
      </c>
      <c r="K395" s="16" t="s">
        <v>682</v>
      </c>
      <c r="L395" s="16" t="s">
        <v>18</v>
      </c>
      <c r="M395" s="16">
        <v>7</v>
      </c>
      <c r="N395" s="16" t="s">
        <v>462</v>
      </c>
      <c r="O395" s="16" t="s">
        <v>606</v>
      </c>
      <c r="P395" s="16" t="s">
        <v>3769</v>
      </c>
      <c r="Q395" s="16" t="s">
        <v>465</v>
      </c>
      <c r="R395" s="16" t="s">
        <v>466</v>
      </c>
      <c r="S395" s="16" t="s">
        <v>3770</v>
      </c>
      <c r="T395" s="16">
        <v>377650</v>
      </c>
      <c r="U395" s="16">
        <v>46268.074999999997</v>
      </c>
      <c r="V395" s="16" t="s">
        <v>469</v>
      </c>
      <c r="W395" s="16" t="s">
        <v>1752</v>
      </c>
      <c r="X395" s="16" t="s">
        <v>471</v>
      </c>
      <c r="Y395" s="16" t="s">
        <v>628</v>
      </c>
      <c r="Z395" s="16" t="s">
        <v>665</v>
      </c>
      <c r="AA395" s="16" t="s">
        <v>474</v>
      </c>
      <c r="AB395" s="16" t="s">
        <v>3771</v>
      </c>
      <c r="AC395" s="16" t="s">
        <v>640</v>
      </c>
      <c r="AD395" s="16">
        <v>113613997</v>
      </c>
      <c r="AE395" s="16">
        <v>1386779296</v>
      </c>
      <c r="AF395" s="16">
        <v>1386779296</v>
      </c>
      <c r="AG395" s="16"/>
      <c r="AH395" s="16"/>
      <c r="AI395" s="16" t="s">
        <v>19</v>
      </c>
      <c r="AJ395" s="16" t="s">
        <v>481</v>
      </c>
      <c r="AK395" s="16" t="s">
        <v>3772</v>
      </c>
      <c r="AL395" s="16">
        <v>571</v>
      </c>
      <c r="AM395" s="16"/>
      <c r="AN395" s="16"/>
      <c r="AO395" s="16">
        <v>591</v>
      </c>
      <c r="AP395" s="16" t="s">
        <v>485</v>
      </c>
      <c r="AQ395" s="16" t="s">
        <v>3773</v>
      </c>
      <c r="AR395" s="3">
        <v>46268</v>
      </c>
      <c r="AS395" s="16" t="s">
        <v>19</v>
      </c>
      <c r="AT395" s="16" t="s">
        <v>516</v>
      </c>
      <c r="AU395" s="16"/>
      <c r="AV395" s="16" t="s">
        <v>3743</v>
      </c>
      <c r="AW395" s="16"/>
      <c r="AX395" s="16"/>
      <c r="AY395" s="16"/>
      <c r="AZ395" s="16"/>
      <c r="BA395" s="16"/>
      <c r="BB395" s="16"/>
      <c r="BC395" s="16"/>
      <c r="BD395" s="16" t="s">
        <v>19</v>
      </c>
      <c r="BE395" s="16">
        <v>29</v>
      </c>
      <c r="BF395" s="16"/>
      <c r="BG395" s="16"/>
      <c r="BH395" s="16" t="s">
        <v>491</v>
      </c>
      <c r="BI395" s="16">
        <v>128569208</v>
      </c>
      <c r="BJ395" s="16"/>
      <c r="BK395" s="16"/>
      <c r="BL395" s="16"/>
      <c r="BM395" s="16"/>
      <c r="BN395" s="16"/>
      <c r="BO395" s="16"/>
      <c r="BP395" s="16"/>
      <c r="BQ395" s="16"/>
      <c r="BR395" s="16"/>
      <c r="BS395" s="16"/>
      <c r="BT395" s="16"/>
      <c r="BU395" s="16"/>
      <c r="BV395" s="16"/>
      <c r="BW395" s="16"/>
      <c r="BX395" s="16"/>
      <c r="BY395" s="16"/>
      <c r="BZ395" s="16"/>
      <c r="CA395" s="190">
        <v>46275</v>
      </c>
      <c r="CB395" s="3"/>
      <c r="CC395" s="16"/>
      <c r="CD395" s="16"/>
      <c r="CE395" s="16"/>
      <c r="CF395" s="16"/>
      <c r="CG395" s="16"/>
      <c r="CH395" s="16"/>
      <c r="CI395" s="16" t="s">
        <v>3774</v>
      </c>
    </row>
    <row r="396" spans="1:87" ht="43.5">
      <c r="A396" s="16" t="s">
        <v>4</v>
      </c>
      <c r="B396" s="25" t="s">
        <v>3775</v>
      </c>
      <c r="C396" s="3">
        <v>46276</v>
      </c>
      <c r="D396" s="16" t="s">
        <v>14</v>
      </c>
      <c r="E396" s="16" t="s">
        <v>3776</v>
      </c>
      <c r="F396" s="16">
        <v>2026224840189</v>
      </c>
      <c r="G396" s="16">
        <v>30</v>
      </c>
      <c r="H396" s="16">
        <v>29</v>
      </c>
      <c r="I396" s="16" t="s">
        <v>809</v>
      </c>
      <c r="J396" s="16" t="s">
        <v>3776</v>
      </c>
      <c r="K396" s="16" t="s">
        <v>1040</v>
      </c>
      <c r="L396" s="16" t="s">
        <v>17</v>
      </c>
      <c r="M396" s="16">
        <v>7</v>
      </c>
      <c r="N396" s="16" t="s">
        <v>462</v>
      </c>
      <c r="O396" s="16" t="s">
        <v>606</v>
      </c>
      <c r="P396" s="16" t="s">
        <v>3738</v>
      </c>
      <c r="Q396" s="16" t="s">
        <v>465</v>
      </c>
      <c r="R396" s="16" t="s">
        <v>466</v>
      </c>
      <c r="S396" s="16" t="s">
        <v>3777</v>
      </c>
      <c r="T396" s="16">
        <v>377650</v>
      </c>
      <c r="U396" s="16">
        <v>46267.90347222222</v>
      </c>
      <c r="V396" s="16" t="s">
        <v>469</v>
      </c>
      <c r="W396" s="16" t="s">
        <v>1752</v>
      </c>
      <c r="X396" s="16" t="s">
        <v>471</v>
      </c>
      <c r="Y396" s="16" t="s">
        <v>628</v>
      </c>
      <c r="Z396" s="16" t="s">
        <v>665</v>
      </c>
      <c r="AA396" s="16" t="s">
        <v>474</v>
      </c>
      <c r="AB396" s="16" t="s">
        <v>3740</v>
      </c>
      <c r="AC396" s="16" t="s">
        <v>640</v>
      </c>
      <c r="AD396" s="16">
        <v>113613997</v>
      </c>
      <c r="AE396" s="16">
        <v>1386779296</v>
      </c>
      <c r="AF396" s="16">
        <v>1386779296</v>
      </c>
      <c r="AG396" s="16"/>
      <c r="AH396" s="16"/>
      <c r="AI396" s="16" t="s">
        <v>173</v>
      </c>
      <c r="AJ396" s="16" t="s">
        <v>481</v>
      </c>
      <c r="AK396" s="16" t="s">
        <v>3778</v>
      </c>
      <c r="AL396" s="16">
        <v>436</v>
      </c>
      <c r="AM396" s="16"/>
      <c r="AN396" s="16"/>
      <c r="AO396" s="16">
        <v>605</v>
      </c>
      <c r="AP396" s="16" t="s">
        <v>485</v>
      </c>
      <c r="AQ396" s="16" t="s">
        <v>3779</v>
      </c>
      <c r="AR396" s="3">
        <v>46268</v>
      </c>
      <c r="AS396" s="16" t="s">
        <v>173</v>
      </c>
      <c r="AT396" s="16" t="s">
        <v>1047</v>
      </c>
      <c r="AU396" s="16"/>
      <c r="AV396" s="16" t="s">
        <v>3743</v>
      </c>
      <c r="AW396" s="16"/>
      <c r="AX396" s="16"/>
      <c r="AY396" s="16"/>
      <c r="AZ396" s="16"/>
      <c r="BA396" s="16"/>
      <c r="BB396" s="16"/>
      <c r="BC396" s="16"/>
      <c r="BD396" s="16" t="s">
        <v>173</v>
      </c>
      <c r="BE396" s="16">
        <v>29</v>
      </c>
      <c r="BF396" s="16"/>
      <c r="BG396" s="16"/>
      <c r="BH396" s="16" t="s">
        <v>491</v>
      </c>
      <c r="BI396" s="16">
        <v>121608858</v>
      </c>
      <c r="BJ396" s="16"/>
      <c r="BK396" s="16"/>
      <c r="BL396" s="16"/>
      <c r="BM396" s="16"/>
      <c r="BN396" s="16"/>
      <c r="BO396" s="16"/>
      <c r="BP396" s="16"/>
      <c r="BQ396" s="16"/>
      <c r="BR396" s="16"/>
      <c r="BS396" s="16"/>
      <c r="BT396" s="16"/>
      <c r="BU396" s="16"/>
      <c r="BV396" s="16"/>
      <c r="BW396" s="16"/>
      <c r="BX396" s="16"/>
      <c r="BY396" s="16"/>
      <c r="BZ396" s="16"/>
      <c r="CA396" s="190">
        <v>46285.666666666701</v>
      </c>
      <c r="CB396" s="3"/>
      <c r="CC396" s="16"/>
      <c r="CD396" s="16"/>
      <c r="CE396" s="16"/>
      <c r="CF396" s="16"/>
      <c r="CG396" s="16"/>
      <c r="CH396" s="16"/>
      <c r="CI396" s="16" t="s">
        <v>3780</v>
      </c>
    </row>
    <row r="397" spans="1:87">
      <c r="A397" s="16" t="s">
        <v>5</v>
      </c>
      <c r="B397" s="16" t="s">
        <v>1038</v>
      </c>
      <c r="C397" s="3">
        <v>46276</v>
      </c>
      <c r="D397" s="16" t="s">
        <v>14</v>
      </c>
      <c r="E397" s="16" t="s">
        <v>3781</v>
      </c>
      <c r="F397" s="16">
        <v>2026224080199</v>
      </c>
      <c r="G397" s="16">
        <v>30</v>
      </c>
      <c r="H397" s="16">
        <v>29</v>
      </c>
      <c r="I397" s="16" t="s">
        <v>809</v>
      </c>
      <c r="J397" s="16" t="s">
        <v>3781</v>
      </c>
      <c r="K397" s="16" t="s">
        <v>1040</v>
      </c>
      <c r="L397" s="16" t="s">
        <v>17</v>
      </c>
      <c r="M397" s="16">
        <v>7</v>
      </c>
      <c r="N397" s="16" t="s">
        <v>462</v>
      </c>
      <c r="O397" s="16" t="s">
        <v>606</v>
      </c>
      <c r="P397" s="16" t="s">
        <v>3782</v>
      </c>
      <c r="Q397" s="16" t="s">
        <v>465</v>
      </c>
      <c r="R397" s="16" t="s">
        <v>466</v>
      </c>
      <c r="S397" s="16" t="s">
        <v>3783</v>
      </c>
      <c r="T397" s="16">
        <v>377650</v>
      </c>
      <c r="U397" s="16">
        <v>46267.89166666667</v>
      </c>
      <c r="V397" s="16" t="s">
        <v>469</v>
      </c>
      <c r="W397" s="16" t="s">
        <v>1752</v>
      </c>
      <c r="X397" s="16" t="s">
        <v>471</v>
      </c>
      <c r="Y397" s="16" t="s">
        <v>628</v>
      </c>
      <c r="Z397" s="16" t="s">
        <v>665</v>
      </c>
      <c r="AA397" s="16" t="s">
        <v>474</v>
      </c>
      <c r="AB397" s="16" t="s">
        <v>3784</v>
      </c>
      <c r="AC397" s="16" t="s">
        <v>640</v>
      </c>
      <c r="AD397" s="16">
        <v>113613997</v>
      </c>
      <c r="AE397" s="16">
        <v>1386779296</v>
      </c>
      <c r="AF397" s="16">
        <v>1386779296</v>
      </c>
      <c r="AG397" s="16"/>
      <c r="AH397" s="16"/>
      <c r="AI397" s="16" t="s">
        <v>173</v>
      </c>
      <c r="AJ397" s="16" t="s">
        <v>481</v>
      </c>
      <c r="AK397" s="16" t="s">
        <v>3785</v>
      </c>
      <c r="AL397" s="16">
        <v>755</v>
      </c>
      <c r="AM397" s="16"/>
      <c r="AN397" s="16"/>
      <c r="AO397" s="16">
        <v>759</v>
      </c>
      <c r="AP397" s="16" t="s">
        <v>485</v>
      </c>
      <c r="AQ397" s="16" t="s">
        <v>3786</v>
      </c>
      <c r="AR397" s="3">
        <v>46268</v>
      </c>
      <c r="AS397" s="16" t="s">
        <v>173</v>
      </c>
      <c r="AT397" s="16" t="s">
        <v>1047</v>
      </c>
      <c r="AU397" s="16"/>
      <c r="AV397" s="16" t="s">
        <v>3743</v>
      </c>
      <c r="AW397" s="16"/>
      <c r="AX397" s="16"/>
      <c r="AY397" s="16"/>
      <c r="AZ397" s="16"/>
      <c r="BA397" s="16"/>
      <c r="BB397" s="16"/>
      <c r="BC397" s="16"/>
      <c r="BD397" s="16" t="s">
        <v>173</v>
      </c>
      <c r="BE397" s="16">
        <v>29</v>
      </c>
      <c r="BF397" s="16"/>
      <c r="BG397" s="16"/>
      <c r="BH397" s="16" t="s">
        <v>491</v>
      </c>
      <c r="BI397" s="16">
        <v>64609389</v>
      </c>
      <c r="BJ397" s="16"/>
      <c r="BK397" s="16"/>
      <c r="BL397" s="16"/>
      <c r="BM397" s="16"/>
      <c r="BN397" s="16"/>
      <c r="BO397" s="16"/>
      <c r="BP397" s="16"/>
      <c r="BQ397" s="16"/>
      <c r="BR397" s="16"/>
      <c r="BS397" s="16"/>
      <c r="BT397" s="16"/>
      <c r="BU397" s="16"/>
      <c r="BV397" s="16"/>
      <c r="BW397" s="16"/>
      <c r="BX397" s="16"/>
      <c r="BY397" s="16"/>
      <c r="BZ397" s="16"/>
      <c r="CA397" s="190">
        <v>46285.666666666701</v>
      </c>
      <c r="CB397" s="3"/>
      <c r="CC397" s="16"/>
      <c r="CD397" s="16"/>
      <c r="CE397" s="16"/>
      <c r="CF397" s="16"/>
      <c r="CG397" s="16"/>
      <c r="CH397" s="16"/>
      <c r="CI397" s="16" t="s">
        <v>3787</v>
      </c>
    </row>
    <row r="398" spans="1:87">
      <c r="A398" s="16"/>
      <c r="B398" s="16"/>
      <c r="C398" s="3">
        <v>46276</v>
      </c>
      <c r="D398" s="16" t="s">
        <v>14</v>
      </c>
      <c r="E398" s="16" t="s">
        <v>3788</v>
      </c>
      <c r="F398" s="16">
        <v>2026224530187</v>
      </c>
      <c r="G398" s="16">
        <v>30</v>
      </c>
      <c r="H398" s="16">
        <v>29</v>
      </c>
      <c r="I398" s="16" t="s">
        <v>809</v>
      </c>
      <c r="J398" s="16" t="s">
        <v>3788</v>
      </c>
      <c r="K398" s="16" t="s">
        <v>625</v>
      </c>
      <c r="L398" s="16" t="s">
        <v>17</v>
      </c>
      <c r="M398" s="16">
        <v>7</v>
      </c>
      <c r="N398" s="16" t="s">
        <v>462</v>
      </c>
      <c r="O398" s="16" t="s">
        <v>606</v>
      </c>
      <c r="P398" s="16" t="s">
        <v>3789</v>
      </c>
      <c r="Q398" s="16" t="s">
        <v>465</v>
      </c>
      <c r="R398" s="16" t="s">
        <v>466</v>
      </c>
      <c r="S398" s="16" t="s">
        <v>3790</v>
      </c>
      <c r="T398" s="16">
        <v>377650</v>
      </c>
      <c r="U398" s="16">
        <v>46267.940972222219</v>
      </c>
      <c r="V398" s="16" t="s">
        <v>469</v>
      </c>
      <c r="W398" s="16" t="s">
        <v>1752</v>
      </c>
      <c r="X398" s="16" t="s">
        <v>471</v>
      </c>
      <c r="Y398" s="16" t="s">
        <v>628</v>
      </c>
      <c r="Z398" s="16" t="s">
        <v>665</v>
      </c>
      <c r="AA398" s="16" t="s">
        <v>474</v>
      </c>
      <c r="AB398" s="16" t="s">
        <v>3791</v>
      </c>
      <c r="AC398" s="16" t="s">
        <v>640</v>
      </c>
      <c r="AD398" s="16">
        <v>113613997</v>
      </c>
      <c r="AE398" s="16">
        <v>1386779296</v>
      </c>
      <c r="AF398" s="16">
        <v>1386779296</v>
      </c>
      <c r="AG398" s="16"/>
      <c r="AH398" s="16"/>
      <c r="AI398" s="16" t="s">
        <v>70</v>
      </c>
      <c r="AJ398" s="16" t="s">
        <v>481</v>
      </c>
      <c r="AK398" s="16" t="s">
        <v>3792</v>
      </c>
      <c r="AL398" s="16">
        <v>571</v>
      </c>
      <c r="AM398" s="16"/>
      <c r="AN398" s="16"/>
      <c r="AO398" s="16">
        <v>665</v>
      </c>
      <c r="AP398" s="16" t="s">
        <v>485</v>
      </c>
      <c r="AQ398" s="16" t="s">
        <v>3793</v>
      </c>
      <c r="AR398" s="3">
        <v>46268</v>
      </c>
      <c r="AS398" s="16" t="s">
        <v>70</v>
      </c>
      <c r="AT398" s="16" t="s">
        <v>1142</v>
      </c>
      <c r="AU398" s="16"/>
      <c r="AV398" s="16" t="s">
        <v>3743</v>
      </c>
      <c r="AW398" s="16"/>
      <c r="AX398" s="16"/>
      <c r="AY398" s="16"/>
      <c r="AZ398" s="16"/>
      <c r="BA398" s="16"/>
      <c r="BB398" s="16"/>
      <c r="BC398" s="16"/>
      <c r="BD398" s="16" t="s">
        <v>70</v>
      </c>
      <c r="BE398" s="16">
        <v>29</v>
      </c>
      <c r="BF398" s="16"/>
      <c r="BG398" s="16"/>
      <c r="BH398" s="16" t="s">
        <v>491</v>
      </c>
      <c r="BI398" s="16">
        <v>532490470</v>
      </c>
      <c r="BJ398" s="16"/>
      <c r="BK398" s="16"/>
      <c r="BL398" s="16" t="s">
        <v>1151</v>
      </c>
      <c r="BM398" s="16"/>
      <c r="BN398" s="16"/>
      <c r="BO398" s="16"/>
      <c r="BP398" s="16"/>
      <c r="BQ398" s="16"/>
      <c r="BR398" s="16"/>
      <c r="BS398" s="16"/>
      <c r="BT398" s="16"/>
      <c r="BU398" s="16"/>
      <c r="BV398" s="16"/>
      <c r="BW398" s="16"/>
      <c r="BX398" s="16"/>
      <c r="BY398" s="16"/>
      <c r="BZ398" s="16"/>
      <c r="CA398" s="190">
        <v>46275</v>
      </c>
      <c r="CB398" s="3"/>
      <c r="CC398" s="16"/>
      <c r="CD398" s="16"/>
      <c r="CE398" s="16"/>
      <c r="CF398" s="16"/>
      <c r="CG398" s="16"/>
      <c r="CH398" s="16"/>
      <c r="CI398" s="16" t="s">
        <v>3794</v>
      </c>
    </row>
    <row r="399" spans="1:87">
      <c r="A399" s="16" t="s">
        <v>5</v>
      </c>
      <c r="B399" s="16" t="s">
        <v>3795</v>
      </c>
      <c r="C399" s="3">
        <v>46276</v>
      </c>
      <c r="D399" s="16" t="s">
        <v>14</v>
      </c>
      <c r="E399" s="16" t="s">
        <v>3796</v>
      </c>
      <c r="F399" s="16">
        <v>2026223430737</v>
      </c>
      <c r="G399" s="16">
        <v>30</v>
      </c>
      <c r="H399" s="16">
        <v>30</v>
      </c>
      <c r="I399" s="16" t="s">
        <v>809</v>
      </c>
      <c r="J399" s="16" t="s">
        <v>3796</v>
      </c>
      <c r="K399" s="16" t="s">
        <v>1371</v>
      </c>
      <c r="L399" s="16" t="s">
        <v>17</v>
      </c>
      <c r="M399" s="16">
        <v>8</v>
      </c>
      <c r="N399" s="16" t="s">
        <v>462</v>
      </c>
      <c r="O399" s="16" t="s">
        <v>606</v>
      </c>
      <c r="P399" s="16" t="s">
        <v>3797</v>
      </c>
      <c r="Q399" s="16" t="s">
        <v>465</v>
      </c>
      <c r="R399" s="16" t="s">
        <v>466</v>
      </c>
      <c r="S399" s="16" t="s">
        <v>3798</v>
      </c>
      <c r="T399" s="16">
        <v>300664</v>
      </c>
      <c r="U399" s="16">
        <v>46267.701388888891</v>
      </c>
      <c r="V399" s="16" t="s">
        <v>469</v>
      </c>
      <c r="W399" s="16" t="s">
        <v>470</v>
      </c>
      <c r="X399" s="16" t="s">
        <v>471</v>
      </c>
      <c r="Y399" s="16" t="s">
        <v>628</v>
      </c>
      <c r="Z399" s="16" t="s">
        <v>665</v>
      </c>
      <c r="AA399" s="16" t="s">
        <v>474</v>
      </c>
      <c r="AB399" s="16" t="s">
        <v>3799</v>
      </c>
      <c r="AC399" s="16" t="s">
        <v>640</v>
      </c>
      <c r="AD399" s="16">
        <v>131623978</v>
      </c>
      <c r="AE399" s="16">
        <v>1336404771</v>
      </c>
      <c r="AF399" s="16">
        <v>1336404771</v>
      </c>
      <c r="AG399" s="16"/>
      <c r="AH399" s="16"/>
      <c r="AI399" s="16" t="s">
        <v>164</v>
      </c>
      <c r="AJ399" s="16" t="s">
        <v>481</v>
      </c>
      <c r="AK399" s="16" t="s">
        <v>3800</v>
      </c>
      <c r="AL399" s="16">
        <v>76271</v>
      </c>
      <c r="AM399" s="16"/>
      <c r="AN399" s="16"/>
      <c r="AO399" s="16">
        <v>903</v>
      </c>
      <c r="AP399" s="16" t="s">
        <v>485</v>
      </c>
      <c r="AQ399" s="16" t="s">
        <v>3801</v>
      </c>
      <c r="AR399" s="3">
        <v>46267</v>
      </c>
      <c r="AS399" s="16" t="s">
        <v>164</v>
      </c>
      <c r="AT399" s="16" t="s">
        <v>516</v>
      </c>
      <c r="AU399" s="16"/>
      <c r="AV399" s="16" t="s">
        <v>3802</v>
      </c>
      <c r="AW399" s="16"/>
      <c r="AX399" s="16"/>
      <c r="AY399" s="16"/>
      <c r="AZ399" s="16"/>
      <c r="BA399" s="16"/>
      <c r="BB399" s="16"/>
      <c r="BC399" s="16"/>
      <c r="BD399" s="16" t="s">
        <v>164</v>
      </c>
      <c r="BE399" s="16">
        <v>30</v>
      </c>
      <c r="BF399" s="16"/>
      <c r="BG399" s="16"/>
      <c r="BH399" s="16" t="s">
        <v>491</v>
      </c>
      <c r="BI399" s="16">
        <v>70544437</v>
      </c>
      <c r="BJ399" s="16"/>
      <c r="BK399" s="16"/>
      <c r="BL399" s="16"/>
      <c r="BM399" s="16"/>
      <c r="BN399" s="16"/>
      <c r="BO399" s="16"/>
      <c r="BP399" s="16"/>
      <c r="BQ399" s="16"/>
      <c r="BR399" s="16"/>
      <c r="BS399" s="16"/>
      <c r="BT399" s="16"/>
      <c r="BU399" s="16"/>
      <c r="BV399" s="16"/>
      <c r="BW399" s="16"/>
      <c r="BX399" s="16"/>
      <c r="BY399" s="16"/>
      <c r="BZ399" s="16"/>
      <c r="CA399" s="190">
        <v>46280.666666666701</v>
      </c>
      <c r="CB399" s="3"/>
      <c r="CC399" s="16"/>
      <c r="CD399" s="16"/>
      <c r="CE399" s="16"/>
      <c r="CF399" s="16"/>
      <c r="CG399" s="16"/>
      <c r="CH399" s="16"/>
      <c r="CI399" s="16" t="s">
        <v>3803</v>
      </c>
    </row>
    <row r="400" spans="1:87">
      <c r="A400" s="16" t="s">
        <v>5</v>
      </c>
      <c r="B400" s="16" t="s">
        <v>1107</v>
      </c>
      <c r="C400" s="3">
        <v>46276</v>
      </c>
      <c r="D400" s="16" t="s">
        <v>14</v>
      </c>
      <c r="E400" s="16" t="s">
        <v>3804</v>
      </c>
      <c r="F400" s="16">
        <v>2026224120066</v>
      </c>
      <c r="G400" s="16">
        <v>30</v>
      </c>
      <c r="H400" s="16">
        <v>29</v>
      </c>
      <c r="I400" s="16" t="s">
        <v>809</v>
      </c>
      <c r="J400" s="16" t="s">
        <v>3804</v>
      </c>
      <c r="K400" s="16" t="s">
        <v>1109</v>
      </c>
      <c r="L400" s="16" t="s">
        <v>17</v>
      </c>
      <c r="M400" s="16">
        <v>7</v>
      </c>
      <c r="N400" s="16" t="s">
        <v>462</v>
      </c>
      <c r="O400" s="16" t="s">
        <v>606</v>
      </c>
      <c r="P400" s="16" t="s">
        <v>3805</v>
      </c>
      <c r="Q400" s="16" t="s">
        <v>465</v>
      </c>
      <c r="R400" s="16" t="s">
        <v>466</v>
      </c>
      <c r="S400" s="16" t="s">
        <v>3806</v>
      </c>
      <c r="T400" s="16">
        <v>270233</v>
      </c>
      <c r="U400" s="16">
        <v>46267.781944444447</v>
      </c>
      <c r="V400" s="16" t="s">
        <v>469</v>
      </c>
      <c r="W400" s="16" t="s">
        <v>568</v>
      </c>
      <c r="X400" s="16" t="s">
        <v>471</v>
      </c>
      <c r="Y400" s="16" t="s">
        <v>1724</v>
      </c>
      <c r="Z400" s="16" t="s">
        <v>638</v>
      </c>
      <c r="AA400" s="16" t="s">
        <v>474</v>
      </c>
      <c r="AB400" s="16" t="s">
        <v>3807</v>
      </c>
      <c r="AC400" s="16" t="s">
        <v>733</v>
      </c>
      <c r="AD400" s="16">
        <v>430653611</v>
      </c>
      <c r="AE400" s="16">
        <v>1679516033</v>
      </c>
      <c r="AF400" s="16">
        <v>1437273554</v>
      </c>
      <c r="AG400" s="16"/>
      <c r="AH400" s="16"/>
      <c r="AI400" s="16" t="s">
        <v>25</v>
      </c>
      <c r="AJ400" s="16" t="s">
        <v>481</v>
      </c>
      <c r="AK400" s="16" t="s">
        <v>3808</v>
      </c>
      <c r="AL400" s="16">
        <v>485</v>
      </c>
      <c r="AM400" s="16"/>
      <c r="AN400" s="16"/>
      <c r="AO400" s="16">
        <v>946</v>
      </c>
      <c r="AP400" s="16" t="s">
        <v>485</v>
      </c>
      <c r="AQ400" s="16" t="s">
        <v>3809</v>
      </c>
      <c r="AR400" s="3">
        <v>46268</v>
      </c>
      <c r="AS400" s="16" t="s">
        <v>25</v>
      </c>
      <c r="AT400" s="16" t="s">
        <v>516</v>
      </c>
      <c r="AU400" s="16"/>
      <c r="AV400" s="16" t="s">
        <v>3810</v>
      </c>
      <c r="AW400" s="16"/>
      <c r="AX400" s="16"/>
      <c r="AY400" s="16"/>
      <c r="AZ400" s="16"/>
      <c r="BA400" s="16"/>
      <c r="BB400" s="16"/>
      <c r="BC400" s="16"/>
      <c r="BD400" s="16" t="s">
        <v>25</v>
      </c>
      <c r="BE400" s="16">
        <v>29</v>
      </c>
      <c r="BF400" s="16"/>
      <c r="BG400" s="16"/>
      <c r="BH400" s="16" t="s">
        <v>491</v>
      </c>
      <c r="BI400" s="16">
        <v>601887151</v>
      </c>
      <c r="BJ400" s="16"/>
      <c r="BK400" s="16"/>
      <c r="BL400" s="16"/>
      <c r="BM400" s="16"/>
      <c r="BN400" s="16"/>
      <c r="BO400" s="16"/>
      <c r="BP400" s="16"/>
      <c r="BQ400" s="16"/>
      <c r="BR400" s="16"/>
      <c r="BS400" s="16"/>
      <c r="BT400" s="16"/>
      <c r="BU400" s="16"/>
      <c r="BV400" s="16"/>
      <c r="BW400" s="16"/>
      <c r="BX400" s="16"/>
      <c r="BY400" s="16"/>
      <c r="BZ400" s="16"/>
      <c r="CA400" s="190">
        <v>46281.666666666701</v>
      </c>
      <c r="CB400" s="3"/>
      <c r="CC400" s="16"/>
      <c r="CD400" s="16"/>
      <c r="CE400" s="16"/>
      <c r="CF400" s="16"/>
      <c r="CG400" s="16"/>
      <c r="CH400" s="16"/>
      <c r="CI400" s="16" t="s">
        <v>3811</v>
      </c>
    </row>
    <row r="401" spans="1:87" ht="29.25">
      <c r="A401" s="16" t="s">
        <v>5</v>
      </c>
      <c r="B401" s="25" t="s">
        <v>3812</v>
      </c>
      <c r="C401" s="3">
        <v>46276</v>
      </c>
      <c r="D401" s="16" t="s">
        <v>14</v>
      </c>
      <c r="E401" s="16" t="s">
        <v>3813</v>
      </c>
      <c r="F401" s="16" t="s">
        <v>3814</v>
      </c>
      <c r="G401" s="16">
        <v>30</v>
      </c>
      <c r="H401" s="16">
        <v>29</v>
      </c>
      <c r="I401" s="16" t="s">
        <v>809</v>
      </c>
      <c r="J401" s="16" t="s">
        <v>3813</v>
      </c>
      <c r="K401" s="16" t="s">
        <v>461</v>
      </c>
      <c r="L401" s="16" t="s">
        <v>17</v>
      </c>
      <c r="M401" s="16">
        <v>7</v>
      </c>
      <c r="N401" s="16" t="s">
        <v>462</v>
      </c>
      <c r="O401" s="16" t="s">
        <v>3815</v>
      </c>
      <c r="P401" s="16" t="s">
        <v>3816</v>
      </c>
      <c r="Q401" s="16" t="s">
        <v>1055</v>
      </c>
      <c r="R401" s="16" t="s">
        <v>1056</v>
      </c>
      <c r="S401" s="16" t="s">
        <v>3817</v>
      </c>
      <c r="T401" s="16">
        <v>270183</v>
      </c>
      <c r="U401" s="16">
        <v>46267.988888888889</v>
      </c>
      <c r="V401" s="16" t="s">
        <v>469</v>
      </c>
      <c r="W401" s="16" t="s">
        <v>568</v>
      </c>
      <c r="X401" s="16" t="s">
        <v>471</v>
      </c>
      <c r="Y401" s="16" t="s">
        <v>3818</v>
      </c>
      <c r="Z401" s="16" t="s">
        <v>638</v>
      </c>
      <c r="AA401" s="16" t="s">
        <v>1059</v>
      </c>
      <c r="AB401" s="16" t="s">
        <v>3819</v>
      </c>
      <c r="AC401" s="16" t="s">
        <v>640</v>
      </c>
      <c r="AD401" s="16">
        <v>135562308</v>
      </c>
      <c r="AE401" s="16">
        <v>1285826438</v>
      </c>
      <c r="AF401" s="16">
        <v>1417344227</v>
      </c>
      <c r="AG401" s="16"/>
      <c r="AH401" s="16"/>
      <c r="AI401" s="16" t="s">
        <v>67</v>
      </c>
      <c r="AJ401" s="16" t="s">
        <v>481</v>
      </c>
      <c r="AK401" s="16" t="s">
        <v>3820</v>
      </c>
      <c r="AL401" s="16">
        <v>9639</v>
      </c>
      <c r="AM401" s="16"/>
      <c r="AN401" s="16"/>
      <c r="AO401" s="16" t="s">
        <v>3821</v>
      </c>
      <c r="AP401" s="16" t="s">
        <v>1063</v>
      </c>
      <c r="AQ401" s="16" t="s">
        <v>3822</v>
      </c>
      <c r="AR401" s="3">
        <v>46268</v>
      </c>
      <c r="AS401" s="16" t="s">
        <v>67</v>
      </c>
      <c r="AT401" s="16" t="s">
        <v>3823</v>
      </c>
      <c r="AU401" s="16"/>
      <c r="AV401" s="16" t="s">
        <v>3824</v>
      </c>
      <c r="AW401" s="16"/>
      <c r="AX401" s="16"/>
      <c r="AY401" s="16"/>
      <c r="AZ401" s="16"/>
      <c r="BA401" s="16"/>
      <c r="BB401" s="16" t="s">
        <v>3825</v>
      </c>
      <c r="BC401" s="16"/>
      <c r="BD401" s="16" t="s">
        <v>67</v>
      </c>
      <c r="BE401" s="16">
        <v>29</v>
      </c>
      <c r="BF401" s="16"/>
      <c r="BG401" s="16" t="s">
        <v>1067</v>
      </c>
      <c r="BH401" s="16" t="s">
        <v>491</v>
      </c>
      <c r="BI401" s="16">
        <v>127586127</v>
      </c>
      <c r="BJ401" s="16"/>
      <c r="BK401" s="16"/>
      <c r="BL401" s="16"/>
      <c r="BM401" s="16"/>
      <c r="BN401" s="16"/>
      <c r="BO401" s="16"/>
      <c r="BP401" s="16"/>
      <c r="BQ401" s="16"/>
      <c r="BR401" s="16"/>
      <c r="BS401" s="16"/>
      <c r="BT401" s="16"/>
      <c r="BU401" s="16"/>
      <c r="BV401" s="16"/>
      <c r="BW401" s="16"/>
      <c r="BX401" s="16"/>
      <c r="BY401" s="16"/>
      <c r="BZ401" s="16"/>
      <c r="CA401" s="190">
        <v>46275.166666666701</v>
      </c>
      <c r="CB401" s="3"/>
      <c r="CC401" s="16"/>
      <c r="CD401" s="16"/>
      <c r="CE401" s="16"/>
      <c r="CF401" s="16"/>
      <c r="CG401" s="16"/>
      <c r="CH401" s="16"/>
      <c r="CI401" s="16" t="s">
        <v>3826</v>
      </c>
    </row>
    <row r="402" spans="1:87">
      <c r="A402" s="16" t="s">
        <v>5</v>
      </c>
      <c r="B402" s="16" t="s">
        <v>516</v>
      </c>
      <c r="C402" s="3">
        <v>46276</v>
      </c>
      <c r="D402" s="16" t="s">
        <v>14</v>
      </c>
      <c r="E402" s="16" t="s">
        <v>3827</v>
      </c>
      <c r="F402" s="16">
        <v>2026223730064</v>
      </c>
      <c r="G402" s="16">
        <v>30</v>
      </c>
      <c r="H402" s="16">
        <v>30</v>
      </c>
      <c r="I402" s="16" t="s">
        <v>809</v>
      </c>
      <c r="J402" s="16" t="s">
        <v>3827</v>
      </c>
      <c r="K402" s="16" t="s">
        <v>1436</v>
      </c>
      <c r="L402" s="16" t="s">
        <v>18</v>
      </c>
      <c r="M402" s="16">
        <v>8</v>
      </c>
      <c r="N402" s="16" t="s">
        <v>462</v>
      </c>
      <c r="O402" s="16" t="s">
        <v>606</v>
      </c>
      <c r="P402" s="16" t="s">
        <v>3828</v>
      </c>
      <c r="Q402" s="16" t="s">
        <v>465</v>
      </c>
      <c r="R402" s="16" t="s">
        <v>466</v>
      </c>
      <c r="S402" s="16" t="s">
        <v>3829</v>
      </c>
      <c r="T402" s="16">
        <v>230028</v>
      </c>
      <c r="U402" s="16">
        <v>46266.754861111112</v>
      </c>
      <c r="V402" s="16" t="s">
        <v>469</v>
      </c>
      <c r="W402" s="16" t="s">
        <v>568</v>
      </c>
      <c r="X402" s="16" t="s">
        <v>471</v>
      </c>
      <c r="Y402" s="16" t="s">
        <v>2882</v>
      </c>
      <c r="Z402" s="16" t="s">
        <v>731</v>
      </c>
      <c r="AA402" s="16" t="s">
        <v>474</v>
      </c>
      <c r="AB402" s="16" t="s">
        <v>3830</v>
      </c>
      <c r="AC402" s="16" t="s">
        <v>733</v>
      </c>
      <c r="AD402" s="16">
        <v>440577118</v>
      </c>
      <c r="AE402" s="16">
        <v>1407500994</v>
      </c>
      <c r="AF402" s="16">
        <v>1396784377</v>
      </c>
      <c r="AG402" s="16"/>
      <c r="AH402" s="16"/>
      <c r="AI402" s="16" t="s">
        <v>238</v>
      </c>
      <c r="AJ402" s="16" t="s">
        <v>481</v>
      </c>
      <c r="AK402" s="16" t="s">
        <v>3831</v>
      </c>
      <c r="AL402" s="16">
        <v>4858.96</v>
      </c>
      <c r="AM402" s="16"/>
      <c r="AN402" s="16"/>
      <c r="AO402" s="16" t="s">
        <v>3832</v>
      </c>
      <c r="AP402" s="16" t="s">
        <v>485</v>
      </c>
      <c r="AQ402" s="16" t="s">
        <v>3833</v>
      </c>
      <c r="AR402" s="3">
        <v>46267</v>
      </c>
      <c r="AS402" s="16" t="s">
        <v>238</v>
      </c>
      <c r="AT402" s="16" t="s">
        <v>516</v>
      </c>
      <c r="AU402" s="16"/>
      <c r="AV402" s="16" t="s">
        <v>3834</v>
      </c>
      <c r="AW402" s="16"/>
      <c r="AX402" s="16"/>
      <c r="AY402" s="16"/>
      <c r="AZ402" s="16"/>
      <c r="BA402" s="16"/>
      <c r="BB402" s="16"/>
      <c r="BC402" s="16"/>
      <c r="BD402" s="16" t="s">
        <v>238</v>
      </c>
      <c r="BE402" s="16">
        <v>30</v>
      </c>
      <c r="BF402" s="16"/>
      <c r="BG402" s="16" t="s">
        <v>490</v>
      </c>
      <c r="BH402" s="16" t="s">
        <v>491</v>
      </c>
      <c r="BI402" s="16">
        <v>494802073</v>
      </c>
      <c r="BJ402" s="16"/>
      <c r="BK402" s="16"/>
      <c r="BL402" s="16"/>
      <c r="BM402" s="16"/>
      <c r="BN402" s="16"/>
      <c r="BO402" s="16"/>
      <c r="BP402" s="16"/>
      <c r="BQ402" s="16"/>
      <c r="BR402" s="16"/>
      <c r="BS402" s="16"/>
      <c r="BT402" s="16"/>
      <c r="BU402" s="16"/>
      <c r="BV402" s="16"/>
      <c r="BW402" s="16"/>
      <c r="BX402" s="16"/>
      <c r="BY402" s="16"/>
      <c r="BZ402" s="16"/>
      <c r="CA402" s="190">
        <v>46280.666666666701</v>
      </c>
      <c r="CB402" s="3"/>
      <c r="CC402" s="16"/>
      <c r="CD402" s="16"/>
      <c r="CE402" s="16"/>
      <c r="CF402" s="16"/>
      <c r="CG402" s="16"/>
      <c r="CH402" s="16"/>
      <c r="CI402" s="16" t="s">
        <v>3835</v>
      </c>
    </row>
    <row r="403" spans="1:87">
      <c r="A403" s="16"/>
      <c r="B403" s="16"/>
      <c r="C403" s="3">
        <v>46276</v>
      </c>
      <c r="D403" s="16" t="s">
        <v>14</v>
      </c>
      <c r="E403" s="16" t="s">
        <v>3836</v>
      </c>
      <c r="F403" s="16">
        <v>2026223720546</v>
      </c>
      <c r="G403" s="16">
        <v>30</v>
      </c>
      <c r="H403" s="16">
        <v>30</v>
      </c>
      <c r="I403" s="16" t="s">
        <v>809</v>
      </c>
      <c r="J403" s="16" t="s">
        <v>3836</v>
      </c>
      <c r="K403" s="16" t="s">
        <v>839</v>
      </c>
      <c r="L403" s="16" t="s">
        <v>18</v>
      </c>
      <c r="M403" s="16">
        <v>7</v>
      </c>
      <c r="N403" s="16" t="s">
        <v>462</v>
      </c>
      <c r="O403" s="16" t="s">
        <v>606</v>
      </c>
      <c r="P403" s="16" t="s">
        <v>3837</v>
      </c>
      <c r="Q403" s="16" t="s">
        <v>465</v>
      </c>
      <c r="R403" s="16" t="s">
        <v>466</v>
      </c>
      <c r="S403" s="16" t="s">
        <v>3838</v>
      </c>
      <c r="T403" s="16">
        <v>210022</v>
      </c>
      <c r="U403" s="16">
        <v>46267.929166666669</v>
      </c>
      <c r="V403" s="16" t="s">
        <v>469</v>
      </c>
      <c r="W403" s="16" t="s">
        <v>568</v>
      </c>
      <c r="X403" s="16" t="s">
        <v>471</v>
      </c>
      <c r="Y403" s="16" t="s">
        <v>1724</v>
      </c>
      <c r="Z403" s="16" t="s">
        <v>473</v>
      </c>
      <c r="AA403" s="16" t="s">
        <v>474</v>
      </c>
      <c r="AB403" s="16" t="s">
        <v>3839</v>
      </c>
      <c r="AC403" s="16" t="s">
        <v>476</v>
      </c>
      <c r="AD403" s="16">
        <v>390816848</v>
      </c>
      <c r="AE403" s="16">
        <v>1093768962</v>
      </c>
      <c r="AF403" s="16"/>
      <c r="AG403" s="16"/>
      <c r="AH403" s="16"/>
      <c r="AI403" s="16" t="s">
        <v>159</v>
      </c>
      <c r="AJ403" s="16" t="s">
        <v>481</v>
      </c>
      <c r="AK403" s="16" t="s">
        <v>3840</v>
      </c>
      <c r="AL403" s="16">
        <v>41416.68</v>
      </c>
      <c r="AM403" s="16"/>
      <c r="AN403" s="16"/>
      <c r="AO403" s="16">
        <v>986</v>
      </c>
      <c r="AP403" s="16" t="s">
        <v>485</v>
      </c>
      <c r="AQ403" s="16" t="s">
        <v>3841</v>
      </c>
      <c r="AR403" s="3">
        <v>46268</v>
      </c>
      <c r="AS403" s="16" t="s">
        <v>159</v>
      </c>
      <c r="AT403" s="16" t="s">
        <v>3842</v>
      </c>
      <c r="AU403" s="16"/>
      <c r="AV403" s="16" t="s">
        <v>3843</v>
      </c>
      <c r="AW403" s="16"/>
      <c r="AX403" s="16"/>
      <c r="AY403" s="16"/>
      <c r="AZ403" s="16"/>
      <c r="BA403" s="16"/>
      <c r="BB403" s="16"/>
      <c r="BC403" s="16"/>
      <c r="BD403" s="16" t="s">
        <v>159</v>
      </c>
      <c r="BE403" s="16">
        <v>30</v>
      </c>
      <c r="BF403" s="16"/>
      <c r="BG403" s="16"/>
      <c r="BH403" s="16" t="s">
        <v>491</v>
      </c>
      <c r="BI403" s="16">
        <v>807825212</v>
      </c>
      <c r="BJ403" s="16"/>
      <c r="BK403" s="16"/>
      <c r="BL403" s="16"/>
      <c r="BM403" s="16"/>
      <c r="BN403" s="16"/>
      <c r="BO403" s="16"/>
      <c r="BP403" s="16"/>
      <c r="BQ403" s="16"/>
      <c r="BR403" s="16"/>
      <c r="BS403" s="16"/>
      <c r="BT403" s="16"/>
      <c r="BU403" s="16"/>
      <c r="BV403" s="16"/>
      <c r="BW403" s="16"/>
      <c r="BX403" s="16"/>
      <c r="BY403" s="16"/>
      <c r="BZ403" s="16"/>
      <c r="CA403" s="190">
        <v>46275</v>
      </c>
      <c r="CB403" s="3"/>
      <c r="CC403" s="16"/>
      <c r="CD403" s="16"/>
      <c r="CE403" s="16"/>
      <c r="CF403" s="16"/>
      <c r="CG403" s="16"/>
      <c r="CH403" s="16"/>
      <c r="CI403" s="16" t="s">
        <v>3844</v>
      </c>
    </row>
    <row r="404" spans="1:87">
      <c r="A404" s="16"/>
      <c r="B404" s="16"/>
      <c r="C404" s="3">
        <v>46276</v>
      </c>
      <c r="D404" s="16" t="s">
        <v>14</v>
      </c>
      <c r="E404" s="16" t="s">
        <v>3845</v>
      </c>
      <c r="F404" s="16">
        <v>2026224210170</v>
      </c>
      <c r="G404" s="16">
        <v>30</v>
      </c>
      <c r="H404" s="16">
        <v>29</v>
      </c>
      <c r="I404" s="16" t="s">
        <v>809</v>
      </c>
      <c r="J404" s="16" t="s">
        <v>3845</v>
      </c>
      <c r="K404" s="16" t="s">
        <v>691</v>
      </c>
      <c r="L404" s="16" t="s">
        <v>13</v>
      </c>
      <c r="M404" s="16">
        <v>7</v>
      </c>
      <c r="N404" s="16" t="s">
        <v>462</v>
      </c>
      <c r="O404" s="16" t="s">
        <v>562</v>
      </c>
      <c r="P404" s="16" t="s">
        <v>3846</v>
      </c>
      <c r="Q404" s="16" t="s">
        <v>564</v>
      </c>
      <c r="R404" s="16" t="s">
        <v>466</v>
      </c>
      <c r="S404" s="16" t="s">
        <v>3847</v>
      </c>
      <c r="T404" s="16">
        <v>175075</v>
      </c>
      <c r="U404" s="16">
        <v>46267.854861111111</v>
      </c>
      <c r="V404" s="16" t="s">
        <v>469</v>
      </c>
      <c r="W404" s="16" t="s">
        <v>568</v>
      </c>
      <c r="X404" s="16" t="s">
        <v>471</v>
      </c>
      <c r="Y404" s="16" t="s">
        <v>3848</v>
      </c>
      <c r="Z404" s="16" t="s">
        <v>906</v>
      </c>
      <c r="AA404" s="16" t="s">
        <v>474</v>
      </c>
      <c r="AB404" s="16" t="s">
        <v>3849</v>
      </c>
      <c r="AC404" s="16" t="s">
        <v>572</v>
      </c>
      <c r="AD404" s="16">
        <v>770465765</v>
      </c>
      <c r="AE404" s="16">
        <v>1871543215</v>
      </c>
      <c r="AF404" s="16"/>
      <c r="AG404" s="16"/>
      <c r="AH404" s="16" t="s">
        <v>1076</v>
      </c>
      <c r="AI404" s="16" t="s">
        <v>128</v>
      </c>
      <c r="AJ404" s="16" t="s">
        <v>481</v>
      </c>
      <c r="AK404" s="16" t="s">
        <v>3850</v>
      </c>
      <c r="AL404" s="16">
        <v>168224.34</v>
      </c>
      <c r="AM404" s="16"/>
      <c r="AN404" s="16"/>
      <c r="AO404" s="16">
        <v>388</v>
      </c>
      <c r="AP404" s="16" t="s">
        <v>485</v>
      </c>
      <c r="AQ404" s="16" t="s">
        <v>3851</v>
      </c>
      <c r="AR404" s="3">
        <v>46268</v>
      </c>
      <c r="AS404" s="16" t="s">
        <v>225</v>
      </c>
      <c r="AT404" s="16" t="s">
        <v>3852</v>
      </c>
      <c r="AU404" s="16"/>
      <c r="AV404" s="16" t="s">
        <v>3853</v>
      </c>
      <c r="AW404" s="16"/>
      <c r="AX404" s="16"/>
      <c r="AY404" s="16"/>
      <c r="AZ404" s="16"/>
      <c r="BA404" s="16"/>
      <c r="BB404" s="16"/>
      <c r="BC404" s="16"/>
      <c r="BD404" s="16" t="s">
        <v>128</v>
      </c>
      <c r="BE404" s="16">
        <v>29</v>
      </c>
      <c r="BF404" s="16"/>
      <c r="BG404" s="16" t="s">
        <v>490</v>
      </c>
      <c r="BH404" s="16" t="s">
        <v>491</v>
      </c>
      <c r="BI404" s="16">
        <v>619066536</v>
      </c>
      <c r="BJ404" s="16"/>
      <c r="BK404" s="16"/>
      <c r="BL404" s="16"/>
      <c r="BM404" s="16"/>
      <c r="BN404" s="16"/>
      <c r="BO404" s="16"/>
      <c r="BP404" s="16"/>
      <c r="BQ404" s="16"/>
      <c r="BR404" s="16"/>
      <c r="BS404" s="16"/>
      <c r="BT404" s="16"/>
      <c r="BU404" s="16"/>
      <c r="BV404" s="16"/>
      <c r="BW404" s="16"/>
      <c r="BX404" s="16"/>
      <c r="BY404" s="16"/>
      <c r="BZ404" s="16"/>
      <c r="CA404" s="190">
        <v>46275</v>
      </c>
      <c r="CB404" s="3"/>
      <c r="CC404" s="16"/>
      <c r="CD404" s="16"/>
      <c r="CE404" s="16"/>
      <c r="CF404" s="16"/>
      <c r="CG404" s="16"/>
      <c r="CH404" s="16"/>
      <c r="CI404" s="16" t="s">
        <v>3854</v>
      </c>
    </row>
    <row r="405" spans="1:87">
      <c r="A405" s="16" t="s">
        <v>5</v>
      </c>
      <c r="B405" s="16" t="s">
        <v>3855</v>
      </c>
      <c r="C405" s="3">
        <v>46276</v>
      </c>
      <c r="D405" s="16" t="s">
        <v>14</v>
      </c>
      <c r="E405" s="16" t="s">
        <v>3856</v>
      </c>
      <c r="F405" s="16" t="s">
        <v>3857</v>
      </c>
      <c r="G405" s="16">
        <v>30</v>
      </c>
      <c r="H405" s="16">
        <v>30</v>
      </c>
      <c r="I405" s="16" t="s">
        <v>809</v>
      </c>
      <c r="J405" s="16" t="s">
        <v>3856</v>
      </c>
      <c r="K405" s="16" t="s">
        <v>1874</v>
      </c>
      <c r="L405" s="16" t="s">
        <v>17</v>
      </c>
      <c r="M405" s="16">
        <v>7</v>
      </c>
      <c r="N405" s="16" t="s">
        <v>462</v>
      </c>
      <c r="O405" s="16" t="s">
        <v>606</v>
      </c>
      <c r="P405" s="16" t="s">
        <v>3858</v>
      </c>
      <c r="Q405" s="16" t="s">
        <v>1055</v>
      </c>
      <c r="R405" s="16" t="s">
        <v>1056</v>
      </c>
      <c r="S405" s="16" t="s">
        <v>3859</v>
      </c>
      <c r="T405" s="16">
        <v>174577</v>
      </c>
      <c r="U405" s="16">
        <v>46267.82708333333</v>
      </c>
      <c r="V405" s="16" t="s">
        <v>469</v>
      </c>
      <c r="W405" s="16" t="s">
        <v>568</v>
      </c>
      <c r="X405" s="16" t="s">
        <v>471</v>
      </c>
      <c r="Y405" s="16" t="s">
        <v>1985</v>
      </c>
      <c r="Z405" s="16" t="s">
        <v>544</v>
      </c>
      <c r="AA405" s="16" t="s">
        <v>1059</v>
      </c>
      <c r="AB405" s="16" t="s">
        <v>3860</v>
      </c>
      <c r="AC405" s="16" t="s">
        <v>640</v>
      </c>
      <c r="AD405" s="16">
        <v>111631788</v>
      </c>
      <c r="AE405" s="16">
        <v>1245370717</v>
      </c>
      <c r="AF405" s="16"/>
      <c r="AG405" s="16"/>
      <c r="AH405" s="16" t="s">
        <v>1076</v>
      </c>
      <c r="AI405" s="16" t="s">
        <v>93</v>
      </c>
      <c r="AJ405" s="16" t="s">
        <v>481</v>
      </c>
      <c r="AK405" s="16" t="s">
        <v>3861</v>
      </c>
      <c r="AL405" s="16">
        <v>99545.9</v>
      </c>
      <c r="AM405" s="16"/>
      <c r="AN405" s="16"/>
      <c r="AO405" s="16" t="s">
        <v>3862</v>
      </c>
      <c r="AP405" s="16" t="s">
        <v>1063</v>
      </c>
      <c r="AQ405" s="16" t="s">
        <v>3863</v>
      </c>
      <c r="AR405" s="3">
        <v>46268</v>
      </c>
      <c r="AS405" s="16" t="s">
        <v>93</v>
      </c>
      <c r="AT405" s="16" t="s">
        <v>516</v>
      </c>
      <c r="AU405" s="16"/>
      <c r="AV405" s="16" t="s">
        <v>3864</v>
      </c>
      <c r="AW405" s="16"/>
      <c r="AX405" s="16"/>
      <c r="AY405" s="16"/>
      <c r="AZ405" s="16"/>
      <c r="BA405" s="16"/>
      <c r="BB405" s="16" t="s">
        <v>3865</v>
      </c>
      <c r="BC405" s="16"/>
      <c r="BD405" s="16" t="s">
        <v>93</v>
      </c>
      <c r="BE405" s="16">
        <v>28</v>
      </c>
      <c r="BF405" s="16"/>
      <c r="BG405" s="16" t="s">
        <v>2585</v>
      </c>
      <c r="BH405" s="16" t="s">
        <v>491</v>
      </c>
      <c r="BI405" s="16">
        <v>123643867</v>
      </c>
      <c r="BJ405" s="16"/>
      <c r="BK405" s="16"/>
      <c r="BL405" s="16"/>
      <c r="BM405" s="16"/>
      <c r="BN405" s="16"/>
      <c r="BO405" s="16"/>
      <c r="BP405" s="16"/>
      <c r="BQ405" s="16"/>
      <c r="BR405" s="16"/>
      <c r="BS405" s="16"/>
      <c r="BT405" s="16"/>
      <c r="BU405" s="16"/>
      <c r="BV405" s="16"/>
      <c r="BW405" s="16"/>
      <c r="BX405" s="16"/>
      <c r="BY405" s="16"/>
      <c r="BZ405" s="16"/>
      <c r="CA405" s="190">
        <v>46285.666666666701</v>
      </c>
      <c r="CB405" s="3"/>
      <c r="CC405" s="16"/>
      <c r="CD405" s="16"/>
      <c r="CE405" s="16"/>
      <c r="CF405" s="16"/>
      <c r="CG405" s="16"/>
      <c r="CH405" s="16"/>
      <c r="CI405" s="16" t="s">
        <v>3866</v>
      </c>
    </row>
    <row r="406" spans="1:87">
      <c r="A406" s="16"/>
      <c r="B406" s="16"/>
      <c r="C406" s="3">
        <v>46276</v>
      </c>
      <c r="D406" s="16" t="s">
        <v>14</v>
      </c>
      <c r="E406" s="16" t="s">
        <v>3867</v>
      </c>
      <c r="F406" s="16">
        <v>2026224000433</v>
      </c>
      <c r="G406" s="16">
        <v>30</v>
      </c>
      <c r="H406" s="16">
        <v>29</v>
      </c>
      <c r="I406" s="16" t="s">
        <v>809</v>
      </c>
      <c r="J406" s="16" t="s">
        <v>3867</v>
      </c>
      <c r="K406" s="16" t="s">
        <v>854</v>
      </c>
      <c r="L406" s="16" t="s">
        <v>18</v>
      </c>
      <c r="M406" s="16">
        <v>7</v>
      </c>
      <c r="N406" s="16" t="s">
        <v>462</v>
      </c>
      <c r="O406" s="16" t="s">
        <v>606</v>
      </c>
      <c r="P406" s="16" t="s">
        <v>3868</v>
      </c>
      <c r="Q406" s="16" t="s">
        <v>564</v>
      </c>
      <c r="R406" s="16" t="s">
        <v>466</v>
      </c>
      <c r="S406" s="16" t="s">
        <v>3869</v>
      </c>
      <c r="T406" s="16">
        <v>174303</v>
      </c>
      <c r="U406" s="16">
        <v>46268.354861111111</v>
      </c>
      <c r="V406" s="16" t="s">
        <v>469</v>
      </c>
      <c r="W406" s="16" t="s">
        <v>568</v>
      </c>
      <c r="X406" s="16" t="s">
        <v>471</v>
      </c>
      <c r="Y406" s="16" t="s">
        <v>1724</v>
      </c>
      <c r="Z406" s="16" t="s">
        <v>570</v>
      </c>
      <c r="AA406" s="16" t="s">
        <v>474</v>
      </c>
      <c r="AB406" s="16" t="s">
        <v>3870</v>
      </c>
      <c r="AC406" s="16" t="s">
        <v>476</v>
      </c>
      <c r="AD406" s="16">
        <v>391805963</v>
      </c>
      <c r="AE406" s="16">
        <v>1346266319</v>
      </c>
      <c r="AF406" s="16">
        <v>1104447853</v>
      </c>
      <c r="AG406" s="16"/>
      <c r="AH406" s="16"/>
      <c r="AI406" s="16" t="s">
        <v>21</v>
      </c>
      <c r="AJ406" s="16" t="s">
        <v>481</v>
      </c>
      <c r="AK406" s="16" t="s">
        <v>3871</v>
      </c>
      <c r="AL406" s="16">
        <v>15077</v>
      </c>
      <c r="AM406" s="16"/>
      <c r="AN406" s="16"/>
      <c r="AO406" s="16">
        <v>583</v>
      </c>
      <c r="AP406" s="16" t="s">
        <v>485</v>
      </c>
      <c r="AQ406" s="16" t="s">
        <v>3872</v>
      </c>
      <c r="AR406" s="3">
        <v>46268</v>
      </c>
      <c r="AS406" s="16" t="s">
        <v>21</v>
      </c>
      <c r="AT406" s="16" t="s">
        <v>976</v>
      </c>
      <c r="AU406" s="16"/>
      <c r="AV406" s="16" t="s">
        <v>3873</v>
      </c>
      <c r="AW406" s="16"/>
      <c r="AX406" s="16"/>
      <c r="AY406" s="16"/>
      <c r="AZ406" s="16"/>
      <c r="BA406" s="16"/>
      <c r="BB406" s="16"/>
      <c r="BC406" s="16"/>
      <c r="BD406" s="16" t="s">
        <v>21</v>
      </c>
      <c r="BE406" s="16">
        <v>29</v>
      </c>
      <c r="BF406" s="16"/>
      <c r="BG406" s="16" t="s">
        <v>490</v>
      </c>
      <c r="BH406" s="16" t="s">
        <v>491</v>
      </c>
      <c r="BI406" s="16">
        <v>395889337</v>
      </c>
      <c r="BJ406" s="16"/>
      <c r="BK406" s="16"/>
      <c r="BL406" s="16"/>
      <c r="BM406" s="16"/>
      <c r="BN406" s="16"/>
      <c r="BO406" s="16"/>
      <c r="BP406" s="16"/>
      <c r="BQ406" s="16"/>
      <c r="BR406" s="16"/>
      <c r="BS406" s="16"/>
      <c r="BT406" s="16"/>
      <c r="BU406" s="16"/>
      <c r="BV406" s="16"/>
      <c r="BW406" s="16"/>
      <c r="BX406" s="16"/>
      <c r="BY406" s="16"/>
      <c r="BZ406" s="16"/>
      <c r="CA406" s="190">
        <v>46275</v>
      </c>
      <c r="CB406" s="3"/>
      <c r="CC406" s="16"/>
      <c r="CD406" s="16"/>
      <c r="CE406" s="16"/>
      <c r="CF406" s="16"/>
      <c r="CG406" s="16"/>
      <c r="CH406" s="16"/>
      <c r="CI406" s="16" t="s">
        <v>3874</v>
      </c>
    </row>
    <row r="407" spans="1:87">
      <c r="A407" s="16"/>
      <c r="B407" s="16"/>
      <c r="C407" s="3">
        <v>46276</v>
      </c>
      <c r="D407" s="16" t="s">
        <v>14</v>
      </c>
      <c r="E407" s="16" t="s">
        <v>3875</v>
      </c>
      <c r="F407" s="16">
        <v>2026223760456</v>
      </c>
      <c r="G407" s="16">
        <v>30</v>
      </c>
      <c r="H407" s="16">
        <v>30</v>
      </c>
      <c r="I407" s="16" t="s">
        <v>809</v>
      </c>
      <c r="J407" s="16" t="s">
        <v>3875</v>
      </c>
      <c r="K407" s="16" t="s">
        <v>560</v>
      </c>
      <c r="L407" s="16" t="s">
        <v>13</v>
      </c>
      <c r="M407" s="16">
        <v>7</v>
      </c>
      <c r="N407" s="16" t="s">
        <v>462</v>
      </c>
      <c r="O407" s="16" t="s">
        <v>562</v>
      </c>
      <c r="P407" s="16" t="s">
        <v>3876</v>
      </c>
      <c r="Q407" s="16" t="s">
        <v>564</v>
      </c>
      <c r="R407" s="16" t="s">
        <v>466</v>
      </c>
      <c r="S407" s="16" t="s">
        <v>3877</v>
      </c>
      <c r="T407" s="16">
        <v>174232</v>
      </c>
      <c r="U407" s="16">
        <v>46267.758333333331</v>
      </c>
      <c r="V407" s="16" t="s">
        <v>469</v>
      </c>
      <c r="W407" s="16" t="s">
        <v>568</v>
      </c>
      <c r="X407" s="16" t="s">
        <v>471</v>
      </c>
      <c r="Y407" s="16" t="s">
        <v>1724</v>
      </c>
      <c r="Z407" s="16" t="s">
        <v>570</v>
      </c>
      <c r="AA407" s="16" t="s">
        <v>474</v>
      </c>
      <c r="AB407" s="16" t="s">
        <v>3878</v>
      </c>
      <c r="AC407" s="16" t="s">
        <v>572</v>
      </c>
      <c r="AD407" s="16">
        <v>951643325</v>
      </c>
      <c r="AE407" s="16">
        <v>1194926279</v>
      </c>
      <c r="AF407" s="16"/>
      <c r="AG407" s="16"/>
      <c r="AH407" s="16"/>
      <c r="AI407" s="16" t="s">
        <v>59</v>
      </c>
      <c r="AJ407" s="16" t="s">
        <v>481</v>
      </c>
      <c r="AK407" s="16" t="s">
        <v>3879</v>
      </c>
      <c r="AL407" s="16">
        <v>670</v>
      </c>
      <c r="AM407" s="16"/>
      <c r="AN407" s="16"/>
      <c r="AO407" s="16">
        <v>499</v>
      </c>
      <c r="AP407" s="16" t="s">
        <v>485</v>
      </c>
      <c r="AQ407" s="16" t="s">
        <v>3880</v>
      </c>
      <c r="AR407" s="3">
        <v>46268</v>
      </c>
      <c r="AS407" s="16" t="s">
        <v>59</v>
      </c>
      <c r="AT407" s="16" t="s">
        <v>3881</v>
      </c>
      <c r="AU407" s="16"/>
      <c r="AV407" s="16" t="s">
        <v>3882</v>
      </c>
      <c r="AW407" s="16"/>
      <c r="AX407" s="16"/>
      <c r="AY407" s="16"/>
      <c r="AZ407" s="16"/>
      <c r="BA407" s="16"/>
      <c r="BB407" s="16"/>
      <c r="BC407" s="16"/>
      <c r="BD407" s="16" t="s">
        <v>59</v>
      </c>
      <c r="BE407" s="16">
        <v>29</v>
      </c>
      <c r="BF407" s="16"/>
      <c r="BG407" s="16" t="s">
        <v>490</v>
      </c>
      <c r="BH407" s="16" t="s">
        <v>491</v>
      </c>
      <c r="BI407" s="16">
        <v>624815199</v>
      </c>
      <c r="BJ407" s="16"/>
      <c r="BK407" s="16"/>
      <c r="BL407" s="16"/>
      <c r="BM407" s="16"/>
      <c r="BN407" s="16"/>
      <c r="BO407" s="16"/>
      <c r="BP407" s="16"/>
      <c r="BQ407" s="16"/>
      <c r="BR407" s="16"/>
      <c r="BS407" s="16"/>
      <c r="BT407" s="16"/>
      <c r="BU407" s="16"/>
      <c r="BV407" s="16"/>
      <c r="BW407" s="16"/>
      <c r="BX407" s="16"/>
      <c r="BY407" s="16"/>
      <c r="BZ407" s="16"/>
      <c r="CA407" s="190">
        <v>46275</v>
      </c>
      <c r="CB407" s="3"/>
      <c r="CC407" s="16"/>
      <c r="CD407" s="16"/>
      <c r="CE407" s="16"/>
      <c r="CF407" s="16"/>
      <c r="CG407" s="16"/>
      <c r="CH407" s="16"/>
      <c r="CI407" s="16" t="s">
        <v>3883</v>
      </c>
    </row>
    <row r="408" spans="1:87">
      <c r="A408" s="16" t="s">
        <v>5</v>
      </c>
      <c r="B408" s="16" t="s">
        <v>976</v>
      </c>
      <c r="C408" s="3">
        <v>46276</v>
      </c>
      <c r="D408" s="16" t="s">
        <v>14</v>
      </c>
      <c r="E408" s="16" t="s">
        <v>3884</v>
      </c>
      <c r="F408" s="16">
        <v>2026223000223</v>
      </c>
      <c r="G408" s="16">
        <v>30</v>
      </c>
      <c r="H408" s="16">
        <v>30</v>
      </c>
      <c r="I408" s="16" t="s">
        <v>809</v>
      </c>
      <c r="J408" s="16" t="s">
        <v>3884</v>
      </c>
      <c r="K408" s="16" t="s">
        <v>461</v>
      </c>
      <c r="L408" s="16" t="s">
        <v>17</v>
      </c>
      <c r="M408" s="16">
        <v>8</v>
      </c>
      <c r="N408" s="16" t="s">
        <v>462</v>
      </c>
      <c r="O408" s="16" t="s">
        <v>606</v>
      </c>
      <c r="P408" s="16" t="s">
        <v>3885</v>
      </c>
      <c r="Q408" s="16" t="s">
        <v>465</v>
      </c>
      <c r="R408" s="16" t="s">
        <v>466</v>
      </c>
      <c r="S408" s="16" t="s">
        <v>3886</v>
      </c>
      <c r="T408" s="16">
        <v>174208</v>
      </c>
      <c r="U408" s="16">
        <v>46266.833333333336</v>
      </c>
      <c r="V408" s="16" t="s">
        <v>469</v>
      </c>
      <c r="W408" s="16" t="s">
        <v>568</v>
      </c>
      <c r="X408" s="16" t="s">
        <v>471</v>
      </c>
      <c r="Y408" s="16" t="s">
        <v>3173</v>
      </c>
      <c r="Z408" s="16" t="s">
        <v>590</v>
      </c>
      <c r="AA408" s="16" t="s">
        <v>474</v>
      </c>
      <c r="AB408" s="16" t="s">
        <v>3887</v>
      </c>
      <c r="AC408" s="16" t="s">
        <v>476</v>
      </c>
      <c r="AD408" s="16">
        <v>391824445</v>
      </c>
      <c r="AE408" s="16">
        <v>1598784555</v>
      </c>
      <c r="AF408" s="16">
        <v>1063918050</v>
      </c>
      <c r="AG408" s="16"/>
      <c r="AH408" s="16"/>
      <c r="AI408" s="16" t="s">
        <v>67</v>
      </c>
      <c r="AJ408" s="16" t="s">
        <v>481</v>
      </c>
      <c r="AK408" s="16" t="s">
        <v>3888</v>
      </c>
      <c r="AL408" s="16">
        <v>12909</v>
      </c>
      <c r="AM408" s="16"/>
      <c r="AN408" s="16"/>
      <c r="AO408" s="16">
        <v>576</v>
      </c>
      <c r="AP408" s="16" t="s">
        <v>485</v>
      </c>
      <c r="AQ408" s="16" t="s">
        <v>3889</v>
      </c>
      <c r="AR408" s="3">
        <v>46267</v>
      </c>
      <c r="AS408" s="16" t="s">
        <v>67</v>
      </c>
      <c r="AT408" s="16" t="s">
        <v>487</v>
      </c>
      <c r="AU408" s="16"/>
      <c r="AV408" s="16" t="s">
        <v>3890</v>
      </c>
      <c r="AW408" s="16"/>
      <c r="AX408" s="16"/>
      <c r="AY408" s="16"/>
      <c r="AZ408" s="16"/>
      <c r="BA408" s="16"/>
      <c r="BB408" s="16"/>
      <c r="BC408" s="16"/>
      <c r="BD408" s="16" t="s">
        <v>67</v>
      </c>
      <c r="BE408" s="16">
        <v>30</v>
      </c>
      <c r="BF408" s="16"/>
      <c r="BG408" s="16"/>
      <c r="BH408" s="16" t="s">
        <v>491</v>
      </c>
      <c r="BI408" s="16">
        <v>358840196</v>
      </c>
      <c r="BJ408" s="16"/>
      <c r="BK408" s="16"/>
      <c r="BL408" s="16"/>
      <c r="BM408" s="16"/>
      <c r="BN408" s="16"/>
      <c r="BO408" s="16"/>
      <c r="BP408" s="16"/>
      <c r="BQ408" s="16"/>
      <c r="BR408" s="16"/>
      <c r="BS408" s="16"/>
      <c r="BT408" s="16"/>
      <c r="BU408" s="16"/>
      <c r="BV408" s="16"/>
      <c r="BW408" s="16"/>
      <c r="BX408" s="16"/>
      <c r="BY408" s="16"/>
      <c r="BZ408" s="16"/>
      <c r="CA408" s="190">
        <v>46275.166666666701</v>
      </c>
      <c r="CB408" s="3"/>
      <c r="CC408" s="16"/>
      <c r="CD408" s="16"/>
      <c r="CE408" s="16"/>
      <c r="CF408" s="16"/>
      <c r="CG408" s="16"/>
      <c r="CH408" s="16"/>
      <c r="CI408" s="16" t="s">
        <v>3891</v>
      </c>
    </row>
    <row r="409" spans="1:87">
      <c r="A409" s="16"/>
      <c r="B409" s="16"/>
      <c r="C409" s="3">
        <v>46276</v>
      </c>
      <c r="D409" s="16" t="s">
        <v>14</v>
      </c>
      <c r="E409" s="16" t="s">
        <v>3892</v>
      </c>
      <c r="F409" s="16">
        <v>2026224770086</v>
      </c>
      <c r="G409" s="16">
        <v>30</v>
      </c>
      <c r="H409" s="16">
        <v>29</v>
      </c>
      <c r="I409" s="16" t="s">
        <v>809</v>
      </c>
      <c r="J409" s="16" t="s">
        <v>3892</v>
      </c>
      <c r="K409" s="16" t="s">
        <v>729</v>
      </c>
      <c r="L409" s="16" t="s">
        <v>13</v>
      </c>
      <c r="M409" s="16">
        <v>7</v>
      </c>
      <c r="N409" s="16" t="s">
        <v>462</v>
      </c>
      <c r="O409" s="16" t="s">
        <v>562</v>
      </c>
      <c r="P409" s="16"/>
      <c r="Q409" s="16" t="s">
        <v>564</v>
      </c>
      <c r="R409" s="16" t="s">
        <v>466</v>
      </c>
      <c r="S409" s="16" t="s">
        <v>3893</v>
      </c>
      <c r="T409" s="16">
        <v>174190</v>
      </c>
      <c r="U409" s="16">
        <v>46267.815972222219</v>
      </c>
      <c r="V409" s="16" t="s">
        <v>469</v>
      </c>
      <c r="W409" s="16" t="s">
        <v>568</v>
      </c>
      <c r="X409" s="16" t="s">
        <v>471</v>
      </c>
      <c r="Y409" s="16" t="s">
        <v>3894</v>
      </c>
      <c r="Z409" s="16" t="s">
        <v>570</v>
      </c>
      <c r="AA409" s="16" t="s">
        <v>474</v>
      </c>
      <c r="AB409" s="16" t="s">
        <v>3895</v>
      </c>
      <c r="AC409" s="16" t="s">
        <v>503</v>
      </c>
      <c r="AD409" s="16">
        <v>521245746</v>
      </c>
      <c r="AE409" s="16">
        <v>1366547747</v>
      </c>
      <c r="AF409" s="16"/>
      <c r="AG409" s="16"/>
      <c r="AH409" s="16"/>
      <c r="AI409" s="16" t="s">
        <v>66</v>
      </c>
      <c r="AJ409" s="16" t="s">
        <v>481</v>
      </c>
      <c r="AK409" s="16" t="s">
        <v>3896</v>
      </c>
      <c r="AL409" s="16">
        <v>799.5</v>
      </c>
      <c r="AM409" s="16"/>
      <c r="AN409" s="16"/>
      <c r="AO409" s="16"/>
      <c r="AP409" s="16" t="s">
        <v>485</v>
      </c>
      <c r="AQ409" s="16" t="s">
        <v>3897</v>
      </c>
      <c r="AR409" s="3">
        <v>46268</v>
      </c>
      <c r="AS409" s="16" t="s">
        <v>66</v>
      </c>
      <c r="AT409" s="16" t="s">
        <v>3898</v>
      </c>
      <c r="AU409" s="16"/>
      <c r="AV409" s="16" t="s">
        <v>3899</v>
      </c>
      <c r="AW409" s="16"/>
      <c r="AX409" s="16"/>
      <c r="AY409" s="16"/>
      <c r="AZ409" s="16"/>
      <c r="BA409" s="16"/>
      <c r="BB409" s="16"/>
      <c r="BC409" s="16"/>
      <c r="BD409" s="16" t="s">
        <v>66</v>
      </c>
      <c r="BE409" s="16">
        <v>29</v>
      </c>
      <c r="BF409" s="16"/>
      <c r="BG409" s="16" t="s">
        <v>490</v>
      </c>
      <c r="BH409" s="16" t="s">
        <v>491</v>
      </c>
      <c r="BI409" s="16">
        <v>294628786</v>
      </c>
      <c r="BJ409" s="16"/>
      <c r="BK409" s="16"/>
      <c r="BL409" s="16"/>
      <c r="BM409" s="16"/>
      <c r="BN409" s="16"/>
      <c r="BO409" s="16"/>
      <c r="BP409" s="16"/>
      <c r="BQ409" s="16"/>
      <c r="BR409" s="16"/>
      <c r="BS409" s="16"/>
      <c r="BT409" s="16"/>
      <c r="BU409" s="16"/>
      <c r="BV409" s="16"/>
      <c r="BW409" s="16"/>
      <c r="BX409" s="16"/>
      <c r="BY409" s="16"/>
      <c r="BZ409" s="16"/>
      <c r="CA409" s="190">
        <v>46275</v>
      </c>
      <c r="CB409" s="3"/>
      <c r="CC409" s="16"/>
      <c r="CD409" s="16"/>
      <c r="CE409" s="16"/>
      <c r="CF409" s="16"/>
      <c r="CG409" s="16"/>
      <c r="CH409" s="16"/>
      <c r="CI409" s="16" t="s">
        <v>3900</v>
      </c>
    </row>
    <row r="410" spans="1:87">
      <c r="A410" s="16" t="s">
        <v>4</v>
      </c>
      <c r="B410" s="16" t="s">
        <v>2896</v>
      </c>
      <c r="C410" s="3">
        <v>46276</v>
      </c>
      <c r="D410" s="16" t="s">
        <v>14</v>
      </c>
      <c r="E410" s="16" t="s">
        <v>3901</v>
      </c>
      <c r="F410" s="16">
        <v>2026231230559</v>
      </c>
      <c r="G410" s="16">
        <v>30</v>
      </c>
      <c r="H410" s="16">
        <v>22</v>
      </c>
      <c r="I410" s="16" t="s">
        <v>809</v>
      </c>
      <c r="J410" s="16" t="s">
        <v>3901</v>
      </c>
      <c r="K410" s="16" t="s">
        <v>1201</v>
      </c>
      <c r="L410" s="16" t="s">
        <v>17</v>
      </c>
      <c r="M410" s="16">
        <v>21</v>
      </c>
      <c r="N410" s="16" t="s">
        <v>462</v>
      </c>
      <c r="O410" s="16" t="s">
        <v>606</v>
      </c>
      <c r="P410" s="16">
        <v>11563</v>
      </c>
      <c r="Q410" s="16" t="s">
        <v>465</v>
      </c>
      <c r="R410" s="16" t="s">
        <v>466</v>
      </c>
      <c r="S410" s="16" t="s">
        <v>3902</v>
      </c>
      <c r="T410" s="16">
        <v>173328</v>
      </c>
      <c r="U410" s="16">
        <v>46275.607638888891</v>
      </c>
      <c r="V410" s="16" t="s">
        <v>469</v>
      </c>
      <c r="W410" s="16" t="s">
        <v>651</v>
      </c>
      <c r="X410" s="16" t="s">
        <v>652</v>
      </c>
      <c r="Y410" s="16" t="s">
        <v>653</v>
      </c>
      <c r="Z410" s="16" t="s">
        <v>638</v>
      </c>
      <c r="AA410" s="16" t="s">
        <v>474</v>
      </c>
      <c r="AB410" s="16" t="s">
        <v>743</v>
      </c>
      <c r="AC410" s="16" t="s">
        <v>465</v>
      </c>
      <c r="AD410" s="16">
        <v>270426722</v>
      </c>
      <c r="AE410" s="16">
        <v>1902134372</v>
      </c>
      <c r="AF410" s="16"/>
      <c r="AG410" s="16">
        <v>1.31202426905426E+16</v>
      </c>
      <c r="AH410" s="16"/>
      <c r="AI410" s="16" t="s">
        <v>150</v>
      </c>
      <c r="AJ410" s="16" t="s">
        <v>481</v>
      </c>
      <c r="AK410" s="16" t="s">
        <v>3903</v>
      </c>
      <c r="AL410" s="16">
        <v>15966.13</v>
      </c>
      <c r="AM410" s="16"/>
      <c r="AN410" s="16"/>
      <c r="AO410" s="16">
        <v>0</v>
      </c>
      <c r="AP410" s="16" t="s">
        <v>485</v>
      </c>
      <c r="AQ410" s="16" t="s">
        <v>3904</v>
      </c>
      <c r="AR410" s="3">
        <v>46254</v>
      </c>
      <c r="AS410" s="16" t="s">
        <v>2506</v>
      </c>
      <c r="AT410" s="16" t="s">
        <v>3639</v>
      </c>
      <c r="AU410" s="16"/>
      <c r="AV410" s="16" t="s">
        <v>2075</v>
      </c>
      <c r="AW410" s="16"/>
      <c r="AX410" s="16"/>
      <c r="AY410" s="16"/>
      <c r="AZ410" s="16"/>
      <c r="BA410" s="16"/>
      <c r="BB410" s="16"/>
      <c r="BC410" s="16"/>
      <c r="BD410" s="16" t="s">
        <v>150</v>
      </c>
      <c r="BE410" s="16">
        <v>22</v>
      </c>
      <c r="BF410" s="16"/>
      <c r="BG410" s="16" t="s">
        <v>490</v>
      </c>
      <c r="BH410" s="16" t="s">
        <v>658</v>
      </c>
      <c r="BI410" s="16">
        <v>11563</v>
      </c>
      <c r="BJ410" s="16"/>
      <c r="BK410" s="16"/>
      <c r="BL410" s="16"/>
      <c r="BM410" s="16"/>
      <c r="BN410" s="16"/>
      <c r="BO410" s="16"/>
      <c r="BP410" s="16"/>
      <c r="BQ410" s="16"/>
      <c r="BR410" s="16"/>
      <c r="BS410" s="16"/>
      <c r="BT410" s="16"/>
      <c r="BU410" s="16"/>
      <c r="BV410" s="16"/>
      <c r="BW410" s="16"/>
      <c r="BX410" s="16"/>
      <c r="BY410" s="16"/>
      <c r="BZ410" s="16"/>
      <c r="CA410" s="190">
        <v>46285.166666666701</v>
      </c>
      <c r="CB410" s="3"/>
      <c r="CC410" s="16"/>
      <c r="CD410" s="16"/>
      <c r="CE410" s="16"/>
      <c r="CF410" s="16"/>
      <c r="CG410" s="16"/>
      <c r="CH410" s="16"/>
      <c r="CI410" s="16" t="s">
        <v>3905</v>
      </c>
    </row>
    <row r="411" spans="1:87">
      <c r="A411" s="16"/>
      <c r="B411" s="16"/>
      <c r="C411" s="3">
        <v>46276</v>
      </c>
      <c r="D411" s="16" t="s">
        <v>14</v>
      </c>
      <c r="E411" s="16" t="s">
        <v>3906</v>
      </c>
      <c r="F411" s="16">
        <v>2026224990004</v>
      </c>
      <c r="G411" s="16">
        <v>30</v>
      </c>
      <c r="H411" s="16">
        <v>29</v>
      </c>
      <c r="I411" s="16" t="s">
        <v>809</v>
      </c>
      <c r="J411" s="16" t="s">
        <v>3906</v>
      </c>
      <c r="K411" s="16" t="s">
        <v>1512</v>
      </c>
      <c r="L411" s="16" t="s">
        <v>17</v>
      </c>
      <c r="M411" s="16">
        <v>7</v>
      </c>
      <c r="N411" s="16" t="s">
        <v>462</v>
      </c>
      <c r="O411" s="16" t="s">
        <v>606</v>
      </c>
      <c r="P411" s="16">
        <v>845702106</v>
      </c>
      <c r="Q411" s="16" t="s">
        <v>465</v>
      </c>
      <c r="R411" s="16" t="s">
        <v>466</v>
      </c>
      <c r="S411" s="16" t="s">
        <v>3907</v>
      </c>
      <c r="T411" s="16">
        <v>173326</v>
      </c>
      <c r="U411" s="16">
        <v>46267.809027777781</v>
      </c>
      <c r="V411" s="16" t="s">
        <v>469</v>
      </c>
      <c r="W411" s="16" t="s">
        <v>651</v>
      </c>
      <c r="X411" s="16" t="s">
        <v>652</v>
      </c>
      <c r="Y411" s="16" t="s">
        <v>653</v>
      </c>
      <c r="Z411" s="16" t="s">
        <v>473</v>
      </c>
      <c r="AA411" s="16" t="s">
        <v>474</v>
      </c>
      <c r="AB411" s="16" t="s">
        <v>2129</v>
      </c>
      <c r="AC411" s="16" t="s">
        <v>476</v>
      </c>
      <c r="AD411" s="16">
        <v>810977948</v>
      </c>
      <c r="AE411" s="16">
        <v>1093221434</v>
      </c>
      <c r="AF411" s="16">
        <v>1386959609</v>
      </c>
      <c r="AG411" s="16">
        <v>4.5820253601558304E+16</v>
      </c>
      <c r="AH411" s="16"/>
      <c r="AI411" s="16" t="s">
        <v>149</v>
      </c>
      <c r="AJ411" s="16" t="s">
        <v>481</v>
      </c>
      <c r="AK411" s="16" t="s">
        <v>3908</v>
      </c>
      <c r="AL411" s="16">
        <v>15485</v>
      </c>
      <c r="AM411" s="16"/>
      <c r="AN411" s="16"/>
      <c r="AO411" s="16">
        <v>845</v>
      </c>
      <c r="AP411" s="16" t="s">
        <v>485</v>
      </c>
      <c r="AQ411" s="16" t="s">
        <v>3909</v>
      </c>
      <c r="AR411" s="3">
        <v>46268</v>
      </c>
      <c r="AS411" s="16" t="s">
        <v>149</v>
      </c>
      <c r="AT411" s="16" t="s">
        <v>516</v>
      </c>
      <c r="AU411" s="16"/>
      <c r="AV411" s="16" t="s">
        <v>3910</v>
      </c>
      <c r="AW411" s="16"/>
      <c r="AX411" s="16"/>
      <c r="AY411" s="16"/>
      <c r="AZ411" s="16"/>
      <c r="BA411" s="16"/>
      <c r="BB411" s="16"/>
      <c r="BC411" s="16"/>
      <c r="BD411" s="16" t="s">
        <v>149</v>
      </c>
      <c r="BE411" s="16">
        <v>29</v>
      </c>
      <c r="BF411" s="16"/>
      <c r="BG411" s="16"/>
      <c r="BH411" s="16" t="s">
        <v>658</v>
      </c>
      <c r="BI411" s="16">
        <v>845702106</v>
      </c>
      <c r="BJ411" s="16"/>
      <c r="BK411" s="16"/>
      <c r="BL411" s="16"/>
      <c r="BM411" s="16"/>
      <c r="BN411" s="16"/>
      <c r="BO411" s="16"/>
      <c r="BP411" s="16"/>
      <c r="BQ411" s="16"/>
      <c r="BR411" s="16"/>
      <c r="BS411" s="16"/>
      <c r="BT411" s="16"/>
      <c r="BU411" s="16"/>
      <c r="BV411" s="16"/>
      <c r="BW411" s="16"/>
      <c r="BX411" s="16"/>
      <c r="BY411" s="16"/>
      <c r="BZ411" s="16"/>
      <c r="CA411" s="190">
        <v>46275</v>
      </c>
      <c r="CB411" s="3"/>
      <c r="CC411" s="16"/>
      <c r="CD411" s="16"/>
      <c r="CE411" s="16"/>
      <c r="CF411" s="16"/>
      <c r="CG411" s="16"/>
      <c r="CH411" s="16"/>
      <c r="CI411" s="16" t="s">
        <v>3911</v>
      </c>
    </row>
    <row r="412" spans="1:87" ht="29.25">
      <c r="A412" s="16" t="s">
        <v>5</v>
      </c>
      <c r="B412" s="25" t="s">
        <v>3912</v>
      </c>
      <c r="C412" s="3">
        <v>46276</v>
      </c>
      <c r="D412" s="16" t="s">
        <v>14</v>
      </c>
      <c r="E412" s="16" t="s">
        <v>3913</v>
      </c>
      <c r="F412" s="16">
        <v>2026223260556</v>
      </c>
      <c r="G412" s="16">
        <v>30</v>
      </c>
      <c r="H412" s="16">
        <v>30</v>
      </c>
      <c r="I412" s="16" t="s">
        <v>809</v>
      </c>
      <c r="J412" s="16" t="s">
        <v>3913</v>
      </c>
      <c r="K412" s="16" t="s">
        <v>3914</v>
      </c>
      <c r="L412" s="16" t="s">
        <v>1760</v>
      </c>
      <c r="M412" s="16">
        <v>8</v>
      </c>
      <c r="N412" s="16" t="s">
        <v>462</v>
      </c>
      <c r="O412" s="16" t="s">
        <v>606</v>
      </c>
      <c r="P412" s="16">
        <v>815418389</v>
      </c>
      <c r="Q412" s="16" t="s">
        <v>465</v>
      </c>
      <c r="R412" s="16" t="s">
        <v>466</v>
      </c>
      <c r="S412" s="16" t="s">
        <v>3915</v>
      </c>
      <c r="T412" s="16">
        <v>173326</v>
      </c>
      <c r="U412" s="16">
        <v>46267.676388888889</v>
      </c>
      <c r="V412" s="16" t="s">
        <v>469</v>
      </c>
      <c r="W412" s="16" t="s">
        <v>651</v>
      </c>
      <c r="X412" s="16" t="s">
        <v>652</v>
      </c>
      <c r="Y412" s="16" t="s">
        <v>653</v>
      </c>
      <c r="Z412" s="16" t="s">
        <v>473</v>
      </c>
      <c r="AA412" s="16" t="s">
        <v>474</v>
      </c>
      <c r="AB412" s="16" t="s">
        <v>2129</v>
      </c>
      <c r="AC412" s="16" t="s">
        <v>476</v>
      </c>
      <c r="AD412" s="16">
        <v>390806828</v>
      </c>
      <c r="AE412" s="16">
        <v>1346239373</v>
      </c>
      <c r="AF412" s="16">
        <v>1285684555</v>
      </c>
      <c r="AG412" s="16">
        <v>4.5820253491294496E+16</v>
      </c>
      <c r="AH412" s="16"/>
      <c r="AI412" s="16" t="s">
        <v>3916</v>
      </c>
      <c r="AJ412" s="16" t="s">
        <v>481</v>
      </c>
      <c r="AK412" s="16" t="s">
        <v>3917</v>
      </c>
      <c r="AL412" s="16">
        <v>15489</v>
      </c>
      <c r="AM412" s="16"/>
      <c r="AN412" s="16"/>
      <c r="AO412" s="16">
        <v>815</v>
      </c>
      <c r="AP412" s="16" t="s">
        <v>485</v>
      </c>
      <c r="AQ412" s="16" t="s">
        <v>3918</v>
      </c>
      <c r="AR412" s="3">
        <v>46267</v>
      </c>
      <c r="AS412" s="16" t="s">
        <v>3916</v>
      </c>
      <c r="AT412" s="16" t="s">
        <v>3919</v>
      </c>
      <c r="AU412" s="16"/>
      <c r="AV412" s="16" t="s">
        <v>3920</v>
      </c>
      <c r="AW412" s="16"/>
      <c r="AX412" s="16"/>
      <c r="AY412" s="16"/>
      <c r="AZ412" s="16"/>
      <c r="BA412" s="16"/>
      <c r="BB412" s="16"/>
      <c r="BC412" s="16"/>
      <c r="BD412" s="16" t="s">
        <v>3916</v>
      </c>
      <c r="BE412" s="16">
        <v>30</v>
      </c>
      <c r="BF412" s="16"/>
      <c r="BG412" s="16"/>
      <c r="BH412" s="16" t="s">
        <v>658</v>
      </c>
      <c r="BI412" s="16">
        <v>815418389</v>
      </c>
      <c r="BJ412" s="16"/>
      <c r="BK412" s="16"/>
      <c r="BL412" s="16"/>
      <c r="BM412" s="16"/>
      <c r="BN412" s="16"/>
      <c r="BO412" s="16"/>
      <c r="BP412" s="16"/>
      <c r="BQ412" s="16"/>
      <c r="BR412" s="16"/>
      <c r="BS412" s="16"/>
      <c r="BT412" s="16"/>
      <c r="BU412" s="16"/>
      <c r="BV412" s="16"/>
      <c r="BW412" s="16"/>
      <c r="BX412" s="16"/>
      <c r="BY412" s="16"/>
      <c r="BZ412" s="16"/>
      <c r="CA412" s="190">
        <v>46282.666666666701</v>
      </c>
      <c r="CB412" s="3"/>
      <c r="CC412" s="16"/>
      <c r="CD412" s="16"/>
      <c r="CE412" s="16"/>
      <c r="CF412" s="16"/>
      <c r="CG412" s="16"/>
      <c r="CH412" s="16"/>
      <c r="CI412" s="16" t="s">
        <v>3921</v>
      </c>
    </row>
    <row r="413" spans="1:87">
      <c r="A413" s="16"/>
      <c r="B413" s="16"/>
      <c r="C413" s="3">
        <v>46276</v>
      </c>
      <c r="D413" s="16" t="s">
        <v>14</v>
      </c>
      <c r="E413" s="16" t="s">
        <v>3922</v>
      </c>
      <c r="F413" s="16">
        <v>2026223850492</v>
      </c>
      <c r="G413" s="16">
        <v>30</v>
      </c>
      <c r="H413" s="16">
        <v>30</v>
      </c>
      <c r="I413" s="16" t="s">
        <v>809</v>
      </c>
      <c r="J413" s="16" t="s">
        <v>3922</v>
      </c>
      <c r="K413" s="16" t="s">
        <v>895</v>
      </c>
      <c r="L413" s="16" t="s">
        <v>18</v>
      </c>
      <c r="M413" s="16">
        <v>8</v>
      </c>
      <c r="N413" s="16" t="s">
        <v>462</v>
      </c>
      <c r="O413" s="16" t="s">
        <v>606</v>
      </c>
      <c r="P413" s="16">
        <v>967181910</v>
      </c>
      <c r="Q413" s="16" t="s">
        <v>465</v>
      </c>
      <c r="R413" s="16" t="s">
        <v>466</v>
      </c>
      <c r="S413" s="16" t="s">
        <v>3923</v>
      </c>
      <c r="T413" s="16">
        <v>173325</v>
      </c>
      <c r="U413" s="16">
        <v>46267.05</v>
      </c>
      <c r="V413" s="16" t="s">
        <v>469</v>
      </c>
      <c r="W413" s="16" t="s">
        <v>651</v>
      </c>
      <c r="X413" s="16" t="s">
        <v>652</v>
      </c>
      <c r="Y413" s="16" t="s">
        <v>653</v>
      </c>
      <c r="Z413" s="16" t="s">
        <v>731</v>
      </c>
      <c r="AA413" s="16" t="s">
        <v>474</v>
      </c>
      <c r="AB413" s="16" t="s">
        <v>883</v>
      </c>
      <c r="AC413" s="16" t="s">
        <v>733</v>
      </c>
      <c r="AD413" s="16">
        <v>431343281</v>
      </c>
      <c r="AE413" s="16">
        <v>1598835308</v>
      </c>
      <c r="AF413" s="16"/>
      <c r="AG413" s="16">
        <v>7.4820253521549296E+16</v>
      </c>
      <c r="AH413" s="16"/>
      <c r="AI413" s="16" t="s">
        <v>20</v>
      </c>
      <c r="AJ413" s="16" t="s">
        <v>481</v>
      </c>
      <c r="AK413" s="16" t="s">
        <v>3924</v>
      </c>
      <c r="AL413" s="16">
        <v>26331.41</v>
      </c>
      <c r="AM413" s="16"/>
      <c r="AN413" s="16"/>
      <c r="AO413" s="16">
        <v>967</v>
      </c>
      <c r="AP413" s="16" t="s">
        <v>485</v>
      </c>
      <c r="AQ413" s="16" t="s">
        <v>3925</v>
      </c>
      <c r="AR413" s="3">
        <v>46267</v>
      </c>
      <c r="AS413" s="16" t="s">
        <v>20</v>
      </c>
      <c r="AT413" s="16" t="s">
        <v>3926</v>
      </c>
      <c r="AU413" s="16"/>
      <c r="AV413" s="16" t="s">
        <v>1607</v>
      </c>
      <c r="AW413" s="16"/>
      <c r="AX413" s="16"/>
      <c r="AY413" s="16"/>
      <c r="AZ413" s="16"/>
      <c r="BA413" s="16"/>
      <c r="BB413" s="16"/>
      <c r="BC413" s="16"/>
      <c r="BD413" s="16" t="s">
        <v>20</v>
      </c>
      <c r="BE413" s="16">
        <v>30</v>
      </c>
      <c r="BF413" s="16"/>
      <c r="BG413" s="16"/>
      <c r="BH413" s="16" t="s">
        <v>658</v>
      </c>
      <c r="BI413" s="16">
        <v>967181910</v>
      </c>
      <c r="BJ413" s="16"/>
      <c r="BK413" s="16"/>
      <c r="BL413" s="16"/>
      <c r="BM413" s="16"/>
      <c r="BN413" s="16"/>
      <c r="BO413" s="16"/>
      <c r="BP413" s="16"/>
      <c r="BQ413" s="16"/>
      <c r="BR413" s="16"/>
      <c r="BS413" s="16"/>
      <c r="BT413" s="16"/>
      <c r="BU413" s="16"/>
      <c r="BV413" s="16"/>
      <c r="BW413" s="16"/>
      <c r="BX413" s="16"/>
      <c r="BY413" s="16"/>
      <c r="BZ413" s="16"/>
      <c r="CA413" s="190">
        <v>46275</v>
      </c>
      <c r="CB413" s="3"/>
      <c r="CC413" s="16"/>
      <c r="CD413" s="16"/>
      <c r="CE413" s="16"/>
      <c r="CF413" s="16"/>
      <c r="CG413" s="16"/>
      <c r="CH413" s="16"/>
      <c r="CI413" s="16" t="s">
        <v>3927</v>
      </c>
    </row>
    <row r="414" spans="1:87">
      <c r="A414" s="16" t="s">
        <v>5</v>
      </c>
      <c r="B414" s="16" t="s">
        <v>516</v>
      </c>
      <c r="C414" s="3">
        <v>46276</v>
      </c>
      <c r="D414" s="16" t="s">
        <v>14</v>
      </c>
      <c r="E414" s="16" t="s">
        <v>3928</v>
      </c>
      <c r="F414" s="16">
        <v>2026223790193</v>
      </c>
      <c r="G414" s="16">
        <v>30</v>
      </c>
      <c r="H414" s="16">
        <v>30</v>
      </c>
      <c r="I414" s="16" t="s">
        <v>809</v>
      </c>
      <c r="J414" s="16" t="s">
        <v>3928</v>
      </c>
      <c r="K414" s="16" t="s">
        <v>1436</v>
      </c>
      <c r="L414" s="16" t="s">
        <v>18</v>
      </c>
      <c r="M414" s="16">
        <v>8</v>
      </c>
      <c r="N414" s="16" t="s">
        <v>462</v>
      </c>
      <c r="O414" s="16" t="s">
        <v>606</v>
      </c>
      <c r="P414" s="16">
        <v>834689221</v>
      </c>
      <c r="Q414" s="16" t="s">
        <v>465</v>
      </c>
      <c r="R414" s="16" t="s">
        <v>466</v>
      </c>
      <c r="S414" s="16" t="s">
        <v>3929</v>
      </c>
      <c r="T414" s="16">
        <v>173325</v>
      </c>
      <c r="U414" s="16">
        <v>46266.813194444447</v>
      </c>
      <c r="V414" s="16" t="s">
        <v>469</v>
      </c>
      <c r="W414" s="16" t="s">
        <v>651</v>
      </c>
      <c r="X414" s="16" t="s">
        <v>652</v>
      </c>
      <c r="Y414" s="16" t="s">
        <v>653</v>
      </c>
      <c r="Z414" s="16" t="s">
        <v>731</v>
      </c>
      <c r="AA414" s="16" t="s">
        <v>474</v>
      </c>
      <c r="AB414" s="16" t="s">
        <v>732</v>
      </c>
      <c r="AC414" s="16" t="s">
        <v>733</v>
      </c>
      <c r="AD414" s="16">
        <v>880988603</v>
      </c>
      <c r="AE414" s="16">
        <v>1306589544</v>
      </c>
      <c r="AF414" s="16">
        <v>1326277526</v>
      </c>
      <c r="AG414" s="16">
        <v>7.4820252731364896E+16</v>
      </c>
      <c r="AH414" s="16"/>
      <c r="AI414" s="16" t="s">
        <v>238</v>
      </c>
      <c r="AJ414" s="16" t="s">
        <v>481</v>
      </c>
      <c r="AK414" s="16" t="s">
        <v>3930</v>
      </c>
      <c r="AL414" s="16">
        <v>2936</v>
      </c>
      <c r="AM414" s="16"/>
      <c r="AN414" s="16"/>
      <c r="AO414" s="16">
        <v>834</v>
      </c>
      <c r="AP414" s="16" t="s">
        <v>485</v>
      </c>
      <c r="AQ414" s="16" t="s">
        <v>3931</v>
      </c>
      <c r="AR414" s="3">
        <v>46267</v>
      </c>
      <c r="AS414" s="16" t="s">
        <v>238</v>
      </c>
      <c r="AT414" s="16" t="s">
        <v>516</v>
      </c>
      <c r="AU414" s="16"/>
      <c r="AV414" s="16" t="s">
        <v>3932</v>
      </c>
      <c r="AW414" s="16"/>
      <c r="AX414" s="16"/>
      <c r="AY414" s="16"/>
      <c r="AZ414" s="16"/>
      <c r="BA414" s="16"/>
      <c r="BB414" s="16"/>
      <c r="BC414" s="16"/>
      <c r="BD414" s="16" t="s">
        <v>238</v>
      </c>
      <c r="BE414" s="16">
        <v>30</v>
      </c>
      <c r="BF414" s="16"/>
      <c r="BG414" s="16"/>
      <c r="BH414" s="16" t="s">
        <v>658</v>
      </c>
      <c r="BI414" s="16">
        <v>834689221</v>
      </c>
      <c r="BJ414" s="16"/>
      <c r="BK414" s="16"/>
      <c r="BL414" s="16"/>
      <c r="BM414" s="16"/>
      <c r="BN414" s="16"/>
      <c r="BO414" s="16"/>
      <c r="BP414" s="16"/>
      <c r="BQ414" s="16"/>
      <c r="BR414" s="16"/>
      <c r="BS414" s="16"/>
      <c r="BT414" s="16"/>
      <c r="BU414" s="16"/>
      <c r="BV414" s="16"/>
      <c r="BW414" s="16"/>
      <c r="BX414" s="16"/>
      <c r="BY414" s="16"/>
      <c r="BZ414" s="16"/>
      <c r="CA414" s="190">
        <v>46280.666666666701</v>
      </c>
      <c r="CB414" s="3"/>
      <c r="CC414" s="16"/>
      <c r="CD414" s="16"/>
      <c r="CE414" s="16"/>
      <c r="CF414" s="16"/>
      <c r="CG414" s="16"/>
      <c r="CH414" s="16"/>
      <c r="CI414" s="16" t="s">
        <v>3933</v>
      </c>
    </row>
    <row r="415" spans="1:87" ht="29.25">
      <c r="A415" s="16" t="s">
        <v>5</v>
      </c>
      <c r="B415" s="25" t="s">
        <v>3493</v>
      </c>
      <c r="C415" s="3">
        <v>46276</v>
      </c>
      <c r="D415" s="16" t="s">
        <v>14</v>
      </c>
      <c r="E415" s="16" t="s">
        <v>3934</v>
      </c>
      <c r="F415" s="16">
        <v>2026223070319</v>
      </c>
      <c r="G415" s="16">
        <v>30</v>
      </c>
      <c r="H415" s="16">
        <v>30</v>
      </c>
      <c r="I415" s="16" t="s">
        <v>809</v>
      </c>
      <c r="J415" s="16" t="s">
        <v>3934</v>
      </c>
      <c r="K415" s="16" t="s">
        <v>461</v>
      </c>
      <c r="L415" s="16" t="s">
        <v>17</v>
      </c>
      <c r="M415" s="16">
        <v>8</v>
      </c>
      <c r="N415" s="16" t="s">
        <v>462</v>
      </c>
      <c r="O415" s="16" t="s">
        <v>606</v>
      </c>
      <c r="P415" s="16">
        <v>824382750</v>
      </c>
      <c r="Q415" s="16" t="s">
        <v>465</v>
      </c>
      <c r="R415" s="16" t="s">
        <v>466</v>
      </c>
      <c r="S415" s="16" t="s">
        <v>3935</v>
      </c>
      <c r="T415" s="16">
        <v>173325</v>
      </c>
      <c r="U415" s="16">
        <v>46266.863194444442</v>
      </c>
      <c r="V415" s="16" t="s">
        <v>469</v>
      </c>
      <c r="W415" s="16" t="s">
        <v>651</v>
      </c>
      <c r="X415" s="16" t="s">
        <v>652</v>
      </c>
      <c r="Y415" s="16" t="s">
        <v>653</v>
      </c>
      <c r="Z415" s="16" t="s">
        <v>731</v>
      </c>
      <c r="AA415" s="16" t="s">
        <v>474</v>
      </c>
      <c r="AB415" s="16" t="s">
        <v>732</v>
      </c>
      <c r="AC415" s="16" t="s">
        <v>733</v>
      </c>
      <c r="AD415" s="16">
        <v>430653611</v>
      </c>
      <c r="AE415" s="16">
        <v>1679516033</v>
      </c>
      <c r="AF415" s="16">
        <v>1063034197</v>
      </c>
      <c r="AG415" s="16">
        <v>7.4820252760007008E+16</v>
      </c>
      <c r="AH415" s="16"/>
      <c r="AI415" s="16" t="s">
        <v>67</v>
      </c>
      <c r="AJ415" s="16" t="s">
        <v>481</v>
      </c>
      <c r="AK415" s="16" t="s">
        <v>3936</v>
      </c>
      <c r="AL415" s="16">
        <v>2191.5</v>
      </c>
      <c r="AM415" s="16"/>
      <c r="AN415" s="16"/>
      <c r="AO415" s="16">
        <v>824</v>
      </c>
      <c r="AP415" s="16" t="s">
        <v>485</v>
      </c>
      <c r="AQ415" s="16" t="s">
        <v>3937</v>
      </c>
      <c r="AR415" s="3">
        <v>46267</v>
      </c>
      <c r="AS415" s="16" t="s">
        <v>67</v>
      </c>
      <c r="AT415" s="16" t="s">
        <v>487</v>
      </c>
      <c r="AU415" s="16"/>
      <c r="AV415" s="16" t="s">
        <v>815</v>
      </c>
      <c r="AW415" s="16"/>
      <c r="AX415" s="16"/>
      <c r="AY415" s="16"/>
      <c r="AZ415" s="16"/>
      <c r="BA415" s="16"/>
      <c r="BB415" s="16"/>
      <c r="BC415" s="16"/>
      <c r="BD415" s="16" t="s">
        <v>67</v>
      </c>
      <c r="BE415" s="16">
        <v>30</v>
      </c>
      <c r="BF415" s="16"/>
      <c r="BG415" s="16"/>
      <c r="BH415" s="16" t="s">
        <v>658</v>
      </c>
      <c r="BI415" s="16">
        <v>824382750</v>
      </c>
      <c r="BJ415" s="16"/>
      <c r="BK415" s="16"/>
      <c r="BL415" s="16"/>
      <c r="BM415" s="16"/>
      <c r="BN415" s="16"/>
      <c r="BO415" s="16"/>
      <c r="BP415" s="16"/>
      <c r="BQ415" s="16"/>
      <c r="BR415" s="16"/>
      <c r="BS415" s="16"/>
      <c r="BT415" s="16"/>
      <c r="BU415" s="16"/>
      <c r="BV415" s="16"/>
      <c r="BW415" s="16"/>
      <c r="BX415" s="16"/>
      <c r="BY415" s="16"/>
      <c r="BZ415" s="16"/>
      <c r="CA415" s="190">
        <v>46275.166666666701</v>
      </c>
      <c r="CB415" s="3"/>
      <c r="CC415" s="16"/>
      <c r="CD415" s="16"/>
      <c r="CE415" s="16"/>
      <c r="CF415" s="16"/>
      <c r="CG415" s="16"/>
      <c r="CH415" s="16"/>
      <c r="CI415" s="16" t="s">
        <v>3938</v>
      </c>
    </row>
    <row r="416" spans="1:87">
      <c r="A416" s="16"/>
      <c r="B416" s="16"/>
      <c r="C416" s="3">
        <v>46276</v>
      </c>
      <c r="D416" s="16" t="s">
        <v>14</v>
      </c>
      <c r="E416" s="16" t="s">
        <v>3939</v>
      </c>
      <c r="F416" s="16">
        <v>2026224300168</v>
      </c>
      <c r="G416" s="16">
        <v>30</v>
      </c>
      <c r="H416" s="16">
        <v>29</v>
      </c>
      <c r="I416" s="16" t="s">
        <v>809</v>
      </c>
      <c r="J416" s="16" t="s">
        <v>3939</v>
      </c>
      <c r="K416" s="16" t="s">
        <v>839</v>
      </c>
      <c r="L416" s="16" t="s">
        <v>18</v>
      </c>
      <c r="M416" s="16">
        <v>7</v>
      </c>
      <c r="N416" s="16" t="s">
        <v>462</v>
      </c>
      <c r="O416" s="16" t="s">
        <v>606</v>
      </c>
      <c r="P416" s="16">
        <v>588330574</v>
      </c>
      <c r="Q416" s="16" t="s">
        <v>465</v>
      </c>
      <c r="R416" s="16" t="s">
        <v>466</v>
      </c>
      <c r="S416" s="16" t="s">
        <v>3940</v>
      </c>
      <c r="T416" s="16">
        <v>173323</v>
      </c>
      <c r="U416" s="16">
        <v>46267.879861111112</v>
      </c>
      <c r="V416" s="16" t="s">
        <v>469</v>
      </c>
      <c r="W416" s="16" t="s">
        <v>651</v>
      </c>
      <c r="X416" s="16" t="s">
        <v>652</v>
      </c>
      <c r="Y416" s="16" t="s">
        <v>653</v>
      </c>
      <c r="Z416" s="16" t="s">
        <v>590</v>
      </c>
      <c r="AA416" s="16" t="s">
        <v>474</v>
      </c>
      <c r="AB416" s="16" t="s">
        <v>2303</v>
      </c>
      <c r="AC416" s="16" t="s">
        <v>592</v>
      </c>
      <c r="AD416" s="16">
        <v>840593455</v>
      </c>
      <c r="AE416" s="16">
        <v>1770579385</v>
      </c>
      <c r="AF416" s="16">
        <v>1033650346</v>
      </c>
      <c r="AG416" s="16">
        <v>5120251911395900</v>
      </c>
      <c r="AH416" s="16"/>
      <c r="AI416" s="16" t="s">
        <v>159</v>
      </c>
      <c r="AJ416" s="16" t="s">
        <v>481</v>
      </c>
      <c r="AK416" s="16" t="s">
        <v>3941</v>
      </c>
      <c r="AL416" s="16">
        <v>6130</v>
      </c>
      <c r="AM416" s="16"/>
      <c r="AN416" s="16"/>
      <c r="AO416" s="16">
        <v>588</v>
      </c>
      <c r="AP416" s="16" t="s">
        <v>485</v>
      </c>
      <c r="AQ416" s="16" t="s">
        <v>3942</v>
      </c>
      <c r="AR416" s="3">
        <v>46268</v>
      </c>
      <c r="AS416" s="16" t="s">
        <v>159</v>
      </c>
      <c r="AT416" s="16" t="s">
        <v>1276</v>
      </c>
      <c r="AU416" s="16"/>
      <c r="AV416" s="16" t="s">
        <v>3943</v>
      </c>
      <c r="AW416" s="16"/>
      <c r="AX416" s="16"/>
      <c r="AY416" s="16"/>
      <c r="AZ416" s="16"/>
      <c r="BA416" s="16"/>
      <c r="BB416" s="16"/>
      <c r="BC416" s="16"/>
      <c r="BD416" s="16" t="s">
        <v>159</v>
      </c>
      <c r="BE416" s="16">
        <v>29</v>
      </c>
      <c r="BF416" s="16"/>
      <c r="BG416" s="16"/>
      <c r="BH416" s="16" t="s">
        <v>658</v>
      </c>
      <c r="BI416" s="16">
        <v>588330574</v>
      </c>
      <c r="BJ416" s="16"/>
      <c r="BK416" s="16"/>
      <c r="BL416" s="16"/>
      <c r="BM416" s="16"/>
      <c r="BN416" s="16"/>
      <c r="BO416" s="16"/>
      <c r="BP416" s="16"/>
      <c r="BQ416" s="16"/>
      <c r="BR416" s="16"/>
      <c r="BS416" s="16"/>
      <c r="BT416" s="16"/>
      <c r="BU416" s="16"/>
      <c r="BV416" s="16"/>
      <c r="BW416" s="16"/>
      <c r="BX416" s="16"/>
      <c r="BY416" s="16"/>
      <c r="BZ416" s="16"/>
      <c r="CA416" s="190">
        <v>46275</v>
      </c>
      <c r="CB416" s="3"/>
      <c r="CC416" s="16"/>
      <c r="CD416" s="16"/>
      <c r="CE416" s="16"/>
      <c r="CF416" s="16"/>
      <c r="CG416" s="16"/>
      <c r="CH416" s="16"/>
      <c r="CI416" s="16" t="s">
        <v>3944</v>
      </c>
    </row>
    <row r="417" spans="1:87" ht="174">
      <c r="A417" s="16" t="s">
        <v>4</v>
      </c>
      <c r="B417" s="25" t="s">
        <v>3945</v>
      </c>
      <c r="C417" s="3">
        <v>46276</v>
      </c>
      <c r="D417" s="16" t="s">
        <v>14</v>
      </c>
      <c r="E417" s="16" t="s">
        <v>3946</v>
      </c>
      <c r="F417" s="16">
        <v>2026223340173</v>
      </c>
      <c r="G417" s="16">
        <v>30</v>
      </c>
      <c r="H417" s="16">
        <v>30</v>
      </c>
      <c r="I417" s="16" t="s">
        <v>809</v>
      </c>
      <c r="J417" s="16" t="s">
        <v>3946</v>
      </c>
      <c r="K417" s="16" t="s">
        <v>3947</v>
      </c>
      <c r="L417" s="16" t="s">
        <v>1760</v>
      </c>
      <c r="M417" s="16">
        <v>8</v>
      </c>
      <c r="N417" s="16" t="s">
        <v>462</v>
      </c>
      <c r="O417" s="16" t="s">
        <v>606</v>
      </c>
      <c r="P417" s="16" t="s">
        <v>3948</v>
      </c>
      <c r="Q417" s="16" t="s">
        <v>465</v>
      </c>
      <c r="R417" s="16" t="s">
        <v>466</v>
      </c>
      <c r="S417" s="16" t="s">
        <v>3949</v>
      </c>
      <c r="T417" s="16">
        <v>5916</v>
      </c>
      <c r="U417" s="16">
        <v>46266.803472222222</v>
      </c>
      <c r="V417" s="16" t="s">
        <v>469</v>
      </c>
      <c r="W417" s="16" t="s">
        <v>470</v>
      </c>
      <c r="X417" s="16" t="s">
        <v>471</v>
      </c>
      <c r="Y417" s="16" t="s">
        <v>523</v>
      </c>
      <c r="Z417" s="16" t="s">
        <v>501</v>
      </c>
      <c r="AA417" s="16" t="s">
        <v>474</v>
      </c>
      <c r="AB417" s="16" t="s">
        <v>3950</v>
      </c>
      <c r="AC417" s="16" t="s">
        <v>503</v>
      </c>
      <c r="AD417" s="16">
        <v>541519724</v>
      </c>
      <c r="AE417" s="16">
        <v>1710020623</v>
      </c>
      <c r="AF417" s="16">
        <v>1295279792</v>
      </c>
      <c r="AG417" s="16"/>
      <c r="AH417" s="16"/>
      <c r="AI417" s="16" t="s">
        <v>3951</v>
      </c>
      <c r="AJ417" s="16" t="s">
        <v>481</v>
      </c>
      <c r="AK417" s="16" t="s">
        <v>3952</v>
      </c>
      <c r="AL417" s="16">
        <v>245</v>
      </c>
      <c r="AM417" s="16"/>
      <c r="AN417" s="16"/>
      <c r="AO417" s="16">
        <v>638</v>
      </c>
      <c r="AP417" s="16" t="s">
        <v>485</v>
      </c>
      <c r="AQ417" s="16" t="s">
        <v>3953</v>
      </c>
      <c r="AR417" s="3">
        <v>46267</v>
      </c>
      <c r="AS417" s="16" t="s">
        <v>3951</v>
      </c>
      <c r="AT417" s="16" t="s">
        <v>3954</v>
      </c>
      <c r="AU417" s="16"/>
      <c r="AV417" s="16" t="s">
        <v>3955</v>
      </c>
      <c r="AW417" s="16"/>
      <c r="AX417" s="16"/>
      <c r="AY417" s="16"/>
      <c r="AZ417" s="16"/>
      <c r="BA417" s="16"/>
      <c r="BB417" s="16"/>
      <c r="BC417" s="16"/>
      <c r="BD417" s="16" t="s">
        <v>3951</v>
      </c>
      <c r="BE417" s="16">
        <v>30</v>
      </c>
      <c r="BF417" s="16"/>
      <c r="BG417" s="16"/>
      <c r="BH417" s="16" t="s">
        <v>491</v>
      </c>
      <c r="BI417" s="16">
        <v>230089253</v>
      </c>
      <c r="BJ417" s="16"/>
      <c r="BK417" s="16"/>
      <c r="BL417" s="16"/>
      <c r="BM417" s="16"/>
      <c r="BN417" s="16"/>
      <c r="BO417" s="16"/>
      <c r="BP417" s="16"/>
      <c r="BQ417" s="16"/>
      <c r="BR417" s="16"/>
      <c r="BS417" s="16"/>
      <c r="BT417" s="16"/>
      <c r="BU417" s="16"/>
      <c r="BV417" s="16"/>
      <c r="BW417" s="16"/>
      <c r="BX417" s="16"/>
      <c r="BY417" s="16"/>
      <c r="BZ417" s="16"/>
      <c r="CA417" s="190">
        <v>46274.666666666701</v>
      </c>
      <c r="CB417" s="3"/>
      <c r="CC417" s="16"/>
      <c r="CD417" s="16"/>
      <c r="CE417" s="16"/>
      <c r="CF417" s="16"/>
      <c r="CG417" s="16"/>
      <c r="CH417" s="16"/>
      <c r="CI417" s="16" t="s">
        <v>3956</v>
      </c>
    </row>
    <row r="418" spans="1:87">
      <c r="A418" s="16" t="s">
        <v>5</v>
      </c>
      <c r="B418" s="16" t="s">
        <v>516</v>
      </c>
      <c r="C418" s="3">
        <v>46276</v>
      </c>
      <c r="D418" s="16" t="s">
        <v>14</v>
      </c>
      <c r="E418" s="16" t="s">
        <v>3957</v>
      </c>
      <c r="F418" s="16"/>
      <c r="G418" s="16">
        <v>30</v>
      </c>
      <c r="H418" s="16">
        <v>29</v>
      </c>
      <c r="I418" s="16" t="s">
        <v>809</v>
      </c>
      <c r="J418" s="16" t="s">
        <v>3957</v>
      </c>
      <c r="K418" s="16" t="s">
        <v>518</v>
      </c>
      <c r="L418" s="16" t="s">
        <v>17</v>
      </c>
      <c r="M418" s="16">
        <v>7</v>
      </c>
      <c r="N418" s="16" t="s">
        <v>462</v>
      </c>
      <c r="O418" s="16" t="s">
        <v>606</v>
      </c>
      <c r="P418" s="16">
        <v>971762350</v>
      </c>
      <c r="Q418" s="16" t="s">
        <v>465</v>
      </c>
      <c r="R418" s="16" t="s">
        <v>1056</v>
      </c>
      <c r="S418" s="16" t="s">
        <v>3958</v>
      </c>
      <c r="T418" s="16">
        <v>1016</v>
      </c>
      <c r="U418" s="16">
        <v>46268.008333333331</v>
      </c>
      <c r="V418" s="16" t="s">
        <v>469</v>
      </c>
      <c r="W418" s="16" t="s">
        <v>470</v>
      </c>
      <c r="X418" s="16" t="s">
        <v>471</v>
      </c>
      <c r="Y418" s="16" t="s">
        <v>628</v>
      </c>
      <c r="Z418" s="16" t="s">
        <v>1338</v>
      </c>
      <c r="AA418" s="16" t="s">
        <v>1354</v>
      </c>
      <c r="AB418" s="16" t="s">
        <v>3959</v>
      </c>
      <c r="AC418" s="16" t="s">
        <v>1429</v>
      </c>
      <c r="AD418" s="16">
        <v>510501263</v>
      </c>
      <c r="AE418" s="16">
        <v>1649209123</v>
      </c>
      <c r="AF418" s="16">
        <v>1649209123</v>
      </c>
      <c r="AG418" s="16"/>
      <c r="AH418" s="16"/>
      <c r="AI418" s="16" t="s">
        <v>87</v>
      </c>
      <c r="AJ418" s="16" t="s">
        <v>481</v>
      </c>
      <c r="AK418" s="16" t="s">
        <v>3960</v>
      </c>
      <c r="AL418" s="16">
        <v>245</v>
      </c>
      <c r="AM418" s="16"/>
      <c r="AN418" s="16"/>
      <c r="AO418" s="16">
        <v>97</v>
      </c>
      <c r="AP418" s="16" t="s">
        <v>1063</v>
      </c>
      <c r="AQ418" s="16" t="s">
        <v>3961</v>
      </c>
      <c r="AR418" s="3">
        <v>46268</v>
      </c>
      <c r="AS418" s="16" t="s">
        <v>87</v>
      </c>
      <c r="AT418" s="16" t="s">
        <v>516</v>
      </c>
      <c r="AU418" s="16"/>
      <c r="AV418" s="16" t="s">
        <v>3674</v>
      </c>
      <c r="AW418" s="16"/>
      <c r="AX418" s="16"/>
      <c r="AY418" s="16"/>
      <c r="AZ418" s="16"/>
      <c r="BA418" s="16"/>
      <c r="BB418" s="16"/>
      <c r="BC418" s="16"/>
      <c r="BD418" s="16" t="s">
        <v>87</v>
      </c>
      <c r="BE418" s="16">
        <v>29</v>
      </c>
      <c r="BF418" s="16"/>
      <c r="BG418" s="16" t="s">
        <v>490</v>
      </c>
      <c r="BH418" s="16" t="s">
        <v>491</v>
      </c>
      <c r="BI418" s="16">
        <v>45887392</v>
      </c>
      <c r="BJ418" s="16"/>
      <c r="BK418" s="16"/>
      <c r="BL418" s="16"/>
      <c r="BM418" s="16"/>
      <c r="BN418" s="16"/>
      <c r="BO418" s="16"/>
      <c r="BP418" s="16"/>
      <c r="BQ418" s="16"/>
      <c r="BR418" s="16"/>
      <c r="BS418" s="16"/>
      <c r="BT418" s="16"/>
      <c r="BU418" s="16"/>
      <c r="BV418" s="16"/>
      <c r="BW418" s="16"/>
      <c r="BX418" s="16"/>
      <c r="BY418" s="16"/>
      <c r="BZ418" s="16"/>
      <c r="CA418" s="190">
        <v>46278.666666666701</v>
      </c>
      <c r="CB418" s="3"/>
      <c r="CC418" s="16"/>
      <c r="CD418" s="16"/>
      <c r="CE418" s="16"/>
      <c r="CF418" s="16"/>
      <c r="CG418" s="16"/>
      <c r="CH418" s="16"/>
      <c r="CI418" s="16" t="s">
        <v>3962</v>
      </c>
    </row>
    <row r="419" spans="1:87">
      <c r="A419" s="16"/>
      <c r="B419" s="16"/>
      <c r="C419" s="3">
        <v>46276</v>
      </c>
      <c r="D419" s="16" t="s">
        <v>14</v>
      </c>
      <c r="E419" s="16" t="s">
        <v>3963</v>
      </c>
      <c r="F419" s="16"/>
      <c r="G419" s="16">
        <v>30</v>
      </c>
      <c r="H419" s="16">
        <v>29</v>
      </c>
      <c r="I419" s="16" t="s">
        <v>809</v>
      </c>
      <c r="J419" s="16" t="s">
        <v>3963</v>
      </c>
      <c r="K419" s="16" t="s">
        <v>960</v>
      </c>
      <c r="L419" s="16" t="s">
        <v>13</v>
      </c>
      <c r="M419" s="16">
        <v>7</v>
      </c>
      <c r="N419" s="16" t="s">
        <v>462</v>
      </c>
      <c r="O419" s="16" t="s">
        <v>606</v>
      </c>
      <c r="P419" s="16">
        <v>971762350</v>
      </c>
      <c r="Q419" s="16" t="s">
        <v>465</v>
      </c>
      <c r="R419" s="16" t="s">
        <v>1056</v>
      </c>
      <c r="S419" s="16" t="s">
        <v>3964</v>
      </c>
      <c r="T419" s="16">
        <v>1016</v>
      </c>
      <c r="U419" s="16">
        <v>46267.981249999997</v>
      </c>
      <c r="V419" s="16" t="s">
        <v>469</v>
      </c>
      <c r="W419" s="16" t="s">
        <v>470</v>
      </c>
      <c r="X419" s="16" t="s">
        <v>471</v>
      </c>
      <c r="Y419" s="16" t="s">
        <v>628</v>
      </c>
      <c r="Z419" s="16" t="s">
        <v>1338</v>
      </c>
      <c r="AA419" s="16" t="s">
        <v>1354</v>
      </c>
      <c r="AB419" s="16" t="s">
        <v>3959</v>
      </c>
      <c r="AC419" s="16" t="s">
        <v>1429</v>
      </c>
      <c r="AD419" s="16">
        <v>510501263</v>
      </c>
      <c r="AE419" s="16">
        <v>1649209123</v>
      </c>
      <c r="AF419" s="16">
        <v>1649209123</v>
      </c>
      <c r="AG419" s="16"/>
      <c r="AH419" s="16"/>
      <c r="AI419" s="16" t="s">
        <v>55</v>
      </c>
      <c r="AJ419" s="16" t="s">
        <v>481</v>
      </c>
      <c r="AK419" s="16" t="s">
        <v>3965</v>
      </c>
      <c r="AL419" s="16">
        <v>245</v>
      </c>
      <c r="AM419" s="16"/>
      <c r="AN419" s="16"/>
      <c r="AO419" s="16">
        <v>97</v>
      </c>
      <c r="AP419" s="16" t="s">
        <v>1063</v>
      </c>
      <c r="AQ419" s="16" t="s">
        <v>3966</v>
      </c>
      <c r="AR419" s="3">
        <v>46268</v>
      </c>
      <c r="AS419" s="16" t="s">
        <v>55</v>
      </c>
      <c r="AT419" s="16" t="s">
        <v>516</v>
      </c>
      <c r="AU419" s="16"/>
      <c r="AV419" s="16" t="s">
        <v>3674</v>
      </c>
      <c r="AW419" s="16"/>
      <c r="AX419" s="16"/>
      <c r="AY419" s="16"/>
      <c r="AZ419" s="16"/>
      <c r="BA419" s="16"/>
      <c r="BB419" s="16"/>
      <c r="BC419" s="16"/>
      <c r="BD419" s="16" t="s">
        <v>55</v>
      </c>
      <c r="BE419" s="16">
        <v>29</v>
      </c>
      <c r="BF419" s="16"/>
      <c r="BG419" s="16" t="s">
        <v>490</v>
      </c>
      <c r="BH419" s="16" t="s">
        <v>491</v>
      </c>
      <c r="BI419" s="16">
        <v>45887392</v>
      </c>
      <c r="BJ419" s="16"/>
      <c r="BK419" s="16"/>
      <c r="BL419" s="16"/>
      <c r="BM419" s="16"/>
      <c r="BN419" s="16"/>
      <c r="BO419" s="16"/>
      <c r="BP419" s="16"/>
      <c r="BQ419" s="16"/>
      <c r="BR419" s="16"/>
      <c r="BS419" s="16"/>
      <c r="BT419" s="16"/>
      <c r="BU419" s="16"/>
      <c r="BV419" s="16"/>
      <c r="BW419" s="16"/>
      <c r="BX419" s="16"/>
      <c r="BY419" s="16"/>
      <c r="BZ419" s="16"/>
      <c r="CA419" s="190">
        <v>46275</v>
      </c>
      <c r="CB419" s="3"/>
      <c r="CC419" s="16"/>
      <c r="CD419" s="16"/>
      <c r="CE419" s="16"/>
      <c r="CF419" s="16"/>
      <c r="CG419" s="16"/>
      <c r="CH419" s="16"/>
      <c r="CI419" s="16" t="s">
        <v>3967</v>
      </c>
    </row>
    <row r="420" spans="1:87">
      <c r="A420" s="16"/>
      <c r="B420" s="16"/>
      <c r="C420" s="3">
        <v>46276</v>
      </c>
      <c r="D420" s="16" t="s">
        <v>14</v>
      </c>
      <c r="E420" s="16" t="s">
        <v>3968</v>
      </c>
      <c r="F420" s="16">
        <v>2026223130577</v>
      </c>
      <c r="G420" s="16">
        <v>30</v>
      </c>
      <c r="H420" s="16">
        <v>30</v>
      </c>
      <c r="I420" s="16" t="s">
        <v>809</v>
      </c>
      <c r="J420" s="16" t="s">
        <v>3968</v>
      </c>
      <c r="K420" s="16" t="s">
        <v>3969</v>
      </c>
      <c r="L420" s="16" t="s">
        <v>1760</v>
      </c>
      <c r="M420" s="16">
        <v>7</v>
      </c>
      <c r="N420" s="16" t="s">
        <v>462</v>
      </c>
      <c r="O420" s="16" t="s">
        <v>606</v>
      </c>
      <c r="P420" s="16">
        <v>971773116</v>
      </c>
      <c r="Q420" s="16" t="s">
        <v>465</v>
      </c>
      <c r="R420" s="16" t="s">
        <v>466</v>
      </c>
      <c r="S420" s="16" t="s">
        <v>3970</v>
      </c>
      <c r="T420" s="16">
        <v>458</v>
      </c>
      <c r="U420" s="16">
        <v>46267.73333333333</v>
      </c>
      <c r="V420" s="16" t="s">
        <v>469</v>
      </c>
      <c r="W420" s="16" t="s">
        <v>470</v>
      </c>
      <c r="X420" s="16" t="s">
        <v>471</v>
      </c>
      <c r="Y420" s="16" t="s">
        <v>628</v>
      </c>
      <c r="Z420" s="16" t="s">
        <v>1338</v>
      </c>
      <c r="AA420" s="16" t="s">
        <v>474</v>
      </c>
      <c r="AB420" s="16" t="s">
        <v>3971</v>
      </c>
      <c r="AC420" s="16" t="s">
        <v>1429</v>
      </c>
      <c r="AD420" s="16">
        <v>60646768</v>
      </c>
      <c r="AE420" s="16">
        <v>1053477075</v>
      </c>
      <c r="AF420" s="16"/>
      <c r="AG420" s="16"/>
      <c r="AH420" s="16"/>
      <c r="AI420" s="16" t="s">
        <v>3972</v>
      </c>
      <c r="AJ420" s="16" t="s">
        <v>481</v>
      </c>
      <c r="AK420" s="16" t="s">
        <v>3973</v>
      </c>
      <c r="AL420" s="16">
        <v>16805.72</v>
      </c>
      <c r="AM420" s="16"/>
      <c r="AN420" s="16"/>
      <c r="AO420" s="16">
        <v>971</v>
      </c>
      <c r="AP420" s="16" t="s">
        <v>485</v>
      </c>
      <c r="AQ420" s="16" t="s">
        <v>3974</v>
      </c>
      <c r="AR420" s="3">
        <v>46268</v>
      </c>
      <c r="AS420" s="16" t="s">
        <v>3972</v>
      </c>
      <c r="AT420" s="16" t="s">
        <v>516</v>
      </c>
      <c r="AU420" s="16"/>
      <c r="AV420" s="16" t="s">
        <v>3975</v>
      </c>
      <c r="AW420" s="16"/>
      <c r="AX420" s="16"/>
      <c r="AY420" s="16"/>
      <c r="AZ420" s="16"/>
      <c r="BA420" s="16"/>
      <c r="BB420" s="16"/>
      <c r="BC420" s="16"/>
      <c r="BD420" s="16" t="s">
        <v>3972</v>
      </c>
      <c r="BE420" s="16">
        <v>30</v>
      </c>
      <c r="BF420" s="16"/>
      <c r="BG420" s="16"/>
      <c r="BH420" s="16" t="s">
        <v>491</v>
      </c>
      <c r="BI420" s="16">
        <v>463298415</v>
      </c>
      <c r="BJ420" s="16"/>
      <c r="BK420" s="16"/>
      <c r="BL420" s="16"/>
      <c r="BM420" s="16"/>
      <c r="BN420" s="16"/>
      <c r="BO420" s="16"/>
      <c r="BP420" s="16"/>
      <c r="BQ420" s="16"/>
      <c r="BR420" s="16"/>
      <c r="BS420" s="16"/>
      <c r="BT420" s="16"/>
      <c r="BU420" s="16"/>
      <c r="BV420" s="16"/>
      <c r="BW420" s="16"/>
      <c r="BX420" s="16"/>
      <c r="BY420" s="16"/>
      <c r="BZ420" s="16"/>
      <c r="CA420" s="190">
        <v>46275</v>
      </c>
      <c r="CB420" s="3"/>
      <c r="CC420" s="16"/>
      <c r="CD420" s="16"/>
      <c r="CE420" s="16"/>
      <c r="CF420" s="16"/>
      <c r="CG420" s="16"/>
      <c r="CH420" s="16"/>
      <c r="CI420" s="16" t="s">
        <v>3976</v>
      </c>
    </row>
    <row r="421" spans="1:87">
      <c r="A421" s="16" t="s">
        <v>5</v>
      </c>
      <c r="B421" s="16" t="s">
        <v>3977</v>
      </c>
      <c r="C421" s="3">
        <v>46276</v>
      </c>
      <c r="D421" s="16" t="s">
        <v>14</v>
      </c>
      <c r="E421" s="16" t="s">
        <v>3978</v>
      </c>
      <c r="F421" s="16">
        <v>2026222530491</v>
      </c>
      <c r="G421" s="16">
        <v>40</v>
      </c>
      <c r="H421" s="16">
        <v>31</v>
      </c>
      <c r="I421" s="16" t="s">
        <v>460</v>
      </c>
      <c r="J421" s="16" t="s">
        <v>3978</v>
      </c>
      <c r="K421" s="16" t="s">
        <v>3914</v>
      </c>
      <c r="L421" s="16" t="s">
        <v>1760</v>
      </c>
      <c r="M421" s="16">
        <v>8</v>
      </c>
      <c r="N421" s="16" t="s">
        <v>462</v>
      </c>
      <c r="O421" s="16" t="s">
        <v>606</v>
      </c>
      <c r="P421" s="16" t="s">
        <v>3979</v>
      </c>
      <c r="Q421" s="16" t="s">
        <v>465</v>
      </c>
      <c r="R421" s="16" t="s">
        <v>466</v>
      </c>
      <c r="S421" s="16" t="s">
        <v>3980</v>
      </c>
      <c r="T421" s="16">
        <v>47259</v>
      </c>
      <c r="U421" s="16">
        <v>46266.909722222219</v>
      </c>
      <c r="V421" s="16" t="s">
        <v>469</v>
      </c>
      <c r="W421" s="16" t="s">
        <v>470</v>
      </c>
      <c r="X421" s="16" t="s">
        <v>471</v>
      </c>
      <c r="Y421" s="16" t="s">
        <v>628</v>
      </c>
      <c r="Z421" s="16" t="s">
        <v>501</v>
      </c>
      <c r="AA421" s="16" t="s">
        <v>474</v>
      </c>
      <c r="AB421" s="16" t="s">
        <v>3981</v>
      </c>
      <c r="AC421" s="16" t="s">
        <v>503</v>
      </c>
      <c r="AD421" s="16">
        <v>452861173</v>
      </c>
      <c r="AE421" s="16">
        <v>1194004093</v>
      </c>
      <c r="AF421" s="16">
        <v>1114925500</v>
      </c>
      <c r="AG421" s="16"/>
      <c r="AH421" s="16"/>
      <c r="AI421" s="16" t="s">
        <v>3916</v>
      </c>
      <c r="AJ421" s="16" t="s">
        <v>481</v>
      </c>
      <c r="AK421" s="16" t="s">
        <v>3982</v>
      </c>
      <c r="AL421" s="16">
        <v>3550</v>
      </c>
      <c r="AM421" s="16"/>
      <c r="AN421" s="16"/>
      <c r="AO421" s="16">
        <v>392</v>
      </c>
      <c r="AP421" s="16" t="s">
        <v>485</v>
      </c>
      <c r="AQ421" s="16" t="s">
        <v>3983</v>
      </c>
      <c r="AR421" s="3">
        <v>46267</v>
      </c>
      <c r="AS421" s="16" t="s">
        <v>3916</v>
      </c>
      <c r="AT421" s="16" t="s">
        <v>3984</v>
      </c>
      <c r="AU421" s="16"/>
      <c r="AV421" s="16" t="s">
        <v>3985</v>
      </c>
      <c r="AW421" s="16"/>
      <c r="AX421" s="16"/>
      <c r="AY421" s="16"/>
      <c r="AZ421" s="16"/>
      <c r="BA421" s="16"/>
      <c r="BB421" s="16"/>
      <c r="BC421" s="16"/>
      <c r="BD421" s="16" t="s">
        <v>3916</v>
      </c>
      <c r="BE421" s="16">
        <v>31</v>
      </c>
      <c r="BF421" s="16"/>
      <c r="BG421" s="16"/>
      <c r="BH421" s="16" t="s">
        <v>491</v>
      </c>
      <c r="BI421" s="16">
        <v>228773459</v>
      </c>
      <c r="BJ421" s="16"/>
      <c r="BK421" s="16"/>
      <c r="BL421" s="16"/>
      <c r="BM421" s="16"/>
      <c r="BN421" s="16"/>
      <c r="BO421" s="16"/>
      <c r="BP421" s="16"/>
      <c r="BQ421" s="16"/>
      <c r="BR421" s="16"/>
      <c r="BS421" s="16"/>
      <c r="BT421" s="16"/>
      <c r="BU421" s="16"/>
      <c r="BV421" s="16"/>
      <c r="BW421" s="16"/>
      <c r="BX421" s="16"/>
      <c r="BY421" s="16"/>
      <c r="BZ421" s="16"/>
      <c r="CA421" s="190">
        <v>46282.666666666701</v>
      </c>
      <c r="CB421" s="3"/>
      <c r="CC421" s="16"/>
      <c r="CD421" s="16"/>
      <c r="CE421" s="16"/>
      <c r="CF421" s="16"/>
      <c r="CG421" s="16"/>
      <c r="CH421" s="16"/>
      <c r="CI421" s="16" t="s">
        <v>3986</v>
      </c>
    </row>
    <row r="422" spans="1:87" ht="29.25">
      <c r="A422" s="16" t="s">
        <v>5</v>
      </c>
      <c r="B422" s="25" t="s">
        <v>3493</v>
      </c>
      <c r="C422" s="3">
        <v>46276</v>
      </c>
      <c r="D422" s="16" t="s">
        <v>14</v>
      </c>
      <c r="E422" s="16" t="s">
        <v>3987</v>
      </c>
      <c r="F422" s="16">
        <v>2026222340128</v>
      </c>
      <c r="G422" s="16">
        <v>40</v>
      </c>
      <c r="H422" s="16">
        <v>31</v>
      </c>
      <c r="I422" s="16" t="s">
        <v>460</v>
      </c>
      <c r="J422" s="16" t="s">
        <v>3987</v>
      </c>
      <c r="K422" s="16" t="s">
        <v>461</v>
      </c>
      <c r="L422" s="16" t="s">
        <v>17</v>
      </c>
      <c r="M422" s="16">
        <v>9</v>
      </c>
      <c r="N422" s="16" t="s">
        <v>462</v>
      </c>
      <c r="O422" s="16" t="s">
        <v>606</v>
      </c>
      <c r="P422" s="16" t="s">
        <v>3988</v>
      </c>
      <c r="Q422" s="16" t="s">
        <v>465</v>
      </c>
      <c r="R422" s="16" t="s">
        <v>466</v>
      </c>
      <c r="S422" s="16" t="s">
        <v>3989</v>
      </c>
      <c r="T422" s="16">
        <v>5873</v>
      </c>
      <c r="U422" s="16">
        <v>46265.9375</v>
      </c>
      <c r="V422" s="16" t="s">
        <v>469</v>
      </c>
      <c r="W422" s="16" t="s">
        <v>470</v>
      </c>
      <c r="X422" s="16" t="s">
        <v>471</v>
      </c>
      <c r="Y422" s="16" t="s">
        <v>628</v>
      </c>
      <c r="Z422" s="16" t="s">
        <v>501</v>
      </c>
      <c r="AA422" s="16" t="s">
        <v>474</v>
      </c>
      <c r="AB422" s="16" t="s">
        <v>3990</v>
      </c>
      <c r="AC422" s="16" t="s">
        <v>546</v>
      </c>
      <c r="AD422" s="16">
        <v>453694469</v>
      </c>
      <c r="AE422" s="16">
        <v>1063799120</v>
      </c>
      <c r="AF422" s="16">
        <v>1043662463</v>
      </c>
      <c r="AG422" s="16"/>
      <c r="AH422" s="16"/>
      <c r="AI422" s="16" t="s">
        <v>67</v>
      </c>
      <c r="AJ422" s="16" t="s">
        <v>481</v>
      </c>
      <c r="AK422" s="16" t="s">
        <v>3991</v>
      </c>
      <c r="AL422" s="16">
        <v>5246</v>
      </c>
      <c r="AM422" s="16"/>
      <c r="AN422" s="16"/>
      <c r="AO422" s="16">
        <v>787</v>
      </c>
      <c r="AP422" s="16" t="s">
        <v>485</v>
      </c>
      <c r="AQ422" s="16" t="s">
        <v>3992</v>
      </c>
      <c r="AR422" s="3">
        <v>46266</v>
      </c>
      <c r="AS422" s="16" t="s">
        <v>67</v>
      </c>
      <c r="AT422" s="16" t="s">
        <v>487</v>
      </c>
      <c r="AU422" s="16"/>
      <c r="AV422" s="16" t="s">
        <v>3993</v>
      </c>
      <c r="AW422" s="16"/>
      <c r="AX422" s="16"/>
      <c r="AY422" s="16"/>
      <c r="AZ422" s="16"/>
      <c r="BA422" s="16"/>
      <c r="BB422" s="16"/>
      <c r="BC422" s="16"/>
      <c r="BD422" s="16" t="s">
        <v>67</v>
      </c>
      <c r="BE422" s="16">
        <v>31</v>
      </c>
      <c r="BF422" s="16"/>
      <c r="BG422" s="16" t="s">
        <v>490</v>
      </c>
      <c r="BH422" s="16" t="s">
        <v>491</v>
      </c>
      <c r="BI422" s="16">
        <v>256330505</v>
      </c>
      <c r="BJ422" s="16"/>
      <c r="BK422" s="16"/>
      <c r="BL422" s="16"/>
      <c r="BM422" s="16"/>
      <c r="BN422" s="16"/>
      <c r="BO422" s="16"/>
      <c r="BP422" s="16"/>
      <c r="BQ422" s="16"/>
      <c r="BR422" s="16"/>
      <c r="BS422" s="16"/>
      <c r="BT422" s="16"/>
      <c r="BU422" s="16"/>
      <c r="BV422" s="16"/>
      <c r="BW422" s="16"/>
      <c r="BX422" s="16"/>
      <c r="BY422" s="16"/>
      <c r="BZ422" s="16"/>
      <c r="CA422" s="190">
        <v>46275.166666666701</v>
      </c>
      <c r="CB422" s="3"/>
      <c r="CC422" s="16"/>
      <c r="CD422" s="16"/>
      <c r="CE422" s="16"/>
      <c r="CF422" s="16"/>
      <c r="CG422" s="16"/>
      <c r="CH422" s="16"/>
      <c r="CI422" s="16" t="s">
        <v>3994</v>
      </c>
    </row>
    <row r="423" spans="1:87" ht="29.25">
      <c r="A423" s="16" t="s">
        <v>5</v>
      </c>
      <c r="B423" s="25" t="s">
        <v>3597</v>
      </c>
      <c r="C423" s="3">
        <v>46276</v>
      </c>
      <c r="D423" s="16" t="s">
        <v>14</v>
      </c>
      <c r="E423" s="16" t="s">
        <v>3995</v>
      </c>
      <c r="F423" s="16"/>
      <c r="G423" s="16">
        <v>40</v>
      </c>
      <c r="H423" s="16">
        <v>31</v>
      </c>
      <c r="I423" s="16" t="s">
        <v>460</v>
      </c>
      <c r="J423" s="16" t="s">
        <v>3995</v>
      </c>
      <c r="K423" s="16" t="s">
        <v>994</v>
      </c>
      <c r="L423" s="16" t="s">
        <v>17</v>
      </c>
      <c r="M423" s="16">
        <v>9</v>
      </c>
      <c r="N423" s="16" t="s">
        <v>462</v>
      </c>
      <c r="O423" s="16" t="s">
        <v>606</v>
      </c>
      <c r="P423" s="16">
        <v>973636150</v>
      </c>
      <c r="Q423" s="16" t="s">
        <v>1055</v>
      </c>
      <c r="R423" s="16" t="s">
        <v>1350</v>
      </c>
      <c r="S423" s="16" t="s">
        <v>3996</v>
      </c>
      <c r="T423" s="16">
        <v>1116</v>
      </c>
      <c r="U423" s="16">
        <v>46265.874305555553</v>
      </c>
      <c r="V423" s="16" t="s">
        <v>469</v>
      </c>
      <c r="W423" s="16" t="s">
        <v>470</v>
      </c>
      <c r="X423" s="16" t="s">
        <v>471</v>
      </c>
      <c r="Y423" s="16" t="s">
        <v>628</v>
      </c>
      <c r="Z423" s="16" t="s">
        <v>1338</v>
      </c>
      <c r="AA423" s="16" t="s">
        <v>1354</v>
      </c>
      <c r="AB423" s="16" t="s">
        <v>3997</v>
      </c>
      <c r="AC423" s="16" t="s">
        <v>1429</v>
      </c>
      <c r="AD423" s="16">
        <v>60646973</v>
      </c>
      <c r="AE423" s="16">
        <v>1205822236</v>
      </c>
      <c r="AF423" s="16">
        <v>1588050017</v>
      </c>
      <c r="AG423" s="16"/>
      <c r="AH423" s="16"/>
      <c r="AI423" s="16" t="s">
        <v>107</v>
      </c>
      <c r="AJ423" s="16" t="s">
        <v>481</v>
      </c>
      <c r="AK423" s="16" t="s">
        <v>3998</v>
      </c>
      <c r="AL423" s="16">
        <v>11675</v>
      </c>
      <c r="AM423" s="16"/>
      <c r="AN423" s="16"/>
      <c r="AO423" s="16">
        <v>97</v>
      </c>
      <c r="AP423" s="16" t="s">
        <v>485</v>
      </c>
      <c r="AQ423" s="16" t="s">
        <v>3999</v>
      </c>
      <c r="AR423" s="3">
        <v>46266</v>
      </c>
      <c r="AS423" s="16" t="s">
        <v>107</v>
      </c>
      <c r="AT423" s="16" t="s">
        <v>516</v>
      </c>
      <c r="AU423" s="16"/>
      <c r="AV423" s="16" t="s">
        <v>4000</v>
      </c>
      <c r="AW423" s="16"/>
      <c r="AX423" s="16"/>
      <c r="AY423" s="16"/>
      <c r="AZ423" s="16"/>
      <c r="BA423" s="16"/>
      <c r="BB423" s="16"/>
      <c r="BC423" s="16"/>
      <c r="BD423" s="16" t="s">
        <v>107</v>
      </c>
      <c r="BE423" s="16">
        <v>31</v>
      </c>
      <c r="BF423" s="16"/>
      <c r="BG423" s="16"/>
      <c r="BH423" s="16" t="s">
        <v>491</v>
      </c>
      <c r="BI423" s="16">
        <v>42683549</v>
      </c>
      <c r="BJ423" s="16"/>
      <c r="BK423" s="16"/>
      <c r="BL423" s="16"/>
      <c r="BM423" s="16"/>
      <c r="BN423" s="16"/>
      <c r="BO423" s="16"/>
      <c r="BP423" s="16"/>
      <c r="BQ423" s="16"/>
      <c r="BR423" s="16"/>
      <c r="BS423" s="16"/>
      <c r="BT423" s="16"/>
      <c r="BU423" s="16"/>
      <c r="BV423" s="16"/>
      <c r="BW423" s="16"/>
      <c r="BX423" s="16"/>
      <c r="BY423" s="16"/>
      <c r="BZ423" s="16"/>
      <c r="CA423" s="190">
        <v>46285.666666666701</v>
      </c>
      <c r="CB423" s="3"/>
      <c r="CC423" s="16"/>
      <c r="CD423" s="16"/>
      <c r="CE423" s="16"/>
      <c r="CF423" s="16"/>
      <c r="CG423" s="16"/>
      <c r="CH423" s="16"/>
      <c r="CI423" s="16" t="s">
        <v>4001</v>
      </c>
    </row>
    <row r="424" spans="1:87">
      <c r="A424" s="16"/>
      <c r="B424" s="16"/>
      <c r="C424" s="3">
        <v>46276</v>
      </c>
      <c r="D424" s="16" t="s">
        <v>14</v>
      </c>
      <c r="E424" s="16" t="s">
        <v>4002</v>
      </c>
      <c r="F424" s="16">
        <v>2026220070054</v>
      </c>
      <c r="G424" s="16">
        <v>40</v>
      </c>
      <c r="H424" s="16">
        <v>33</v>
      </c>
      <c r="I424" s="16" t="s">
        <v>460</v>
      </c>
      <c r="J424" s="16" t="s">
        <v>4002</v>
      </c>
      <c r="K424" s="16" t="s">
        <v>1083</v>
      </c>
      <c r="L424" s="16" t="s">
        <v>17</v>
      </c>
      <c r="M424" s="16">
        <v>9</v>
      </c>
      <c r="N424" s="16" t="s">
        <v>462</v>
      </c>
      <c r="O424" s="16" t="s">
        <v>606</v>
      </c>
      <c r="P424" s="16">
        <v>806790455</v>
      </c>
      <c r="Q424" s="16" t="s">
        <v>465</v>
      </c>
      <c r="R424" s="16" t="s">
        <v>466</v>
      </c>
      <c r="S424" s="16" t="s">
        <v>4003</v>
      </c>
      <c r="T424" s="16">
        <v>173326</v>
      </c>
      <c r="U424" s="16">
        <v>46265.779166666667</v>
      </c>
      <c r="V424" s="16" t="s">
        <v>469</v>
      </c>
      <c r="W424" s="16" t="s">
        <v>651</v>
      </c>
      <c r="X424" s="16" t="s">
        <v>652</v>
      </c>
      <c r="Y424" s="16" t="s">
        <v>653</v>
      </c>
      <c r="Z424" s="16" t="s">
        <v>473</v>
      </c>
      <c r="AA424" s="16" t="s">
        <v>474</v>
      </c>
      <c r="AB424" s="16" t="s">
        <v>684</v>
      </c>
      <c r="AC424" s="16" t="s">
        <v>476</v>
      </c>
      <c r="AD424" s="16">
        <v>391245484</v>
      </c>
      <c r="AE424" s="16">
        <v>1144274390</v>
      </c>
      <c r="AF424" s="16">
        <v>1376208454</v>
      </c>
      <c r="AG424" s="16">
        <v>4.58202525218186E+16</v>
      </c>
      <c r="AH424" s="16"/>
      <c r="AI424" s="16" t="s">
        <v>48</v>
      </c>
      <c r="AJ424" s="16" t="s">
        <v>481</v>
      </c>
      <c r="AK424" s="16" t="s">
        <v>4004</v>
      </c>
      <c r="AL424" s="16">
        <v>13565</v>
      </c>
      <c r="AM424" s="16"/>
      <c r="AN424" s="16"/>
      <c r="AO424" s="16">
        <v>806</v>
      </c>
      <c r="AP424" s="16" t="s">
        <v>485</v>
      </c>
      <c r="AQ424" s="16" t="s">
        <v>4005</v>
      </c>
      <c r="AR424" s="3">
        <v>46266</v>
      </c>
      <c r="AS424" s="16" t="s">
        <v>48</v>
      </c>
      <c r="AT424" s="16" t="s">
        <v>516</v>
      </c>
      <c r="AU424" s="16"/>
      <c r="AV424" s="16" t="s">
        <v>4006</v>
      </c>
      <c r="AW424" s="16"/>
      <c r="AX424" s="16"/>
      <c r="AY424" s="16"/>
      <c r="AZ424" s="16"/>
      <c r="BA424" s="16"/>
      <c r="BB424" s="16"/>
      <c r="BC424" s="16"/>
      <c r="BD424" s="16" t="s">
        <v>48</v>
      </c>
      <c r="BE424" s="16">
        <v>33</v>
      </c>
      <c r="BF424" s="16"/>
      <c r="BG424" s="16" t="s">
        <v>490</v>
      </c>
      <c r="BH424" s="16" t="s">
        <v>658</v>
      </c>
      <c r="BI424" s="16">
        <v>806790455</v>
      </c>
      <c r="BJ424" s="16"/>
      <c r="BK424" s="16"/>
      <c r="BL424" s="16"/>
      <c r="BM424" s="16"/>
      <c r="BN424" s="16"/>
      <c r="BO424" s="16"/>
      <c r="BP424" s="16"/>
      <c r="BQ424" s="16"/>
      <c r="BR424" s="16"/>
      <c r="BS424" s="16"/>
      <c r="BT424" s="16"/>
      <c r="BU424" s="16"/>
      <c r="BV424" s="16"/>
      <c r="BW424" s="16"/>
      <c r="BX424" s="16"/>
      <c r="BY424" s="16"/>
      <c r="BZ424" s="16"/>
      <c r="CA424" s="190">
        <v>46275</v>
      </c>
      <c r="CB424" s="3"/>
      <c r="CC424" s="16"/>
      <c r="CD424" s="16"/>
      <c r="CE424" s="16"/>
      <c r="CF424" s="16"/>
      <c r="CG424" s="16"/>
      <c r="CH424" s="16"/>
      <c r="CI424" s="16" t="s">
        <v>4007</v>
      </c>
    </row>
    <row r="425" spans="1:87">
      <c r="A425" s="16" t="s">
        <v>5</v>
      </c>
      <c r="B425" s="16" t="s">
        <v>516</v>
      </c>
      <c r="C425" s="3">
        <v>46276</v>
      </c>
      <c r="D425" s="16" t="s">
        <v>14</v>
      </c>
      <c r="E425" s="16" t="s">
        <v>4008</v>
      </c>
      <c r="F425" s="16">
        <v>2026222730097</v>
      </c>
      <c r="G425" s="16">
        <v>40</v>
      </c>
      <c r="H425" s="16">
        <v>31</v>
      </c>
      <c r="I425" s="16" t="s">
        <v>460</v>
      </c>
      <c r="J425" s="16" t="s">
        <v>4008</v>
      </c>
      <c r="K425" s="16" t="s">
        <v>2270</v>
      </c>
      <c r="L425" s="16" t="s">
        <v>13</v>
      </c>
      <c r="M425" s="16">
        <v>9</v>
      </c>
      <c r="N425" s="16" t="s">
        <v>462</v>
      </c>
      <c r="O425" s="16" t="s">
        <v>606</v>
      </c>
      <c r="P425" s="16">
        <v>132966672</v>
      </c>
      <c r="Q425" s="16" t="s">
        <v>465</v>
      </c>
      <c r="R425" s="16" t="s">
        <v>1193</v>
      </c>
      <c r="S425" s="16" t="s">
        <v>4009</v>
      </c>
      <c r="T425" s="16">
        <v>173325</v>
      </c>
      <c r="U425" s="16">
        <v>46265.902083333334</v>
      </c>
      <c r="V425" s="16" t="s">
        <v>469</v>
      </c>
      <c r="W425" s="16" t="s">
        <v>651</v>
      </c>
      <c r="X425" s="16" t="s">
        <v>652</v>
      </c>
      <c r="Y425" s="16" t="s">
        <v>653</v>
      </c>
      <c r="Z425" s="16" t="s">
        <v>731</v>
      </c>
      <c r="AA425" s="16" t="s">
        <v>474</v>
      </c>
      <c r="AB425" s="16" t="s">
        <v>732</v>
      </c>
      <c r="AC425" s="16" t="s">
        <v>733</v>
      </c>
      <c r="AD425" s="16">
        <v>900294051</v>
      </c>
      <c r="AE425" s="16">
        <v>1639291263</v>
      </c>
      <c r="AF425" s="16">
        <v>1386871069</v>
      </c>
      <c r="AG425" s="16">
        <v>7.4820252730297296E+16</v>
      </c>
      <c r="AH425" s="16"/>
      <c r="AI425" s="16" t="s">
        <v>28</v>
      </c>
      <c r="AJ425" s="16" t="s">
        <v>481</v>
      </c>
      <c r="AK425" s="16" t="s">
        <v>4010</v>
      </c>
      <c r="AL425" s="16">
        <v>13132</v>
      </c>
      <c r="AM425" s="16"/>
      <c r="AN425" s="16"/>
      <c r="AO425" s="16">
        <v>132</v>
      </c>
      <c r="AP425" s="16" t="s">
        <v>485</v>
      </c>
      <c r="AQ425" s="16" t="s">
        <v>4011</v>
      </c>
      <c r="AR425" s="3">
        <v>46266</v>
      </c>
      <c r="AS425" s="16" t="s">
        <v>28</v>
      </c>
      <c r="AT425" s="16" t="s">
        <v>516</v>
      </c>
      <c r="AU425" s="16"/>
      <c r="AV425" s="16" t="s">
        <v>4012</v>
      </c>
      <c r="AW425" s="16"/>
      <c r="AX425" s="16"/>
      <c r="AY425" s="16"/>
      <c r="AZ425" s="16"/>
      <c r="BA425" s="16"/>
      <c r="BB425" s="16"/>
      <c r="BC425" s="16"/>
      <c r="BD425" s="16" t="s">
        <v>28</v>
      </c>
      <c r="BE425" s="16">
        <v>31</v>
      </c>
      <c r="BF425" s="16"/>
      <c r="BG425" s="16" t="s">
        <v>490</v>
      </c>
      <c r="BH425" s="16" t="s">
        <v>658</v>
      </c>
      <c r="BI425" s="16">
        <v>132966672</v>
      </c>
      <c r="BJ425" s="16"/>
      <c r="BK425" s="16"/>
      <c r="BL425" s="16"/>
      <c r="BM425" s="16"/>
      <c r="BN425" s="16"/>
      <c r="BO425" s="16"/>
      <c r="BP425" s="16"/>
      <c r="BQ425" s="16"/>
      <c r="BR425" s="16"/>
      <c r="BS425" s="16"/>
      <c r="BT425" s="16"/>
      <c r="BU425" s="16"/>
      <c r="BV425" s="16"/>
      <c r="BW425" s="16"/>
      <c r="BX425" s="16"/>
      <c r="BY425" s="16"/>
      <c r="BZ425" s="16"/>
      <c r="CA425" s="190">
        <v>46280.666666666701</v>
      </c>
      <c r="CB425" s="3"/>
      <c r="CC425" s="16"/>
      <c r="CD425" s="16"/>
      <c r="CE425" s="16"/>
      <c r="CF425" s="16"/>
      <c r="CG425" s="16"/>
      <c r="CH425" s="16"/>
      <c r="CI425" s="16" t="s">
        <v>4013</v>
      </c>
    </row>
    <row r="426" spans="1:87">
      <c r="A426" s="16" t="s">
        <v>5</v>
      </c>
      <c r="B426" s="16" t="s">
        <v>4014</v>
      </c>
      <c r="C426" s="3">
        <v>46276</v>
      </c>
      <c r="D426" s="16" t="s">
        <v>14</v>
      </c>
      <c r="E426" s="16" t="s">
        <v>4015</v>
      </c>
      <c r="F426" s="16">
        <v>2026220210133</v>
      </c>
      <c r="G426" s="16">
        <v>40</v>
      </c>
      <c r="H426" s="16">
        <v>33</v>
      </c>
      <c r="I426" s="16" t="s">
        <v>460</v>
      </c>
      <c r="J426" s="16" t="s">
        <v>4015</v>
      </c>
      <c r="K426" s="16" t="s">
        <v>2270</v>
      </c>
      <c r="L426" s="16" t="s">
        <v>13</v>
      </c>
      <c r="M426" s="16">
        <v>9</v>
      </c>
      <c r="N426" s="16" t="s">
        <v>462</v>
      </c>
      <c r="O426" s="16" t="s">
        <v>606</v>
      </c>
      <c r="P426" s="16">
        <v>117057147</v>
      </c>
      <c r="Q426" s="16" t="s">
        <v>465</v>
      </c>
      <c r="R426" s="16" t="s">
        <v>466</v>
      </c>
      <c r="S426" s="16" t="s">
        <v>4016</v>
      </c>
      <c r="T426" s="16">
        <v>173325</v>
      </c>
      <c r="U426" s="16">
        <v>46265.76458333333</v>
      </c>
      <c r="V426" s="16" t="s">
        <v>469</v>
      </c>
      <c r="W426" s="16" t="s">
        <v>651</v>
      </c>
      <c r="X426" s="16" t="s">
        <v>652</v>
      </c>
      <c r="Y426" s="16" t="s">
        <v>653</v>
      </c>
      <c r="Z426" s="16" t="s">
        <v>731</v>
      </c>
      <c r="AA426" s="16" t="s">
        <v>474</v>
      </c>
      <c r="AB426" s="16" t="s">
        <v>732</v>
      </c>
      <c r="AC426" s="16" t="s">
        <v>733</v>
      </c>
      <c r="AD426" s="16">
        <v>430653611</v>
      </c>
      <c r="AE426" s="16">
        <v>1679516033</v>
      </c>
      <c r="AF426" s="16">
        <v>1942736822</v>
      </c>
      <c r="AG426" s="16">
        <v>7.4820251961359008E+16</v>
      </c>
      <c r="AH426" s="16"/>
      <c r="AI426" s="16" t="s">
        <v>28</v>
      </c>
      <c r="AJ426" s="16" t="s">
        <v>481</v>
      </c>
      <c r="AK426" s="16" t="s">
        <v>4017</v>
      </c>
      <c r="AL426" s="16">
        <v>13082.7</v>
      </c>
      <c r="AM426" s="16"/>
      <c r="AN426" s="16"/>
      <c r="AO426" s="16">
        <v>117</v>
      </c>
      <c r="AP426" s="16" t="s">
        <v>485</v>
      </c>
      <c r="AQ426" s="16" t="s">
        <v>4018</v>
      </c>
      <c r="AR426" s="3">
        <v>46266</v>
      </c>
      <c r="AS426" s="16" t="s">
        <v>28</v>
      </c>
      <c r="AT426" s="16" t="s">
        <v>516</v>
      </c>
      <c r="AU426" s="16"/>
      <c r="AV426" s="16" t="s">
        <v>4019</v>
      </c>
      <c r="AW426" s="16"/>
      <c r="AX426" s="16"/>
      <c r="AY426" s="16"/>
      <c r="AZ426" s="16"/>
      <c r="BA426" s="16"/>
      <c r="BB426" s="16"/>
      <c r="BC426" s="16"/>
      <c r="BD426" s="16" t="s">
        <v>28</v>
      </c>
      <c r="BE426" s="16">
        <v>33</v>
      </c>
      <c r="BF426" s="16"/>
      <c r="BG426" s="16"/>
      <c r="BH426" s="16" t="s">
        <v>658</v>
      </c>
      <c r="BI426" s="16">
        <v>117057147</v>
      </c>
      <c r="BJ426" s="16"/>
      <c r="BK426" s="16"/>
      <c r="BL426" s="16"/>
      <c r="BM426" s="16"/>
      <c r="BN426" s="16"/>
      <c r="BO426" s="16"/>
      <c r="BP426" s="16"/>
      <c r="BQ426" s="16"/>
      <c r="BR426" s="16"/>
      <c r="BS426" s="16"/>
      <c r="BT426" s="16"/>
      <c r="BU426" s="16"/>
      <c r="BV426" s="16"/>
      <c r="BW426" s="16"/>
      <c r="BX426" s="16"/>
      <c r="BY426" s="16"/>
      <c r="BZ426" s="16"/>
      <c r="CA426" s="190">
        <v>46282.666666666701</v>
      </c>
      <c r="CB426" s="3"/>
      <c r="CC426" s="16"/>
      <c r="CD426" s="16"/>
      <c r="CE426" s="16"/>
      <c r="CF426" s="16"/>
      <c r="CG426" s="16"/>
      <c r="CH426" s="16"/>
      <c r="CI426" s="16" t="s">
        <v>4020</v>
      </c>
    </row>
    <row r="427" spans="1:87">
      <c r="A427" s="16" t="s">
        <v>5</v>
      </c>
      <c r="B427" s="16" t="s">
        <v>516</v>
      </c>
      <c r="C427" s="3">
        <v>46276</v>
      </c>
      <c r="D427" s="16" t="s">
        <v>14</v>
      </c>
      <c r="E427" s="16" t="s">
        <v>4021</v>
      </c>
      <c r="F427" s="16">
        <v>2026220310119</v>
      </c>
      <c r="G427" s="16">
        <v>40</v>
      </c>
      <c r="H427" s="16">
        <v>33</v>
      </c>
      <c r="I427" s="16" t="s">
        <v>460</v>
      </c>
      <c r="J427" s="16" t="s">
        <v>4021</v>
      </c>
      <c r="K427" s="16" t="s">
        <v>518</v>
      </c>
      <c r="L427" s="16" t="s">
        <v>17</v>
      </c>
      <c r="M427" s="16">
        <v>9</v>
      </c>
      <c r="N427" s="16" t="s">
        <v>462</v>
      </c>
      <c r="O427" s="16" t="s">
        <v>606</v>
      </c>
      <c r="P427" s="16">
        <v>132966672</v>
      </c>
      <c r="Q427" s="16" t="s">
        <v>465</v>
      </c>
      <c r="R427" s="16" t="s">
        <v>466</v>
      </c>
      <c r="S427" s="16" t="s">
        <v>4022</v>
      </c>
      <c r="T427" s="16">
        <v>173325</v>
      </c>
      <c r="U427" s="16">
        <v>46265.761805555558</v>
      </c>
      <c r="V427" s="16" t="s">
        <v>469</v>
      </c>
      <c r="W427" s="16" t="s">
        <v>651</v>
      </c>
      <c r="X427" s="16" t="s">
        <v>652</v>
      </c>
      <c r="Y427" s="16" t="s">
        <v>653</v>
      </c>
      <c r="Z427" s="16" t="s">
        <v>731</v>
      </c>
      <c r="AA427" s="16" t="s">
        <v>474</v>
      </c>
      <c r="AB427" s="16" t="s">
        <v>732</v>
      </c>
      <c r="AC427" s="16" t="s">
        <v>733</v>
      </c>
      <c r="AD427" s="16">
        <v>900294051</v>
      </c>
      <c r="AE427" s="16">
        <v>1639291263</v>
      </c>
      <c r="AF427" s="16">
        <v>1427478973</v>
      </c>
      <c r="AG427" s="16">
        <v>7.4820252592459696E+16</v>
      </c>
      <c r="AH427" s="16"/>
      <c r="AI427" s="16" t="s">
        <v>87</v>
      </c>
      <c r="AJ427" s="16" t="s">
        <v>481</v>
      </c>
      <c r="AK427" s="16" t="s">
        <v>4023</v>
      </c>
      <c r="AL427" s="16">
        <v>12132</v>
      </c>
      <c r="AM427" s="16"/>
      <c r="AN427" s="16"/>
      <c r="AO427" s="16">
        <v>132</v>
      </c>
      <c r="AP427" s="16" t="s">
        <v>485</v>
      </c>
      <c r="AQ427" s="16" t="s">
        <v>4024</v>
      </c>
      <c r="AR427" s="3">
        <v>46266</v>
      </c>
      <c r="AS427" s="16" t="s">
        <v>87</v>
      </c>
      <c r="AT427" s="16" t="s">
        <v>516</v>
      </c>
      <c r="AU427" s="16"/>
      <c r="AV427" s="16" t="s">
        <v>4025</v>
      </c>
      <c r="AW427" s="16"/>
      <c r="AX427" s="16"/>
      <c r="AY427" s="16"/>
      <c r="AZ427" s="16"/>
      <c r="BA427" s="16"/>
      <c r="BB427" s="16"/>
      <c r="BC427" s="16"/>
      <c r="BD427" s="16" t="s">
        <v>87</v>
      </c>
      <c r="BE427" s="16">
        <v>33</v>
      </c>
      <c r="BF427" s="16"/>
      <c r="BG427" s="16" t="s">
        <v>490</v>
      </c>
      <c r="BH427" s="16" t="s">
        <v>658</v>
      </c>
      <c r="BI427" s="16">
        <v>132966672</v>
      </c>
      <c r="BJ427" s="16"/>
      <c r="BK427" s="16"/>
      <c r="BL427" s="16"/>
      <c r="BM427" s="16"/>
      <c r="BN427" s="16"/>
      <c r="BO427" s="16"/>
      <c r="BP427" s="16"/>
      <c r="BQ427" s="16"/>
      <c r="BR427" s="16"/>
      <c r="BS427" s="16"/>
      <c r="BT427" s="16"/>
      <c r="BU427" s="16"/>
      <c r="BV427" s="16"/>
      <c r="BW427" s="16"/>
      <c r="BX427" s="16"/>
      <c r="BY427" s="16"/>
      <c r="BZ427" s="16"/>
      <c r="CA427" s="190">
        <v>46278.666666666701</v>
      </c>
      <c r="CB427" s="3"/>
      <c r="CC427" s="16"/>
      <c r="CD427" s="16"/>
      <c r="CE427" s="16"/>
      <c r="CF427" s="16"/>
      <c r="CG427" s="16"/>
      <c r="CH427" s="16"/>
      <c r="CI427" s="16" t="s">
        <v>4026</v>
      </c>
    </row>
    <row r="428" spans="1:87" ht="29.25">
      <c r="A428" s="16" t="s">
        <v>5</v>
      </c>
      <c r="B428" s="25" t="s">
        <v>4027</v>
      </c>
      <c r="C428" s="3">
        <v>46276</v>
      </c>
      <c r="D428" s="16" t="s">
        <v>14</v>
      </c>
      <c r="E428" s="16" t="s">
        <v>4028</v>
      </c>
      <c r="F428" s="16"/>
      <c r="G428" s="16">
        <v>40</v>
      </c>
      <c r="H428" s="16">
        <v>34</v>
      </c>
      <c r="I428" s="16" t="s">
        <v>460</v>
      </c>
      <c r="J428" s="16" t="s">
        <v>4028</v>
      </c>
      <c r="K428" s="16" t="s">
        <v>741</v>
      </c>
      <c r="L428" s="16" t="s">
        <v>13</v>
      </c>
      <c r="M428" s="16">
        <v>9</v>
      </c>
      <c r="N428" s="16" t="s">
        <v>462</v>
      </c>
      <c r="O428" s="16" t="s">
        <v>606</v>
      </c>
      <c r="P428" s="16" t="s">
        <v>4029</v>
      </c>
      <c r="Q428" s="16" t="s">
        <v>1055</v>
      </c>
      <c r="R428" s="16" t="s">
        <v>1350</v>
      </c>
      <c r="S428" s="16" t="s">
        <v>4030</v>
      </c>
      <c r="T428" s="16">
        <v>173326</v>
      </c>
      <c r="U428" s="16">
        <v>46265.838888888888</v>
      </c>
      <c r="V428" s="16" t="s">
        <v>469</v>
      </c>
      <c r="W428" s="16" t="s">
        <v>651</v>
      </c>
      <c r="X428" s="16" t="s">
        <v>652</v>
      </c>
      <c r="Y428" s="16" t="s">
        <v>653</v>
      </c>
      <c r="Z428" s="16" t="s">
        <v>473</v>
      </c>
      <c r="AA428" s="16" t="s">
        <v>2201</v>
      </c>
      <c r="AB428" s="16" t="s">
        <v>684</v>
      </c>
      <c r="AC428" s="16" t="s">
        <v>476</v>
      </c>
      <c r="AD428" s="16">
        <v>390816848</v>
      </c>
      <c r="AE428" s="16">
        <v>1598718603</v>
      </c>
      <c r="AF428" s="16">
        <v>1386703833</v>
      </c>
      <c r="AG428" s="16">
        <v>4.58202529810626E+16</v>
      </c>
      <c r="AH428" s="16"/>
      <c r="AI428" s="16" t="s">
        <v>290</v>
      </c>
      <c r="AJ428" s="16" t="s">
        <v>481</v>
      </c>
      <c r="AK428" s="16" t="s">
        <v>4031</v>
      </c>
      <c r="AL428" s="16">
        <v>14567.06</v>
      </c>
      <c r="AM428" s="16"/>
      <c r="AN428" s="16"/>
      <c r="AO428" s="16" t="s">
        <v>1133</v>
      </c>
      <c r="AP428" s="16" t="s">
        <v>485</v>
      </c>
      <c r="AQ428" s="16" t="s">
        <v>4032</v>
      </c>
      <c r="AR428" s="3">
        <v>46266</v>
      </c>
      <c r="AS428" s="16" t="s">
        <v>290</v>
      </c>
      <c r="AT428" s="16" t="s">
        <v>516</v>
      </c>
      <c r="AU428" s="16"/>
      <c r="AV428" s="16" t="s">
        <v>4033</v>
      </c>
      <c r="AW428" s="16"/>
      <c r="AX428" s="16"/>
      <c r="AY428" s="16"/>
      <c r="AZ428" s="16"/>
      <c r="BA428" s="16"/>
      <c r="BB428" s="16"/>
      <c r="BC428" s="16"/>
      <c r="BD428" s="16" t="s">
        <v>290</v>
      </c>
      <c r="BE428" s="16">
        <v>34</v>
      </c>
      <c r="BF428" s="16"/>
      <c r="BG428" s="16"/>
      <c r="BH428" s="16" t="s">
        <v>658</v>
      </c>
      <c r="BI428" s="16" t="s">
        <v>4029</v>
      </c>
      <c r="BJ428" s="16"/>
      <c r="BK428" s="16"/>
      <c r="BL428" s="16"/>
      <c r="BM428" s="16"/>
      <c r="BN428" s="16"/>
      <c r="BO428" s="16"/>
      <c r="BP428" s="16"/>
      <c r="BQ428" s="16"/>
      <c r="BR428" s="16"/>
      <c r="BS428" s="16"/>
      <c r="BT428" s="16"/>
      <c r="BU428" s="16"/>
      <c r="BV428" s="16"/>
      <c r="BW428" s="16"/>
      <c r="BX428" s="16"/>
      <c r="BY428" s="16"/>
      <c r="BZ428" s="16"/>
      <c r="CA428" s="190">
        <v>46280.666666666701</v>
      </c>
      <c r="CB428" s="3"/>
      <c r="CC428" s="16"/>
      <c r="CD428" s="16"/>
      <c r="CE428" s="16"/>
      <c r="CF428" s="16"/>
      <c r="CG428" s="16"/>
      <c r="CH428" s="16"/>
      <c r="CI428" s="16" t="s">
        <v>4034</v>
      </c>
    </row>
    <row r="429" spans="1:87">
      <c r="A429" s="16" t="s">
        <v>5</v>
      </c>
      <c r="B429" s="16" t="s">
        <v>2729</v>
      </c>
      <c r="C429" s="3">
        <v>46276</v>
      </c>
      <c r="D429" s="16" t="s">
        <v>14</v>
      </c>
      <c r="E429" s="16" t="s">
        <v>4035</v>
      </c>
      <c r="F429" s="16">
        <v>2026222300254</v>
      </c>
      <c r="G429" s="16">
        <v>40</v>
      </c>
      <c r="H429" s="16">
        <v>31</v>
      </c>
      <c r="I429" s="16" t="s">
        <v>460</v>
      </c>
      <c r="J429" s="16" t="s">
        <v>4035</v>
      </c>
      <c r="K429" s="16" t="s">
        <v>2731</v>
      </c>
      <c r="L429" s="16" t="s">
        <v>16</v>
      </c>
      <c r="M429" s="16">
        <v>9</v>
      </c>
      <c r="N429" s="16" t="s">
        <v>462</v>
      </c>
      <c r="O429" s="16" t="s">
        <v>606</v>
      </c>
      <c r="P429" s="16">
        <v>822031382</v>
      </c>
      <c r="Q429" s="16" t="s">
        <v>465</v>
      </c>
      <c r="R429" s="16" t="s">
        <v>466</v>
      </c>
      <c r="S429" s="16" t="s">
        <v>4036</v>
      </c>
      <c r="T429" s="16">
        <v>173326</v>
      </c>
      <c r="U429" s="16">
        <v>46265.984722222223</v>
      </c>
      <c r="V429" s="16" t="s">
        <v>469</v>
      </c>
      <c r="W429" s="16" t="s">
        <v>651</v>
      </c>
      <c r="X429" s="16" t="s">
        <v>652</v>
      </c>
      <c r="Y429" s="16" t="s">
        <v>653</v>
      </c>
      <c r="Z429" s="16" t="s">
        <v>473</v>
      </c>
      <c r="AA429" s="16" t="s">
        <v>474</v>
      </c>
      <c r="AB429" s="16" t="s">
        <v>684</v>
      </c>
      <c r="AC429" s="16" t="s">
        <v>476</v>
      </c>
      <c r="AD429" s="16">
        <v>391824445</v>
      </c>
      <c r="AE429" s="16">
        <v>1598784555</v>
      </c>
      <c r="AF429" s="16">
        <v>1356026165</v>
      </c>
      <c r="AG429" s="16">
        <v>4.58202527704696E+16</v>
      </c>
      <c r="AH429" s="16"/>
      <c r="AI429" s="16" t="s">
        <v>2733</v>
      </c>
      <c r="AJ429" s="16" t="s">
        <v>481</v>
      </c>
      <c r="AK429" s="16" t="s">
        <v>4037</v>
      </c>
      <c r="AL429" s="16">
        <v>50290</v>
      </c>
      <c r="AM429" s="16"/>
      <c r="AN429" s="16"/>
      <c r="AO429" s="16">
        <v>822</v>
      </c>
      <c r="AP429" s="16" t="s">
        <v>485</v>
      </c>
      <c r="AQ429" s="16" t="s">
        <v>4038</v>
      </c>
      <c r="AR429" s="3">
        <v>46266</v>
      </c>
      <c r="AS429" s="16" t="s">
        <v>2733</v>
      </c>
      <c r="AT429" s="16" t="s">
        <v>4039</v>
      </c>
      <c r="AU429" s="16"/>
      <c r="AV429" s="16" t="s">
        <v>4040</v>
      </c>
      <c r="AW429" s="16"/>
      <c r="AX429" s="16"/>
      <c r="AY429" s="16"/>
      <c r="AZ429" s="16"/>
      <c r="BA429" s="16"/>
      <c r="BB429" s="16"/>
      <c r="BC429" s="16"/>
      <c r="BD429" s="16" t="s">
        <v>2733</v>
      </c>
      <c r="BE429" s="16">
        <v>31</v>
      </c>
      <c r="BF429" s="16"/>
      <c r="BG429" s="16"/>
      <c r="BH429" s="16" t="s">
        <v>658</v>
      </c>
      <c r="BI429" s="16">
        <v>822031382</v>
      </c>
      <c r="BJ429" s="16"/>
      <c r="BK429" s="16"/>
      <c r="BL429" s="16"/>
      <c r="BM429" s="16"/>
      <c r="BN429" s="16"/>
      <c r="BO429" s="16"/>
      <c r="BP429" s="16"/>
      <c r="BQ429" s="16"/>
      <c r="BR429" s="16"/>
      <c r="BS429" s="16"/>
      <c r="BT429" s="16"/>
      <c r="BU429" s="16"/>
      <c r="BV429" s="16"/>
      <c r="BW429" s="16"/>
      <c r="BX429" s="16"/>
      <c r="BY429" s="16"/>
      <c r="BZ429" s="16"/>
      <c r="CA429" s="190">
        <v>46282.666666666701</v>
      </c>
      <c r="CB429" s="3"/>
      <c r="CC429" s="16"/>
      <c r="CD429" s="16"/>
      <c r="CE429" s="16"/>
      <c r="CF429" s="16"/>
      <c r="CG429" s="16"/>
      <c r="CH429" s="16"/>
      <c r="CI429" s="16" t="s">
        <v>4041</v>
      </c>
    </row>
    <row r="430" spans="1:87">
      <c r="A430" s="16"/>
      <c r="B430" s="16"/>
      <c r="C430" s="3">
        <v>46276</v>
      </c>
      <c r="D430" s="16" t="s">
        <v>14</v>
      </c>
      <c r="E430" s="16" t="s">
        <v>4042</v>
      </c>
      <c r="F430" s="16">
        <v>2026215450438</v>
      </c>
      <c r="G430" s="16">
        <v>40</v>
      </c>
      <c r="H430" s="16">
        <v>38</v>
      </c>
      <c r="I430" s="16" t="s">
        <v>460</v>
      </c>
      <c r="J430" s="16" t="s">
        <v>4042</v>
      </c>
      <c r="K430" s="16" t="s">
        <v>983</v>
      </c>
      <c r="L430" s="16" t="s">
        <v>17</v>
      </c>
      <c r="M430" s="16">
        <v>9</v>
      </c>
      <c r="N430" s="16" t="s">
        <v>462</v>
      </c>
      <c r="O430" s="16" t="s">
        <v>606</v>
      </c>
      <c r="P430" s="16">
        <v>137093928</v>
      </c>
      <c r="Q430" s="16" t="s">
        <v>465</v>
      </c>
      <c r="R430" s="16" t="s">
        <v>466</v>
      </c>
      <c r="S430" s="16" t="s">
        <v>4043</v>
      </c>
      <c r="T430" s="16">
        <v>173326</v>
      </c>
      <c r="U430" s="16">
        <v>46266.129861111112</v>
      </c>
      <c r="V430" s="16" t="s">
        <v>469</v>
      </c>
      <c r="W430" s="16" t="s">
        <v>651</v>
      </c>
      <c r="X430" s="16" t="s">
        <v>652</v>
      </c>
      <c r="Y430" s="16" t="s">
        <v>653</v>
      </c>
      <c r="Z430" s="16" t="s">
        <v>473</v>
      </c>
      <c r="AA430" s="16" t="s">
        <v>474</v>
      </c>
      <c r="AB430" s="16" t="s">
        <v>684</v>
      </c>
      <c r="AC430" s="16" t="s">
        <v>476</v>
      </c>
      <c r="AD430" s="16">
        <v>391824445</v>
      </c>
      <c r="AE430" s="16">
        <v>1598784555</v>
      </c>
      <c r="AF430" s="16">
        <v>1972919959</v>
      </c>
      <c r="AG430" s="16">
        <v>4.5820253420894304E+16</v>
      </c>
      <c r="AH430" s="16"/>
      <c r="AI430" s="16" t="s">
        <v>34</v>
      </c>
      <c r="AJ430" s="16" t="s">
        <v>481</v>
      </c>
      <c r="AK430" s="16" t="s">
        <v>4044</v>
      </c>
      <c r="AL430" s="16">
        <v>13692</v>
      </c>
      <c r="AM430" s="16"/>
      <c r="AN430" s="16"/>
      <c r="AO430" s="16">
        <v>137</v>
      </c>
      <c r="AP430" s="16" t="s">
        <v>485</v>
      </c>
      <c r="AQ430" s="16" t="s">
        <v>4045</v>
      </c>
      <c r="AR430" s="3">
        <v>46266</v>
      </c>
      <c r="AS430" s="16" t="s">
        <v>34</v>
      </c>
      <c r="AT430" s="16" t="s">
        <v>976</v>
      </c>
      <c r="AU430" s="16"/>
      <c r="AV430" s="16" t="s">
        <v>3510</v>
      </c>
      <c r="AW430" s="16"/>
      <c r="AX430" s="16"/>
      <c r="AY430" s="16"/>
      <c r="AZ430" s="16"/>
      <c r="BA430" s="16"/>
      <c r="BB430" s="16"/>
      <c r="BC430" s="16"/>
      <c r="BD430" s="16" t="s">
        <v>34</v>
      </c>
      <c r="BE430" s="16">
        <v>38</v>
      </c>
      <c r="BF430" s="16"/>
      <c r="BG430" s="16"/>
      <c r="BH430" s="16" t="s">
        <v>658</v>
      </c>
      <c r="BI430" s="16">
        <v>137093928</v>
      </c>
      <c r="BJ430" s="16"/>
      <c r="BK430" s="16"/>
      <c r="BL430" s="16"/>
      <c r="BM430" s="16"/>
      <c r="BN430" s="16"/>
      <c r="BO430" s="16"/>
      <c r="BP430" s="16"/>
      <c r="BQ430" s="16"/>
      <c r="BR430" s="16"/>
      <c r="BS430" s="16"/>
      <c r="BT430" s="16"/>
      <c r="BU430" s="16"/>
      <c r="BV430" s="16"/>
      <c r="BW430" s="16"/>
      <c r="BX430" s="16"/>
      <c r="BY430" s="16"/>
      <c r="BZ430" s="16"/>
      <c r="CA430" s="190">
        <v>46275</v>
      </c>
      <c r="CB430" s="3"/>
      <c r="CC430" s="16"/>
      <c r="CD430" s="16"/>
      <c r="CE430" s="16"/>
      <c r="CF430" s="16"/>
      <c r="CG430" s="16"/>
      <c r="CH430" s="16"/>
      <c r="CI430" s="16" t="s">
        <v>4046</v>
      </c>
    </row>
    <row r="431" spans="1:87" ht="29.25">
      <c r="A431" s="16" t="s">
        <v>5</v>
      </c>
      <c r="B431" s="25" t="s">
        <v>3707</v>
      </c>
      <c r="C431" s="3">
        <v>46276</v>
      </c>
      <c r="D431" s="16" t="s">
        <v>14</v>
      </c>
      <c r="E431" s="16" t="s">
        <v>4047</v>
      </c>
      <c r="F431" s="16">
        <v>2026220200022</v>
      </c>
      <c r="G431" s="16">
        <v>40</v>
      </c>
      <c r="H431" s="16">
        <v>33</v>
      </c>
      <c r="I431" s="16" t="s">
        <v>460</v>
      </c>
      <c r="J431" s="16" t="s">
        <v>4047</v>
      </c>
      <c r="K431" s="16" t="s">
        <v>1555</v>
      </c>
      <c r="L431" s="16" t="s">
        <v>17</v>
      </c>
      <c r="M431" s="16">
        <v>9</v>
      </c>
      <c r="N431" s="16" t="s">
        <v>462</v>
      </c>
      <c r="O431" s="16" t="s">
        <v>606</v>
      </c>
      <c r="P431" s="16">
        <v>803638631</v>
      </c>
      <c r="Q431" s="16" t="s">
        <v>465</v>
      </c>
      <c r="R431" s="16" t="s">
        <v>466</v>
      </c>
      <c r="S431" s="16" t="s">
        <v>4048</v>
      </c>
      <c r="T431" s="16">
        <v>173326</v>
      </c>
      <c r="U431" s="16">
        <v>46265.738194444442</v>
      </c>
      <c r="V431" s="16" t="s">
        <v>469</v>
      </c>
      <c r="W431" s="16" t="s">
        <v>651</v>
      </c>
      <c r="X431" s="16" t="s">
        <v>652</v>
      </c>
      <c r="Y431" s="16" t="s">
        <v>653</v>
      </c>
      <c r="Z431" s="16" t="s">
        <v>473</v>
      </c>
      <c r="AA431" s="16" t="s">
        <v>474</v>
      </c>
      <c r="AB431" s="16" t="s">
        <v>684</v>
      </c>
      <c r="AC431" s="16" t="s">
        <v>476</v>
      </c>
      <c r="AD431" s="16">
        <v>390806261</v>
      </c>
      <c r="AE431" s="16">
        <v>1699720086</v>
      </c>
      <c r="AF431" s="16">
        <v>1437701547</v>
      </c>
      <c r="AG431" s="16">
        <v>4.58202534308228E+16</v>
      </c>
      <c r="AH431" s="16"/>
      <c r="AI431" s="16" t="s">
        <v>32</v>
      </c>
      <c r="AJ431" s="16" t="s">
        <v>481</v>
      </c>
      <c r="AK431" s="16" t="s">
        <v>4049</v>
      </c>
      <c r="AL431" s="16">
        <v>16798</v>
      </c>
      <c r="AM431" s="16"/>
      <c r="AN431" s="16"/>
      <c r="AO431" s="16">
        <v>803</v>
      </c>
      <c r="AP431" s="16" t="s">
        <v>485</v>
      </c>
      <c r="AQ431" s="16" t="s">
        <v>4050</v>
      </c>
      <c r="AR431" s="3">
        <v>46266</v>
      </c>
      <c r="AS431" s="16" t="s">
        <v>32</v>
      </c>
      <c r="AT431" s="16" t="s">
        <v>516</v>
      </c>
      <c r="AU431" s="16"/>
      <c r="AV431" s="16" t="s">
        <v>4051</v>
      </c>
      <c r="AW431" s="16"/>
      <c r="AX431" s="16"/>
      <c r="AY431" s="16"/>
      <c r="AZ431" s="16"/>
      <c r="BA431" s="16"/>
      <c r="BB431" s="16"/>
      <c r="BC431" s="16"/>
      <c r="BD431" s="16" t="s">
        <v>32</v>
      </c>
      <c r="BE431" s="16">
        <v>33</v>
      </c>
      <c r="BF431" s="16"/>
      <c r="BG431" s="16" t="s">
        <v>490</v>
      </c>
      <c r="BH431" s="16" t="s">
        <v>658</v>
      </c>
      <c r="BI431" s="16">
        <v>803638631</v>
      </c>
      <c r="BJ431" s="16"/>
      <c r="BK431" s="16"/>
      <c r="BL431" s="16"/>
      <c r="BM431" s="16"/>
      <c r="BN431" s="16"/>
      <c r="BO431" s="16"/>
      <c r="BP431" s="16"/>
      <c r="BQ431" s="16"/>
      <c r="BR431" s="16"/>
      <c r="BS431" s="16"/>
      <c r="BT431" s="16"/>
      <c r="BU431" s="16"/>
      <c r="BV431" s="16"/>
      <c r="BW431" s="16"/>
      <c r="BX431" s="16"/>
      <c r="BY431" s="16"/>
      <c r="BZ431" s="16"/>
      <c r="CA431" s="190">
        <v>46285.666666666701</v>
      </c>
      <c r="CB431" s="3"/>
      <c r="CC431" s="16"/>
      <c r="CD431" s="16"/>
      <c r="CE431" s="16"/>
      <c r="CF431" s="16"/>
      <c r="CG431" s="16"/>
      <c r="CH431" s="16"/>
      <c r="CI431" s="16" t="s">
        <v>4052</v>
      </c>
    </row>
    <row r="432" spans="1:87">
      <c r="A432" s="16" t="s">
        <v>5</v>
      </c>
      <c r="B432" s="16" t="s">
        <v>606</v>
      </c>
      <c r="C432" s="3">
        <v>46276</v>
      </c>
      <c r="D432" s="16" t="s">
        <v>14</v>
      </c>
      <c r="E432" s="16" t="s">
        <v>4053</v>
      </c>
      <c r="F432" s="16">
        <v>2026218720457</v>
      </c>
      <c r="G432" s="16">
        <v>40</v>
      </c>
      <c r="H432" s="16">
        <v>35</v>
      </c>
      <c r="I432" s="16" t="s">
        <v>460</v>
      </c>
      <c r="J432" s="16" t="s">
        <v>4053</v>
      </c>
      <c r="K432" s="16" t="s">
        <v>741</v>
      </c>
      <c r="L432" s="16" t="s">
        <v>13</v>
      </c>
      <c r="M432" s="16">
        <v>9</v>
      </c>
      <c r="N432" s="16" t="s">
        <v>462</v>
      </c>
      <c r="O432" s="16" t="s">
        <v>606</v>
      </c>
      <c r="P432" s="16">
        <v>803960187</v>
      </c>
      <c r="Q432" s="16" t="s">
        <v>465</v>
      </c>
      <c r="R432" s="16" t="s">
        <v>466</v>
      </c>
      <c r="S432" s="16" t="s">
        <v>4054</v>
      </c>
      <c r="T432" s="16">
        <v>173327</v>
      </c>
      <c r="U432" s="16">
        <v>46265.85833333333</v>
      </c>
      <c r="V432" s="16" t="s">
        <v>469</v>
      </c>
      <c r="W432" s="16" t="s">
        <v>651</v>
      </c>
      <c r="X432" s="16" t="s">
        <v>652</v>
      </c>
      <c r="Y432" s="16" t="s">
        <v>653</v>
      </c>
      <c r="Z432" s="16" t="s">
        <v>524</v>
      </c>
      <c r="AA432" s="16" t="s">
        <v>474</v>
      </c>
      <c r="AB432" s="16" t="s">
        <v>757</v>
      </c>
      <c r="AC432" s="16" t="s">
        <v>526</v>
      </c>
      <c r="AD432" s="16">
        <v>263070266</v>
      </c>
      <c r="AE432" s="16">
        <v>1497901458</v>
      </c>
      <c r="AF432" s="16">
        <v>1235104985</v>
      </c>
      <c r="AG432" s="16">
        <v>3.30202535412546E+16</v>
      </c>
      <c r="AH432" s="16"/>
      <c r="AI432" s="16" t="s">
        <v>290</v>
      </c>
      <c r="AJ432" s="16" t="s">
        <v>481</v>
      </c>
      <c r="AK432" s="16" t="s">
        <v>4055</v>
      </c>
      <c r="AL432" s="16">
        <v>4740</v>
      </c>
      <c r="AM432" s="16"/>
      <c r="AN432" s="16"/>
      <c r="AO432" s="16">
        <v>803</v>
      </c>
      <c r="AP432" s="16" t="s">
        <v>485</v>
      </c>
      <c r="AQ432" s="16" t="s">
        <v>4056</v>
      </c>
      <c r="AR432" s="3">
        <v>46266</v>
      </c>
      <c r="AS432" s="16" t="s">
        <v>290</v>
      </c>
      <c r="AT432" s="16" t="s">
        <v>516</v>
      </c>
      <c r="AU432" s="16"/>
      <c r="AV432" s="16" t="s">
        <v>2355</v>
      </c>
      <c r="AW432" s="16"/>
      <c r="AX432" s="16"/>
      <c r="AY432" s="16"/>
      <c r="AZ432" s="16"/>
      <c r="BA432" s="16"/>
      <c r="BB432" s="16"/>
      <c r="BC432" s="16"/>
      <c r="BD432" s="16" t="s">
        <v>290</v>
      </c>
      <c r="BE432" s="16">
        <v>35</v>
      </c>
      <c r="BF432" s="16"/>
      <c r="BG432" s="16" t="s">
        <v>490</v>
      </c>
      <c r="BH432" s="16" t="s">
        <v>658</v>
      </c>
      <c r="BI432" s="16">
        <v>803960187</v>
      </c>
      <c r="BJ432" s="16"/>
      <c r="BK432" s="16"/>
      <c r="BL432" s="16"/>
      <c r="BM432" s="16"/>
      <c r="BN432" s="16"/>
      <c r="BO432" s="16"/>
      <c r="BP432" s="16"/>
      <c r="BQ432" s="16"/>
      <c r="BR432" s="16"/>
      <c r="BS432" s="16"/>
      <c r="BT432" s="16"/>
      <c r="BU432" s="16"/>
      <c r="BV432" s="16"/>
      <c r="BW432" s="16"/>
      <c r="BX432" s="16"/>
      <c r="BY432" s="16"/>
      <c r="BZ432" s="16"/>
      <c r="CA432" s="190">
        <v>46280.666666666701</v>
      </c>
      <c r="CB432" s="3"/>
      <c r="CC432" s="16"/>
      <c r="CD432" s="16"/>
      <c r="CE432" s="16"/>
      <c r="CF432" s="16"/>
      <c r="CG432" s="16"/>
      <c r="CH432" s="16"/>
      <c r="CI432" s="16" t="s">
        <v>4057</v>
      </c>
    </row>
    <row r="433" spans="1:87">
      <c r="A433" s="16" t="s">
        <v>4</v>
      </c>
      <c r="B433" s="16" t="s">
        <v>4</v>
      </c>
      <c r="C433" s="3">
        <v>46276</v>
      </c>
      <c r="D433" s="16" t="s">
        <v>14</v>
      </c>
      <c r="E433" s="16" t="s">
        <v>4058</v>
      </c>
      <c r="F433" s="16">
        <v>2026213500257</v>
      </c>
      <c r="G433" s="16">
        <v>40</v>
      </c>
      <c r="H433" s="16">
        <v>40</v>
      </c>
      <c r="I433" s="16" t="s">
        <v>460</v>
      </c>
      <c r="J433" s="16" t="s">
        <v>4058</v>
      </c>
      <c r="K433" s="16" t="s">
        <v>518</v>
      </c>
      <c r="L433" s="16" t="s">
        <v>17</v>
      </c>
      <c r="M433" s="16">
        <v>8</v>
      </c>
      <c r="N433" s="16" t="s">
        <v>462</v>
      </c>
      <c r="O433" s="16" t="s">
        <v>606</v>
      </c>
      <c r="P433" s="16">
        <v>909817967</v>
      </c>
      <c r="Q433" s="16" t="s">
        <v>465</v>
      </c>
      <c r="R433" s="16" t="s">
        <v>466</v>
      </c>
      <c r="S433" s="16" t="s">
        <v>4059</v>
      </c>
      <c r="T433" s="16">
        <v>173327</v>
      </c>
      <c r="U433" s="16">
        <v>46267.620833333334</v>
      </c>
      <c r="V433" s="16" t="s">
        <v>469</v>
      </c>
      <c r="W433" s="16" t="s">
        <v>651</v>
      </c>
      <c r="X433" s="16" t="s">
        <v>652</v>
      </c>
      <c r="Y433" s="16" t="s">
        <v>653</v>
      </c>
      <c r="Z433" s="16" t="s">
        <v>524</v>
      </c>
      <c r="AA433" s="16" t="s">
        <v>474</v>
      </c>
      <c r="AB433" s="16" t="s">
        <v>757</v>
      </c>
      <c r="AC433" s="16" t="s">
        <v>526</v>
      </c>
      <c r="AD433" s="16">
        <v>340714612</v>
      </c>
      <c r="AE433" s="16">
        <v>1841299039</v>
      </c>
      <c r="AF433" s="16"/>
      <c r="AG433" s="16">
        <v>3.30202524620018E+16</v>
      </c>
      <c r="AH433" s="16"/>
      <c r="AI433" s="16" t="s">
        <v>87</v>
      </c>
      <c r="AJ433" s="16" t="s">
        <v>481</v>
      </c>
      <c r="AK433" s="16" t="s">
        <v>4060</v>
      </c>
      <c r="AL433" s="16">
        <v>61981.599999999999</v>
      </c>
      <c r="AM433" s="16"/>
      <c r="AN433" s="16"/>
      <c r="AO433" s="16">
        <v>909</v>
      </c>
      <c r="AP433" s="16" t="s">
        <v>485</v>
      </c>
      <c r="AQ433" s="16" t="s">
        <v>4061</v>
      </c>
      <c r="AR433" s="3">
        <v>46267</v>
      </c>
      <c r="AS433" s="16" t="s">
        <v>87</v>
      </c>
      <c r="AT433" s="16" t="s">
        <v>516</v>
      </c>
      <c r="AU433" s="16"/>
      <c r="AV433" s="16" t="s">
        <v>4062</v>
      </c>
      <c r="AW433" s="16"/>
      <c r="AX433" s="16"/>
      <c r="AY433" s="16"/>
      <c r="AZ433" s="16"/>
      <c r="BA433" s="16"/>
      <c r="BB433" s="16"/>
      <c r="BC433" s="16"/>
      <c r="BD433" s="16" t="s">
        <v>87</v>
      </c>
      <c r="BE433" s="16">
        <v>40</v>
      </c>
      <c r="BF433" s="16"/>
      <c r="BG433" s="16"/>
      <c r="BH433" s="16" t="s">
        <v>658</v>
      </c>
      <c r="BI433" s="16">
        <v>909817967</v>
      </c>
      <c r="BJ433" s="16"/>
      <c r="BK433" s="16"/>
      <c r="BL433" s="16"/>
      <c r="BM433" s="16"/>
      <c r="BN433" s="16"/>
      <c r="BO433" s="16"/>
      <c r="BP433" s="16"/>
      <c r="BQ433" s="16"/>
      <c r="BR433" s="16"/>
      <c r="BS433" s="16"/>
      <c r="BT433" s="16"/>
      <c r="BU433" s="16"/>
      <c r="BV433" s="16"/>
      <c r="BW433" s="16"/>
      <c r="BX433" s="16"/>
      <c r="BY433" s="16"/>
      <c r="BZ433" s="16"/>
      <c r="CA433" s="190">
        <v>46285.666666666701</v>
      </c>
      <c r="CB433" s="3"/>
      <c r="CC433" s="16"/>
      <c r="CD433" s="16"/>
      <c r="CE433" s="16"/>
      <c r="CF433" s="16"/>
      <c r="CG433" s="16"/>
      <c r="CH433" s="16"/>
      <c r="CI433" s="16" t="s">
        <v>4063</v>
      </c>
    </row>
    <row r="434" spans="1:87" ht="29.25">
      <c r="A434" s="16" t="s">
        <v>5</v>
      </c>
      <c r="B434" s="25" t="s">
        <v>3493</v>
      </c>
      <c r="C434" s="3">
        <v>46276</v>
      </c>
      <c r="D434" s="16" t="s">
        <v>14</v>
      </c>
      <c r="E434" s="16" t="s">
        <v>4064</v>
      </c>
      <c r="F434" s="16">
        <v>2026220750268</v>
      </c>
      <c r="G434" s="16">
        <v>40</v>
      </c>
      <c r="H434" s="16">
        <v>33</v>
      </c>
      <c r="I434" s="16" t="s">
        <v>460</v>
      </c>
      <c r="J434" s="16" t="s">
        <v>4064</v>
      </c>
      <c r="K434" s="16" t="s">
        <v>461</v>
      </c>
      <c r="L434" s="16" t="s">
        <v>17</v>
      </c>
      <c r="M434" s="16">
        <v>9</v>
      </c>
      <c r="N434" s="16" t="s">
        <v>462</v>
      </c>
      <c r="O434" s="16" t="s">
        <v>606</v>
      </c>
      <c r="P434" s="16">
        <v>820984459</v>
      </c>
      <c r="Q434" s="16" t="s">
        <v>465</v>
      </c>
      <c r="R434" s="16" t="s">
        <v>466</v>
      </c>
      <c r="S434" s="16" t="s">
        <v>4065</v>
      </c>
      <c r="T434" s="16">
        <v>173326</v>
      </c>
      <c r="U434" s="16">
        <v>46265.802083333336</v>
      </c>
      <c r="V434" s="16" t="s">
        <v>469</v>
      </c>
      <c r="W434" s="16" t="s">
        <v>651</v>
      </c>
      <c r="X434" s="16" t="s">
        <v>652</v>
      </c>
      <c r="Y434" s="16" t="s">
        <v>653</v>
      </c>
      <c r="Z434" s="16" t="s">
        <v>473</v>
      </c>
      <c r="AA434" s="16" t="s">
        <v>474</v>
      </c>
      <c r="AB434" s="16" t="s">
        <v>2129</v>
      </c>
      <c r="AC434" s="16" t="s">
        <v>476</v>
      </c>
      <c r="AD434" s="16">
        <v>834425449</v>
      </c>
      <c r="AE434" s="16">
        <v>1306494620</v>
      </c>
      <c r="AF434" s="16"/>
      <c r="AG434" s="16">
        <v>4.58202533813554E+16</v>
      </c>
      <c r="AH434" s="16"/>
      <c r="AI434" s="16" t="s">
        <v>67</v>
      </c>
      <c r="AJ434" s="16" t="s">
        <v>481</v>
      </c>
      <c r="AK434" s="16" t="s">
        <v>4066</v>
      </c>
      <c r="AL434" s="16">
        <v>159230.99</v>
      </c>
      <c r="AM434" s="16"/>
      <c r="AN434" s="16"/>
      <c r="AO434" s="16">
        <v>820</v>
      </c>
      <c r="AP434" s="16" t="s">
        <v>485</v>
      </c>
      <c r="AQ434" s="16" t="s">
        <v>4067</v>
      </c>
      <c r="AR434" s="3">
        <v>46266</v>
      </c>
      <c r="AS434" s="16" t="s">
        <v>67</v>
      </c>
      <c r="AT434" s="16" t="s">
        <v>487</v>
      </c>
      <c r="AU434" s="16"/>
      <c r="AV434" s="16" t="s">
        <v>4068</v>
      </c>
      <c r="AW434" s="16"/>
      <c r="AX434" s="16"/>
      <c r="AY434" s="16"/>
      <c r="AZ434" s="16"/>
      <c r="BA434" s="16"/>
      <c r="BB434" s="16"/>
      <c r="BC434" s="16"/>
      <c r="BD434" s="16" t="s">
        <v>67</v>
      </c>
      <c r="BE434" s="16">
        <v>33</v>
      </c>
      <c r="BF434" s="16"/>
      <c r="BG434" s="16" t="s">
        <v>490</v>
      </c>
      <c r="BH434" s="16" t="s">
        <v>658</v>
      </c>
      <c r="BI434" s="16">
        <v>820984459</v>
      </c>
      <c r="BJ434" s="16"/>
      <c r="BK434" s="16"/>
      <c r="BL434" s="16"/>
      <c r="BM434" s="16"/>
      <c r="BN434" s="16"/>
      <c r="BO434" s="16"/>
      <c r="BP434" s="16"/>
      <c r="BQ434" s="16"/>
      <c r="BR434" s="16"/>
      <c r="BS434" s="16"/>
      <c r="BT434" s="16"/>
      <c r="BU434" s="16"/>
      <c r="BV434" s="16"/>
      <c r="BW434" s="16"/>
      <c r="BX434" s="16"/>
      <c r="BY434" s="16"/>
      <c r="BZ434" s="16"/>
      <c r="CA434" s="190">
        <v>46275.166666666701</v>
      </c>
      <c r="CB434" s="3"/>
      <c r="CC434" s="16"/>
      <c r="CD434" s="16"/>
      <c r="CE434" s="16"/>
      <c r="CF434" s="16"/>
      <c r="CG434" s="16"/>
      <c r="CH434" s="16"/>
      <c r="CI434" s="16" t="s">
        <v>4069</v>
      </c>
    </row>
    <row r="435" spans="1:87">
      <c r="A435" s="16" t="s">
        <v>5</v>
      </c>
      <c r="B435" s="16" t="s">
        <v>4070</v>
      </c>
      <c r="C435" s="3">
        <v>46276</v>
      </c>
      <c r="D435" s="16" t="s">
        <v>14</v>
      </c>
      <c r="E435" s="16" t="s">
        <v>4071</v>
      </c>
      <c r="F435" s="16">
        <v>2026220490275</v>
      </c>
      <c r="G435" s="16">
        <v>40</v>
      </c>
      <c r="H435" s="16">
        <v>33</v>
      </c>
      <c r="I435" s="16" t="s">
        <v>460</v>
      </c>
      <c r="J435" s="16" t="s">
        <v>4071</v>
      </c>
      <c r="K435" s="16" t="s">
        <v>662</v>
      </c>
      <c r="L435" s="16" t="s">
        <v>13</v>
      </c>
      <c r="M435" s="16">
        <v>9</v>
      </c>
      <c r="N435" s="16" t="s">
        <v>462</v>
      </c>
      <c r="O435" s="16" t="s">
        <v>606</v>
      </c>
      <c r="P435" s="16" t="s">
        <v>4072</v>
      </c>
      <c r="Q435" s="16" t="s">
        <v>564</v>
      </c>
      <c r="R435" s="16" t="s">
        <v>466</v>
      </c>
      <c r="S435" s="16" t="s">
        <v>4073</v>
      </c>
      <c r="T435" s="16">
        <v>174311</v>
      </c>
      <c r="U435" s="16">
        <v>46265.809027777781</v>
      </c>
      <c r="V435" s="16" t="s">
        <v>469</v>
      </c>
      <c r="W435" s="16" t="s">
        <v>568</v>
      </c>
      <c r="X435" s="16" t="s">
        <v>471</v>
      </c>
      <c r="Y435" s="16" t="s">
        <v>1724</v>
      </c>
      <c r="Z435" s="16" t="s">
        <v>570</v>
      </c>
      <c r="AA435" s="16" t="s">
        <v>474</v>
      </c>
      <c r="AB435" s="16" t="s">
        <v>4074</v>
      </c>
      <c r="AC435" s="16" t="s">
        <v>546</v>
      </c>
      <c r="AD435" s="16">
        <v>451259671</v>
      </c>
      <c r="AE435" s="16">
        <v>1356630990</v>
      </c>
      <c r="AF435" s="16">
        <v>1821039991</v>
      </c>
      <c r="AG435" s="16"/>
      <c r="AH435" s="16"/>
      <c r="AI435" s="16" t="s">
        <v>138</v>
      </c>
      <c r="AJ435" s="16" t="s">
        <v>481</v>
      </c>
      <c r="AK435" s="16" t="s">
        <v>4075</v>
      </c>
      <c r="AL435" s="16">
        <v>4660</v>
      </c>
      <c r="AM435" s="16"/>
      <c r="AN435" s="16"/>
      <c r="AO435" s="16">
        <v>103</v>
      </c>
      <c r="AP435" s="16" t="s">
        <v>485</v>
      </c>
      <c r="AQ435" s="16" t="s">
        <v>4076</v>
      </c>
      <c r="AR435" s="3">
        <v>46266</v>
      </c>
      <c r="AS435" s="16" t="s">
        <v>138</v>
      </c>
      <c r="AT435" s="16" t="s">
        <v>669</v>
      </c>
      <c r="AU435" s="16"/>
      <c r="AV435" s="16" t="s">
        <v>4077</v>
      </c>
      <c r="AW435" s="16"/>
      <c r="AX435" s="16"/>
      <c r="AY435" s="16"/>
      <c r="AZ435" s="16"/>
      <c r="BA435" s="16"/>
      <c r="BB435" s="16"/>
      <c r="BC435" s="16"/>
      <c r="BD435" s="16" t="s">
        <v>138</v>
      </c>
      <c r="BE435" s="16">
        <v>33</v>
      </c>
      <c r="BF435" s="16"/>
      <c r="BG435" s="16" t="s">
        <v>490</v>
      </c>
      <c r="BH435" s="16" t="s">
        <v>491</v>
      </c>
      <c r="BI435" s="16">
        <v>230137388</v>
      </c>
      <c r="BJ435" s="16"/>
      <c r="BK435" s="16"/>
      <c r="BL435" s="16"/>
      <c r="BM435" s="16"/>
      <c r="BN435" s="16"/>
      <c r="BO435" s="16"/>
      <c r="BP435" s="16"/>
      <c r="BQ435" s="16"/>
      <c r="BR435" s="16"/>
      <c r="BS435" s="16"/>
      <c r="BT435" s="16"/>
      <c r="BU435" s="16"/>
      <c r="BV435" s="16"/>
      <c r="BW435" s="16"/>
      <c r="BX435" s="16"/>
      <c r="BY435" s="16"/>
      <c r="BZ435" s="16"/>
      <c r="CA435" s="190">
        <v>46281.166666666701</v>
      </c>
      <c r="CB435" s="3"/>
      <c r="CC435" s="16"/>
      <c r="CD435" s="16"/>
      <c r="CE435" s="16"/>
      <c r="CF435" s="16"/>
      <c r="CG435" s="16"/>
      <c r="CH435" s="16"/>
      <c r="CI435" s="16" t="s">
        <v>4078</v>
      </c>
    </row>
    <row r="436" spans="1:87">
      <c r="A436" s="16" t="s">
        <v>5</v>
      </c>
      <c r="B436" s="16" t="s">
        <v>606</v>
      </c>
      <c r="C436" s="3">
        <v>46276</v>
      </c>
      <c r="D436" s="16" t="s">
        <v>14</v>
      </c>
      <c r="E436" s="16" t="s">
        <v>4079</v>
      </c>
      <c r="F436" s="16">
        <v>2026219230130</v>
      </c>
      <c r="G436" s="16">
        <v>40</v>
      </c>
      <c r="H436" s="16">
        <v>34</v>
      </c>
      <c r="I436" s="16" t="s">
        <v>460</v>
      </c>
      <c r="J436" s="16" t="s">
        <v>4079</v>
      </c>
      <c r="K436" s="16" t="s">
        <v>741</v>
      </c>
      <c r="L436" s="16" t="s">
        <v>13</v>
      </c>
      <c r="M436" s="16">
        <v>9</v>
      </c>
      <c r="N436" s="16" t="s">
        <v>462</v>
      </c>
      <c r="O436" s="16" t="s">
        <v>606</v>
      </c>
      <c r="P436" s="16" t="s">
        <v>4080</v>
      </c>
      <c r="Q436" s="16" t="s">
        <v>465</v>
      </c>
      <c r="R436" s="16" t="s">
        <v>466</v>
      </c>
      <c r="S436" s="16" t="s">
        <v>4081</v>
      </c>
      <c r="T436" s="16">
        <v>213059</v>
      </c>
      <c r="U436" s="16">
        <v>46265.853472222225</v>
      </c>
      <c r="V436" s="16" t="s">
        <v>469</v>
      </c>
      <c r="W436" s="16" t="s">
        <v>568</v>
      </c>
      <c r="X436" s="16" t="s">
        <v>471</v>
      </c>
      <c r="Y436" s="16" t="s">
        <v>1724</v>
      </c>
      <c r="Z436" s="16" t="s">
        <v>638</v>
      </c>
      <c r="AA436" s="16" t="s">
        <v>474</v>
      </c>
      <c r="AB436" s="16" t="s">
        <v>4082</v>
      </c>
      <c r="AC436" s="16" t="s">
        <v>733</v>
      </c>
      <c r="AD436" s="16">
        <v>474196634</v>
      </c>
      <c r="AE436" s="16">
        <v>1942685920</v>
      </c>
      <c r="AF436" s="16"/>
      <c r="AG436" s="16"/>
      <c r="AH436" s="16"/>
      <c r="AI436" s="16" t="s">
        <v>290</v>
      </c>
      <c r="AJ436" s="16" t="s">
        <v>481</v>
      </c>
      <c r="AK436" s="16" t="s">
        <v>4083</v>
      </c>
      <c r="AL436" s="16">
        <v>196988.08</v>
      </c>
      <c r="AM436" s="16"/>
      <c r="AN436" s="16"/>
      <c r="AO436" s="16" t="s">
        <v>2363</v>
      </c>
      <c r="AP436" s="16" t="s">
        <v>485</v>
      </c>
      <c r="AQ436" s="16" t="s">
        <v>4084</v>
      </c>
      <c r="AR436" s="3">
        <v>46266</v>
      </c>
      <c r="AS436" s="16" t="s">
        <v>290</v>
      </c>
      <c r="AT436" s="16" t="s">
        <v>516</v>
      </c>
      <c r="AU436" s="16"/>
      <c r="AV436" s="16" t="s">
        <v>844</v>
      </c>
      <c r="AW436" s="16"/>
      <c r="AX436" s="16"/>
      <c r="AY436" s="16"/>
      <c r="AZ436" s="16"/>
      <c r="BA436" s="16"/>
      <c r="BB436" s="16"/>
      <c r="BC436" s="16"/>
      <c r="BD436" s="16" t="s">
        <v>290</v>
      </c>
      <c r="BE436" s="16">
        <v>34</v>
      </c>
      <c r="BF436" s="16"/>
      <c r="BG436" s="16" t="s">
        <v>490</v>
      </c>
      <c r="BH436" s="16" t="s">
        <v>491</v>
      </c>
      <c r="BI436" s="16">
        <v>498862033</v>
      </c>
      <c r="BJ436" s="16"/>
      <c r="BK436" s="16"/>
      <c r="BL436" s="16"/>
      <c r="BM436" s="16"/>
      <c r="BN436" s="16"/>
      <c r="BO436" s="16"/>
      <c r="BP436" s="16"/>
      <c r="BQ436" s="16"/>
      <c r="BR436" s="16"/>
      <c r="BS436" s="16"/>
      <c r="BT436" s="16"/>
      <c r="BU436" s="16"/>
      <c r="BV436" s="16"/>
      <c r="BW436" s="16"/>
      <c r="BX436" s="16"/>
      <c r="BY436" s="16"/>
      <c r="BZ436" s="16"/>
      <c r="CA436" s="190">
        <v>46280.666666666701</v>
      </c>
      <c r="CB436" s="3"/>
      <c r="CC436" s="16"/>
      <c r="CD436" s="16"/>
      <c r="CE436" s="16"/>
      <c r="CF436" s="16"/>
      <c r="CG436" s="16"/>
      <c r="CH436" s="16"/>
      <c r="CI436" s="16" t="s">
        <v>4085</v>
      </c>
    </row>
    <row r="437" spans="1:87">
      <c r="A437" s="16" t="s">
        <v>4</v>
      </c>
      <c r="B437" s="16" t="s">
        <v>1822</v>
      </c>
      <c r="C437" s="3">
        <v>46276</v>
      </c>
      <c r="D437" s="16" t="s">
        <v>14</v>
      </c>
      <c r="E437" s="16" t="s">
        <v>4086</v>
      </c>
      <c r="F437" s="16">
        <v>2026220270160</v>
      </c>
      <c r="G437" s="16">
        <v>40</v>
      </c>
      <c r="H437" s="16">
        <v>33</v>
      </c>
      <c r="I437" s="16" t="s">
        <v>460</v>
      </c>
      <c r="J437" s="16" t="s">
        <v>4086</v>
      </c>
      <c r="K437" s="16" t="s">
        <v>1824</v>
      </c>
      <c r="L437" s="16" t="s">
        <v>17</v>
      </c>
      <c r="M437" s="16">
        <v>9</v>
      </c>
      <c r="N437" s="16" t="s">
        <v>462</v>
      </c>
      <c r="O437" s="16" t="s">
        <v>606</v>
      </c>
      <c r="P437" s="16" t="s">
        <v>4087</v>
      </c>
      <c r="Q437" s="16" t="s">
        <v>465</v>
      </c>
      <c r="R437" s="16" t="s">
        <v>466</v>
      </c>
      <c r="S437" s="16" t="s">
        <v>4088</v>
      </c>
      <c r="T437" s="16">
        <v>213028</v>
      </c>
      <c r="U437" s="16">
        <v>46265.907638888886</v>
      </c>
      <c r="V437" s="16" t="s">
        <v>469</v>
      </c>
      <c r="W437" s="16" t="s">
        <v>568</v>
      </c>
      <c r="X437" s="16" t="s">
        <v>471</v>
      </c>
      <c r="Y437" s="16" t="s">
        <v>1724</v>
      </c>
      <c r="Z437" s="16" t="s">
        <v>638</v>
      </c>
      <c r="AA437" s="16" t="s">
        <v>474</v>
      </c>
      <c r="AB437" s="16" t="s">
        <v>4089</v>
      </c>
      <c r="AC437" s="16" t="s">
        <v>572</v>
      </c>
      <c r="AD437" s="16">
        <v>951675600</v>
      </c>
      <c r="AE437" s="16">
        <v>1336173269</v>
      </c>
      <c r="AF437" s="16"/>
      <c r="AG437" s="16"/>
      <c r="AH437" s="16" t="s">
        <v>1076</v>
      </c>
      <c r="AI437" s="16" t="s">
        <v>247</v>
      </c>
      <c r="AJ437" s="16" t="s">
        <v>481</v>
      </c>
      <c r="AK437" s="16" t="s">
        <v>4090</v>
      </c>
      <c r="AL437" s="16">
        <v>70228.02</v>
      </c>
      <c r="AM437" s="16"/>
      <c r="AN437" s="16"/>
      <c r="AO437" s="16">
        <v>590</v>
      </c>
      <c r="AP437" s="16" t="s">
        <v>485</v>
      </c>
      <c r="AQ437" s="16" t="s">
        <v>4091</v>
      </c>
      <c r="AR437" s="3">
        <v>46266</v>
      </c>
      <c r="AS437" s="16" t="s">
        <v>247</v>
      </c>
      <c r="AT437" s="16" t="s">
        <v>516</v>
      </c>
      <c r="AU437" s="16"/>
      <c r="AV437" s="16" t="s">
        <v>4092</v>
      </c>
      <c r="AW437" s="16"/>
      <c r="AX437" s="16"/>
      <c r="AY437" s="16"/>
      <c r="AZ437" s="16"/>
      <c r="BA437" s="16"/>
      <c r="BB437" s="16"/>
      <c r="BC437" s="16"/>
      <c r="BD437" s="16" t="s">
        <v>247</v>
      </c>
      <c r="BE437" s="16">
        <v>33</v>
      </c>
      <c r="BF437" s="16"/>
      <c r="BG437" s="16"/>
      <c r="BH437" s="16" t="s">
        <v>491</v>
      </c>
      <c r="BI437" s="16">
        <v>597360480</v>
      </c>
      <c r="BJ437" s="16"/>
      <c r="BK437" s="16"/>
      <c r="BL437" s="16"/>
      <c r="BM437" s="16"/>
      <c r="BN437" s="16"/>
      <c r="BO437" s="16"/>
      <c r="BP437" s="16"/>
      <c r="BQ437" s="16"/>
      <c r="BR437" s="16"/>
      <c r="BS437" s="16"/>
      <c r="BT437" s="16"/>
      <c r="BU437" s="16"/>
      <c r="BV437" s="16"/>
      <c r="BW437" s="16"/>
      <c r="BX437" s="16"/>
      <c r="BY437" s="16"/>
      <c r="BZ437" s="16"/>
      <c r="CA437" s="190">
        <v>46285.666666666701</v>
      </c>
      <c r="CB437" s="3"/>
      <c r="CC437" s="16"/>
      <c r="CD437" s="16"/>
      <c r="CE437" s="16"/>
      <c r="CF437" s="16"/>
      <c r="CG437" s="16"/>
      <c r="CH437" s="16"/>
      <c r="CI437" s="16" t="s">
        <v>4093</v>
      </c>
    </row>
    <row r="438" spans="1:87">
      <c r="A438" s="16" t="s">
        <v>5</v>
      </c>
      <c r="B438" s="16" t="s">
        <v>516</v>
      </c>
      <c r="C438" s="3">
        <v>46276</v>
      </c>
      <c r="D438" s="16" t="s">
        <v>14</v>
      </c>
      <c r="E438" s="16" t="s">
        <v>4094</v>
      </c>
      <c r="F438" s="16">
        <v>2026210050072</v>
      </c>
      <c r="G438" s="16">
        <v>40</v>
      </c>
      <c r="H438" s="16">
        <v>43</v>
      </c>
      <c r="I438" s="16" t="s">
        <v>460</v>
      </c>
      <c r="J438" s="16" t="s">
        <v>4094</v>
      </c>
      <c r="K438" s="16" t="s">
        <v>2270</v>
      </c>
      <c r="L438" s="16" t="s">
        <v>13</v>
      </c>
      <c r="M438" s="16">
        <v>7</v>
      </c>
      <c r="N438" s="16" t="s">
        <v>462</v>
      </c>
      <c r="O438" s="16" t="s">
        <v>606</v>
      </c>
      <c r="P438" s="16" t="s">
        <v>4095</v>
      </c>
      <c r="Q438" s="16" t="s">
        <v>465</v>
      </c>
      <c r="R438" s="16" t="s">
        <v>466</v>
      </c>
      <c r="S438" s="16" t="s">
        <v>4096</v>
      </c>
      <c r="T438" s="16">
        <v>210020</v>
      </c>
      <c r="U438" s="16">
        <v>46267.772222222222</v>
      </c>
      <c r="V438" s="16" t="s">
        <v>469</v>
      </c>
      <c r="W438" s="16" t="s">
        <v>568</v>
      </c>
      <c r="X438" s="16" t="s">
        <v>471</v>
      </c>
      <c r="Y438" s="16" t="s">
        <v>1724</v>
      </c>
      <c r="Z438" s="16" t="s">
        <v>473</v>
      </c>
      <c r="AA438" s="16" t="s">
        <v>474</v>
      </c>
      <c r="AB438" s="16" t="s">
        <v>4097</v>
      </c>
      <c r="AC438" s="16" t="s">
        <v>526</v>
      </c>
      <c r="AD438" s="16">
        <v>310833936</v>
      </c>
      <c r="AE438" s="16">
        <v>1609915784</v>
      </c>
      <c r="AF438" s="16">
        <v>1659590990</v>
      </c>
      <c r="AG438" s="16"/>
      <c r="AH438" s="16" t="s">
        <v>1076</v>
      </c>
      <c r="AI438" s="16" t="s">
        <v>28</v>
      </c>
      <c r="AJ438" s="16" t="s">
        <v>481</v>
      </c>
      <c r="AK438" s="16" t="s">
        <v>4098</v>
      </c>
      <c r="AL438" s="16">
        <v>11326</v>
      </c>
      <c r="AM438" s="16"/>
      <c r="AN438" s="16"/>
      <c r="AO438" s="16">
        <v>914</v>
      </c>
      <c r="AP438" s="16" t="s">
        <v>485</v>
      </c>
      <c r="AQ438" s="16" t="s">
        <v>4099</v>
      </c>
      <c r="AR438" s="3">
        <v>46268</v>
      </c>
      <c r="AS438" s="16" t="s">
        <v>28</v>
      </c>
      <c r="AT438" s="16" t="s">
        <v>516</v>
      </c>
      <c r="AU438" s="16"/>
      <c r="AV438" s="16" t="s">
        <v>4100</v>
      </c>
      <c r="AW438" s="16"/>
      <c r="AX438" s="16"/>
      <c r="AY438" s="16"/>
      <c r="AZ438" s="16"/>
      <c r="BA438" s="16"/>
      <c r="BB438" s="16"/>
      <c r="BC438" s="16"/>
      <c r="BD438" s="16" t="s">
        <v>28</v>
      </c>
      <c r="BE438" s="16">
        <v>43</v>
      </c>
      <c r="BF438" s="16"/>
      <c r="BG438" s="16"/>
      <c r="BH438" s="16" t="s">
        <v>491</v>
      </c>
      <c r="BI438" s="16">
        <v>295922674</v>
      </c>
      <c r="BJ438" s="16"/>
      <c r="BK438" s="16"/>
      <c r="BL438" s="16"/>
      <c r="BM438" s="16"/>
      <c r="BN438" s="16"/>
      <c r="BO438" s="16"/>
      <c r="BP438" s="16"/>
      <c r="BQ438" s="16"/>
      <c r="BR438" s="16"/>
      <c r="BS438" s="16"/>
      <c r="BT438" s="16"/>
      <c r="BU438" s="16"/>
      <c r="BV438" s="16"/>
      <c r="BW438" s="16"/>
      <c r="BX438" s="16"/>
      <c r="BY438" s="16"/>
      <c r="BZ438" s="16"/>
      <c r="CA438" s="190">
        <v>46280.666666666701</v>
      </c>
      <c r="CB438" s="3"/>
      <c r="CC438" s="16"/>
      <c r="CD438" s="16"/>
      <c r="CE438" s="16"/>
      <c r="CF438" s="16"/>
      <c r="CG438" s="16"/>
      <c r="CH438" s="16"/>
      <c r="CI438" s="16" t="s">
        <v>4101</v>
      </c>
    </row>
    <row r="439" spans="1:87">
      <c r="A439" s="16" t="s">
        <v>5</v>
      </c>
      <c r="B439" s="16" t="s">
        <v>606</v>
      </c>
      <c r="C439" s="3">
        <v>46276</v>
      </c>
      <c r="D439" s="16" t="s">
        <v>14</v>
      </c>
      <c r="E439" s="16" t="s">
        <v>4102</v>
      </c>
      <c r="F439" s="16">
        <v>2026219380132</v>
      </c>
      <c r="G439" s="16">
        <v>40</v>
      </c>
      <c r="H439" s="16">
        <v>34</v>
      </c>
      <c r="I439" s="16" t="s">
        <v>460</v>
      </c>
      <c r="J439" s="16" t="s">
        <v>4102</v>
      </c>
      <c r="K439" s="16" t="s">
        <v>741</v>
      </c>
      <c r="L439" s="16" t="s">
        <v>13</v>
      </c>
      <c r="M439" s="16">
        <v>9</v>
      </c>
      <c r="N439" s="16" t="s">
        <v>462</v>
      </c>
      <c r="O439" s="16" t="s">
        <v>606</v>
      </c>
      <c r="P439" s="16" t="s">
        <v>4103</v>
      </c>
      <c r="Q439" s="16" t="s">
        <v>465</v>
      </c>
      <c r="R439" s="16" t="s">
        <v>466</v>
      </c>
      <c r="S439" s="16" t="s">
        <v>4104</v>
      </c>
      <c r="T439" s="16">
        <v>197248</v>
      </c>
      <c r="U439" s="16">
        <v>46265.849305555559</v>
      </c>
      <c r="V439" s="16" t="s">
        <v>469</v>
      </c>
      <c r="W439" s="16" t="s">
        <v>568</v>
      </c>
      <c r="X439" s="16" t="s">
        <v>471</v>
      </c>
      <c r="Y439" s="16" t="s">
        <v>1949</v>
      </c>
      <c r="Z439" s="16" t="s">
        <v>590</v>
      </c>
      <c r="AA439" s="16" t="s">
        <v>474</v>
      </c>
      <c r="AB439" s="16" t="s">
        <v>4105</v>
      </c>
      <c r="AC439" s="16" t="s">
        <v>592</v>
      </c>
      <c r="AD439" s="16">
        <v>742161737</v>
      </c>
      <c r="AE439" s="16">
        <v>1962461889</v>
      </c>
      <c r="AF439" s="16">
        <v>1316478209</v>
      </c>
      <c r="AG439" s="16"/>
      <c r="AH439" s="16"/>
      <c r="AI439" s="16" t="s">
        <v>290</v>
      </c>
      <c r="AJ439" s="16" t="s">
        <v>481</v>
      </c>
      <c r="AK439" s="16" t="s">
        <v>4106</v>
      </c>
      <c r="AL439" s="16">
        <v>27928</v>
      </c>
      <c r="AM439" s="16"/>
      <c r="AN439" s="16"/>
      <c r="AO439" s="16">
        <v>488</v>
      </c>
      <c r="AP439" s="16" t="s">
        <v>485</v>
      </c>
      <c r="AQ439" s="16" t="s">
        <v>4107</v>
      </c>
      <c r="AR439" s="3">
        <v>46266</v>
      </c>
      <c r="AS439" s="16" t="s">
        <v>290</v>
      </c>
      <c r="AT439" s="16" t="s">
        <v>516</v>
      </c>
      <c r="AU439" s="16"/>
      <c r="AV439" s="16" t="s">
        <v>4108</v>
      </c>
      <c r="AW439" s="16"/>
      <c r="AX439" s="16"/>
      <c r="AY439" s="16"/>
      <c r="AZ439" s="16"/>
      <c r="BA439" s="16"/>
      <c r="BB439" s="16"/>
      <c r="BC439" s="16"/>
      <c r="BD439" s="16" t="s">
        <v>290</v>
      </c>
      <c r="BE439" s="16">
        <v>34</v>
      </c>
      <c r="BF439" s="16"/>
      <c r="BG439" s="16"/>
      <c r="BH439" s="16" t="s">
        <v>491</v>
      </c>
      <c r="BI439" s="16" t="s">
        <v>4109</v>
      </c>
      <c r="BJ439" s="16"/>
      <c r="BK439" s="16"/>
      <c r="BL439" s="16"/>
      <c r="BM439" s="16"/>
      <c r="BN439" s="16"/>
      <c r="BO439" s="16"/>
      <c r="BP439" s="16"/>
      <c r="BQ439" s="16"/>
      <c r="BR439" s="16"/>
      <c r="BS439" s="16"/>
      <c r="BT439" s="16"/>
      <c r="BU439" s="16"/>
      <c r="BV439" s="16"/>
      <c r="BW439" s="16"/>
      <c r="BX439" s="16"/>
      <c r="BY439" s="16"/>
      <c r="BZ439" s="16"/>
      <c r="CA439" s="190">
        <v>46280.666666666701</v>
      </c>
      <c r="CB439" s="3"/>
      <c r="CC439" s="16"/>
      <c r="CD439" s="16"/>
      <c r="CE439" s="16"/>
      <c r="CF439" s="16"/>
      <c r="CG439" s="16"/>
      <c r="CH439" s="16"/>
      <c r="CI439" s="16" t="s">
        <v>4110</v>
      </c>
    </row>
    <row r="440" spans="1:87">
      <c r="A440" s="16" t="s">
        <v>5</v>
      </c>
      <c r="B440" s="16" t="s">
        <v>4111</v>
      </c>
      <c r="C440" s="3">
        <v>46276</v>
      </c>
      <c r="D440" s="16" t="s">
        <v>14</v>
      </c>
      <c r="E440" s="16" t="s">
        <v>4112</v>
      </c>
      <c r="F440" s="16">
        <v>2026222280481</v>
      </c>
      <c r="G440" s="16">
        <v>40</v>
      </c>
      <c r="H440" s="16">
        <v>31</v>
      </c>
      <c r="I440" s="16" t="s">
        <v>460</v>
      </c>
      <c r="J440" s="16" t="s">
        <v>4112</v>
      </c>
      <c r="K440" s="16" t="s">
        <v>662</v>
      </c>
      <c r="L440" s="16" t="s">
        <v>13</v>
      </c>
      <c r="M440" s="16">
        <v>9</v>
      </c>
      <c r="N440" s="16" t="s">
        <v>462</v>
      </c>
      <c r="O440" s="16" t="s">
        <v>606</v>
      </c>
      <c r="P440" s="16" t="s">
        <v>4113</v>
      </c>
      <c r="Q440" s="16" t="s">
        <v>564</v>
      </c>
      <c r="R440" s="16" t="s">
        <v>466</v>
      </c>
      <c r="S440" s="16" t="s">
        <v>4114</v>
      </c>
      <c r="T440" s="16">
        <v>174318</v>
      </c>
      <c r="U440" s="16">
        <v>46266.690972222219</v>
      </c>
      <c r="V440" s="16" t="s">
        <v>469</v>
      </c>
      <c r="W440" s="16" t="s">
        <v>568</v>
      </c>
      <c r="X440" s="16" t="s">
        <v>471</v>
      </c>
      <c r="Y440" s="16" t="s">
        <v>1724</v>
      </c>
      <c r="Z440" s="16" t="s">
        <v>570</v>
      </c>
      <c r="AA440" s="16" t="s">
        <v>474</v>
      </c>
      <c r="AB440" s="16" t="s">
        <v>4115</v>
      </c>
      <c r="AC440" s="16" t="s">
        <v>572</v>
      </c>
      <c r="AD440" s="16">
        <v>260403802</v>
      </c>
      <c r="AE440" s="16">
        <v>1669670279</v>
      </c>
      <c r="AF440" s="16">
        <v>1497770432</v>
      </c>
      <c r="AG440" s="16"/>
      <c r="AH440" s="16"/>
      <c r="AI440" s="16" t="s">
        <v>138</v>
      </c>
      <c r="AJ440" s="16" t="s">
        <v>481</v>
      </c>
      <c r="AK440" s="16" t="s">
        <v>4116</v>
      </c>
      <c r="AL440" s="16">
        <v>1330</v>
      </c>
      <c r="AM440" s="16"/>
      <c r="AN440" s="16"/>
      <c r="AO440" s="16">
        <v>149</v>
      </c>
      <c r="AP440" s="16" t="s">
        <v>485</v>
      </c>
      <c r="AQ440" s="16" t="s">
        <v>4117</v>
      </c>
      <c r="AR440" s="3">
        <v>46266</v>
      </c>
      <c r="AS440" s="16" t="s">
        <v>138</v>
      </c>
      <c r="AT440" s="16" t="s">
        <v>1728</v>
      </c>
      <c r="AU440" s="16"/>
      <c r="AV440" s="16" t="s">
        <v>4118</v>
      </c>
      <c r="AW440" s="16"/>
      <c r="AX440" s="16"/>
      <c r="AY440" s="16"/>
      <c r="AZ440" s="16"/>
      <c r="BA440" s="16"/>
      <c r="BB440" s="16"/>
      <c r="BC440" s="16"/>
      <c r="BD440" s="16" t="s">
        <v>138</v>
      </c>
      <c r="BE440" s="16">
        <v>31</v>
      </c>
      <c r="BF440" s="16"/>
      <c r="BG440" s="16" t="s">
        <v>490</v>
      </c>
      <c r="BH440" s="16" t="s">
        <v>491</v>
      </c>
      <c r="BI440" s="16">
        <v>153889824</v>
      </c>
      <c r="BJ440" s="16"/>
      <c r="BK440" s="16"/>
      <c r="BL440" s="16"/>
      <c r="BM440" s="16"/>
      <c r="BN440" s="16"/>
      <c r="BO440" s="16"/>
      <c r="BP440" s="16"/>
      <c r="BQ440" s="16"/>
      <c r="BR440" s="16"/>
      <c r="BS440" s="16"/>
      <c r="BT440" s="16"/>
      <c r="BU440" s="16"/>
      <c r="BV440" s="16"/>
      <c r="BW440" s="16"/>
      <c r="BX440" s="16"/>
      <c r="BY440" s="16"/>
      <c r="BZ440" s="16"/>
      <c r="CA440" s="190">
        <v>46281.166666666701</v>
      </c>
      <c r="CB440" s="3"/>
      <c r="CC440" s="16"/>
      <c r="CD440" s="16"/>
      <c r="CE440" s="16"/>
      <c r="CF440" s="16"/>
      <c r="CG440" s="16"/>
      <c r="CH440" s="16"/>
      <c r="CI440" s="16" t="s">
        <v>4119</v>
      </c>
    </row>
    <row r="441" spans="1:87">
      <c r="A441" s="16"/>
      <c r="B441" s="16"/>
      <c r="C441" s="3">
        <v>46276</v>
      </c>
      <c r="D441" s="16" t="s">
        <v>14</v>
      </c>
      <c r="E441" s="16" t="s">
        <v>4120</v>
      </c>
      <c r="F441" s="16">
        <v>2026217400065</v>
      </c>
      <c r="G441" s="16">
        <v>40</v>
      </c>
      <c r="H441" s="16">
        <v>36</v>
      </c>
      <c r="I441" s="16" t="s">
        <v>460</v>
      </c>
      <c r="J441" s="16" t="s">
        <v>4120</v>
      </c>
      <c r="K441" s="16" t="s">
        <v>682</v>
      </c>
      <c r="L441" s="16" t="s">
        <v>18</v>
      </c>
      <c r="M441" s="16">
        <v>7</v>
      </c>
      <c r="N441" s="16" t="s">
        <v>462</v>
      </c>
      <c r="O441" s="16" t="s">
        <v>562</v>
      </c>
      <c r="P441" s="16" t="s">
        <v>4121</v>
      </c>
      <c r="Q441" s="16" t="s">
        <v>465</v>
      </c>
      <c r="R441" s="16" t="s">
        <v>466</v>
      </c>
      <c r="S441" s="16" t="s">
        <v>4122</v>
      </c>
      <c r="T441" s="16">
        <v>377650</v>
      </c>
      <c r="U441" s="16">
        <v>46268.02847222222</v>
      </c>
      <c r="V441" s="16" t="s">
        <v>469</v>
      </c>
      <c r="W441" s="16" t="s">
        <v>1752</v>
      </c>
      <c r="X441" s="16" t="s">
        <v>471</v>
      </c>
      <c r="Y441" s="16" t="s">
        <v>628</v>
      </c>
      <c r="Z441" s="16" t="s">
        <v>665</v>
      </c>
      <c r="AA441" s="16" t="s">
        <v>474</v>
      </c>
      <c r="AB441" s="16" t="s">
        <v>4123</v>
      </c>
      <c r="AC441" s="16" t="s">
        <v>640</v>
      </c>
      <c r="AD441" s="16">
        <v>133971298</v>
      </c>
      <c r="AE441" s="16">
        <v>1427616002</v>
      </c>
      <c r="AF441" s="16"/>
      <c r="AG441" s="16"/>
      <c r="AH441" s="16"/>
      <c r="AI441" s="16" t="s">
        <v>19</v>
      </c>
      <c r="AJ441" s="16" t="s">
        <v>481</v>
      </c>
      <c r="AK441" s="16" t="s">
        <v>4124</v>
      </c>
      <c r="AL441" s="16">
        <v>41389.58</v>
      </c>
      <c r="AM441" s="16"/>
      <c r="AN441" s="16"/>
      <c r="AO441" s="16">
        <v>991</v>
      </c>
      <c r="AP441" s="16" t="s">
        <v>485</v>
      </c>
      <c r="AQ441" s="16" t="s">
        <v>4125</v>
      </c>
      <c r="AR441" s="3">
        <v>46268</v>
      </c>
      <c r="AS441" s="16" t="s">
        <v>19</v>
      </c>
      <c r="AT441" s="16" t="s">
        <v>4126</v>
      </c>
      <c r="AU441" s="16"/>
      <c r="AV441" s="16" t="s">
        <v>4127</v>
      </c>
      <c r="AW441" s="16"/>
      <c r="AX441" s="16"/>
      <c r="AY441" s="16"/>
      <c r="AZ441" s="16"/>
      <c r="BA441" s="16"/>
      <c r="BB441" s="16"/>
      <c r="BC441" s="16"/>
      <c r="BD441" s="16" t="s">
        <v>19</v>
      </c>
      <c r="BE441" s="16">
        <v>36</v>
      </c>
      <c r="BF441" s="16"/>
      <c r="BG441" s="16" t="s">
        <v>490</v>
      </c>
      <c r="BH441" s="16" t="s">
        <v>491</v>
      </c>
      <c r="BI441" s="16">
        <v>73722594</v>
      </c>
      <c r="BJ441" s="16"/>
      <c r="BK441" s="16"/>
      <c r="BL441" s="16"/>
      <c r="BM441" s="16"/>
      <c r="BN441" s="16"/>
      <c r="BO441" s="16"/>
      <c r="BP441" s="16"/>
      <c r="BQ441" s="16"/>
      <c r="BR441" s="16"/>
      <c r="BS441" s="16"/>
      <c r="BT441" s="16"/>
      <c r="BU441" s="16"/>
      <c r="BV441" s="16"/>
      <c r="BW441" s="16"/>
      <c r="BX441" s="16"/>
      <c r="BY441" s="16"/>
      <c r="BZ441" s="16"/>
      <c r="CA441" s="190">
        <v>46275</v>
      </c>
      <c r="CB441" s="3"/>
      <c r="CC441" s="16"/>
      <c r="CD441" s="16"/>
      <c r="CE441" s="16"/>
      <c r="CF441" s="16"/>
      <c r="CG441" s="16"/>
      <c r="CH441" s="16"/>
      <c r="CI441" s="16" t="s">
        <v>4128</v>
      </c>
    </row>
    <row r="442" spans="1:87">
      <c r="A442" s="16"/>
      <c r="B442" s="16"/>
      <c r="C442" s="3">
        <v>46276</v>
      </c>
      <c r="D442" s="16" t="s">
        <v>14</v>
      </c>
      <c r="E442" s="16" t="s">
        <v>4129</v>
      </c>
      <c r="F442" s="16" t="s">
        <v>4130</v>
      </c>
      <c r="G442" s="16">
        <v>40</v>
      </c>
      <c r="H442" s="16">
        <v>36</v>
      </c>
      <c r="I442" s="16" t="s">
        <v>460</v>
      </c>
      <c r="J442" s="16" t="s">
        <v>4129</v>
      </c>
      <c r="K442" s="16" t="s">
        <v>839</v>
      </c>
      <c r="L442" s="16" t="s">
        <v>18</v>
      </c>
      <c r="M442" s="16">
        <v>9</v>
      </c>
      <c r="N442" s="16" t="s">
        <v>462</v>
      </c>
      <c r="O442" s="16" t="s">
        <v>497</v>
      </c>
      <c r="P442" s="16" t="s">
        <v>4131</v>
      </c>
      <c r="Q442" s="16" t="s">
        <v>1055</v>
      </c>
      <c r="R442" s="16" t="s">
        <v>1056</v>
      </c>
      <c r="S442" s="16" t="s">
        <v>4132</v>
      </c>
      <c r="T442" s="16">
        <v>376415</v>
      </c>
      <c r="U442" s="16">
        <v>46265.882638888892</v>
      </c>
      <c r="V442" s="16" t="s">
        <v>469</v>
      </c>
      <c r="W442" s="16" t="s">
        <v>470</v>
      </c>
      <c r="X442" s="16" t="s">
        <v>471</v>
      </c>
      <c r="Y442" s="16" t="s">
        <v>523</v>
      </c>
      <c r="Z442" s="16" t="s">
        <v>665</v>
      </c>
      <c r="AA442" s="16" t="s">
        <v>1059</v>
      </c>
      <c r="AB442" s="16" t="s">
        <v>4133</v>
      </c>
      <c r="AC442" s="16" t="s">
        <v>640</v>
      </c>
      <c r="AD442" s="16">
        <v>135562308</v>
      </c>
      <c r="AE442" s="16">
        <v>1285826438</v>
      </c>
      <c r="AF442" s="16">
        <v>1528050358</v>
      </c>
      <c r="AG442" s="16"/>
      <c r="AH442" s="16"/>
      <c r="AI442" s="16" t="s">
        <v>159</v>
      </c>
      <c r="AJ442" s="16" t="s">
        <v>481</v>
      </c>
      <c r="AK442" s="16" t="s">
        <v>4134</v>
      </c>
      <c r="AL442" s="16">
        <v>1651</v>
      </c>
      <c r="AM442" s="16"/>
      <c r="AN442" s="16"/>
      <c r="AO442" s="16" t="s">
        <v>4135</v>
      </c>
      <c r="AP442" s="16" t="s">
        <v>1063</v>
      </c>
      <c r="AQ442" s="16" t="s">
        <v>4136</v>
      </c>
      <c r="AR442" s="3">
        <v>46266</v>
      </c>
      <c r="AS442" s="16" t="s">
        <v>159</v>
      </c>
      <c r="AT442" s="16" t="s">
        <v>4137</v>
      </c>
      <c r="AU442" s="16"/>
      <c r="AV442" s="16" t="s">
        <v>4138</v>
      </c>
      <c r="AW442" s="16"/>
      <c r="AX442" s="16"/>
      <c r="AY442" s="16"/>
      <c r="AZ442" s="16"/>
      <c r="BA442" s="16"/>
      <c r="BB442" s="16" t="s">
        <v>4139</v>
      </c>
      <c r="BC442" s="16"/>
      <c r="BD442" s="16" t="s">
        <v>159</v>
      </c>
      <c r="BE442" s="16">
        <v>36</v>
      </c>
      <c r="BF442" s="16"/>
      <c r="BG442" s="16" t="s">
        <v>1067</v>
      </c>
      <c r="BH442" s="16" t="s">
        <v>491</v>
      </c>
      <c r="BI442" s="16">
        <v>111669426</v>
      </c>
      <c r="BJ442" s="16"/>
      <c r="BK442" s="16"/>
      <c r="BL442" s="16"/>
      <c r="BM442" s="16"/>
      <c r="BN442" s="16"/>
      <c r="BO442" s="16"/>
      <c r="BP442" s="16"/>
      <c r="BQ442" s="16"/>
      <c r="BR442" s="16"/>
      <c r="BS442" s="16"/>
      <c r="BT442" s="16"/>
      <c r="BU442" s="16"/>
      <c r="BV442" s="16"/>
      <c r="BW442" s="16"/>
      <c r="BX442" s="16"/>
      <c r="BY442" s="16"/>
      <c r="BZ442" s="16"/>
      <c r="CA442" s="190">
        <v>46275</v>
      </c>
      <c r="CB442" s="3"/>
      <c r="CC442" s="16"/>
      <c r="CD442" s="16"/>
      <c r="CE442" s="16"/>
      <c r="CF442" s="16"/>
      <c r="CG442" s="16"/>
      <c r="CH442" s="16"/>
      <c r="CI442" s="16" t="s">
        <v>4140</v>
      </c>
    </row>
    <row r="443" spans="1:87">
      <c r="A443" s="16" t="s">
        <v>5</v>
      </c>
      <c r="B443" s="16" t="s">
        <v>516</v>
      </c>
      <c r="C443" s="3">
        <v>46276</v>
      </c>
      <c r="D443" s="16" t="s">
        <v>14</v>
      </c>
      <c r="E443" s="16" t="s">
        <v>4141</v>
      </c>
      <c r="F443" s="16"/>
      <c r="G443" s="16">
        <v>40</v>
      </c>
      <c r="H443" s="16">
        <v>38</v>
      </c>
      <c r="I443" s="16" t="s">
        <v>460</v>
      </c>
      <c r="J443" s="16" t="s">
        <v>4141</v>
      </c>
      <c r="K443" s="16" t="s">
        <v>2270</v>
      </c>
      <c r="L443" s="16" t="s">
        <v>13</v>
      </c>
      <c r="M443" s="16">
        <v>7</v>
      </c>
      <c r="N443" s="16" t="s">
        <v>462</v>
      </c>
      <c r="O443" s="16" t="s">
        <v>606</v>
      </c>
      <c r="P443" s="16" t="s">
        <v>4142</v>
      </c>
      <c r="Q443" s="16" t="s">
        <v>465</v>
      </c>
      <c r="R443" s="16" t="s">
        <v>1056</v>
      </c>
      <c r="S443" s="16" t="s">
        <v>4143</v>
      </c>
      <c r="T443" s="16">
        <v>374610</v>
      </c>
      <c r="U443" s="16">
        <v>46267.757638888892</v>
      </c>
      <c r="V443" s="16" t="s">
        <v>469</v>
      </c>
      <c r="W443" s="16" t="s">
        <v>1752</v>
      </c>
      <c r="X443" s="16" t="s">
        <v>471</v>
      </c>
      <c r="Y443" s="16" t="s">
        <v>628</v>
      </c>
      <c r="Z443" s="16" t="s">
        <v>665</v>
      </c>
      <c r="AA443" s="16" t="s">
        <v>1354</v>
      </c>
      <c r="AB443" s="16" t="s">
        <v>4144</v>
      </c>
      <c r="AC443" s="16" t="s">
        <v>640</v>
      </c>
      <c r="AD443" s="16">
        <v>123587262</v>
      </c>
      <c r="AE443" s="16">
        <v>1588869267</v>
      </c>
      <c r="AF443" s="16">
        <v>1588869267</v>
      </c>
      <c r="AG443" s="16"/>
      <c r="AH443" s="16"/>
      <c r="AI443" s="16" t="s">
        <v>28</v>
      </c>
      <c r="AJ443" s="16" t="s">
        <v>481</v>
      </c>
      <c r="AK443" s="16" t="s">
        <v>4145</v>
      </c>
      <c r="AL443" s="16">
        <v>215</v>
      </c>
      <c r="AM443" s="16"/>
      <c r="AN443" s="16"/>
      <c r="AO443" s="16">
        <v>7</v>
      </c>
      <c r="AP443" s="16" t="s">
        <v>1063</v>
      </c>
      <c r="AQ443" s="16" t="s">
        <v>4146</v>
      </c>
      <c r="AR443" s="3">
        <v>46268</v>
      </c>
      <c r="AS443" s="16" t="s">
        <v>28</v>
      </c>
      <c r="AT443" s="16" t="s">
        <v>4147</v>
      </c>
      <c r="AU443" s="16"/>
      <c r="AV443" s="16" t="s">
        <v>4148</v>
      </c>
      <c r="AW443" s="16"/>
      <c r="AX443" s="16"/>
      <c r="AY443" s="16"/>
      <c r="AZ443" s="16"/>
      <c r="BA443" s="16"/>
      <c r="BB443" s="16"/>
      <c r="BC443" s="16"/>
      <c r="BD443" s="16" t="s">
        <v>28</v>
      </c>
      <c r="BE443" s="16">
        <v>38</v>
      </c>
      <c r="BF443" s="16"/>
      <c r="BG443" s="16" t="s">
        <v>490</v>
      </c>
      <c r="BH443" s="16" t="s">
        <v>491</v>
      </c>
      <c r="BI443" s="16" t="s">
        <v>4142</v>
      </c>
      <c r="BJ443" s="16"/>
      <c r="BK443" s="16"/>
      <c r="BL443" s="16"/>
      <c r="BM443" s="16"/>
      <c r="BN443" s="16"/>
      <c r="BO443" s="16"/>
      <c r="BP443" s="16"/>
      <c r="BQ443" s="16"/>
      <c r="BR443" s="16"/>
      <c r="BS443" s="16"/>
      <c r="BT443" s="16"/>
      <c r="BU443" s="16"/>
      <c r="BV443" s="16"/>
      <c r="BW443" s="16"/>
      <c r="BX443" s="16"/>
      <c r="BY443" s="16"/>
      <c r="BZ443" s="16"/>
      <c r="CA443" s="190">
        <v>46280.666666666701</v>
      </c>
      <c r="CB443" s="3"/>
      <c r="CC443" s="16"/>
      <c r="CD443" s="16"/>
      <c r="CE443" s="16"/>
      <c r="CF443" s="16"/>
      <c r="CG443" s="16"/>
      <c r="CH443" s="16"/>
      <c r="CI443" s="16" t="s">
        <v>4149</v>
      </c>
    </row>
    <row r="444" spans="1:87">
      <c r="A444" s="16"/>
      <c r="B444" s="16"/>
      <c r="C444" s="3">
        <v>46276</v>
      </c>
      <c r="D444" s="16" t="s">
        <v>14</v>
      </c>
      <c r="E444" s="16" t="s">
        <v>4150</v>
      </c>
      <c r="F444" s="16">
        <v>2026216400054</v>
      </c>
      <c r="G444" s="16">
        <v>40</v>
      </c>
      <c r="H444" s="16">
        <v>37</v>
      </c>
      <c r="I444" s="16" t="s">
        <v>460</v>
      </c>
      <c r="J444" s="16" t="s">
        <v>4150</v>
      </c>
      <c r="K444" s="16" t="s">
        <v>854</v>
      </c>
      <c r="L444" s="16" t="s">
        <v>18</v>
      </c>
      <c r="M444" s="16">
        <v>7</v>
      </c>
      <c r="N444" s="16" t="s">
        <v>462</v>
      </c>
      <c r="O444" s="16" t="s">
        <v>562</v>
      </c>
      <c r="P444" s="16" t="s">
        <v>4151</v>
      </c>
      <c r="Q444" s="16" t="s">
        <v>564</v>
      </c>
      <c r="R444" s="16" t="s">
        <v>466</v>
      </c>
      <c r="S444" s="16" t="s">
        <v>4152</v>
      </c>
      <c r="T444" s="16">
        <v>276800</v>
      </c>
      <c r="U444" s="16">
        <v>46268.260416666664</v>
      </c>
      <c r="V444" s="16" t="s">
        <v>469</v>
      </c>
      <c r="W444" s="16" t="s">
        <v>568</v>
      </c>
      <c r="X444" s="16" t="s">
        <v>471</v>
      </c>
      <c r="Y444" s="16" t="s">
        <v>4153</v>
      </c>
      <c r="Z444" s="16" t="s">
        <v>570</v>
      </c>
      <c r="AA444" s="16" t="s">
        <v>474</v>
      </c>
      <c r="AB444" s="16" t="s">
        <v>4154</v>
      </c>
      <c r="AC444" s="16" t="s">
        <v>572</v>
      </c>
      <c r="AD444" s="16">
        <v>710918827</v>
      </c>
      <c r="AE444" s="16">
        <v>1912014986</v>
      </c>
      <c r="AF444" s="16">
        <v>1720010200</v>
      </c>
      <c r="AG444" s="16"/>
      <c r="AH444" s="16"/>
      <c r="AI444" s="16" t="s">
        <v>21</v>
      </c>
      <c r="AJ444" s="16" t="s">
        <v>481</v>
      </c>
      <c r="AK444" s="16" t="s">
        <v>4155</v>
      </c>
      <c r="AL444" s="16">
        <v>1847.06</v>
      </c>
      <c r="AM444" s="16"/>
      <c r="AN444" s="16"/>
      <c r="AO444" s="16">
        <v>335</v>
      </c>
      <c r="AP444" s="16" t="s">
        <v>485</v>
      </c>
      <c r="AQ444" s="16" t="s">
        <v>4156</v>
      </c>
      <c r="AR444" s="3">
        <v>46268</v>
      </c>
      <c r="AS444" s="16" t="s">
        <v>21</v>
      </c>
      <c r="AT444" s="16" t="s">
        <v>4157</v>
      </c>
      <c r="AU444" s="16"/>
      <c r="AV444" s="16" t="s">
        <v>4158</v>
      </c>
      <c r="AW444" s="16"/>
      <c r="AX444" s="16"/>
      <c r="AY444" s="16"/>
      <c r="AZ444" s="16"/>
      <c r="BA444" s="16"/>
      <c r="BB444" s="16"/>
      <c r="BC444" s="16"/>
      <c r="BD444" s="16" t="s">
        <v>21</v>
      </c>
      <c r="BE444" s="16">
        <v>37</v>
      </c>
      <c r="BF444" s="16"/>
      <c r="BG444" s="16" t="s">
        <v>490</v>
      </c>
      <c r="BH444" s="16" t="s">
        <v>491</v>
      </c>
      <c r="BI444" s="16">
        <v>149625263</v>
      </c>
      <c r="BJ444" s="16"/>
      <c r="BK444" s="16"/>
      <c r="BL444" s="16"/>
      <c r="BM444" s="16"/>
      <c r="BN444" s="16"/>
      <c r="BO444" s="16"/>
      <c r="BP444" s="16"/>
      <c r="BQ444" s="16"/>
      <c r="BR444" s="16"/>
      <c r="BS444" s="16"/>
      <c r="BT444" s="16"/>
      <c r="BU444" s="16"/>
      <c r="BV444" s="16"/>
      <c r="BW444" s="16"/>
      <c r="BX444" s="16"/>
      <c r="BY444" s="16"/>
      <c r="BZ444" s="16"/>
      <c r="CA444" s="190">
        <v>46275</v>
      </c>
      <c r="CB444" s="3"/>
      <c r="CC444" s="16"/>
      <c r="CD444" s="16"/>
      <c r="CE444" s="16"/>
      <c r="CF444" s="16"/>
      <c r="CG444" s="16"/>
      <c r="CH444" s="16"/>
      <c r="CI444" s="16" t="s">
        <v>4159</v>
      </c>
    </row>
    <row r="445" spans="1:87">
      <c r="A445" s="16"/>
      <c r="B445" s="16"/>
      <c r="C445" s="3">
        <v>46276</v>
      </c>
      <c r="D445" s="16" t="s">
        <v>14</v>
      </c>
      <c r="E445" s="16" t="s">
        <v>4160</v>
      </c>
      <c r="F445" s="16">
        <v>2026222860382</v>
      </c>
      <c r="G445" s="16">
        <v>40</v>
      </c>
      <c r="H445" s="16">
        <v>31</v>
      </c>
      <c r="I445" s="16" t="s">
        <v>460</v>
      </c>
      <c r="J445" s="16" t="s">
        <v>4160</v>
      </c>
      <c r="K445" s="16" t="s">
        <v>682</v>
      </c>
      <c r="L445" s="16" t="s">
        <v>18</v>
      </c>
      <c r="M445" s="16">
        <v>9</v>
      </c>
      <c r="N445" s="16" t="s">
        <v>462</v>
      </c>
      <c r="O445" s="16" t="s">
        <v>606</v>
      </c>
      <c r="P445" s="16" t="s">
        <v>4161</v>
      </c>
      <c r="Q445" s="16" t="s">
        <v>465</v>
      </c>
      <c r="R445" s="16" t="s">
        <v>466</v>
      </c>
      <c r="S445" s="16" t="s">
        <v>4162</v>
      </c>
      <c r="T445" s="16">
        <v>270213</v>
      </c>
      <c r="U445" s="16">
        <v>46266.301388888889</v>
      </c>
      <c r="V445" s="16" t="s">
        <v>469</v>
      </c>
      <c r="W445" s="16" t="s">
        <v>568</v>
      </c>
      <c r="X445" s="16" t="s">
        <v>471</v>
      </c>
      <c r="Y445" s="16" t="s">
        <v>637</v>
      </c>
      <c r="Z445" s="16" t="s">
        <v>638</v>
      </c>
      <c r="AA445" s="16" t="s">
        <v>474</v>
      </c>
      <c r="AB445" s="16" t="s">
        <v>4163</v>
      </c>
      <c r="AC445" s="16" t="s">
        <v>1429</v>
      </c>
      <c r="AD445" s="16">
        <v>832570191</v>
      </c>
      <c r="AE445" s="16">
        <v>1477017648</v>
      </c>
      <c r="AF445" s="16"/>
      <c r="AG445" s="16"/>
      <c r="AH445" s="16"/>
      <c r="AI445" s="16" t="s">
        <v>19</v>
      </c>
      <c r="AJ445" s="16" t="s">
        <v>481</v>
      </c>
      <c r="AK445" s="16" t="s">
        <v>4164</v>
      </c>
      <c r="AL445" s="16">
        <v>19265.54</v>
      </c>
      <c r="AM445" s="16"/>
      <c r="AN445" s="16"/>
      <c r="AO445" s="16">
        <v>815</v>
      </c>
      <c r="AP445" s="16" t="s">
        <v>485</v>
      </c>
      <c r="AQ445" s="16" t="s">
        <v>4165</v>
      </c>
      <c r="AR445" s="3">
        <v>46266</v>
      </c>
      <c r="AS445" s="16" t="s">
        <v>19</v>
      </c>
      <c r="AT445" s="16" t="s">
        <v>516</v>
      </c>
      <c r="AU445" s="16"/>
      <c r="AV445" s="16" t="s">
        <v>4166</v>
      </c>
      <c r="AW445" s="16"/>
      <c r="AX445" s="16"/>
      <c r="AY445" s="16"/>
      <c r="AZ445" s="16"/>
      <c r="BA445" s="16"/>
      <c r="BB445" s="16"/>
      <c r="BC445" s="16"/>
      <c r="BD445" s="16" t="s">
        <v>19</v>
      </c>
      <c r="BE445" s="16">
        <v>31</v>
      </c>
      <c r="BF445" s="16"/>
      <c r="BG445" s="16" t="s">
        <v>490</v>
      </c>
      <c r="BH445" s="16" t="s">
        <v>491</v>
      </c>
      <c r="BI445" s="16">
        <v>47681991</v>
      </c>
      <c r="BJ445" s="16"/>
      <c r="BK445" s="16"/>
      <c r="BL445" s="16"/>
      <c r="BM445" s="16"/>
      <c r="BN445" s="16"/>
      <c r="BO445" s="16"/>
      <c r="BP445" s="16"/>
      <c r="BQ445" s="16"/>
      <c r="BR445" s="16"/>
      <c r="BS445" s="16"/>
      <c r="BT445" s="16"/>
      <c r="BU445" s="16"/>
      <c r="BV445" s="16"/>
      <c r="BW445" s="16"/>
      <c r="BX445" s="16"/>
      <c r="BY445" s="16"/>
      <c r="BZ445" s="16"/>
      <c r="CA445" s="190">
        <v>46275</v>
      </c>
      <c r="CB445" s="3"/>
      <c r="CC445" s="16"/>
      <c r="CD445" s="16"/>
      <c r="CE445" s="16"/>
      <c r="CF445" s="16"/>
      <c r="CG445" s="16"/>
      <c r="CH445" s="16"/>
      <c r="CI445" s="16" t="s">
        <v>4167</v>
      </c>
    </row>
    <row r="446" spans="1:87">
      <c r="A446" s="16"/>
      <c r="B446" s="16"/>
      <c r="C446" s="3">
        <v>46276</v>
      </c>
      <c r="D446" s="16" t="s">
        <v>14</v>
      </c>
      <c r="E446" s="16" t="s">
        <v>4168</v>
      </c>
      <c r="F446" s="16">
        <v>2026222610106</v>
      </c>
      <c r="G446" s="16">
        <v>40</v>
      </c>
      <c r="H446" s="16">
        <v>31</v>
      </c>
      <c r="I446" s="16" t="s">
        <v>460</v>
      </c>
      <c r="J446" s="16" t="s">
        <v>4168</v>
      </c>
      <c r="K446" s="16" t="s">
        <v>983</v>
      </c>
      <c r="L446" s="16" t="s">
        <v>17</v>
      </c>
      <c r="M446" s="16">
        <v>8</v>
      </c>
      <c r="N446" s="16" t="s">
        <v>462</v>
      </c>
      <c r="O446" s="16" t="s">
        <v>606</v>
      </c>
      <c r="P446" s="16" t="s">
        <v>4169</v>
      </c>
      <c r="Q446" s="16" t="s">
        <v>465</v>
      </c>
      <c r="R446" s="16" t="s">
        <v>466</v>
      </c>
      <c r="S446" s="16" t="s">
        <v>4170</v>
      </c>
      <c r="T446" s="16">
        <v>270095</v>
      </c>
      <c r="U446" s="16">
        <v>46267.104166666664</v>
      </c>
      <c r="V446" s="16" t="s">
        <v>469</v>
      </c>
      <c r="W446" s="16" t="s">
        <v>568</v>
      </c>
      <c r="X446" s="16" t="s">
        <v>471</v>
      </c>
      <c r="Y446" s="16" t="s">
        <v>1865</v>
      </c>
      <c r="Z446" s="16" t="s">
        <v>638</v>
      </c>
      <c r="AA446" s="16" t="s">
        <v>474</v>
      </c>
      <c r="AB446" s="16" t="s">
        <v>1866</v>
      </c>
      <c r="AC446" s="16" t="s">
        <v>465</v>
      </c>
      <c r="AD446" s="16">
        <v>205071967</v>
      </c>
      <c r="AE446" s="16">
        <v>1689857385</v>
      </c>
      <c r="AF446" s="16"/>
      <c r="AG446" s="16"/>
      <c r="AH446" s="16"/>
      <c r="AI446" s="16" t="s">
        <v>34</v>
      </c>
      <c r="AJ446" s="16" t="s">
        <v>481</v>
      </c>
      <c r="AK446" s="16" t="s">
        <v>4171</v>
      </c>
      <c r="AL446" s="16">
        <v>51607.8</v>
      </c>
      <c r="AM446" s="16"/>
      <c r="AN446" s="16"/>
      <c r="AO446" s="16">
        <v>501</v>
      </c>
      <c r="AP446" s="16" t="s">
        <v>485</v>
      </c>
      <c r="AQ446" s="16" t="s">
        <v>4172</v>
      </c>
      <c r="AR446" s="3">
        <v>46267</v>
      </c>
      <c r="AS446" s="16" t="s">
        <v>34</v>
      </c>
      <c r="AT446" s="16" t="s">
        <v>976</v>
      </c>
      <c r="AU446" s="16"/>
      <c r="AV446" s="16" t="s">
        <v>2849</v>
      </c>
      <c r="AW446" s="16"/>
      <c r="AX446" s="16"/>
      <c r="AY446" s="16"/>
      <c r="AZ446" s="16"/>
      <c r="BA446" s="16"/>
      <c r="BB446" s="16"/>
      <c r="BC446" s="16"/>
      <c r="BD446" s="16" t="s">
        <v>34</v>
      </c>
      <c r="BE446" s="16">
        <v>31</v>
      </c>
      <c r="BF446" s="16"/>
      <c r="BG446" s="16"/>
      <c r="BH446" s="16" t="s">
        <v>491</v>
      </c>
      <c r="BI446" s="16">
        <v>293703917</v>
      </c>
      <c r="BJ446" s="16"/>
      <c r="BK446" s="16"/>
      <c r="BL446" s="16"/>
      <c r="BM446" s="16"/>
      <c r="BN446" s="16"/>
      <c r="BO446" s="16"/>
      <c r="BP446" s="16"/>
      <c r="BQ446" s="16"/>
      <c r="BR446" s="16"/>
      <c r="BS446" s="16"/>
      <c r="BT446" s="16"/>
      <c r="BU446" s="16"/>
      <c r="BV446" s="16"/>
      <c r="BW446" s="16"/>
      <c r="BX446" s="16"/>
      <c r="BY446" s="16"/>
      <c r="BZ446" s="16"/>
      <c r="CA446" s="190">
        <v>46275</v>
      </c>
      <c r="CB446" s="3"/>
      <c r="CC446" s="16"/>
      <c r="CD446" s="16"/>
      <c r="CE446" s="16"/>
      <c r="CF446" s="16"/>
      <c r="CG446" s="16"/>
      <c r="CH446" s="16"/>
      <c r="CI446" s="16" t="s">
        <v>4173</v>
      </c>
    </row>
    <row r="447" spans="1:87">
      <c r="A447" s="16"/>
      <c r="B447" s="16"/>
      <c r="C447" s="3">
        <v>46276</v>
      </c>
      <c r="D447" s="16" t="s">
        <v>14</v>
      </c>
      <c r="E447" s="16" t="s">
        <v>4174</v>
      </c>
      <c r="F447" s="16">
        <v>2026220100119</v>
      </c>
      <c r="G447" s="16">
        <v>40</v>
      </c>
      <c r="H447" s="16">
        <v>33</v>
      </c>
      <c r="I447" s="16" t="s">
        <v>460</v>
      </c>
      <c r="J447" s="16" t="s">
        <v>4174</v>
      </c>
      <c r="K447" s="16" t="s">
        <v>960</v>
      </c>
      <c r="L447" s="16" t="s">
        <v>13</v>
      </c>
      <c r="M447" s="16">
        <v>9</v>
      </c>
      <c r="N447" s="16" t="s">
        <v>462</v>
      </c>
      <c r="O447" s="16" t="s">
        <v>606</v>
      </c>
      <c r="P447" s="16" t="s">
        <v>4175</v>
      </c>
      <c r="Q447" s="16" t="s">
        <v>465</v>
      </c>
      <c r="R447" s="16" t="s">
        <v>466</v>
      </c>
      <c r="S447" s="16" t="s">
        <v>4176</v>
      </c>
      <c r="T447" s="16">
        <v>230027</v>
      </c>
      <c r="U447" s="16">
        <v>46265.84375</v>
      </c>
      <c r="V447" s="16" t="s">
        <v>469</v>
      </c>
      <c r="W447" s="16" t="s">
        <v>568</v>
      </c>
      <c r="X447" s="16" t="s">
        <v>471</v>
      </c>
      <c r="Y447" s="16" t="s">
        <v>1724</v>
      </c>
      <c r="Z447" s="16" t="s">
        <v>731</v>
      </c>
      <c r="AA447" s="16" t="s">
        <v>474</v>
      </c>
      <c r="AB447" s="16" t="s">
        <v>4177</v>
      </c>
      <c r="AC447" s="16" t="s">
        <v>733</v>
      </c>
      <c r="AD447" s="16">
        <v>542183221</v>
      </c>
      <c r="AE447" s="16">
        <v>1760405864</v>
      </c>
      <c r="AF447" s="16">
        <v>1730279506</v>
      </c>
      <c r="AG447" s="16"/>
      <c r="AH447" s="16"/>
      <c r="AI447" s="16" t="s">
        <v>55</v>
      </c>
      <c r="AJ447" s="16" t="s">
        <v>481</v>
      </c>
      <c r="AK447" s="16" t="s">
        <v>4178</v>
      </c>
      <c r="AL447" s="16">
        <v>19184.599999999999</v>
      </c>
      <c r="AM447" s="16"/>
      <c r="AN447" s="16"/>
      <c r="AO447" s="16">
        <v>506</v>
      </c>
      <c r="AP447" s="16" t="s">
        <v>485</v>
      </c>
      <c r="AQ447" s="16" t="s">
        <v>4179</v>
      </c>
      <c r="AR447" s="3">
        <v>46266</v>
      </c>
      <c r="AS447" s="16" t="s">
        <v>55</v>
      </c>
      <c r="AT447" s="16" t="s">
        <v>516</v>
      </c>
      <c r="AU447" s="16"/>
      <c r="AV447" s="16" t="s">
        <v>4180</v>
      </c>
      <c r="AW447" s="16"/>
      <c r="AX447" s="16"/>
      <c r="AY447" s="16"/>
      <c r="AZ447" s="16"/>
      <c r="BA447" s="16"/>
      <c r="BB447" s="16"/>
      <c r="BC447" s="16"/>
      <c r="BD447" s="16" t="s">
        <v>55</v>
      </c>
      <c r="BE447" s="16">
        <v>32</v>
      </c>
      <c r="BF447" s="16"/>
      <c r="BG447" s="16"/>
      <c r="BH447" s="16" t="s">
        <v>491</v>
      </c>
      <c r="BI447" s="16">
        <v>261499939</v>
      </c>
      <c r="BJ447" s="16"/>
      <c r="BK447" s="16"/>
      <c r="BL447" s="16"/>
      <c r="BM447" s="16"/>
      <c r="BN447" s="16"/>
      <c r="BO447" s="16"/>
      <c r="BP447" s="16"/>
      <c r="BQ447" s="16"/>
      <c r="BR447" s="16"/>
      <c r="BS447" s="16"/>
      <c r="BT447" s="16"/>
      <c r="BU447" s="16"/>
      <c r="BV447" s="16"/>
      <c r="BW447" s="16"/>
      <c r="BX447" s="16"/>
      <c r="BY447" s="16"/>
      <c r="BZ447" s="16"/>
      <c r="CA447" s="190">
        <v>46275</v>
      </c>
      <c r="CB447" s="3"/>
      <c r="CC447" s="16"/>
      <c r="CD447" s="16"/>
      <c r="CE447" s="16"/>
      <c r="CF447" s="16"/>
      <c r="CG447" s="16"/>
      <c r="CH447" s="16"/>
      <c r="CI447" s="16" t="s">
        <v>4181</v>
      </c>
    </row>
    <row r="448" spans="1:87">
      <c r="A448" s="16" t="s">
        <v>5</v>
      </c>
      <c r="B448" s="16" t="s">
        <v>516</v>
      </c>
      <c r="C448" s="3">
        <v>46276</v>
      </c>
      <c r="D448" s="16" t="s">
        <v>14</v>
      </c>
      <c r="E448" s="16" t="s">
        <v>4182</v>
      </c>
      <c r="F448" s="16">
        <v>2026222870452</v>
      </c>
      <c r="G448" s="16">
        <v>40</v>
      </c>
      <c r="H448" s="16">
        <v>31</v>
      </c>
      <c r="I448" s="16" t="s">
        <v>460</v>
      </c>
      <c r="J448" s="16" t="s">
        <v>4182</v>
      </c>
      <c r="K448" s="16" t="s">
        <v>700</v>
      </c>
      <c r="L448" s="16" t="s">
        <v>18</v>
      </c>
      <c r="M448" s="16">
        <v>9</v>
      </c>
      <c r="N448" s="16" t="s">
        <v>462</v>
      </c>
      <c r="O448" s="16" t="s">
        <v>606</v>
      </c>
      <c r="P448" s="16" t="s">
        <v>4183</v>
      </c>
      <c r="Q448" s="16" t="s">
        <v>465</v>
      </c>
      <c r="R448" s="16" t="s">
        <v>466</v>
      </c>
      <c r="S448" s="16" t="s">
        <v>4184</v>
      </c>
      <c r="T448" s="16">
        <v>214025</v>
      </c>
      <c r="U448" s="16">
        <v>46266.685416666667</v>
      </c>
      <c r="V448" s="16" t="s">
        <v>469</v>
      </c>
      <c r="W448" s="16" t="s">
        <v>568</v>
      </c>
      <c r="X448" s="16" t="s">
        <v>471</v>
      </c>
      <c r="Y448" s="16" t="s">
        <v>1724</v>
      </c>
      <c r="Z448" s="16" t="s">
        <v>1292</v>
      </c>
      <c r="AA448" s="16" t="s">
        <v>474</v>
      </c>
      <c r="AB448" s="16" t="s">
        <v>4185</v>
      </c>
      <c r="AC448" s="16" t="s">
        <v>1294</v>
      </c>
      <c r="AD448" s="16">
        <v>842411303</v>
      </c>
      <c r="AE448" s="16">
        <v>1306487764</v>
      </c>
      <c r="AF448" s="16">
        <v>1699772699</v>
      </c>
      <c r="AG448" s="16"/>
      <c r="AH448" s="16"/>
      <c r="AI448" s="16" t="s">
        <v>341</v>
      </c>
      <c r="AJ448" s="16" t="s">
        <v>481</v>
      </c>
      <c r="AK448" s="16" t="s">
        <v>4186</v>
      </c>
      <c r="AL448" s="16">
        <v>8189</v>
      </c>
      <c r="AM448" s="16"/>
      <c r="AN448" s="16"/>
      <c r="AO448" s="16">
        <v>597</v>
      </c>
      <c r="AP448" s="16" t="s">
        <v>485</v>
      </c>
      <c r="AQ448" s="16" t="s">
        <v>4187</v>
      </c>
      <c r="AR448" s="3">
        <v>46266</v>
      </c>
      <c r="AS448" s="16" t="s">
        <v>341</v>
      </c>
      <c r="AT448" s="16" t="s">
        <v>516</v>
      </c>
      <c r="AU448" s="16"/>
      <c r="AV448" s="16" t="s">
        <v>4188</v>
      </c>
      <c r="AW448" s="16"/>
      <c r="AX448" s="16"/>
      <c r="AY448" s="16"/>
      <c r="AZ448" s="16"/>
      <c r="BA448" s="16"/>
      <c r="BB448" s="16"/>
      <c r="BC448" s="16"/>
      <c r="BD448" s="16" t="s">
        <v>341</v>
      </c>
      <c r="BE448" s="16">
        <v>31</v>
      </c>
      <c r="BF448" s="16"/>
      <c r="BG448" s="16"/>
      <c r="BH448" s="16" t="s">
        <v>491</v>
      </c>
      <c r="BI448" s="16">
        <v>309198081</v>
      </c>
      <c r="BJ448" s="16"/>
      <c r="BK448" s="16"/>
      <c r="BL448" s="16"/>
      <c r="BM448" s="16"/>
      <c r="BN448" s="16"/>
      <c r="BO448" s="16"/>
      <c r="BP448" s="16"/>
      <c r="BQ448" s="16"/>
      <c r="BR448" s="16"/>
      <c r="BS448" s="16"/>
      <c r="BT448" s="16"/>
      <c r="BU448" s="16"/>
      <c r="BV448" s="16"/>
      <c r="BW448" s="16"/>
      <c r="BX448" s="16"/>
      <c r="BY448" s="16"/>
      <c r="BZ448" s="16"/>
      <c r="CA448" s="190">
        <v>46281.666666666701</v>
      </c>
      <c r="CB448" s="3"/>
      <c r="CC448" s="16"/>
      <c r="CD448" s="16"/>
      <c r="CE448" s="16"/>
      <c r="CF448" s="16"/>
      <c r="CG448" s="16"/>
      <c r="CH448" s="16"/>
      <c r="CI448" s="16" t="s">
        <v>4189</v>
      </c>
    </row>
    <row r="449" spans="1:87">
      <c r="A449" s="16"/>
      <c r="B449" s="16"/>
      <c r="C449" s="3">
        <v>46276</v>
      </c>
      <c r="D449" s="16" t="s">
        <v>14</v>
      </c>
      <c r="E449" s="16" t="s">
        <v>4190</v>
      </c>
      <c r="F449" s="16"/>
      <c r="G449" s="16">
        <v>40</v>
      </c>
      <c r="H449" s="16">
        <v>31</v>
      </c>
      <c r="I449" s="16" t="s">
        <v>460</v>
      </c>
      <c r="J449" s="16" t="s">
        <v>4190</v>
      </c>
      <c r="K449" s="16" t="s">
        <v>625</v>
      </c>
      <c r="L449" s="16" t="s">
        <v>17</v>
      </c>
      <c r="M449" s="16">
        <v>8</v>
      </c>
      <c r="N449" s="16" t="s">
        <v>462</v>
      </c>
      <c r="O449" s="16" t="s">
        <v>606</v>
      </c>
      <c r="P449" s="16">
        <v>974447886</v>
      </c>
      <c r="Q449" s="16" t="s">
        <v>1055</v>
      </c>
      <c r="R449" s="16" t="s">
        <v>1350</v>
      </c>
      <c r="S449" s="16" t="s">
        <v>4191</v>
      </c>
      <c r="T449" s="16" t="s">
        <v>4192</v>
      </c>
      <c r="U449" s="16">
        <v>46266.763194444444</v>
      </c>
      <c r="V449" s="16" t="s">
        <v>469</v>
      </c>
      <c r="W449" s="16" t="s">
        <v>470</v>
      </c>
      <c r="X449" s="16" t="s">
        <v>471</v>
      </c>
      <c r="Y449" s="16" t="s">
        <v>523</v>
      </c>
      <c r="Z449" s="16" t="s">
        <v>1338</v>
      </c>
      <c r="AA449" s="16" t="s">
        <v>1354</v>
      </c>
      <c r="AB449" s="16" t="s">
        <v>4193</v>
      </c>
      <c r="AC449" s="16" t="s">
        <v>1429</v>
      </c>
      <c r="AD449" s="16">
        <v>60646973</v>
      </c>
      <c r="AE449" s="16">
        <v>1205822236</v>
      </c>
      <c r="AF449" s="16">
        <v>1457761017</v>
      </c>
      <c r="AG449" s="16"/>
      <c r="AH449" s="16"/>
      <c r="AI449" s="16" t="s">
        <v>70</v>
      </c>
      <c r="AJ449" s="16" t="s">
        <v>481</v>
      </c>
      <c r="AK449" s="16" t="s">
        <v>4194</v>
      </c>
      <c r="AL449" s="16">
        <v>10790</v>
      </c>
      <c r="AM449" s="16"/>
      <c r="AN449" s="16"/>
      <c r="AO449" s="16">
        <v>97</v>
      </c>
      <c r="AP449" s="16" t="s">
        <v>1063</v>
      </c>
      <c r="AQ449" s="16" t="s">
        <v>4195</v>
      </c>
      <c r="AR449" s="3">
        <v>46267</v>
      </c>
      <c r="AS449" s="16" t="s">
        <v>70</v>
      </c>
      <c r="AT449" s="16" t="s">
        <v>643</v>
      </c>
      <c r="AU449" s="16"/>
      <c r="AV449" s="16" t="s">
        <v>4196</v>
      </c>
      <c r="AW449" s="16"/>
      <c r="AX449" s="16"/>
      <c r="AY449" s="16"/>
      <c r="AZ449" s="16"/>
      <c r="BA449" s="16"/>
      <c r="BB449" s="16"/>
      <c r="BC449" s="16"/>
      <c r="BD449" s="16" t="s">
        <v>70</v>
      </c>
      <c r="BE449" s="16">
        <v>31</v>
      </c>
      <c r="BF449" s="16"/>
      <c r="BG449" s="16"/>
      <c r="BH449" s="16" t="s">
        <v>491</v>
      </c>
      <c r="BI449" s="16">
        <v>46884895</v>
      </c>
      <c r="BJ449" s="16"/>
      <c r="BK449" s="16"/>
      <c r="BL449" s="16"/>
      <c r="BM449" s="16"/>
      <c r="BN449" s="16"/>
      <c r="BO449" s="16"/>
      <c r="BP449" s="16"/>
      <c r="BQ449" s="16"/>
      <c r="BR449" s="16"/>
      <c r="BS449" s="16"/>
      <c r="BT449" s="16"/>
      <c r="BU449" s="16"/>
      <c r="BV449" s="16"/>
      <c r="BW449" s="16"/>
      <c r="BX449" s="16"/>
      <c r="BY449" s="16"/>
      <c r="BZ449" s="16"/>
      <c r="CA449" s="190">
        <v>46275</v>
      </c>
      <c r="CB449" s="3"/>
      <c r="CC449" s="16"/>
      <c r="CD449" s="16"/>
      <c r="CE449" s="16"/>
      <c r="CF449" s="16"/>
      <c r="CG449" s="16"/>
      <c r="CH449" s="16"/>
      <c r="CI449" s="16" t="s">
        <v>4197</v>
      </c>
    </row>
    <row r="450" spans="1:87">
      <c r="A450" s="16"/>
      <c r="B450" s="16"/>
      <c r="C450" s="3">
        <v>46276</v>
      </c>
      <c r="D450" s="16" t="s">
        <v>14</v>
      </c>
      <c r="E450" s="16" t="s">
        <v>4198</v>
      </c>
      <c r="F450" s="16">
        <v>2026220450269</v>
      </c>
      <c r="G450" s="16">
        <v>40</v>
      </c>
      <c r="H450" s="16">
        <v>33</v>
      </c>
      <c r="I450" s="16" t="s">
        <v>460</v>
      </c>
      <c r="J450" s="16" t="s">
        <v>4198</v>
      </c>
      <c r="K450" s="16" t="s">
        <v>691</v>
      </c>
      <c r="L450" s="16" t="s">
        <v>13</v>
      </c>
      <c r="M450" s="16">
        <v>7</v>
      </c>
      <c r="N450" s="16" t="s">
        <v>462</v>
      </c>
      <c r="O450" s="16" t="s">
        <v>606</v>
      </c>
      <c r="P450" s="16">
        <v>910949845</v>
      </c>
      <c r="Q450" s="16" t="s">
        <v>465</v>
      </c>
      <c r="R450" s="16" t="s">
        <v>466</v>
      </c>
      <c r="S450" s="16" t="s">
        <v>4199</v>
      </c>
      <c r="T450" s="16" t="s">
        <v>2771</v>
      </c>
      <c r="U450" s="16">
        <v>46268.690972222219</v>
      </c>
      <c r="V450" s="16" t="s">
        <v>469</v>
      </c>
      <c r="W450" s="16" t="s">
        <v>651</v>
      </c>
      <c r="X450" s="16" t="s">
        <v>652</v>
      </c>
      <c r="Y450" s="16" t="s">
        <v>653</v>
      </c>
      <c r="Z450" s="16" t="s">
        <v>1338</v>
      </c>
      <c r="AA450" s="16" t="s">
        <v>474</v>
      </c>
      <c r="AB450" s="16" t="s">
        <v>2772</v>
      </c>
      <c r="AC450" s="16" t="s">
        <v>1429</v>
      </c>
      <c r="AD450" s="16">
        <v>473214543</v>
      </c>
      <c r="AE450" s="16">
        <v>1750742144</v>
      </c>
      <c r="AF450" s="16">
        <v>1528231552</v>
      </c>
      <c r="AG450" s="16">
        <v>6220253520401400</v>
      </c>
      <c r="AH450" s="16" t="s">
        <v>1076</v>
      </c>
      <c r="AI450" s="16" t="s">
        <v>128</v>
      </c>
      <c r="AJ450" s="16" t="s">
        <v>481</v>
      </c>
      <c r="AK450" s="16" t="s">
        <v>4200</v>
      </c>
      <c r="AL450" s="16">
        <v>490</v>
      </c>
      <c r="AM450" s="16"/>
      <c r="AN450" s="16"/>
      <c r="AO450" s="16">
        <v>910</v>
      </c>
      <c r="AP450" s="16" t="s">
        <v>485</v>
      </c>
      <c r="AQ450" s="16" t="s">
        <v>4201</v>
      </c>
      <c r="AR450" s="3">
        <v>46268</v>
      </c>
      <c r="AS450" s="16" t="s">
        <v>128</v>
      </c>
      <c r="AT450" s="16" t="s">
        <v>695</v>
      </c>
      <c r="AU450" s="16"/>
      <c r="AV450" s="16" t="s">
        <v>2775</v>
      </c>
      <c r="AW450" s="16"/>
      <c r="AX450" s="16"/>
      <c r="AY450" s="16"/>
      <c r="AZ450" s="16"/>
      <c r="BA450" s="16"/>
      <c r="BB450" s="16"/>
      <c r="BC450" s="16"/>
      <c r="BD450" s="16" t="s">
        <v>128</v>
      </c>
      <c r="BE450" s="16">
        <v>33</v>
      </c>
      <c r="BF450" s="16"/>
      <c r="BG450" s="16"/>
      <c r="BH450" s="16" t="s">
        <v>658</v>
      </c>
      <c r="BI450" s="16">
        <v>910949845</v>
      </c>
      <c r="BJ450" s="16"/>
      <c r="BK450" s="16"/>
      <c r="BL450" s="16"/>
      <c r="BM450" s="16"/>
      <c r="BN450" s="16"/>
      <c r="BO450" s="16"/>
      <c r="BP450" s="16"/>
      <c r="BQ450" s="16"/>
      <c r="BR450" s="16"/>
      <c r="BS450" s="16"/>
      <c r="BT450" s="16"/>
      <c r="BU450" s="16"/>
      <c r="BV450" s="16"/>
      <c r="BW450" s="16"/>
      <c r="BX450" s="16"/>
      <c r="BY450" s="16"/>
      <c r="BZ450" s="16"/>
      <c r="CA450" s="190">
        <v>46275</v>
      </c>
      <c r="CB450" s="3"/>
      <c r="CC450" s="16"/>
      <c r="CD450" s="16"/>
      <c r="CE450" s="16"/>
      <c r="CF450" s="16"/>
      <c r="CG450" s="16"/>
      <c r="CH450" s="16"/>
      <c r="CI450" s="16" t="s">
        <v>4202</v>
      </c>
    </row>
    <row r="451" spans="1:87">
      <c r="A451" s="16" t="s">
        <v>5</v>
      </c>
      <c r="B451" s="16" t="s">
        <v>606</v>
      </c>
      <c r="C451" s="3">
        <v>46276</v>
      </c>
      <c r="D451" s="16" t="s">
        <v>14</v>
      </c>
      <c r="E451" s="16" t="s">
        <v>4203</v>
      </c>
      <c r="F451" s="16">
        <v>2026218470050</v>
      </c>
      <c r="G451" s="16">
        <v>40</v>
      </c>
      <c r="H451" s="16">
        <v>35</v>
      </c>
      <c r="I451" s="16" t="s">
        <v>460</v>
      </c>
      <c r="J451" s="16" t="s">
        <v>4203</v>
      </c>
      <c r="K451" s="16" t="s">
        <v>741</v>
      </c>
      <c r="L451" s="16" t="s">
        <v>13</v>
      </c>
      <c r="M451" s="16">
        <v>9</v>
      </c>
      <c r="N451" s="16" t="s">
        <v>462</v>
      </c>
      <c r="O451" s="16" t="s">
        <v>606</v>
      </c>
      <c r="P451" s="16">
        <v>909311587</v>
      </c>
      <c r="Q451" s="16" t="s">
        <v>465</v>
      </c>
      <c r="R451" s="16" t="s">
        <v>466</v>
      </c>
      <c r="S451" s="16" t="s">
        <v>4204</v>
      </c>
      <c r="T451" s="16" t="s">
        <v>2771</v>
      </c>
      <c r="U451" s="16">
        <v>46265.863888888889</v>
      </c>
      <c r="V451" s="16" t="s">
        <v>469</v>
      </c>
      <c r="W451" s="16" t="s">
        <v>651</v>
      </c>
      <c r="X451" s="16" t="s">
        <v>652</v>
      </c>
      <c r="Y451" s="16" t="s">
        <v>653</v>
      </c>
      <c r="Z451" s="16" t="s">
        <v>1338</v>
      </c>
      <c r="AA451" s="16" t="s">
        <v>474</v>
      </c>
      <c r="AB451" s="16" t="s">
        <v>2772</v>
      </c>
      <c r="AC451" s="16" t="s">
        <v>1429</v>
      </c>
      <c r="AD451" s="16">
        <v>812607054</v>
      </c>
      <c r="AE451" s="16">
        <v>1114476983</v>
      </c>
      <c r="AF451" s="16">
        <v>1427563105</v>
      </c>
      <c r="AG451" s="16">
        <v>6220252951021500</v>
      </c>
      <c r="AH451" s="16" t="s">
        <v>1076</v>
      </c>
      <c r="AI451" s="16" t="s">
        <v>290</v>
      </c>
      <c r="AJ451" s="16" t="s">
        <v>481</v>
      </c>
      <c r="AK451" s="16" t="s">
        <v>4205</v>
      </c>
      <c r="AL451" s="16">
        <v>425</v>
      </c>
      <c r="AM451" s="16"/>
      <c r="AN451" s="16"/>
      <c r="AO451" s="16">
        <v>909</v>
      </c>
      <c r="AP451" s="16" t="s">
        <v>485</v>
      </c>
      <c r="AQ451" s="16" t="s">
        <v>4206</v>
      </c>
      <c r="AR451" s="3">
        <v>46266</v>
      </c>
      <c r="AS451" s="16" t="s">
        <v>290</v>
      </c>
      <c r="AT451" s="16" t="s">
        <v>516</v>
      </c>
      <c r="AU451" s="16"/>
      <c r="AV451" s="16" t="s">
        <v>4207</v>
      </c>
      <c r="AW451" s="16"/>
      <c r="AX451" s="16"/>
      <c r="AY451" s="16"/>
      <c r="AZ451" s="16"/>
      <c r="BA451" s="16"/>
      <c r="BB451" s="16"/>
      <c r="BC451" s="16"/>
      <c r="BD451" s="16" t="s">
        <v>290</v>
      </c>
      <c r="BE451" s="16">
        <v>35</v>
      </c>
      <c r="BF451" s="16"/>
      <c r="BG451" s="16" t="s">
        <v>490</v>
      </c>
      <c r="BH451" s="16" t="s">
        <v>658</v>
      </c>
      <c r="BI451" s="16">
        <v>909311587</v>
      </c>
      <c r="BJ451" s="16"/>
      <c r="BK451" s="16"/>
      <c r="BL451" s="16"/>
      <c r="BM451" s="16"/>
      <c r="BN451" s="16"/>
      <c r="BO451" s="16"/>
      <c r="BP451" s="16"/>
      <c r="BQ451" s="16"/>
      <c r="BR451" s="16"/>
      <c r="BS451" s="16"/>
      <c r="BT451" s="16"/>
      <c r="BU451" s="16"/>
      <c r="BV451" s="16"/>
      <c r="BW451" s="16"/>
      <c r="BX451" s="16"/>
      <c r="BY451" s="16"/>
      <c r="BZ451" s="16"/>
      <c r="CA451" s="190">
        <v>46280.666666666701</v>
      </c>
      <c r="CB451" s="3"/>
      <c r="CC451" s="16"/>
      <c r="CD451" s="16"/>
      <c r="CE451" s="16"/>
      <c r="CF451" s="16"/>
      <c r="CG451" s="16"/>
      <c r="CH451" s="16"/>
      <c r="CI451" s="16" t="s">
        <v>4208</v>
      </c>
    </row>
    <row r="452" spans="1:87">
      <c r="A452" s="16" t="s">
        <v>5</v>
      </c>
      <c r="B452" s="16" t="s">
        <v>4209</v>
      </c>
      <c r="C452" s="3">
        <v>46276</v>
      </c>
      <c r="D452" s="16" t="s">
        <v>14</v>
      </c>
      <c r="E452" s="16" t="s">
        <v>4210</v>
      </c>
      <c r="F452" s="16">
        <v>2026219060164</v>
      </c>
      <c r="G452" s="16">
        <v>40</v>
      </c>
      <c r="H452" s="16">
        <v>34</v>
      </c>
      <c r="I452" s="16" t="s">
        <v>460</v>
      </c>
      <c r="J452" s="16" t="s">
        <v>4210</v>
      </c>
      <c r="K452" s="16" t="s">
        <v>2871</v>
      </c>
      <c r="L452" s="16" t="s">
        <v>18</v>
      </c>
      <c r="M452" s="16">
        <v>9</v>
      </c>
      <c r="N452" s="16" t="s">
        <v>462</v>
      </c>
      <c r="O452" s="16" t="s">
        <v>606</v>
      </c>
      <c r="P452" s="16" t="s">
        <v>4211</v>
      </c>
      <c r="Q452" s="16" t="s">
        <v>564</v>
      </c>
      <c r="R452" s="16" t="s">
        <v>466</v>
      </c>
      <c r="S452" s="16" t="s">
        <v>4212</v>
      </c>
      <c r="T452" s="16" t="s">
        <v>4213</v>
      </c>
      <c r="U452" s="16">
        <v>46265.728472222225</v>
      </c>
      <c r="V452" s="16" t="s">
        <v>469</v>
      </c>
      <c r="W452" s="16" t="s">
        <v>568</v>
      </c>
      <c r="X452" s="16" t="s">
        <v>471</v>
      </c>
      <c r="Y452" s="16" t="s">
        <v>1724</v>
      </c>
      <c r="Z452" s="16" t="s">
        <v>570</v>
      </c>
      <c r="AA452" s="16" t="s">
        <v>474</v>
      </c>
      <c r="AB452" s="16" t="s">
        <v>4214</v>
      </c>
      <c r="AC452" s="16" t="s">
        <v>733</v>
      </c>
      <c r="AD452" s="16">
        <v>203834012</v>
      </c>
      <c r="AE452" s="16">
        <v>1972845923</v>
      </c>
      <c r="AF452" s="16"/>
      <c r="AG452" s="16"/>
      <c r="AH452" s="16"/>
      <c r="AI452" s="16" t="s">
        <v>143</v>
      </c>
      <c r="AJ452" s="16" t="s">
        <v>481</v>
      </c>
      <c r="AK452" s="16" t="s">
        <v>4215</v>
      </c>
      <c r="AL452" s="16">
        <v>67049</v>
      </c>
      <c r="AM452" s="16"/>
      <c r="AN452" s="16"/>
      <c r="AO452" s="16">
        <v>843</v>
      </c>
      <c r="AP452" s="16" t="s">
        <v>485</v>
      </c>
      <c r="AQ452" s="16" t="s">
        <v>4216</v>
      </c>
      <c r="AR452" s="3">
        <v>46266</v>
      </c>
      <c r="AS452" s="16" t="s">
        <v>143</v>
      </c>
      <c r="AT452" s="16" t="s">
        <v>516</v>
      </c>
      <c r="AU452" s="16"/>
      <c r="AV452" s="16" t="s">
        <v>4217</v>
      </c>
      <c r="AW452" s="16"/>
      <c r="AX452" s="16"/>
      <c r="AY452" s="16"/>
      <c r="AZ452" s="16"/>
      <c r="BA452" s="16"/>
      <c r="BB452" s="16"/>
      <c r="BC452" s="16"/>
      <c r="BD452" s="16" t="s">
        <v>143</v>
      </c>
      <c r="BE452" s="16">
        <v>31</v>
      </c>
      <c r="BF452" s="16"/>
      <c r="BG452" s="16" t="s">
        <v>490</v>
      </c>
      <c r="BH452" s="16" t="s">
        <v>491</v>
      </c>
      <c r="BI452" s="16">
        <v>323629379</v>
      </c>
      <c r="BJ452" s="16"/>
      <c r="BK452" s="16"/>
      <c r="BL452" s="16"/>
      <c r="BM452" s="16"/>
      <c r="BN452" s="16"/>
      <c r="BO452" s="16"/>
      <c r="BP452" s="16"/>
      <c r="BQ452" s="16"/>
      <c r="BR452" s="16"/>
      <c r="BS452" s="16"/>
      <c r="BT452" s="16"/>
      <c r="BU452" s="16"/>
      <c r="BV452" s="16"/>
      <c r="BW452" s="16"/>
      <c r="BX452" s="16"/>
      <c r="BY452" s="16"/>
      <c r="BZ452" s="16"/>
      <c r="CA452" s="190">
        <v>46280.666666666701</v>
      </c>
      <c r="CB452" s="3"/>
      <c r="CC452" s="16"/>
      <c r="CD452" s="16"/>
      <c r="CE452" s="16"/>
      <c r="CF452" s="16"/>
      <c r="CG452" s="16"/>
      <c r="CH452" s="16"/>
      <c r="CI452" s="16" t="s">
        <v>4218</v>
      </c>
    </row>
    <row r="453" spans="1:87">
      <c r="A453" s="16"/>
      <c r="B453" s="16"/>
      <c r="C453" s="3">
        <v>46276</v>
      </c>
      <c r="D453" s="16" t="s">
        <v>14</v>
      </c>
      <c r="E453" s="16" t="s">
        <v>4219</v>
      </c>
      <c r="F453" s="16">
        <v>2026222010323</v>
      </c>
      <c r="G453" s="16">
        <v>40</v>
      </c>
      <c r="H453" s="16">
        <v>31</v>
      </c>
      <c r="I453" s="16" t="s">
        <v>460</v>
      </c>
      <c r="J453" s="16" t="s">
        <v>4219</v>
      </c>
      <c r="K453" s="16" t="s">
        <v>839</v>
      </c>
      <c r="L453" s="16" t="s">
        <v>18</v>
      </c>
      <c r="M453" s="16">
        <v>9</v>
      </c>
      <c r="N453" s="16" t="s">
        <v>462</v>
      </c>
      <c r="O453" s="16" t="s">
        <v>606</v>
      </c>
      <c r="P453" s="16">
        <v>100011385</v>
      </c>
      <c r="Q453" s="16" t="s">
        <v>564</v>
      </c>
      <c r="R453" s="16" t="s">
        <v>466</v>
      </c>
      <c r="S453" s="16" t="s">
        <v>4220</v>
      </c>
      <c r="T453" s="16" t="s">
        <v>4221</v>
      </c>
      <c r="U453" s="16">
        <v>46265.99722222222</v>
      </c>
      <c r="V453" s="16" t="s">
        <v>469</v>
      </c>
      <c r="W453" s="16" t="s">
        <v>651</v>
      </c>
      <c r="X453" s="16" t="s">
        <v>652</v>
      </c>
      <c r="Y453" s="16" t="s">
        <v>653</v>
      </c>
      <c r="Z453" s="16" t="s">
        <v>570</v>
      </c>
      <c r="AA453" s="16" t="s">
        <v>474</v>
      </c>
      <c r="AB453" s="16" t="s">
        <v>4222</v>
      </c>
      <c r="AC453" s="16" t="s">
        <v>572</v>
      </c>
      <c r="AD453" s="16">
        <v>951643325</v>
      </c>
      <c r="AE453" s="16">
        <v>1891904942</v>
      </c>
      <c r="AF453" s="16"/>
      <c r="AG453" s="16">
        <v>4020250912433500</v>
      </c>
      <c r="AH453" s="16"/>
      <c r="AI453" s="16" t="s">
        <v>159</v>
      </c>
      <c r="AJ453" s="16" t="s">
        <v>481</v>
      </c>
      <c r="AK453" s="16" t="s">
        <v>4223</v>
      </c>
      <c r="AL453" s="16">
        <v>261850.31</v>
      </c>
      <c r="AM453" s="16"/>
      <c r="AN453" s="16"/>
      <c r="AO453" s="16">
        <v>100</v>
      </c>
      <c r="AP453" s="16" t="s">
        <v>485</v>
      </c>
      <c r="AQ453" s="16" t="s">
        <v>4224</v>
      </c>
      <c r="AR453" s="3">
        <v>46266</v>
      </c>
      <c r="AS453" s="16" t="s">
        <v>159</v>
      </c>
      <c r="AT453" s="16" t="s">
        <v>1276</v>
      </c>
      <c r="AU453" s="16"/>
      <c r="AV453" s="16" t="s">
        <v>3882</v>
      </c>
      <c r="AW453" s="16"/>
      <c r="AX453" s="16"/>
      <c r="AY453" s="16"/>
      <c r="AZ453" s="16"/>
      <c r="BA453" s="16"/>
      <c r="BB453" s="16"/>
      <c r="BC453" s="16"/>
      <c r="BD453" s="16" t="s">
        <v>159</v>
      </c>
      <c r="BE453" s="16">
        <v>31</v>
      </c>
      <c r="BF453" s="16"/>
      <c r="BG453" s="16" t="s">
        <v>490</v>
      </c>
      <c r="BH453" s="16" t="s">
        <v>658</v>
      </c>
      <c r="BI453" s="16">
        <v>100011385</v>
      </c>
      <c r="BJ453" s="16"/>
      <c r="BK453" s="16"/>
      <c r="BL453" s="16"/>
      <c r="BM453" s="16"/>
      <c r="BN453" s="16"/>
      <c r="BO453" s="16"/>
      <c r="BP453" s="16"/>
      <c r="BQ453" s="16"/>
      <c r="BR453" s="16"/>
      <c r="BS453" s="16"/>
      <c r="BT453" s="16"/>
      <c r="BU453" s="16"/>
      <c r="BV453" s="16"/>
      <c r="BW453" s="16"/>
      <c r="BX453" s="16"/>
      <c r="BY453" s="16"/>
      <c r="BZ453" s="16"/>
      <c r="CA453" s="190">
        <v>46275</v>
      </c>
      <c r="CB453" s="3"/>
      <c r="CC453" s="16"/>
      <c r="CD453" s="16"/>
      <c r="CE453" s="16"/>
      <c r="CF453" s="16"/>
      <c r="CG453" s="16"/>
      <c r="CH453" s="16"/>
      <c r="CI453" s="16" t="s">
        <v>4225</v>
      </c>
    </row>
    <row r="454" spans="1:87">
      <c r="A454" s="16"/>
      <c r="B454" s="16"/>
      <c r="C454" s="3">
        <v>46276</v>
      </c>
      <c r="D454" s="16" t="s">
        <v>14</v>
      </c>
      <c r="E454" s="16" t="s">
        <v>4226</v>
      </c>
      <c r="F454" s="16">
        <v>2026218960212</v>
      </c>
      <c r="G454" s="16">
        <v>40</v>
      </c>
      <c r="H454" s="16">
        <v>35</v>
      </c>
      <c r="I454" s="16" t="s">
        <v>460</v>
      </c>
      <c r="J454" s="16" t="s">
        <v>4226</v>
      </c>
      <c r="K454" s="16" t="s">
        <v>839</v>
      </c>
      <c r="L454" s="16" t="s">
        <v>18</v>
      </c>
      <c r="M454" s="16">
        <v>7</v>
      </c>
      <c r="N454" s="16" t="s">
        <v>462</v>
      </c>
      <c r="O454" s="16" t="s">
        <v>497</v>
      </c>
      <c r="P454" s="16" t="s">
        <v>4227</v>
      </c>
      <c r="Q454" s="16" t="s">
        <v>564</v>
      </c>
      <c r="R454" s="16" t="s">
        <v>466</v>
      </c>
      <c r="S454" s="16" t="s">
        <v>4228</v>
      </c>
      <c r="T454" s="16" t="s">
        <v>1734</v>
      </c>
      <c r="U454" s="16">
        <v>46267.918055555558</v>
      </c>
      <c r="V454" s="16" t="s">
        <v>469</v>
      </c>
      <c r="W454" s="16" t="s">
        <v>568</v>
      </c>
      <c r="X454" s="16" t="s">
        <v>471</v>
      </c>
      <c r="Y454" s="16" t="s">
        <v>1735</v>
      </c>
      <c r="Z454" s="16" t="s">
        <v>906</v>
      </c>
      <c r="AA454" s="16" t="s">
        <v>474</v>
      </c>
      <c r="AB454" s="16" t="s">
        <v>4229</v>
      </c>
      <c r="AC454" s="16" t="s">
        <v>572</v>
      </c>
      <c r="AD454" s="16">
        <v>710918827</v>
      </c>
      <c r="AE454" s="16">
        <v>1912014986</v>
      </c>
      <c r="AF454" s="16">
        <v>1720010200</v>
      </c>
      <c r="AG454" s="16"/>
      <c r="AH454" s="16"/>
      <c r="AI454" s="16" t="s">
        <v>159</v>
      </c>
      <c r="AJ454" s="16" t="s">
        <v>481</v>
      </c>
      <c r="AK454" s="16" t="s">
        <v>4230</v>
      </c>
      <c r="AL454" s="16">
        <v>1847.06</v>
      </c>
      <c r="AM454" s="16"/>
      <c r="AN454" s="16"/>
      <c r="AO454" s="16">
        <v>819</v>
      </c>
      <c r="AP454" s="16" t="s">
        <v>485</v>
      </c>
      <c r="AQ454" s="16" t="s">
        <v>4231</v>
      </c>
      <c r="AR454" s="3">
        <v>46268</v>
      </c>
      <c r="AS454" s="16" t="s">
        <v>159</v>
      </c>
      <c r="AT454" s="16" t="s">
        <v>4232</v>
      </c>
      <c r="AU454" s="16"/>
      <c r="AV454" s="16" t="s">
        <v>4233</v>
      </c>
      <c r="AW454" s="16"/>
      <c r="AX454" s="16"/>
      <c r="AY454" s="16"/>
      <c r="AZ454" s="16"/>
      <c r="BA454" s="16"/>
      <c r="BB454" s="16"/>
      <c r="BC454" s="16"/>
      <c r="BD454" s="16" t="s">
        <v>159</v>
      </c>
      <c r="BE454" s="16">
        <v>35</v>
      </c>
      <c r="BF454" s="16"/>
      <c r="BG454" s="16" t="s">
        <v>490</v>
      </c>
      <c r="BH454" s="16" t="s">
        <v>491</v>
      </c>
      <c r="BI454" s="16">
        <v>545957511</v>
      </c>
      <c r="BJ454" s="16"/>
      <c r="BK454" s="16"/>
      <c r="BL454" s="16"/>
      <c r="BM454" s="16"/>
      <c r="BN454" s="16"/>
      <c r="BO454" s="16"/>
      <c r="BP454" s="16"/>
      <c r="BQ454" s="16"/>
      <c r="BR454" s="16"/>
      <c r="BS454" s="16"/>
      <c r="BT454" s="16"/>
      <c r="BU454" s="16"/>
      <c r="BV454" s="16"/>
      <c r="BW454" s="16"/>
      <c r="BX454" s="16"/>
      <c r="BY454" s="16"/>
      <c r="BZ454" s="16"/>
      <c r="CA454" s="190">
        <v>46275</v>
      </c>
      <c r="CB454" s="3"/>
      <c r="CC454" s="16"/>
      <c r="CD454" s="16"/>
      <c r="CE454" s="16"/>
      <c r="CF454" s="16"/>
      <c r="CG454" s="16"/>
      <c r="CH454" s="16"/>
      <c r="CI454" s="16" t="s">
        <v>4234</v>
      </c>
    </row>
    <row r="455" spans="1:87">
      <c r="A455" s="16"/>
      <c r="B455" s="16"/>
      <c r="C455" s="3">
        <v>46276</v>
      </c>
      <c r="D455" s="16" t="s">
        <v>14</v>
      </c>
      <c r="E455" s="16" t="s">
        <v>4235</v>
      </c>
      <c r="F455" s="16">
        <v>2026222560222</v>
      </c>
      <c r="G455" s="16">
        <v>40</v>
      </c>
      <c r="H455" s="16">
        <v>31</v>
      </c>
      <c r="I455" s="16" t="s">
        <v>460</v>
      </c>
      <c r="J455" s="16" t="s">
        <v>4235</v>
      </c>
      <c r="K455" s="16" t="s">
        <v>1083</v>
      </c>
      <c r="L455" s="16" t="s">
        <v>17</v>
      </c>
      <c r="M455" s="16">
        <v>9</v>
      </c>
      <c r="N455" s="16" t="s">
        <v>462</v>
      </c>
      <c r="O455" s="16" t="s">
        <v>606</v>
      </c>
      <c r="P455" s="16">
        <v>809620324</v>
      </c>
      <c r="Q455" s="16" t="s">
        <v>465</v>
      </c>
      <c r="R455" s="16" t="s">
        <v>466</v>
      </c>
      <c r="S455" s="16" t="s">
        <v>4236</v>
      </c>
      <c r="T455" s="16" t="s">
        <v>928</v>
      </c>
      <c r="U455" s="16">
        <v>46265.974999999999</v>
      </c>
      <c r="V455" s="16" t="s">
        <v>469</v>
      </c>
      <c r="W455" s="16" t="s">
        <v>651</v>
      </c>
      <c r="X455" s="16" t="s">
        <v>652</v>
      </c>
      <c r="Y455" s="16" t="s">
        <v>653</v>
      </c>
      <c r="Z455" s="16" t="s">
        <v>544</v>
      </c>
      <c r="AA455" s="16" t="s">
        <v>474</v>
      </c>
      <c r="AB455" s="16" t="s">
        <v>929</v>
      </c>
      <c r="AC455" s="16" t="s">
        <v>546</v>
      </c>
      <c r="AD455" s="16">
        <v>581661116</v>
      </c>
      <c r="AE455" s="16">
        <v>1386697928</v>
      </c>
      <c r="AF455" s="16">
        <v>1982676292</v>
      </c>
      <c r="AG455" s="16">
        <v>1.02202531125567E+16</v>
      </c>
      <c r="AH455" s="16"/>
      <c r="AI455" s="16" t="s">
        <v>48</v>
      </c>
      <c r="AJ455" s="16" t="s">
        <v>481</v>
      </c>
      <c r="AK455" s="16" t="s">
        <v>4237</v>
      </c>
      <c r="AL455" s="16">
        <v>52008</v>
      </c>
      <c r="AM455" s="16"/>
      <c r="AN455" s="16"/>
      <c r="AO455" s="16">
        <v>809</v>
      </c>
      <c r="AP455" s="16" t="s">
        <v>485</v>
      </c>
      <c r="AQ455" s="16" t="s">
        <v>4238</v>
      </c>
      <c r="AR455" s="3">
        <v>46266</v>
      </c>
      <c r="AS455" s="16" t="s">
        <v>48</v>
      </c>
      <c r="AT455" s="16" t="s">
        <v>516</v>
      </c>
      <c r="AU455" s="16"/>
      <c r="AV455" s="16" t="s">
        <v>4239</v>
      </c>
      <c r="AW455" s="16"/>
      <c r="AX455" s="16"/>
      <c r="AY455" s="16"/>
      <c r="AZ455" s="16"/>
      <c r="BA455" s="16"/>
      <c r="BB455" s="16"/>
      <c r="BC455" s="16"/>
      <c r="BD455" s="16" t="s">
        <v>48</v>
      </c>
      <c r="BE455" s="16">
        <v>31</v>
      </c>
      <c r="BF455" s="16"/>
      <c r="BG455" s="16" t="s">
        <v>490</v>
      </c>
      <c r="BH455" s="16" t="s">
        <v>658</v>
      </c>
      <c r="BI455" s="16">
        <v>809620324</v>
      </c>
      <c r="BJ455" s="16"/>
      <c r="BK455" s="16"/>
      <c r="BL455" s="16"/>
      <c r="BM455" s="16"/>
      <c r="BN455" s="16"/>
      <c r="BO455" s="16"/>
      <c r="BP455" s="16"/>
      <c r="BQ455" s="16"/>
      <c r="BR455" s="16"/>
      <c r="BS455" s="16"/>
      <c r="BT455" s="16"/>
      <c r="BU455" s="16"/>
      <c r="BV455" s="16"/>
      <c r="BW455" s="16"/>
      <c r="BX455" s="16"/>
      <c r="BY455" s="16"/>
      <c r="BZ455" s="16"/>
      <c r="CA455" s="190">
        <v>46275</v>
      </c>
      <c r="CB455" s="3"/>
      <c r="CC455" s="16"/>
      <c r="CD455" s="16"/>
      <c r="CE455" s="16"/>
      <c r="CF455" s="16"/>
      <c r="CG455" s="16"/>
      <c r="CH455" s="16"/>
      <c r="CI455" s="16" t="s">
        <v>4240</v>
      </c>
    </row>
    <row r="456" spans="1:87" ht="29.25">
      <c r="A456" s="16" t="s">
        <v>5</v>
      </c>
      <c r="B456" s="25" t="s">
        <v>3707</v>
      </c>
      <c r="C456" s="3">
        <v>46276</v>
      </c>
      <c r="D456" s="16" t="s">
        <v>14</v>
      </c>
      <c r="E456" s="16" t="s">
        <v>4241</v>
      </c>
      <c r="F456" s="16">
        <v>2026220330314</v>
      </c>
      <c r="G456" s="16">
        <v>40</v>
      </c>
      <c r="H456" s="16">
        <v>33</v>
      </c>
      <c r="I456" s="16" t="s">
        <v>460</v>
      </c>
      <c r="J456" s="16" t="s">
        <v>4241</v>
      </c>
      <c r="K456" s="16" t="s">
        <v>1555</v>
      </c>
      <c r="L456" s="16" t="s">
        <v>17</v>
      </c>
      <c r="M456" s="16">
        <v>9</v>
      </c>
      <c r="N456" s="16" t="s">
        <v>462</v>
      </c>
      <c r="O456" s="16" t="s">
        <v>606</v>
      </c>
      <c r="P456" s="16">
        <v>599399885</v>
      </c>
      <c r="Q456" s="16" t="s">
        <v>465</v>
      </c>
      <c r="R456" s="16" t="s">
        <v>466</v>
      </c>
      <c r="S456" s="16" t="s">
        <v>4242</v>
      </c>
      <c r="T456" s="16" t="s">
        <v>928</v>
      </c>
      <c r="U456" s="16">
        <v>46265.831250000003</v>
      </c>
      <c r="V456" s="16" t="s">
        <v>469</v>
      </c>
      <c r="W456" s="16" t="s">
        <v>651</v>
      </c>
      <c r="X456" s="16" t="s">
        <v>652</v>
      </c>
      <c r="Y456" s="16" t="s">
        <v>653</v>
      </c>
      <c r="Z456" s="16" t="s">
        <v>544</v>
      </c>
      <c r="AA456" s="16" t="s">
        <v>474</v>
      </c>
      <c r="AB456" s="16" t="s">
        <v>929</v>
      </c>
      <c r="AC456" s="16" t="s">
        <v>546</v>
      </c>
      <c r="AD456" s="16">
        <v>262806740</v>
      </c>
      <c r="AE456" s="16">
        <v>1093740615</v>
      </c>
      <c r="AF456" s="16">
        <v>1205825338</v>
      </c>
      <c r="AG456" s="16">
        <v>1.02202534946109E+16</v>
      </c>
      <c r="AH456" s="16"/>
      <c r="AI456" s="16" t="s">
        <v>32</v>
      </c>
      <c r="AJ456" s="16" t="s">
        <v>481</v>
      </c>
      <c r="AK456" s="16" t="s">
        <v>4243</v>
      </c>
      <c r="AL456" s="16">
        <v>8320</v>
      </c>
      <c r="AM456" s="16"/>
      <c r="AN456" s="16"/>
      <c r="AO456" s="16">
        <v>599</v>
      </c>
      <c r="AP456" s="16" t="s">
        <v>485</v>
      </c>
      <c r="AQ456" s="16" t="s">
        <v>4244</v>
      </c>
      <c r="AR456" s="3">
        <v>46266</v>
      </c>
      <c r="AS456" s="16" t="s">
        <v>32</v>
      </c>
      <c r="AT456" s="16" t="s">
        <v>516</v>
      </c>
      <c r="AU456" s="16"/>
      <c r="AV456" s="16" t="s">
        <v>4245</v>
      </c>
      <c r="AW456" s="16"/>
      <c r="AX456" s="16"/>
      <c r="AY456" s="16"/>
      <c r="AZ456" s="16"/>
      <c r="BA456" s="16"/>
      <c r="BB456" s="16"/>
      <c r="BC456" s="16"/>
      <c r="BD456" s="16" t="s">
        <v>32</v>
      </c>
      <c r="BE456" s="16">
        <v>33</v>
      </c>
      <c r="BF456" s="16"/>
      <c r="BG456" s="16" t="s">
        <v>490</v>
      </c>
      <c r="BH456" s="16" t="s">
        <v>658</v>
      </c>
      <c r="BI456" s="16">
        <v>599399885</v>
      </c>
      <c r="BJ456" s="16"/>
      <c r="BK456" s="16"/>
      <c r="BL456" s="16"/>
      <c r="BM456" s="16"/>
      <c r="BN456" s="16"/>
      <c r="BO456" s="16"/>
      <c r="BP456" s="16"/>
      <c r="BQ456" s="16"/>
      <c r="BR456" s="16"/>
      <c r="BS456" s="16"/>
      <c r="BT456" s="16"/>
      <c r="BU456" s="16"/>
      <c r="BV456" s="16"/>
      <c r="BW456" s="16"/>
      <c r="BX456" s="16"/>
      <c r="BY456" s="16"/>
      <c r="BZ456" s="16"/>
      <c r="CA456" s="190">
        <v>46285.666666666701</v>
      </c>
      <c r="CB456" s="3"/>
      <c r="CC456" s="16"/>
      <c r="CD456" s="16"/>
      <c r="CE456" s="16"/>
      <c r="CF456" s="16"/>
      <c r="CG456" s="16"/>
      <c r="CH456" s="16"/>
      <c r="CI456" s="16" t="s">
        <v>4246</v>
      </c>
    </row>
    <row r="457" spans="1:87">
      <c r="A457" s="16" t="s">
        <v>5</v>
      </c>
      <c r="B457" s="16" t="s">
        <v>2622</v>
      </c>
      <c r="C457" s="3">
        <v>46276</v>
      </c>
      <c r="D457" s="16" t="s">
        <v>14</v>
      </c>
      <c r="E457" s="16" t="s">
        <v>4247</v>
      </c>
      <c r="F457" s="16">
        <v>2026216420204</v>
      </c>
      <c r="G457" s="16">
        <v>40</v>
      </c>
      <c r="H457" s="16">
        <v>37</v>
      </c>
      <c r="I457" s="16" t="s">
        <v>460</v>
      </c>
      <c r="J457" s="16" t="s">
        <v>4247</v>
      </c>
      <c r="K457" s="16" t="s">
        <v>496</v>
      </c>
      <c r="L457" s="16" t="s">
        <v>17</v>
      </c>
      <c r="M457" s="16">
        <v>8</v>
      </c>
      <c r="N457" s="16" t="s">
        <v>462</v>
      </c>
      <c r="O457" s="16" t="s">
        <v>2575</v>
      </c>
      <c r="P457" s="16" t="s">
        <v>4248</v>
      </c>
      <c r="Q457" s="16" t="s">
        <v>465</v>
      </c>
      <c r="R457" s="16" t="s">
        <v>466</v>
      </c>
      <c r="S457" s="16" t="s">
        <v>4249</v>
      </c>
      <c r="T457" s="16" t="s">
        <v>465</v>
      </c>
      <c r="U457" s="16">
        <v>46266.830555555556</v>
      </c>
      <c r="V457" s="16" t="s">
        <v>469</v>
      </c>
      <c r="W457" s="16" t="s">
        <v>470</v>
      </c>
      <c r="X457" s="16" t="s">
        <v>471</v>
      </c>
      <c r="Y457" s="16" t="s">
        <v>472</v>
      </c>
      <c r="Z457" s="16" t="s">
        <v>544</v>
      </c>
      <c r="AA457" s="16" t="s">
        <v>474</v>
      </c>
      <c r="AB457" s="16" t="s">
        <v>1490</v>
      </c>
      <c r="AC457" s="16" t="s">
        <v>546</v>
      </c>
      <c r="AD457" s="16">
        <v>874714839</v>
      </c>
      <c r="AE457" s="16">
        <v>1144096553</v>
      </c>
      <c r="AF457" s="16"/>
      <c r="AG457" s="16"/>
      <c r="AH457" s="16"/>
      <c r="AI457" s="16" t="s">
        <v>91</v>
      </c>
      <c r="AJ457" s="16" t="s">
        <v>481</v>
      </c>
      <c r="AK457" s="16" t="s">
        <v>4250</v>
      </c>
      <c r="AL457" s="16">
        <v>202903.23</v>
      </c>
      <c r="AM457" s="16"/>
      <c r="AN457" s="16"/>
      <c r="AO457" s="16">
        <v>336</v>
      </c>
      <c r="AP457" s="16" t="s">
        <v>485</v>
      </c>
      <c r="AQ457" s="16" t="s">
        <v>4251</v>
      </c>
      <c r="AR457" s="3">
        <v>46267</v>
      </c>
      <c r="AS457" s="16" t="s">
        <v>91</v>
      </c>
      <c r="AT457" s="16" t="s">
        <v>4252</v>
      </c>
      <c r="AU457" s="16"/>
      <c r="AV457" s="16" t="s">
        <v>4253</v>
      </c>
      <c r="AW457" s="16"/>
      <c r="AX457" s="16"/>
      <c r="AY457" s="16"/>
      <c r="AZ457" s="16"/>
      <c r="BA457" s="16"/>
      <c r="BB457" s="16"/>
      <c r="BC457" s="16"/>
      <c r="BD457" s="16" t="s">
        <v>91</v>
      </c>
      <c r="BE457" s="16">
        <v>37</v>
      </c>
      <c r="BF457" s="16"/>
      <c r="BG457" s="16"/>
      <c r="BH457" s="16" t="s">
        <v>491</v>
      </c>
      <c r="BI457" s="16" t="s">
        <v>4248</v>
      </c>
      <c r="BJ457" s="16"/>
      <c r="BK457" s="16"/>
      <c r="BL457" s="16"/>
      <c r="BM457" s="16"/>
      <c r="BN457" s="16"/>
      <c r="BO457" s="16"/>
      <c r="BP457" s="16"/>
      <c r="BQ457" s="16"/>
      <c r="BR457" s="16"/>
      <c r="BS457" s="16"/>
      <c r="BT457" s="16"/>
      <c r="BU457" s="16"/>
      <c r="BV457" s="16"/>
      <c r="BW457" s="16"/>
      <c r="BX457" s="16"/>
      <c r="BY457" s="16"/>
      <c r="BZ457" s="16"/>
      <c r="CA457" s="190">
        <v>46281.666666666701</v>
      </c>
      <c r="CB457" s="3"/>
      <c r="CC457" s="16"/>
      <c r="CD457" s="16"/>
      <c r="CE457" s="16"/>
      <c r="CF457" s="16"/>
      <c r="CG457" s="16"/>
      <c r="CH457" s="16"/>
      <c r="CI457" s="16" t="s">
        <v>4254</v>
      </c>
    </row>
    <row r="458" spans="1:87" ht="29.25">
      <c r="A458" s="16" t="s">
        <v>5</v>
      </c>
      <c r="B458" s="25" t="s">
        <v>3493</v>
      </c>
      <c r="C458" s="3">
        <v>46276</v>
      </c>
      <c r="D458" s="16" t="s">
        <v>14</v>
      </c>
      <c r="E458" s="16" t="s">
        <v>4255</v>
      </c>
      <c r="F458" s="16">
        <v>2026222540303</v>
      </c>
      <c r="G458" s="16">
        <v>40</v>
      </c>
      <c r="H458" s="16">
        <v>31</v>
      </c>
      <c r="I458" s="16" t="s">
        <v>460</v>
      </c>
      <c r="J458" s="16" t="s">
        <v>4255</v>
      </c>
      <c r="K458" s="16" t="s">
        <v>461</v>
      </c>
      <c r="L458" s="16" t="s">
        <v>17</v>
      </c>
      <c r="M458" s="16">
        <v>9</v>
      </c>
      <c r="N458" s="16" t="s">
        <v>462</v>
      </c>
      <c r="O458" s="16" t="s">
        <v>606</v>
      </c>
      <c r="P458" s="16" t="s">
        <v>4256</v>
      </c>
      <c r="Q458" s="16" t="s">
        <v>465</v>
      </c>
      <c r="R458" s="16" t="s">
        <v>466</v>
      </c>
      <c r="S458" s="16" t="s">
        <v>4257</v>
      </c>
      <c r="T458" s="16" t="s">
        <v>465</v>
      </c>
      <c r="U458" s="16">
        <v>46265.986805555556</v>
      </c>
      <c r="V458" s="16" t="s">
        <v>469</v>
      </c>
      <c r="W458" s="16" t="s">
        <v>470</v>
      </c>
      <c r="X458" s="16" t="s">
        <v>471</v>
      </c>
      <c r="Y458" s="16" t="s">
        <v>472</v>
      </c>
      <c r="Z458" s="16" t="s">
        <v>524</v>
      </c>
      <c r="AA458" s="16" t="s">
        <v>474</v>
      </c>
      <c r="AB458" s="16" t="s">
        <v>4258</v>
      </c>
      <c r="AC458" s="16" t="s">
        <v>526</v>
      </c>
      <c r="AD458" s="16">
        <v>311351965</v>
      </c>
      <c r="AE458" s="16">
        <v>1578545273</v>
      </c>
      <c r="AF458" s="16">
        <v>1598956104</v>
      </c>
      <c r="AG458" s="16"/>
      <c r="AH458" s="16"/>
      <c r="AI458" s="16" t="s">
        <v>67</v>
      </c>
      <c r="AJ458" s="16" t="s">
        <v>481</v>
      </c>
      <c r="AK458" s="16" t="s">
        <v>4259</v>
      </c>
      <c r="AL458" s="16">
        <v>17964</v>
      </c>
      <c r="AM458" s="16"/>
      <c r="AN458" s="16"/>
      <c r="AO458" s="16">
        <v>48</v>
      </c>
      <c r="AP458" s="16" t="s">
        <v>485</v>
      </c>
      <c r="AQ458" s="16" t="s">
        <v>4260</v>
      </c>
      <c r="AR458" s="3">
        <v>46266</v>
      </c>
      <c r="AS458" s="16" t="s">
        <v>67</v>
      </c>
      <c r="AT458" s="16" t="s">
        <v>487</v>
      </c>
      <c r="AU458" s="16"/>
      <c r="AV458" s="16" t="s">
        <v>4261</v>
      </c>
      <c r="AW458" s="16"/>
      <c r="AX458" s="16"/>
      <c r="AY458" s="16"/>
      <c r="AZ458" s="16"/>
      <c r="BA458" s="16"/>
      <c r="BB458" s="16"/>
      <c r="BC458" s="16"/>
      <c r="BD458" s="16" t="s">
        <v>67</v>
      </c>
      <c r="BE458" s="16">
        <v>31</v>
      </c>
      <c r="BF458" s="16"/>
      <c r="BG458" s="16"/>
      <c r="BH458" s="16" t="s">
        <v>491</v>
      </c>
      <c r="BI458" s="16">
        <v>271785045</v>
      </c>
      <c r="BJ458" s="16"/>
      <c r="BK458" s="16"/>
      <c r="BL458" s="16"/>
      <c r="BM458" s="16"/>
      <c r="BN458" s="16"/>
      <c r="BO458" s="16"/>
      <c r="BP458" s="16"/>
      <c r="BQ458" s="16"/>
      <c r="BR458" s="16"/>
      <c r="BS458" s="16"/>
      <c r="BT458" s="16"/>
      <c r="BU458" s="16"/>
      <c r="BV458" s="16"/>
      <c r="BW458" s="16"/>
      <c r="BX458" s="16"/>
      <c r="BY458" s="16"/>
      <c r="BZ458" s="16"/>
      <c r="CA458" s="190">
        <v>46282.166666666701</v>
      </c>
      <c r="CB458" s="3"/>
      <c r="CC458" s="16"/>
      <c r="CD458" s="16"/>
      <c r="CE458" s="16"/>
      <c r="CF458" s="16"/>
      <c r="CG458" s="16"/>
      <c r="CH458" s="16"/>
      <c r="CI458" s="16" t="s">
        <v>4262</v>
      </c>
    </row>
    <row r="459" spans="1:87">
      <c r="A459" s="16" t="s">
        <v>5</v>
      </c>
      <c r="B459" s="16" t="s">
        <v>4263</v>
      </c>
      <c r="C459" s="3">
        <v>46276</v>
      </c>
      <c r="D459" s="16" t="s">
        <v>14</v>
      </c>
      <c r="E459" s="16" t="s">
        <v>4264</v>
      </c>
      <c r="F459" s="16">
        <v>2026220250063</v>
      </c>
      <c r="G459" s="16">
        <v>40</v>
      </c>
      <c r="H459" s="16">
        <v>33</v>
      </c>
      <c r="I459" s="16" t="s">
        <v>460</v>
      </c>
      <c r="J459" s="16" t="s">
        <v>4264</v>
      </c>
      <c r="K459" s="16" t="s">
        <v>1371</v>
      </c>
      <c r="L459" s="16" t="s">
        <v>17</v>
      </c>
      <c r="M459" s="16">
        <v>9</v>
      </c>
      <c r="N459" s="16" t="s">
        <v>462</v>
      </c>
      <c r="O459" s="16" t="s">
        <v>606</v>
      </c>
      <c r="P459" s="16" t="s">
        <v>4265</v>
      </c>
      <c r="Q459" s="16" t="s">
        <v>465</v>
      </c>
      <c r="R459" s="16" t="s">
        <v>466</v>
      </c>
      <c r="S459" s="16" t="s">
        <v>4266</v>
      </c>
      <c r="T459" s="16" t="s">
        <v>465</v>
      </c>
      <c r="U459" s="16">
        <v>46265.753472222219</v>
      </c>
      <c r="V459" s="16" t="s">
        <v>469</v>
      </c>
      <c r="W459" s="16" t="s">
        <v>470</v>
      </c>
      <c r="X459" s="16" t="s">
        <v>471</v>
      </c>
      <c r="Y459" s="16" t="s">
        <v>472</v>
      </c>
      <c r="Z459" s="16" t="s">
        <v>473</v>
      </c>
      <c r="AA459" s="16" t="s">
        <v>474</v>
      </c>
      <c r="AB459" s="16" t="s">
        <v>4267</v>
      </c>
      <c r="AC459" s="16" t="s">
        <v>476</v>
      </c>
      <c r="AD459" s="16">
        <v>390813418</v>
      </c>
      <c r="AE459" s="16">
        <v>1235588831</v>
      </c>
      <c r="AF459" s="16">
        <v>1013639558</v>
      </c>
      <c r="AG459" s="16"/>
      <c r="AH459" s="16"/>
      <c r="AI459" s="16" t="s">
        <v>164</v>
      </c>
      <c r="AJ459" s="16" t="s">
        <v>481</v>
      </c>
      <c r="AK459" s="16" t="s">
        <v>4268</v>
      </c>
      <c r="AL459" s="16">
        <v>14513</v>
      </c>
      <c r="AM459" s="16"/>
      <c r="AN459" s="16"/>
      <c r="AO459" s="16">
        <v>79</v>
      </c>
      <c r="AP459" s="16" t="s">
        <v>485</v>
      </c>
      <c r="AQ459" s="16" t="s">
        <v>4269</v>
      </c>
      <c r="AR459" s="3">
        <v>46266</v>
      </c>
      <c r="AS459" s="16" t="s">
        <v>164</v>
      </c>
      <c r="AT459" s="16" t="s">
        <v>516</v>
      </c>
      <c r="AU459" s="16"/>
      <c r="AV459" s="16" t="s">
        <v>860</v>
      </c>
      <c r="AW459" s="16"/>
      <c r="AX459" s="16"/>
      <c r="AY459" s="16"/>
      <c r="AZ459" s="16"/>
      <c r="BA459" s="16"/>
      <c r="BB459" s="16"/>
      <c r="BC459" s="16"/>
      <c r="BD459" s="16" t="s">
        <v>164</v>
      </c>
      <c r="BE459" s="16">
        <v>33</v>
      </c>
      <c r="BF459" s="16"/>
      <c r="BG459" s="16"/>
      <c r="BH459" s="16" t="s">
        <v>491</v>
      </c>
      <c r="BI459" s="16">
        <v>358621855</v>
      </c>
      <c r="BJ459" s="16"/>
      <c r="BK459" s="16"/>
      <c r="BL459" s="16"/>
      <c r="BM459" s="16"/>
      <c r="BN459" s="16"/>
      <c r="BO459" s="16"/>
      <c r="BP459" s="16"/>
      <c r="BQ459" s="16"/>
      <c r="BR459" s="16"/>
      <c r="BS459" s="16"/>
      <c r="BT459" s="16"/>
      <c r="BU459" s="16"/>
      <c r="BV459" s="16"/>
      <c r="BW459" s="16"/>
      <c r="BX459" s="16"/>
      <c r="BY459" s="16"/>
      <c r="BZ459" s="16"/>
      <c r="CA459" s="190">
        <v>46280.666666666701</v>
      </c>
      <c r="CB459" s="3"/>
      <c r="CC459" s="16"/>
      <c r="CD459" s="16"/>
      <c r="CE459" s="16"/>
      <c r="CF459" s="16"/>
      <c r="CG459" s="16"/>
      <c r="CH459" s="16"/>
      <c r="CI459" s="16" t="s">
        <v>4270</v>
      </c>
    </row>
    <row r="460" spans="1:87">
      <c r="A460" s="16" t="s">
        <v>5</v>
      </c>
      <c r="B460" s="16" t="s">
        <v>516</v>
      </c>
      <c r="C460" s="3">
        <v>46276</v>
      </c>
      <c r="D460" s="16" t="s">
        <v>14</v>
      </c>
      <c r="E460" s="16" t="s">
        <v>4271</v>
      </c>
      <c r="F460" s="16">
        <v>2026220880080</v>
      </c>
      <c r="G460" s="16">
        <v>40</v>
      </c>
      <c r="H460" s="16">
        <v>33</v>
      </c>
      <c r="I460" s="16" t="s">
        <v>460</v>
      </c>
      <c r="J460" s="16" t="s">
        <v>4271</v>
      </c>
      <c r="K460" s="16" t="s">
        <v>1436</v>
      </c>
      <c r="L460" s="16" t="s">
        <v>18</v>
      </c>
      <c r="M460" s="16">
        <v>9</v>
      </c>
      <c r="N460" s="16" t="s">
        <v>462</v>
      </c>
      <c r="O460" s="16" t="s">
        <v>606</v>
      </c>
      <c r="P460" s="16" t="s">
        <v>4272</v>
      </c>
      <c r="Q460" s="16" t="s">
        <v>465</v>
      </c>
      <c r="R460" s="16" t="s">
        <v>466</v>
      </c>
      <c r="S460" s="16" t="s">
        <v>4273</v>
      </c>
      <c r="T460" s="16" t="s">
        <v>465</v>
      </c>
      <c r="U460" s="16">
        <v>46265.754166666666</v>
      </c>
      <c r="V460" s="16" t="s">
        <v>469</v>
      </c>
      <c r="W460" s="16" t="s">
        <v>470</v>
      </c>
      <c r="X460" s="16" t="s">
        <v>471</v>
      </c>
      <c r="Y460" s="16" t="s">
        <v>472</v>
      </c>
      <c r="Z460" s="16" t="s">
        <v>1338</v>
      </c>
      <c r="AA460" s="16" t="s">
        <v>474</v>
      </c>
      <c r="AB460" s="16">
        <v>817300</v>
      </c>
      <c r="AC460" s="16" t="s">
        <v>1429</v>
      </c>
      <c r="AD460" s="16">
        <v>60646973</v>
      </c>
      <c r="AE460" s="16">
        <v>1205822236</v>
      </c>
      <c r="AF460" s="16">
        <v>1245218502</v>
      </c>
      <c r="AG460" s="16"/>
      <c r="AH460" s="16"/>
      <c r="AI460" s="16" t="s">
        <v>238</v>
      </c>
      <c r="AJ460" s="16" t="s">
        <v>481</v>
      </c>
      <c r="AK460" s="16" t="s">
        <v>4274</v>
      </c>
      <c r="AL460" s="16">
        <v>3980</v>
      </c>
      <c r="AM460" s="16"/>
      <c r="AN460" s="16"/>
      <c r="AO460" s="16">
        <v>620</v>
      </c>
      <c r="AP460" s="16" t="s">
        <v>485</v>
      </c>
      <c r="AQ460" s="16" t="s">
        <v>4275</v>
      </c>
      <c r="AR460" s="3">
        <v>46266</v>
      </c>
      <c r="AS460" s="16" t="s">
        <v>238</v>
      </c>
      <c r="AT460" s="16" t="s">
        <v>516</v>
      </c>
      <c r="AU460" s="16"/>
      <c r="AV460" s="16" t="s">
        <v>4276</v>
      </c>
      <c r="AW460" s="16"/>
      <c r="AX460" s="16"/>
      <c r="AY460" s="16"/>
      <c r="AZ460" s="16"/>
      <c r="BA460" s="16"/>
      <c r="BB460" s="16"/>
      <c r="BC460" s="16"/>
      <c r="BD460" s="16" t="s">
        <v>238</v>
      </c>
      <c r="BE460" s="16">
        <v>33</v>
      </c>
      <c r="BF460" s="16"/>
      <c r="BG460" s="16"/>
      <c r="BH460" s="16" t="s">
        <v>491</v>
      </c>
      <c r="BI460" s="16">
        <v>44782295</v>
      </c>
      <c r="BJ460" s="16"/>
      <c r="BK460" s="16"/>
      <c r="BL460" s="16"/>
      <c r="BM460" s="16"/>
      <c r="BN460" s="16"/>
      <c r="BO460" s="16"/>
      <c r="BP460" s="16"/>
      <c r="BQ460" s="16"/>
      <c r="BR460" s="16"/>
      <c r="BS460" s="16"/>
      <c r="BT460" s="16"/>
      <c r="BU460" s="16"/>
      <c r="BV460" s="16"/>
      <c r="BW460" s="16"/>
      <c r="BX460" s="16"/>
      <c r="BY460" s="16"/>
      <c r="BZ460" s="16"/>
      <c r="CA460" s="190">
        <v>46280.666666666701</v>
      </c>
      <c r="CB460" s="3"/>
      <c r="CC460" s="16"/>
      <c r="CD460" s="16"/>
      <c r="CE460" s="16"/>
      <c r="CF460" s="16"/>
      <c r="CG460" s="16"/>
      <c r="CH460" s="16"/>
      <c r="CI460" s="16" t="s">
        <v>4277</v>
      </c>
    </row>
    <row r="461" spans="1:87">
      <c r="A461" s="16"/>
      <c r="B461" s="16"/>
      <c r="C461" s="3">
        <v>46276</v>
      </c>
      <c r="D461" s="16" t="s">
        <v>14</v>
      </c>
      <c r="E461" s="16" t="s">
        <v>4278</v>
      </c>
      <c r="F461" s="16">
        <v>2026217930087</v>
      </c>
      <c r="G461" s="16">
        <v>40</v>
      </c>
      <c r="H461" s="16">
        <v>36</v>
      </c>
      <c r="I461" s="16" t="s">
        <v>460</v>
      </c>
      <c r="J461" s="16" t="s">
        <v>4278</v>
      </c>
      <c r="K461" s="16" t="s">
        <v>682</v>
      </c>
      <c r="L461" s="16" t="s">
        <v>18</v>
      </c>
      <c r="M461" s="16">
        <v>9</v>
      </c>
      <c r="N461" s="16" t="s">
        <v>462</v>
      </c>
      <c r="O461" s="16" t="s">
        <v>562</v>
      </c>
      <c r="P461" s="16" t="s">
        <v>4279</v>
      </c>
      <c r="Q461" s="16" t="s">
        <v>465</v>
      </c>
      <c r="R461" s="16" t="s">
        <v>466</v>
      </c>
      <c r="S461" s="16" t="s">
        <v>4280</v>
      </c>
      <c r="T461" s="16" t="s">
        <v>465</v>
      </c>
      <c r="U461" s="16">
        <v>46266.043055555558</v>
      </c>
      <c r="V461" s="16" t="s">
        <v>469</v>
      </c>
      <c r="W461" s="16" t="s">
        <v>589</v>
      </c>
      <c r="X461" s="16" t="s">
        <v>471</v>
      </c>
      <c r="Y461" s="16" t="s">
        <v>472</v>
      </c>
      <c r="Z461" s="16" t="s">
        <v>501</v>
      </c>
      <c r="AA461" s="16" t="s">
        <v>474</v>
      </c>
      <c r="AB461" s="16" t="s">
        <v>4281</v>
      </c>
      <c r="AC461" s="16" t="s">
        <v>503</v>
      </c>
      <c r="AD461" s="16">
        <v>541577646</v>
      </c>
      <c r="AE461" s="16">
        <v>1013902873</v>
      </c>
      <c r="AF461" s="16">
        <v>1013179027</v>
      </c>
      <c r="AG461" s="16"/>
      <c r="AH461" s="16"/>
      <c r="AI461" s="16" t="s">
        <v>19</v>
      </c>
      <c r="AJ461" s="16" t="s">
        <v>481</v>
      </c>
      <c r="AK461" s="16" t="s">
        <v>4282</v>
      </c>
      <c r="AL461" s="16">
        <v>326</v>
      </c>
      <c r="AM461" s="16"/>
      <c r="AN461" s="16"/>
      <c r="AO461" s="16">
        <v>478</v>
      </c>
      <c r="AP461" s="16" t="s">
        <v>485</v>
      </c>
      <c r="AQ461" s="16" t="s">
        <v>4283</v>
      </c>
      <c r="AR461" s="3">
        <v>46266</v>
      </c>
      <c r="AS461" s="16" t="s">
        <v>19</v>
      </c>
      <c r="AT461" s="16" t="s">
        <v>4126</v>
      </c>
      <c r="AU461" s="16"/>
      <c r="AV461" s="16" t="s">
        <v>4284</v>
      </c>
      <c r="AW461" s="16"/>
      <c r="AX461" s="16"/>
      <c r="AY461" s="16"/>
      <c r="AZ461" s="16"/>
      <c r="BA461" s="16"/>
      <c r="BB461" s="16"/>
      <c r="BC461" s="16"/>
      <c r="BD461" s="16" t="s">
        <v>19</v>
      </c>
      <c r="BE461" s="16">
        <v>36</v>
      </c>
      <c r="BF461" s="16"/>
      <c r="BG461" s="16"/>
      <c r="BH461" s="16" t="s">
        <v>491</v>
      </c>
      <c r="BI461" s="16">
        <v>227217546</v>
      </c>
      <c r="BJ461" s="16"/>
      <c r="BK461" s="16"/>
      <c r="BL461" s="16"/>
      <c r="BM461" s="16"/>
      <c r="BN461" s="16"/>
      <c r="BO461" s="16"/>
      <c r="BP461" s="16"/>
      <c r="BQ461" s="16"/>
      <c r="BR461" s="16"/>
      <c r="BS461" s="16"/>
      <c r="BT461" s="16"/>
      <c r="BU461" s="16"/>
      <c r="BV461" s="16"/>
      <c r="BW461" s="16"/>
      <c r="BX461" s="16"/>
      <c r="BY461" s="16"/>
      <c r="BZ461" s="16"/>
      <c r="CA461" s="190">
        <v>46275</v>
      </c>
      <c r="CB461" s="3"/>
      <c r="CC461" s="16"/>
      <c r="CD461" s="16"/>
      <c r="CE461" s="16"/>
      <c r="CF461" s="16"/>
      <c r="CG461" s="16"/>
      <c r="CH461" s="16"/>
      <c r="CI461" s="16" t="s">
        <v>4285</v>
      </c>
    </row>
    <row r="462" spans="1:87" ht="29.25">
      <c r="A462" s="16" t="s">
        <v>4</v>
      </c>
      <c r="B462" s="25" t="s">
        <v>4286</v>
      </c>
      <c r="C462" s="3">
        <v>46276</v>
      </c>
      <c r="D462" s="16" t="s">
        <v>14</v>
      </c>
      <c r="E462" s="16" t="s">
        <v>4287</v>
      </c>
      <c r="F462" s="16">
        <v>2026216960016</v>
      </c>
      <c r="G462" s="16">
        <v>40</v>
      </c>
      <c r="H462" s="16">
        <v>37</v>
      </c>
      <c r="I462" s="16" t="s">
        <v>460</v>
      </c>
      <c r="J462" s="16" t="s">
        <v>4287</v>
      </c>
      <c r="K462" s="16" t="s">
        <v>1040</v>
      </c>
      <c r="L462" s="16" t="s">
        <v>17</v>
      </c>
      <c r="M462" s="16">
        <v>9</v>
      </c>
      <c r="N462" s="16" t="s">
        <v>462</v>
      </c>
      <c r="O462" s="16" t="s">
        <v>606</v>
      </c>
      <c r="P462" s="16" t="s">
        <v>4288</v>
      </c>
      <c r="Q462" s="16" t="s">
        <v>465</v>
      </c>
      <c r="R462" s="16" t="s">
        <v>466</v>
      </c>
      <c r="S462" s="16" t="s">
        <v>4289</v>
      </c>
      <c r="T462" s="16" t="s">
        <v>465</v>
      </c>
      <c r="U462" s="16">
        <v>46265.887499999997</v>
      </c>
      <c r="V462" s="16" t="s">
        <v>469</v>
      </c>
      <c r="W462" s="16" t="s">
        <v>589</v>
      </c>
      <c r="X462" s="16" t="s">
        <v>471</v>
      </c>
      <c r="Y462" s="16" t="s">
        <v>472</v>
      </c>
      <c r="Z462" s="16" t="s">
        <v>544</v>
      </c>
      <c r="AA462" s="16" t="s">
        <v>474</v>
      </c>
      <c r="AB462" s="16" t="s">
        <v>4290</v>
      </c>
      <c r="AC462" s="16" t="s">
        <v>546</v>
      </c>
      <c r="AD462" s="16">
        <v>581954432</v>
      </c>
      <c r="AE462" s="16">
        <v>1376574277</v>
      </c>
      <c r="AF462" s="16"/>
      <c r="AG462" s="16"/>
      <c r="AH462" s="16"/>
      <c r="AI462" s="16" t="s">
        <v>173</v>
      </c>
      <c r="AJ462" s="16" t="s">
        <v>481</v>
      </c>
      <c r="AK462" s="16" t="s">
        <v>4291</v>
      </c>
      <c r="AL462" s="16">
        <v>67294.5</v>
      </c>
      <c r="AM462" s="16"/>
      <c r="AN462" s="16"/>
      <c r="AO462" s="16">
        <v>270</v>
      </c>
      <c r="AP462" s="16" t="s">
        <v>485</v>
      </c>
      <c r="AQ462" s="16" t="s">
        <v>4292</v>
      </c>
      <c r="AR462" s="3">
        <v>46266</v>
      </c>
      <c r="AS462" s="16" t="s">
        <v>1040</v>
      </c>
      <c r="AT462" s="16" t="s">
        <v>1047</v>
      </c>
      <c r="AU462" s="16"/>
      <c r="AV462" s="16" t="s">
        <v>2054</v>
      </c>
      <c r="AW462" s="16"/>
      <c r="AX462" s="16"/>
      <c r="AY462" s="16"/>
      <c r="AZ462" s="16"/>
      <c r="BA462" s="16"/>
      <c r="BB462" s="16"/>
      <c r="BC462" s="16"/>
      <c r="BD462" s="16" t="s">
        <v>173</v>
      </c>
      <c r="BE462" s="16">
        <v>10</v>
      </c>
      <c r="BF462" s="16"/>
      <c r="BG462" s="16" t="s">
        <v>490</v>
      </c>
      <c r="BH462" s="16" t="s">
        <v>491</v>
      </c>
      <c r="BI462" s="16">
        <v>239439551</v>
      </c>
      <c r="BJ462" s="16"/>
      <c r="BK462" s="16"/>
      <c r="BL462" s="16"/>
      <c r="BM462" s="16"/>
      <c r="BN462" s="16"/>
      <c r="BO462" s="16"/>
      <c r="BP462" s="16"/>
      <c r="BQ462" s="16"/>
      <c r="BR462" s="16"/>
      <c r="BS462" s="16"/>
      <c r="BT462" s="16"/>
      <c r="BU462" s="16"/>
      <c r="BV462" s="16"/>
      <c r="BW462" s="16"/>
      <c r="BX462" s="16"/>
      <c r="BY462" s="16"/>
      <c r="BZ462" s="16"/>
      <c r="CA462" s="190">
        <v>46285.666666666701</v>
      </c>
      <c r="CB462" s="3"/>
      <c r="CC462" s="16"/>
      <c r="CD462" s="16"/>
      <c r="CE462" s="16"/>
      <c r="CF462" s="16"/>
      <c r="CG462" s="16"/>
      <c r="CH462" s="16"/>
      <c r="CI462" s="16" t="s">
        <v>4293</v>
      </c>
    </row>
    <row r="463" spans="1:87">
      <c r="A463" s="16"/>
      <c r="B463" s="16"/>
      <c r="C463" s="3">
        <v>46276</v>
      </c>
      <c r="D463" s="16" t="s">
        <v>14</v>
      </c>
      <c r="E463" s="16" t="s">
        <v>4294</v>
      </c>
      <c r="F463" s="16">
        <v>2026222330650</v>
      </c>
      <c r="G463" s="16">
        <v>40</v>
      </c>
      <c r="H463" s="16">
        <v>31</v>
      </c>
      <c r="I463" s="16" t="s">
        <v>460</v>
      </c>
      <c r="J463" s="16" t="s">
        <v>4294</v>
      </c>
      <c r="K463" s="16" t="s">
        <v>1083</v>
      </c>
      <c r="L463" s="16" t="s">
        <v>17</v>
      </c>
      <c r="M463" s="16">
        <v>8</v>
      </c>
      <c r="N463" s="16" t="s">
        <v>462</v>
      </c>
      <c r="O463" s="16" t="s">
        <v>606</v>
      </c>
      <c r="P463" s="16" t="s">
        <v>4295</v>
      </c>
      <c r="Q463" s="16" t="s">
        <v>465</v>
      </c>
      <c r="R463" s="16" t="s">
        <v>466</v>
      </c>
      <c r="S463" s="16" t="s">
        <v>4296</v>
      </c>
      <c r="T463" s="16" t="s">
        <v>465</v>
      </c>
      <c r="U463" s="16">
        <v>46266.715277777781</v>
      </c>
      <c r="V463" s="16" t="s">
        <v>469</v>
      </c>
      <c r="W463" s="16" t="s">
        <v>470</v>
      </c>
      <c r="X463" s="16" t="s">
        <v>471</v>
      </c>
      <c r="Y463" s="16" t="s">
        <v>472</v>
      </c>
      <c r="Z463" s="16" t="s">
        <v>1292</v>
      </c>
      <c r="AA463" s="16" t="s">
        <v>474</v>
      </c>
      <c r="AB463" s="16" t="s">
        <v>4297</v>
      </c>
      <c r="AC463" s="16" t="s">
        <v>1294</v>
      </c>
      <c r="AD463" s="16">
        <v>273645560</v>
      </c>
      <c r="AE463" s="16">
        <v>1326318973</v>
      </c>
      <c r="AF463" s="16">
        <v>1588081749</v>
      </c>
      <c r="AG463" s="16"/>
      <c r="AH463" s="16"/>
      <c r="AI463" s="16" t="s">
        <v>48</v>
      </c>
      <c r="AJ463" s="16" t="s">
        <v>481</v>
      </c>
      <c r="AK463" s="16" t="s">
        <v>4298</v>
      </c>
      <c r="AL463" s="16">
        <v>4148</v>
      </c>
      <c r="AM463" s="16"/>
      <c r="AN463" s="16"/>
      <c r="AO463" s="16">
        <v>66</v>
      </c>
      <c r="AP463" s="16" t="s">
        <v>485</v>
      </c>
      <c r="AQ463" s="16" t="s">
        <v>4299</v>
      </c>
      <c r="AR463" s="3">
        <v>46267</v>
      </c>
      <c r="AS463" s="16" t="s">
        <v>48</v>
      </c>
      <c r="AT463" s="16" t="s">
        <v>516</v>
      </c>
      <c r="AU463" s="16"/>
      <c r="AV463" s="16" t="s">
        <v>4300</v>
      </c>
      <c r="AW463" s="16"/>
      <c r="AX463" s="16"/>
      <c r="AY463" s="16"/>
      <c r="AZ463" s="16"/>
      <c r="BA463" s="16"/>
      <c r="BB463" s="16"/>
      <c r="BC463" s="16"/>
      <c r="BD463" s="16" t="s">
        <v>48</v>
      </c>
      <c r="BE463" s="16">
        <v>31</v>
      </c>
      <c r="BF463" s="16"/>
      <c r="BG463" s="16"/>
      <c r="BH463" s="16" t="s">
        <v>491</v>
      </c>
      <c r="BI463" s="16">
        <v>406138715</v>
      </c>
      <c r="BJ463" s="16"/>
      <c r="BK463" s="16"/>
      <c r="BL463" s="16"/>
      <c r="BM463" s="16"/>
      <c r="BN463" s="16"/>
      <c r="BO463" s="16"/>
      <c r="BP463" s="16"/>
      <c r="BQ463" s="16"/>
      <c r="BR463" s="16"/>
      <c r="BS463" s="16"/>
      <c r="BT463" s="16"/>
      <c r="BU463" s="16"/>
      <c r="BV463" s="16"/>
      <c r="BW463" s="16"/>
      <c r="BX463" s="16"/>
      <c r="BY463" s="16"/>
      <c r="BZ463" s="16"/>
      <c r="CA463" s="190">
        <v>46275</v>
      </c>
      <c r="CB463" s="3"/>
      <c r="CC463" s="16"/>
      <c r="CD463" s="16"/>
      <c r="CE463" s="16"/>
      <c r="CF463" s="16"/>
      <c r="CG463" s="16"/>
      <c r="CH463" s="16"/>
      <c r="CI463" s="16" t="s">
        <v>4301</v>
      </c>
    </row>
    <row r="464" spans="1:87">
      <c r="A464" s="16" t="s">
        <v>5</v>
      </c>
      <c r="B464" s="16" t="s">
        <v>4302</v>
      </c>
      <c r="C464" s="3">
        <v>46276</v>
      </c>
      <c r="D464" s="16" t="s">
        <v>14</v>
      </c>
      <c r="E464" s="16" t="s">
        <v>4303</v>
      </c>
      <c r="F464" s="16">
        <v>2026220160254</v>
      </c>
      <c r="G464" s="16">
        <v>40</v>
      </c>
      <c r="H464" s="16">
        <v>34</v>
      </c>
      <c r="I464" s="16" t="s">
        <v>460</v>
      </c>
      <c r="J464" s="16" t="s">
        <v>4303</v>
      </c>
      <c r="K464" s="16" t="s">
        <v>1371</v>
      </c>
      <c r="L464" s="16" t="s">
        <v>17</v>
      </c>
      <c r="M464" s="16">
        <v>9</v>
      </c>
      <c r="N464" s="16" t="s">
        <v>462</v>
      </c>
      <c r="O464" s="16" t="s">
        <v>606</v>
      </c>
      <c r="P464" s="16" t="s">
        <v>2597</v>
      </c>
      <c r="Q464" s="16" t="s">
        <v>465</v>
      </c>
      <c r="R464" s="16" t="s">
        <v>466</v>
      </c>
      <c r="S464" s="16" t="s">
        <v>4304</v>
      </c>
      <c r="T464" s="16" t="s">
        <v>2599</v>
      </c>
      <c r="U464" s="16">
        <v>46265.727777777778</v>
      </c>
      <c r="V464" s="16" t="s">
        <v>469</v>
      </c>
      <c r="W464" s="16" t="s">
        <v>470</v>
      </c>
      <c r="X464" s="16" t="s">
        <v>471</v>
      </c>
      <c r="Y464" s="16" t="s">
        <v>628</v>
      </c>
      <c r="Z464" s="16" t="s">
        <v>665</v>
      </c>
      <c r="AA464" s="16" t="s">
        <v>474</v>
      </c>
      <c r="AB464" s="16" t="s">
        <v>2600</v>
      </c>
      <c r="AC464" s="16" t="s">
        <v>640</v>
      </c>
      <c r="AD464" s="16">
        <v>135562308</v>
      </c>
      <c r="AE464" s="16">
        <v>1285826438</v>
      </c>
      <c r="AF464" s="16">
        <v>1679729297</v>
      </c>
      <c r="AG464" s="16"/>
      <c r="AH464" s="16"/>
      <c r="AI464" s="16" t="s">
        <v>164</v>
      </c>
      <c r="AJ464" s="16" t="s">
        <v>481</v>
      </c>
      <c r="AK464" s="16" t="s">
        <v>4305</v>
      </c>
      <c r="AL464" s="16">
        <v>54740</v>
      </c>
      <c r="AM464" s="16"/>
      <c r="AN464" s="16"/>
      <c r="AO464" s="16">
        <v>845</v>
      </c>
      <c r="AP464" s="16" t="s">
        <v>485</v>
      </c>
      <c r="AQ464" s="16" t="s">
        <v>4306</v>
      </c>
      <c r="AR464" s="3">
        <v>46266</v>
      </c>
      <c r="AS464" s="16" t="s">
        <v>164</v>
      </c>
      <c r="AT464" s="16" t="s">
        <v>516</v>
      </c>
      <c r="AU464" s="16"/>
      <c r="AV464" s="16" t="s">
        <v>4307</v>
      </c>
      <c r="AW464" s="16"/>
      <c r="AX464" s="16"/>
      <c r="AY464" s="16"/>
      <c r="AZ464" s="16"/>
      <c r="BA464" s="16"/>
      <c r="BB464" s="16"/>
      <c r="BC464" s="16"/>
      <c r="BD464" s="16" t="s">
        <v>164</v>
      </c>
      <c r="BE464" s="16">
        <v>33</v>
      </c>
      <c r="BF464" s="16"/>
      <c r="BG464" s="16"/>
      <c r="BH464" s="16" t="s">
        <v>491</v>
      </c>
      <c r="BI464" s="16">
        <v>378649860</v>
      </c>
      <c r="BJ464" s="16"/>
      <c r="BK464" s="16"/>
      <c r="BL464" s="16"/>
      <c r="BM464" s="16"/>
      <c r="BN464" s="16"/>
      <c r="BO464" s="16"/>
      <c r="BP464" s="16"/>
      <c r="BQ464" s="16"/>
      <c r="BR464" s="16"/>
      <c r="BS464" s="16"/>
      <c r="BT464" s="16"/>
      <c r="BU464" s="16"/>
      <c r="BV464" s="16"/>
      <c r="BW464" s="16"/>
      <c r="BX464" s="16"/>
      <c r="BY464" s="16"/>
      <c r="BZ464" s="16"/>
      <c r="CA464" s="190">
        <v>46280.666666666701</v>
      </c>
      <c r="CB464" s="3"/>
      <c r="CC464" s="16"/>
      <c r="CD464" s="16"/>
      <c r="CE464" s="16"/>
      <c r="CF464" s="16"/>
      <c r="CG464" s="16"/>
      <c r="CH464" s="16"/>
      <c r="CI464" s="16" t="s">
        <v>4308</v>
      </c>
    </row>
    <row r="465" spans="1:87">
      <c r="A465" s="16" t="s">
        <v>5</v>
      </c>
      <c r="B465" s="16" t="s">
        <v>1107</v>
      </c>
      <c r="C465" s="3">
        <v>46276</v>
      </c>
      <c r="D465" s="16" t="s">
        <v>14</v>
      </c>
      <c r="E465" s="16" t="s">
        <v>4309</v>
      </c>
      <c r="F465" s="16">
        <v>2026222270466</v>
      </c>
      <c r="G465" s="16">
        <v>40</v>
      </c>
      <c r="H465" s="16">
        <v>31</v>
      </c>
      <c r="I465" s="16" t="s">
        <v>460</v>
      </c>
      <c r="J465" s="16" t="s">
        <v>4309</v>
      </c>
      <c r="K465" s="16" t="s">
        <v>1109</v>
      </c>
      <c r="L465" s="16" t="s">
        <v>17</v>
      </c>
      <c r="M465" s="16">
        <v>9</v>
      </c>
      <c r="N465" s="16" t="s">
        <v>462</v>
      </c>
      <c r="O465" s="16" t="s">
        <v>606</v>
      </c>
      <c r="P465" s="16" t="s">
        <v>4310</v>
      </c>
      <c r="Q465" s="16" t="s">
        <v>465</v>
      </c>
      <c r="R465" s="16" t="s">
        <v>466</v>
      </c>
      <c r="S465" s="16">
        <v>2025315613754</v>
      </c>
      <c r="T465" s="16" t="s">
        <v>1363</v>
      </c>
      <c r="U465" s="16">
        <v>46266.659722222219</v>
      </c>
      <c r="V465" s="16" t="s">
        <v>469</v>
      </c>
      <c r="W465" s="16" t="s">
        <v>470</v>
      </c>
      <c r="X465" s="16" t="s">
        <v>471</v>
      </c>
      <c r="Y465" s="16" t="s">
        <v>523</v>
      </c>
      <c r="Z465" s="16" t="s">
        <v>544</v>
      </c>
      <c r="AA465" s="16" t="s">
        <v>474</v>
      </c>
      <c r="AB465" s="16" t="s">
        <v>4311</v>
      </c>
      <c r="AC465" s="16" t="s">
        <v>546</v>
      </c>
      <c r="AD465" s="16">
        <v>611665353</v>
      </c>
      <c r="AE465" s="16">
        <v>1437493467</v>
      </c>
      <c r="AF465" s="16">
        <v>1053409698</v>
      </c>
      <c r="AG465" s="16"/>
      <c r="AH465" s="16"/>
      <c r="AI465" s="16" t="s">
        <v>25</v>
      </c>
      <c r="AJ465" s="16" t="s">
        <v>481</v>
      </c>
      <c r="AK465" s="16" t="s">
        <v>4312</v>
      </c>
      <c r="AL465" s="16">
        <v>7963.58</v>
      </c>
      <c r="AM465" s="16"/>
      <c r="AN465" s="16"/>
      <c r="AO465" s="16">
        <v>245</v>
      </c>
      <c r="AP465" s="16" t="s">
        <v>485</v>
      </c>
      <c r="AQ465" s="16" t="s">
        <v>4313</v>
      </c>
      <c r="AR465" s="3">
        <v>46266</v>
      </c>
      <c r="AS465" s="16" t="s">
        <v>25</v>
      </c>
      <c r="AT465" s="16" t="s">
        <v>687</v>
      </c>
      <c r="AU465" s="16"/>
      <c r="AV465" s="16" t="s">
        <v>4314</v>
      </c>
      <c r="AW465" s="16"/>
      <c r="AX465" s="16"/>
      <c r="AY465" s="16"/>
      <c r="AZ465" s="16"/>
      <c r="BA465" s="16"/>
      <c r="BB465" s="16"/>
      <c r="BC465" s="16"/>
      <c r="BD465" s="16" t="s">
        <v>25</v>
      </c>
      <c r="BE465" s="16">
        <v>31</v>
      </c>
      <c r="BF465" s="16"/>
      <c r="BG465" s="16"/>
      <c r="BH465" s="16" t="s">
        <v>491</v>
      </c>
      <c r="BI465" s="16">
        <v>256836203</v>
      </c>
      <c r="BJ465" s="16"/>
      <c r="BK465" s="16"/>
      <c r="BL465" s="16"/>
      <c r="BM465" s="16"/>
      <c r="BN465" s="16"/>
      <c r="BO465" s="16"/>
      <c r="BP465" s="16"/>
      <c r="BQ465" s="16"/>
      <c r="BR465" s="16"/>
      <c r="BS465" s="16"/>
      <c r="BT465" s="16"/>
      <c r="BU465" s="16"/>
      <c r="BV465" s="16"/>
      <c r="BW465" s="16"/>
      <c r="BX465" s="16"/>
      <c r="BY465" s="16"/>
      <c r="BZ465" s="16"/>
      <c r="CA465" s="190">
        <v>46281.666666666701</v>
      </c>
      <c r="CB465" s="3"/>
      <c r="CC465" s="16"/>
      <c r="CD465" s="16"/>
      <c r="CE465" s="16"/>
      <c r="CF465" s="16"/>
      <c r="CG465" s="16"/>
      <c r="CH465" s="16"/>
      <c r="CI465" s="16" t="s">
        <v>4315</v>
      </c>
    </row>
    <row r="466" spans="1:87">
      <c r="A466" s="16" t="s">
        <v>5</v>
      </c>
      <c r="B466" s="16" t="s">
        <v>4316</v>
      </c>
      <c r="C466" s="3">
        <v>46276</v>
      </c>
      <c r="D466" s="16" t="s">
        <v>14</v>
      </c>
      <c r="E466" s="16" t="s">
        <v>4317</v>
      </c>
      <c r="F466" s="16">
        <v>2026220740021</v>
      </c>
      <c r="G466" s="16">
        <v>40</v>
      </c>
      <c r="H466" s="16">
        <v>33</v>
      </c>
      <c r="I466" s="16" t="s">
        <v>460</v>
      </c>
      <c r="J466" s="16" t="s">
        <v>4317</v>
      </c>
      <c r="K466" s="16" t="s">
        <v>2168</v>
      </c>
      <c r="L466" s="16" t="s">
        <v>17</v>
      </c>
      <c r="M466" s="16">
        <v>9</v>
      </c>
      <c r="N466" s="16" t="s">
        <v>462</v>
      </c>
      <c r="O466" s="16" t="s">
        <v>606</v>
      </c>
      <c r="P466" s="16" t="s">
        <v>4318</v>
      </c>
      <c r="Q466" s="16" t="s">
        <v>465</v>
      </c>
      <c r="R466" s="16" t="s">
        <v>466</v>
      </c>
      <c r="S466" s="16" t="s">
        <v>4319</v>
      </c>
      <c r="T466" s="16" t="s">
        <v>4320</v>
      </c>
      <c r="U466" s="16">
        <v>46265.737500000003</v>
      </c>
      <c r="V466" s="16" t="s">
        <v>469</v>
      </c>
      <c r="W466" s="16" t="s">
        <v>470</v>
      </c>
      <c r="X466" s="16" t="s">
        <v>471</v>
      </c>
      <c r="Y466" s="16" t="s">
        <v>628</v>
      </c>
      <c r="Z466" s="16" t="s">
        <v>473</v>
      </c>
      <c r="AA466" s="16" t="s">
        <v>474</v>
      </c>
      <c r="AB466" s="16" t="s">
        <v>4321</v>
      </c>
      <c r="AC466" s="16" t="s">
        <v>476</v>
      </c>
      <c r="AD466" s="16">
        <v>390813416</v>
      </c>
      <c r="AE466" s="16">
        <v>1376593442</v>
      </c>
      <c r="AF466" s="16">
        <v>1083943179</v>
      </c>
      <c r="AG466" s="16"/>
      <c r="AH466" s="16"/>
      <c r="AI466" s="16" t="s">
        <v>134</v>
      </c>
      <c r="AJ466" s="16" t="s">
        <v>481</v>
      </c>
      <c r="AK466" s="16" t="s">
        <v>4322</v>
      </c>
      <c r="AL466" s="16">
        <v>8015</v>
      </c>
      <c r="AM466" s="16"/>
      <c r="AN466" s="16"/>
      <c r="AO466" s="16">
        <v>777</v>
      </c>
      <c r="AP466" s="16" t="s">
        <v>485</v>
      </c>
      <c r="AQ466" s="16" t="s">
        <v>4323</v>
      </c>
      <c r="AR466" s="3">
        <v>46266</v>
      </c>
      <c r="AS466" s="16" t="s">
        <v>134</v>
      </c>
      <c r="AT466" s="16" t="s">
        <v>516</v>
      </c>
      <c r="AU466" s="16"/>
      <c r="AV466" s="16" t="s">
        <v>4324</v>
      </c>
      <c r="AW466" s="16"/>
      <c r="AX466" s="16"/>
      <c r="AY466" s="16"/>
      <c r="AZ466" s="16"/>
      <c r="BA466" s="16"/>
      <c r="BB466" s="16"/>
      <c r="BC466" s="16"/>
      <c r="BD466" s="16" t="s">
        <v>134</v>
      </c>
      <c r="BE466" s="16">
        <v>33</v>
      </c>
      <c r="BF466" s="16"/>
      <c r="BG466" s="16"/>
      <c r="BH466" s="16" t="s">
        <v>491</v>
      </c>
      <c r="BI466" s="16">
        <v>387848321</v>
      </c>
      <c r="BJ466" s="16"/>
      <c r="BK466" s="16"/>
      <c r="BL466" s="16"/>
      <c r="BM466" s="16"/>
      <c r="BN466" s="16"/>
      <c r="BO466" s="16"/>
      <c r="BP466" s="16"/>
      <c r="BQ466" s="16"/>
      <c r="BR466" s="16"/>
      <c r="BS466" s="16"/>
      <c r="BT466" s="16"/>
      <c r="BU466" s="16"/>
      <c r="BV466" s="16"/>
      <c r="BW466" s="16"/>
      <c r="BX466" s="16"/>
      <c r="BY466" s="16"/>
      <c r="BZ466" s="16"/>
      <c r="CA466" s="190">
        <v>46285.666666666701</v>
      </c>
      <c r="CB466" s="3"/>
      <c r="CC466" s="16"/>
      <c r="CD466" s="16"/>
      <c r="CE466" s="16"/>
      <c r="CF466" s="16"/>
      <c r="CG466" s="16"/>
      <c r="CH466" s="16"/>
      <c r="CI466" s="16" t="s">
        <v>4325</v>
      </c>
    </row>
    <row r="467" spans="1:87">
      <c r="A467" s="16" t="s">
        <v>5</v>
      </c>
      <c r="B467" s="16" t="s">
        <v>606</v>
      </c>
      <c r="C467" s="3">
        <v>46276</v>
      </c>
      <c r="D467" s="16" t="s">
        <v>14</v>
      </c>
      <c r="E467" s="16" t="s">
        <v>4326</v>
      </c>
      <c r="F467" s="16">
        <v>2026218570492</v>
      </c>
      <c r="G467" s="16">
        <v>40</v>
      </c>
      <c r="H467" s="16">
        <v>35</v>
      </c>
      <c r="I467" s="16" t="s">
        <v>460</v>
      </c>
      <c r="J467" s="16" t="s">
        <v>4326</v>
      </c>
      <c r="K467" s="16" t="s">
        <v>741</v>
      </c>
      <c r="L467" s="16" t="s">
        <v>13</v>
      </c>
      <c r="M467" s="16">
        <v>9</v>
      </c>
      <c r="N467" s="16" t="s">
        <v>462</v>
      </c>
      <c r="O467" s="16" t="s">
        <v>606</v>
      </c>
      <c r="P467" s="16">
        <v>901291463</v>
      </c>
      <c r="Q467" s="16" t="s">
        <v>465</v>
      </c>
      <c r="R467" s="16" t="s">
        <v>466</v>
      </c>
      <c r="S467" s="16" t="s">
        <v>4327</v>
      </c>
      <c r="T467" s="16" t="s">
        <v>664</v>
      </c>
      <c r="U467" s="16">
        <v>46265.861111111109</v>
      </c>
      <c r="V467" s="16" t="s">
        <v>469</v>
      </c>
      <c r="W467" s="16" t="s">
        <v>651</v>
      </c>
      <c r="X467" s="16" t="s">
        <v>652</v>
      </c>
      <c r="Y467" s="16" t="s">
        <v>653</v>
      </c>
      <c r="Z467" s="16" t="s">
        <v>665</v>
      </c>
      <c r="AA467" s="16" t="s">
        <v>474</v>
      </c>
      <c r="AB467" s="16" t="s">
        <v>666</v>
      </c>
      <c r="AC467" s="16" t="s">
        <v>640</v>
      </c>
      <c r="AD467" s="16">
        <v>135562308</v>
      </c>
      <c r="AE467" s="16">
        <v>1285826438</v>
      </c>
      <c r="AF467" s="16">
        <v>1801138060</v>
      </c>
      <c r="AG467" s="16">
        <v>2.54202527100724E+16</v>
      </c>
      <c r="AH467" s="16"/>
      <c r="AI467" s="16" t="s">
        <v>290</v>
      </c>
      <c r="AJ467" s="16" t="s">
        <v>481</v>
      </c>
      <c r="AK467" s="16" t="s">
        <v>4328</v>
      </c>
      <c r="AL467" s="16">
        <v>38769</v>
      </c>
      <c r="AM467" s="16"/>
      <c r="AN467" s="16"/>
      <c r="AO467" s="16">
        <v>901</v>
      </c>
      <c r="AP467" s="16" t="s">
        <v>485</v>
      </c>
      <c r="AQ467" s="16" t="s">
        <v>4329</v>
      </c>
      <c r="AR467" s="3">
        <v>46266</v>
      </c>
      <c r="AS467" s="16" t="s">
        <v>290</v>
      </c>
      <c r="AT467" s="16" t="s">
        <v>516</v>
      </c>
      <c r="AU467" s="16"/>
      <c r="AV467" s="16" t="s">
        <v>2515</v>
      </c>
      <c r="AW467" s="16"/>
      <c r="AX467" s="16"/>
      <c r="AY467" s="16"/>
      <c r="AZ467" s="16"/>
      <c r="BA467" s="16"/>
      <c r="BB467" s="16"/>
      <c r="BC467" s="16"/>
      <c r="BD467" s="16" t="s">
        <v>290</v>
      </c>
      <c r="BE467" s="16">
        <v>35</v>
      </c>
      <c r="BF467" s="16"/>
      <c r="BG467" s="16" t="s">
        <v>490</v>
      </c>
      <c r="BH467" s="16" t="s">
        <v>658</v>
      </c>
      <c r="BI467" s="16">
        <v>901291463</v>
      </c>
      <c r="BJ467" s="16"/>
      <c r="BK467" s="16"/>
      <c r="BL467" s="16"/>
      <c r="BM467" s="16"/>
      <c r="BN467" s="16"/>
      <c r="BO467" s="16"/>
      <c r="BP467" s="16"/>
      <c r="BQ467" s="16"/>
      <c r="BR467" s="16"/>
      <c r="BS467" s="16"/>
      <c r="BT467" s="16"/>
      <c r="BU467" s="16"/>
      <c r="BV467" s="16"/>
      <c r="BW467" s="16"/>
      <c r="BX467" s="16"/>
      <c r="BY467" s="16"/>
      <c r="BZ467" s="16"/>
      <c r="CA467" s="190">
        <v>46280.666666666701</v>
      </c>
      <c r="CB467" s="3"/>
      <c r="CC467" s="16"/>
      <c r="CD467" s="16"/>
      <c r="CE467" s="16"/>
      <c r="CF467" s="16"/>
      <c r="CG467" s="16"/>
      <c r="CH467" s="16"/>
      <c r="CI467" s="16" t="s">
        <v>4330</v>
      </c>
    </row>
    <row r="468" spans="1:87">
      <c r="A468" s="16" t="s">
        <v>5</v>
      </c>
      <c r="B468" s="16" t="s">
        <v>1038</v>
      </c>
      <c r="C468" s="3">
        <v>46276</v>
      </c>
      <c r="D468" s="16" t="s">
        <v>14</v>
      </c>
      <c r="E468" s="16" t="s">
        <v>4331</v>
      </c>
      <c r="F468" s="16">
        <v>2026222040158</v>
      </c>
      <c r="G468" s="16">
        <v>40</v>
      </c>
      <c r="H468" s="16">
        <v>31</v>
      </c>
      <c r="I468" s="16" t="s">
        <v>460</v>
      </c>
      <c r="J468" s="16" t="s">
        <v>4331</v>
      </c>
      <c r="K468" s="16" t="s">
        <v>1040</v>
      </c>
      <c r="L468" s="16" t="s">
        <v>17</v>
      </c>
      <c r="M468" s="16">
        <v>9</v>
      </c>
      <c r="N468" s="16" t="s">
        <v>462</v>
      </c>
      <c r="O468" s="16" t="s">
        <v>606</v>
      </c>
      <c r="P468" s="16">
        <v>868446719</v>
      </c>
      <c r="Q468" s="16" t="s">
        <v>465</v>
      </c>
      <c r="R468" s="16" t="s">
        <v>466</v>
      </c>
      <c r="S468" s="16" t="s">
        <v>4332</v>
      </c>
      <c r="T468" s="16" t="s">
        <v>664</v>
      </c>
      <c r="U468" s="16">
        <v>46265.955555555556</v>
      </c>
      <c r="V468" s="16" t="s">
        <v>469</v>
      </c>
      <c r="W468" s="16" t="s">
        <v>651</v>
      </c>
      <c r="X468" s="16" t="s">
        <v>652</v>
      </c>
      <c r="Y468" s="16" t="s">
        <v>653</v>
      </c>
      <c r="Z468" s="16" t="s">
        <v>665</v>
      </c>
      <c r="AA468" s="16" t="s">
        <v>474</v>
      </c>
      <c r="AB468" s="16" t="s">
        <v>666</v>
      </c>
      <c r="AC468" s="16" t="s">
        <v>640</v>
      </c>
      <c r="AD468" s="16">
        <v>135598093</v>
      </c>
      <c r="AE468" s="16">
        <v>1508266347</v>
      </c>
      <c r="AF468" s="16">
        <v>1164970372</v>
      </c>
      <c r="AG468" s="16">
        <v>2.5420252621304E+16</v>
      </c>
      <c r="AH468" s="16"/>
      <c r="AI468" s="16" t="s">
        <v>173</v>
      </c>
      <c r="AJ468" s="16" t="s">
        <v>481</v>
      </c>
      <c r="AK468" s="16" t="s">
        <v>4333</v>
      </c>
      <c r="AL468" s="16">
        <v>125437</v>
      </c>
      <c r="AM468" s="16"/>
      <c r="AN468" s="16"/>
      <c r="AO468" s="16">
        <v>868</v>
      </c>
      <c r="AP468" s="16" t="s">
        <v>485</v>
      </c>
      <c r="AQ468" s="16" t="s">
        <v>4334</v>
      </c>
      <c r="AR468" s="3">
        <v>46266</v>
      </c>
      <c r="AS468" s="16" t="s">
        <v>173</v>
      </c>
      <c r="AT468" s="16" t="s">
        <v>1047</v>
      </c>
      <c r="AU468" s="16"/>
      <c r="AV468" s="16" t="s">
        <v>4335</v>
      </c>
      <c r="AW468" s="16"/>
      <c r="AX468" s="16"/>
      <c r="AY468" s="16"/>
      <c r="AZ468" s="16"/>
      <c r="BA468" s="16"/>
      <c r="BB468" s="16"/>
      <c r="BC468" s="16"/>
      <c r="BD468" s="16" t="s">
        <v>173</v>
      </c>
      <c r="BE468" s="16">
        <v>31</v>
      </c>
      <c r="BF468" s="16"/>
      <c r="BG468" s="16"/>
      <c r="BH468" s="16" t="s">
        <v>658</v>
      </c>
      <c r="BI468" s="16">
        <v>868446719</v>
      </c>
      <c r="BJ468" s="16"/>
      <c r="BK468" s="16"/>
      <c r="BL468" s="16"/>
      <c r="BM468" s="16"/>
      <c r="BN468" s="16"/>
      <c r="BO468" s="16"/>
      <c r="BP468" s="16"/>
      <c r="BQ468" s="16"/>
      <c r="BR468" s="16"/>
      <c r="BS468" s="16"/>
      <c r="BT468" s="16"/>
      <c r="BU468" s="16"/>
      <c r="BV468" s="16"/>
      <c r="BW468" s="16"/>
      <c r="BX468" s="16"/>
      <c r="BY468" s="16"/>
      <c r="BZ468" s="16"/>
      <c r="CA468" s="190">
        <v>46285.666666666701</v>
      </c>
      <c r="CB468" s="3"/>
      <c r="CC468" s="16"/>
      <c r="CD468" s="16"/>
      <c r="CE468" s="16"/>
      <c r="CF468" s="16"/>
      <c r="CG468" s="16"/>
      <c r="CH468" s="16"/>
      <c r="CI468" s="16" t="s">
        <v>4336</v>
      </c>
    </row>
    <row r="469" spans="1:87" ht="29.25">
      <c r="A469" s="16" t="s">
        <v>5</v>
      </c>
      <c r="B469" s="25" t="s">
        <v>3707</v>
      </c>
      <c r="C469" s="3">
        <v>46276</v>
      </c>
      <c r="D469" s="16" t="s">
        <v>14</v>
      </c>
      <c r="E469" s="16" t="s">
        <v>4337</v>
      </c>
      <c r="F469" s="16">
        <v>2026220290265</v>
      </c>
      <c r="G469" s="16">
        <v>40</v>
      </c>
      <c r="H469" s="16">
        <v>33</v>
      </c>
      <c r="I469" s="16" t="s">
        <v>460</v>
      </c>
      <c r="J469" s="16" t="s">
        <v>4337</v>
      </c>
      <c r="K469" s="16" t="s">
        <v>1555</v>
      </c>
      <c r="L469" s="16" t="s">
        <v>17</v>
      </c>
      <c r="M469" s="16">
        <v>9</v>
      </c>
      <c r="N469" s="16" t="s">
        <v>462</v>
      </c>
      <c r="O469" s="16" t="s">
        <v>497</v>
      </c>
      <c r="P469" s="16" t="s">
        <v>4338</v>
      </c>
      <c r="Q469" s="16" t="s">
        <v>465</v>
      </c>
      <c r="R469" s="16" t="s">
        <v>466</v>
      </c>
      <c r="S469" s="16" t="s">
        <v>4339</v>
      </c>
      <c r="T469" s="16" t="s">
        <v>664</v>
      </c>
      <c r="U469" s="16">
        <v>46265.805555555555</v>
      </c>
      <c r="V469" s="16" t="s">
        <v>469</v>
      </c>
      <c r="W469" s="16" t="s">
        <v>651</v>
      </c>
      <c r="X469" s="16" t="s">
        <v>652</v>
      </c>
      <c r="Y469" s="16" t="s">
        <v>653</v>
      </c>
      <c r="Z469" s="16" t="s">
        <v>665</v>
      </c>
      <c r="AA469" s="16" t="s">
        <v>474</v>
      </c>
      <c r="AB469" s="16" t="s">
        <v>666</v>
      </c>
      <c r="AC469" s="16" t="s">
        <v>640</v>
      </c>
      <c r="AD469" s="16">
        <v>135562308</v>
      </c>
      <c r="AE469" s="16">
        <v>1285826438</v>
      </c>
      <c r="AF469" s="16">
        <v>1679729297</v>
      </c>
      <c r="AG469" s="16">
        <v>2.54202521602087E+16</v>
      </c>
      <c r="AH469" s="16"/>
      <c r="AI469" s="16" t="s">
        <v>32</v>
      </c>
      <c r="AJ469" s="16" t="s">
        <v>481</v>
      </c>
      <c r="AK469" s="16" t="s">
        <v>4340</v>
      </c>
      <c r="AL469" s="16">
        <v>87224</v>
      </c>
      <c r="AM469" s="16"/>
      <c r="AN469" s="16"/>
      <c r="AO469" s="16" t="s">
        <v>4341</v>
      </c>
      <c r="AP469" s="16" t="s">
        <v>485</v>
      </c>
      <c r="AQ469" s="16" t="s">
        <v>4342</v>
      </c>
      <c r="AR469" s="3">
        <v>46266</v>
      </c>
      <c r="AS469" s="16" t="s">
        <v>32</v>
      </c>
      <c r="AT469" s="16" t="s">
        <v>516</v>
      </c>
      <c r="AU469" s="16"/>
      <c r="AV469" s="16" t="s">
        <v>644</v>
      </c>
      <c r="AW469" s="16"/>
      <c r="AX469" s="16"/>
      <c r="AY469" s="16"/>
      <c r="AZ469" s="16"/>
      <c r="BA469" s="16"/>
      <c r="BB469" s="16"/>
      <c r="BC469" s="16"/>
      <c r="BD469" s="16" t="s">
        <v>32</v>
      </c>
      <c r="BE469" s="16">
        <v>33</v>
      </c>
      <c r="BF469" s="16"/>
      <c r="BG469" s="16" t="s">
        <v>490</v>
      </c>
      <c r="BH469" s="16" t="s">
        <v>658</v>
      </c>
      <c r="BI469" s="16" t="s">
        <v>4338</v>
      </c>
      <c r="BJ469" s="16"/>
      <c r="BK469" s="16"/>
      <c r="BL469" s="16"/>
      <c r="BM469" s="16"/>
      <c r="BN469" s="16"/>
      <c r="BO469" s="16"/>
      <c r="BP469" s="16"/>
      <c r="BQ469" s="16"/>
      <c r="BR469" s="16"/>
      <c r="BS469" s="16"/>
      <c r="BT469" s="16"/>
      <c r="BU469" s="16"/>
      <c r="BV469" s="16"/>
      <c r="BW469" s="16"/>
      <c r="BX469" s="16"/>
      <c r="BY469" s="16"/>
      <c r="BZ469" s="16"/>
      <c r="CA469" s="190">
        <v>46285.666666666701</v>
      </c>
      <c r="CB469" s="3"/>
      <c r="CC469" s="16"/>
      <c r="CD469" s="16"/>
      <c r="CE469" s="16"/>
      <c r="CF469" s="16"/>
      <c r="CG469" s="16"/>
      <c r="CH469" s="16"/>
      <c r="CI469" s="16" t="s">
        <v>4343</v>
      </c>
    </row>
    <row r="470" spans="1:87">
      <c r="A470" s="16" t="s">
        <v>5</v>
      </c>
      <c r="B470" s="16" t="s">
        <v>719</v>
      </c>
      <c r="C470" s="3">
        <v>46276</v>
      </c>
      <c r="D470" s="16" t="s">
        <v>14</v>
      </c>
      <c r="E470" s="16" t="s">
        <v>4344</v>
      </c>
      <c r="F470" s="16">
        <v>2026213540357</v>
      </c>
      <c r="G470" s="16">
        <v>40</v>
      </c>
      <c r="H470" s="16">
        <v>40</v>
      </c>
      <c r="I470" s="16" t="s">
        <v>460</v>
      </c>
      <c r="J470" s="16" t="s">
        <v>4344</v>
      </c>
      <c r="K470" s="16" t="s">
        <v>496</v>
      </c>
      <c r="L470" s="16" t="s">
        <v>17</v>
      </c>
      <c r="M470" s="16">
        <v>8</v>
      </c>
      <c r="N470" s="16" t="s">
        <v>462</v>
      </c>
      <c r="O470" s="16" t="s">
        <v>606</v>
      </c>
      <c r="P470" s="16">
        <v>849960255</v>
      </c>
      <c r="Q470" s="16" t="s">
        <v>465</v>
      </c>
      <c r="R470" s="16" t="s">
        <v>466</v>
      </c>
      <c r="S470" s="16" t="s">
        <v>4345</v>
      </c>
      <c r="T470" s="16" t="s">
        <v>664</v>
      </c>
      <c r="U470" s="16">
        <v>46267.302083333336</v>
      </c>
      <c r="V470" s="16" t="s">
        <v>469</v>
      </c>
      <c r="W470" s="16" t="s">
        <v>651</v>
      </c>
      <c r="X470" s="16" t="s">
        <v>652</v>
      </c>
      <c r="Y470" s="16" t="s">
        <v>653</v>
      </c>
      <c r="Z470" s="16" t="s">
        <v>665</v>
      </c>
      <c r="AA470" s="16" t="s">
        <v>474</v>
      </c>
      <c r="AB470" s="16" t="s">
        <v>666</v>
      </c>
      <c r="AC470" s="16" t="s">
        <v>640</v>
      </c>
      <c r="AD470" s="16">
        <v>131623978</v>
      </c>
      <c r="AE470" s="16">
        <v>1043236623</v>
      </c>
      <c r="AF470" s="16">
        <v>1043236623</v>
      </c>
      <c r="AG470" s="16">
        <v>2.54202520900023E+16</v>
      </c>
      <c r="AH470" s="16"/>
      <c r="AI470" s="16" t="s">
        <v>91</v>
      </c>
      <c r="AJ470" s="16" t="s">
        <v>481</v>
      </c>
      <c r="AK470" s="16" t="s">
        <v>4346</v>
      </c>
      <c r="AL470" s="16">
        <v>115076</v>
      </c>
      <c r="AM470" s="16"/>
      <c r="AN470" s="16"/>
      <c r="AO470" s="16">
        <v>849</v>
      </c>
      <c r="AP470" s="16" t="s">
        <v>485</v>
      </c>
      <c r="AQ470" s="16" t="s">
        <v>4347</v>
      </c>
      <c r="AR470" s="3">
        <v>46267</v>
      </c>
      <c r="AS470" s="16" t="s">
        <v>91</v>
      </c>
      <c r="AT470" s="16" t="s">
        <v>516</v>
      </c>
      <c r="AU470" s="16"/>
      <c r="AV470" s="16" t="s">
        <v>4348</v>
      </c>
      <c r="AW470" s="16"/>
      <c r="AX470" s="16"/>
      <c r="AY470" s="16"/>
      <c r="AZ470" s="16"/>
      <c r="BA470" s="16"/>
      <c r="BB470" s="16"/>
      <c r="BC470" s="16"/>
      <c r="BD470" s="16" t="s">
        <v>91</v>
      </c>
      <c r="BE470" s="16">
        <v>40</v>
      </c>
      <c r="BF470" s="16"/>
      <c r="BG470" s="16"/>
      <c r="BH470" s="16" t="s">
        <v>658</v>
      </c>
      <c r="BI470" s="16">
        <v>849960255</v>
      </c>
      <c r="BJ470" s="16"/>
      <c r="BK470" s="16"/>
      <c r="BL470" s="16"/>
      <c r="BM470" s="16"/>
      <c r="BN470" s="16"/>
      <c r="BO470" s="16"/>
      <c r="BP470" s="16"/>
      <c r="BQ470" s="16"/>
      <c r="BR470" s="16"/>
      <c r="BS470" s="16"/>
      <c r="BT470" s="16"/>
      <c r="BU470" s="16"/>
      <c r="BV470" s="16"/>
      <c r="BW470" s="16"/>
      <c r="BX470" s="16"/>
      <c r="BY470" s="16"/>
      <c r="BZ470" s="16"/>
      <c r="CA470" s="190">
        <v>46281.666666666701</v>
      </c>
      <c r="CB470" s="3"/>
      <c r="CC470" s="16"/>
      <c r="CD470" s="16"/>
      <c r="CE470" s="16"/>
      <c r="CF470" s="16"/>
      <c r="CG470" s="16"/>
      <c r="CH470" s="16"/>
      <c r="CI470" s="16" t="s">
        <v>4349</v>
      </c>
    </row>
    <row r="471" spans="1:87">
      <c r="A471" s="16" t="s">
        <v>5</v>
      </c>
      <c r="B471" s="16" t="s">
        <v>606</v>
      </c>
      <c r="C471" s="3">
        <v>46276</v>
      </c>
      <c r="D471" s="16" t="s">
        <v>14</v>
      </c>
      <c r="E471" s="16" t="s">
        <v>4350</v>
      </c>
      <c r="F471" s="16">
        <v>2026216010011</v>
      </c>
      <c r="G471" s="16">
        <v>40</v>
      </c>
      <c r="H471" s="16">
        <v>37</v>
      </c>
      <c r="I471" s="16" t="s">
        <v>460</v>
      </c>
      <c r="J471" s="16" t="s">
        <v>4350</v>
      </c>
      <c r="K471" s="16" t="s">
        <v>741</v>
      </c>
      <c r="L471" s="16" t="s">
        <v>13</v>
      </c>
      <c r="M471" s="16">
        <v>9</v>
      </c>
      <c r="N471" s="16" t="s">
        <v>462</v>
      </c>
      <c r="O471" s="16" t="s">
        <v>606</v>
      </c>
      <c r="P471" s="16">
        <v>10003</v>
      </c>
      <c r="Q471" s="16" t="s">
        <v>465</v>
      </c>
      <c r="R471" s="16" t="s">
        <v>466</v>
      </c>
      <c r="S471" s="16" t="s">
        <v>4351</v>
      </c>
      <c r="T471" s="16" t="s">
        <v>4352</v>
      </c>
      <c r="U471" s="16">
        <v>46265.876388888886</v>
      </c>
      <c r="V471" s="16" t="s">
        <v>469</v>
      </c>
      <c r="W471" s="16" t="s">
        <v>651</v>
      </c>
      <c r="X471" s="16" t="s">
        <v>652</v>
      </c>
      <c r="Y471" s="16" t="s">
        <v>653</v>
      </c>
      <c r="Z471" s="16" t="s">
        <v>612</v>
      </c>
      <c r="AA471" s="16" t="s">
        <v>474</v>
      </c>
      <c r="AB471" s="16" t="s">
        <v>4353</v>
      </c>
      <c r="AC471" s="16" t="s">
        <v>614</v>
      </c>
      <c r="AD471" s="16">
        <v>222519596</v>
      </c>
      <c r="AE471" s="16">
        <v>1548210198</v>
      </c>
      <c r="AF471" s="16">
        <v>1942433941</v>
      </c>
      <c r="AG471" s="16">
        <v>2.71202603102465E+16</v>
      </c>
      <c r="AH471" s="16"/>
      <c r="AI471" s="16" t="s">
        <v>290</v>
      </c>
      <c r="AJ471" s="16" t="s">
        <v>481</v>
      </c>
      <c r="AK471" s="16" t="s">
        <v>4354</v>
      </c>
      <c r="AL471" s="16">
        <v>14940</v>
      </c>
      <c r="AM471" s="16"/>
      <c r="AN471" s="16"/>
      <c r="AO471" s="16">
        <v>0</v>
      </c>
      <c r="AP471" s="16" t="s">
        <v>485</v>
      </c>
      <c r="AQ471" s="16" t="s">
        <v>4355</v>
      </c>
      <c r="AR471" s="3">
        <v>46266</v>
      </c>
      <c r="AS471" s="16" t="s">
        <v>290</v>
      </c>
      <c r="AT471" s="16" t="s">
        <v>516</v>
      </c>
      <c r="AU471" s="16"/>
      <c r="AV471" s="16" t="s">
        <v>4356</v>
      </c>
      <c r="AW471" s="16"/>
      <c r="AX471" s="16"/>
      <c r="AY471" s="16"/>
      <c r="AZ471" s="16"/>
      <c r="BA471" s="16"/>
      <c r="BB471" s="16"/>
      <c r="BC471" s="16"/>
      <c r="BD471" s="16" t="s">
        <v>290</v>
      </c>
      <c r="BE471" s="16">
        <v>37</v>
      </c>
      <c r="BF471" s="16"/>
      <c r="BG471" s="16"/>
      <c r="BH471" s="16" t="s">
        <v>658</v>
      </c>
      <c r="BI471" s="16">
        <v>10003</v>
      </c>
      <c r="BJ471" s="16"/>
      <c r="BK471" s="16"/>
      <c r="BL471" s="16"/>
      <c r="BM471" s="16"/>
      <c r="BN471" s="16"/>
      <c r="BO471" s="16"/>
      <c r="BP471" s="16"/>
      <c r="BQ471" s="16"/>
      <c r="BR471" s="16"/>
      <c r="BS471" s="16"/>
      <c r="BT471" s="16"/>
      <c r="BU471" s="16"/>
      <c r="BV471" s="16"/>
      <c r="BW471" s="16"/>
      <c r="BX471" s="16"/>
      <c r="BY471" s="16"/>
      <c r="BZ471" s="16"/>
      <c r="CA471" s="190">
        <v>46280.666666666701</v>
      </c>
      <c r="CB471" s="3"/>
      <c r="CC471" s="16"/>
      <c r="CD471" s="16"/>
      <c r="CE471" s="16"/>
      <c r="CF471" s="16"/>
      <c r="CG471" s="16"/>
      <c r="CH471" s="16"/>
      <c r="CI471" s="16" t="s">
        <v>4357</v>
      </c>
    </row>
    <row r="472" spans="1:87">
      <c r="A472" s="16"/>
      <c r="B472" s="16"/>
      <c r="C472" s="3">
        <v>46276</v>
      </c>
      <c r="D472" s="16" t="s">
        <v>14</v>
      </c>
      <c r="E472" s="16" t="s">
        <v>4358</v>
      </c>
      <c r="F472" s="16">
        <v>2026217990102</v>
      </c>
      <c r="G472" s="16">
        <v>40</v>
      </c>
      <c r="H472" s="16">
        <v>36</v>
      </c>
      <c r="I472" s="16" t="s">
        <v>460</v>
      </c>
      <c r="J472" s="16" t="s">
        <v>4358</v>
      </c>
      <c r="K472" s="16" t="s">
        <v>560</v>
      </c>
      <c r="L472" s="16" t="s">
        <v>13</v>
      </c>
      <c r="M472" s="16">
        <v>8</v>
      </c>
      <c r="N472" s="16" t="s">
        <v>462</v>
      </c>
      <c r="O472" s="16" t="s">
        <v>562</v>
      </c>
      <c r="P472" s="16">
        <v>974495931</v>
      </c>
      <c r="Q472" s="16" t="s">
        <v>465</v>
      </c>
      <c r="R472" s="16" t="s">
        <v>466</v>
      </c>
      <c r="S472" s="16" t="s">
        <v>4359</v>
      </c>
      <c r="T472" s="16" t="s">
        <v>4360</v>
      </c>
      <c r="U472" s="16">
        <v>46267.648611111108</v>
      </c>
      <c r="V472" s="16" t="s">
        <v>469</v>
      </c>
      <c r="W472" s="16" t="s">
        <v>470</v>
      </c>
      <c r="X472" s="16" t="s">
        <v>471</v>
      </c>
      <c r="Y472" s="16" t="s">
        <v>628</v>
      </c>
      <c r="Z472" s="16" t="s">
        <v>1636</v>
      </c>
      <c r="AA472" s="16" t="s">
        <v>474</v>
      </c>
      <c r="AB472" s="16" t="s">
        <v>4361</v>
      </c>
      <c r="AC472" s="16" t="s">
        <v>1638</v>
      </c>
      <c r="AD472" s="16">
        <v>10530375</v>
      </c>
      <c r="AE472" s="16">
        <v>1780615492</v>
      </c>
      <c r="AF472" s="16"/>
      <c r="AG472" s="16"/>
      <c r="AH472" s="16"/>
      <c r="AI472" s="16" t="s">
        <v>59</v>
      </c>
      <c r="AJ472" s="16" t="s">
        <v>481</v>
      </c>
      <c r="AK472" s="16" t="s">
        <v>4362</v>
      </c>
      <c r="AL472" s="16">
        <v>8158</v>
      </c>
      <c r="AM472" s="16"/>
      <c r="AN472" s="16"/>
      <c r="AO472" s="16">
        <v>974</v>
      </c>
      <c r="AP472" s="16" t="s">
        <v>485</v>
      </c>
      <c r="AQ472" s="16" t="s">
        <v>4363</v>
      </c>
      <c r="AR472" s="3">
        <v>46267</v>
      </c>
      <c r="AS472" s="16" t="s">
        <v>59</v>
      </c>
      <c r="AT472" s="16" t="s">
        <v>4364</v>
      </c>
      <c r="AU472" s="16"/>
      <c r="AV472" s="16" t="s">
        <v>4365</v>
      </c>
      <c r="AW472" s="16"/>
      <c r="AX472" s="16"/>
      <c r="AY472" s="16"/>
      <c r="AZ472" s="16"/>
      <c r="BA472" s="16"/>
      <c r="BB472" s="16"/>
      <c r="BC472" s="16"/>
      <c r="BD472" s="16" t="s">
        <v>59</v>
      </c>
      <c r="BE472" s="16">
        <v>36</v>
      </c>
      <c r="BF472" s="16"/>
      <c r="BG472" s="16"/>
      <c r="BH472" s="16" t="s">
        <v>491</v>
      </c>
      <c r="BI472" s="16">
        <v>304741294</v>
      </c>
      <c r="BJ472" s="16"/>
      <c r="BK472" s="16"/>
      <c r="BL472" s="16"/>
      <c r="BM472" s="16"/>
      <c r="BN472" s="16"/>
      <c r="BO472" s="16"/>
      <c r="BP472" s="16"/>
      <c r="BQ472" s="16"/>
      <c r="BR472" s="16"/>
      <c r="BS472" s="16"/>
      <c r="BT472" s="16"/>
      <c r="BU472" s="16"/>
      <c r="BV472" s="16"/>
      <c r="BW472" s="16"/>
      <c r="BX472" s="16"/>
      <c r="BY472" s="16"/>
      <c r="BZ472" s="16"/>
      <c r="CA472" s="190">
        <v>46275</v>
      </c>
      <c r="CB472" s="3"/>
      <c r="CC472" s="16"/>
      <c r="CD472" s="16"/>
      <c r="CE472" s="16"/>
      <c r="CF472" s="16"/>
      <c r="CG472" s="16"/>
      <c r="CH472" s="16"/>
      <c r="CI472" s="16" t="s">
        <v>4366</v>
      </c>
    </row>
    <row r="473" spans="1:87">
      <c r="A473" s="16"/>
      <c r="B473" s="16"/>
      <c r="C473" s="3">
        <v>46276</v>
      </c>
      <c r="D473" s="16" t="s">
        <v>14</v>
      </c>
      <c r="E473" s="16" t="s">
        <v>4367</v>
      </c>
      <c r="F473" s="16">
        <v>2026220910554</v>
      </c>
      <c r="G473" s="16">
        <v>40</v>
      </c>
      <c r="H473" s="16">
        <v>33</v>
      </c>
      <c r="I473" s="16" t="s">
        <v>460</v>
      </c>
      <c r="J473" s="16" t="s">
        <v>4367</v>
      </c>
      <c r="K473" s="16" t="s">
        <v>741</v>
      </c>
      <c r="L473" s="16" t="s">
        <v>13</v>
      </c>
      <c r="M473" s="16">
        <v>9</v>
      </c>
      <c r="N473" s="16" t="s">
        <v>462</v>
      </c>
      <c r="O473" s="16" t="s">
        <v>606</v>
      </c>
      <c r="P473" s="16">
        <v>919400106</v>
      </c>
      <c r="Q473" s="16" t="s">
        <v>465</v>
      </c>
      <c r="R473" s="16" t="s">
        <v>466</v>
      </c>
      <c r="S473" s="16" t="s">
        <v>4368</v>
      </c>
      <c r="T473" s="16" t="s">
        <v>664</v>
      </c>
      <c r="U473" s="16">
        <v>46265.831250000003</v>
      </c>
      <c r="V473" s="16" t="s">
        <v>469</v>
      </c>
      <c r="W473" s="16" t="s">
        <v>651</v>
      </c>
      <c r="X473" s="16" t="s">
        <v>652</v>
      </c>
      <c r="Y473" s="16" t="s">
        <v>653</v>
      </c>
      <c r="Z473" s="16" t="s">
        <v>665</v>
      </c>
      <c r="AA473" s="16" t="s">
        <v>474</v>
      </c>
      <c r="AB473" s="16" t="s">
        <v>666</v>
      </c>
      <c r="AC473" s="16" t="s">
        <v>640</v>
      </c>
      <c r="AD473" s="16">
        <v>135562308</v>
      </c>
      <c r="AE473" s="16">
        <v>1285826438</v>
      </c>
      <c r="AF473" s="16">
        <v>1902867393</v>
      </c>
      <c r="AG473" s="16">
        <v>2.54202534907419E+16</v>
      </c>
      <c r="AH473" s="16"/>
      <c r="AI473" s="16" t="s">
        <v>290</v>
      </c>
      <c r="AJ473" s="16" t="s">
        <v>481</v>
      </c>
      <c r="AK473" s="16" t="s">
        <v>4369</v>
      </c>
      <c r="AL473" s="16">
        <v>159395</v>
      </c>
      <c r="AM473" s="16"/>
      <c r="AN473" s="16"/>
      <c r="AO473" s="16">
        <v>919</v>
      </c>
      <c r="AP473" s="16" t="s">
        <v>485</v>
      </c>
      <c r="AQ473" s="16" t="s">
        <v>4370</v>
      </c>
      <c r="AR473" s="3">
        <v>46266</v>
      </c>
      <c r="AS473" s="16" t="s">
        <v>290</v>
      </c>
      <c r="AT473" s="16" t="s">
        <v>516</v>
      </c>
      <c r="AU473" s="16"/>
      <c r="AV473" s="16" t="s">
        <v>1120</v>
      </c>
      <c r="AW473" s="16"/>
      <c r="AX473" s="16"/>
      <c r="AY473" s="16"/>
      <c r="AZ473" s="16"/>
      <c r="BA473" s="16"/>
      <c r="BB473" s="16"/>
      <c r="BC473" s="16"/>
      <c r="BD473" s="16" t="s">
        <v>290</v>
      </c>
      <c r="BE473" s="16">
        <v>33</v>
      </c>
      <c r="BF473" s="16"/>
      <c r="BG473" s="16" t="s">
        <v>490</v>
      </c>
      <c r="BH473" s="16" t="s">
        <v>658</v>
      </c>
      <c r="BI473" s="16">
        <v>919400106</v>
      </c>
      <c r="BJ473" s="16"/>
      <c r="BK473" s="16"/>
      <c r="BL473" s="16"/>
      <c r="BM473" s="16"/>
      <c r="BN473" s="16"/>
      <c r="BO473" s="16"/>
      <c r="BP473" s="16"/>
      <c r="BQ473" s="16"/>
      <c r="BR473" s="16"/>
      <c r="BS473" s="16"/>
      <c r="BT473" s="16"/>
      <c r="BU473" s="16"/>
      <c r="BV473" s="16"/>
      <c r="BW473" s="16"/>
      <c r="BX473" s="16"/>
      <c r="BY473" s="16"/>
      <c r="BZ473" s="16"/>
      <c r="CA473" s="190">
        <v>46275</v>
      </c>
      <c r="CB473" s="3"/>
      <c r="CC473" s="16"/>
      <c r="CD473" s="16"/>
      <c r="CE473" s="16"/>
      <c r="CF473" s="16"/>
      <c r="CG473" s="16"/>
      <c r="CH473" s="16"/>
      <c r="CI473" s="16" t="s">
        <v>4371</v>
      </c>
    </row>
    <row r="474" spans="1:87">
      <c r="A474" s="16" t="s">
        <v>5</v>
      </c>
      <c r="B474" s="16" t="s">
        <v>4372</v>
      </c>
      <c r="C474" s="3">
        <v>46276</v>
      </c>
      <c r="D474" s="16" t="s">
        <v>14</v>
      </c>
      <c r="E474" s="16" t="s">
        <v>4373</v>
      </c>
      <c r="F474" s="16">
        <v>2026216590391</v>
      </c>
      <c r="G474" s="16">
        <v>40</v>
      </c>
      <c r="H474" s="16">
        <v>37</v>
      </c>
      <c r="I474" s="16" t="s">
        <v>460</v>
      </c>
      <c r="J474" s="16" t="s">
        <v>4373</v>
      </c>
      <c r="K474" s="16" t="s">
        <v>2270</v>
      </c>
      <c r="L474" s="16" t="s">
        <v>13</v>
      </c>
      <c r="M474" s="16">
        <v>7</v>
      </c>
      <c r="N474" s="16" t="s">
        <v>462</v>
      </c>
      <c r="O474" s="16" t="s">
        <v>606</v>
      </c>
      <c r="P474" s="16">
        <v>802864061</v>
      </c>
      <c r="Q474" s="16" t="s">
        <v>465</v>
      </c>
      <c r="R474" s="16" t="s">
        <v>466</v>
      </c>
      <c r="S474" s="16" t="s">
        <v>4374</v>
      </c>
      <c r="T474" s="16" t="s">
        <v>664</v>
      </c>
      <c r="U474" s="16">
        <v>46267.765972222223</v>
      </c>
      <c r="V474" s="16" t="s">
        <v>469</v>
      </c>
      <c r="W474" s="16" t="s">
        <v>651</v>
      </c>
      <c r="X474" s="16" t="s">
        <v>652</v>
      </c>
      <c r="Y474" s="16" t="s">
        <v>653</v>
      </c>
      <c r="Z474" s="16" t="s">
        <v>665</v>
      </c>
      <c r="AA474" s="16" t="s">
        <v>474</v>
      </c>
      <c r="AB474" s="16" t="s">
        <v>666</v>
      </c>
      <c r="AC474" s="16" t="s">
        <v>640</v>
      </c>
      <c r="AD474" s="16">
        <v>141628237</v>
      </c>
      <c r="AE474" s="16">
        <v>1013928159</v>
      </c>
      <c r="AF474" s="16">
        <v>1134756885</v>
      </c>
      <c r="AG474" s="16">
        <v>2.54202533800379E+16</v>
      </c>
      <c r="AH474" s="16"/>
      <c r="AI474" s="16" t="s">
        <v>28</v>
      </c>
      <c r="AJ474" s="16" t="s">
        <v>481</v>
      </c>
      <c r="AK474" s="16" t="s">
        <v>4375</v>
      </c>
      <c r="AL474" s="16">
        <v>2167</v>
      </c>
      <c r="AM474" s="16"/>
      <c r="AN474" s="16"/>
      <c r="AO474" s="16">
        <v>802</v>
      </c>
      <c r="AP474" s="16" t="s">
        <v>485</v>
      </c>
      <c r="AQ474" s="16" t="s">
        <v>4376</v>
      </c>
      <c r="AR474" s="3">
        <v>46268</v>
      </c>
      <c r="AS474" s="16" t="s">
        <v>28</v>
      </c>
      <c r="AT474" s="16" t="s">
        <v>976</v>
      </c>
      <c r="AU474" s="16"/>
      <c r="AV474" s="16" t="s">
        <v>4377</v>
      </c>
      <c r="AW474" s="16"/>
      <c r="AX474" s="16"/>
      <c r="AY474" s="16"/>
      <c r="AZ474" s="16"/>
      <c r="BA474" s="16"/>
      <c r="BB474" s="16"/>
      <c r="BC474" s="16"/>
      <c r="BD474" s="16" t="s">
        <v>28</v>
      </c>
      <c r="BE474" s="16">
        <v>37</v>
      </c>
      <c r="BF474" s="16"/>
      <c r="BG474" s="16" t="s">
        <v>490</v>
      </c>
      <c r="BH474" s="16" t="s">
        <v>658</v>
      </c>
      <c r="BI474" s="16">
        <v>802864061</v>
      </c>
      <c r="BJ474" s="16"/>
      <c r="BK474" s="16"/>
      <c r="BL474" s="16"/>
      <c r="BM474" s="16"/>
      <c r="BN474" s="16"/>
      <c r="BO474" s="16"/>
      <c r="BP474" s="16"/>
      <c r="BQ474" s="16"/>
      <c r="BR474" s="16"/>
      <c r="BS474" s="16"/>
      <c r="BT474" s="16"/>
      <c r="BU474" s="16"/>
      <c r="BV474" s="16"/>
      <c r="BW474" s="16"/>
      <c r="BX474" s="16"/>
      <c r="BY474" s="16"/>
      <c r="BZ474" s="16"/>
      <c r="CA474" s="190">
        <v>46282.666666666701</v>
      </c>
      <c r="CB474" s="3"/>
      <c r="CC474" s="16"/>
      <c r="CD474" s="16"/>
      <c r="CE474" s="16"/>
      <c r="CF474" s="16"/>
      <c r="CG474" s="16"/>
      <c r="CH474" s="16"/>
      <c r="CI474" s="16" t="s">
        <v>4378</v>
      </c>
    </row>
    <row r="475" spans="1:87">
      <c r="A475" s="16" t="s">
        <v>5</v>
      </c>
      <c r="B475" s="16" t="s">
        <v>4316</v>
      </c>
      <c r="C475" s="3">
        <v>46276</v>
      </c>
      <c r="D475" s="16" t="s">
        <v>14</v>
      </c>
      <c r="E475" s="16" t="s">
        <v>4379</v>
      </c>
      <c r="F475" s="16">
        <v>2026220850309</v>
      </c>
      <c r="G475" s="16">
        <v>40</v>
      </c>
      <c r="H475" s="16">
        <v>33</v>
      </c>
      <c r="I475" s="16" t="s">
        <v>460</v>
      </c>
      <c r="J475" s="16" t="s">
        <v>4379</v>
      </c>
      <c r="K475" s="16" t="s">
        <v>2168</v>
      </c>
      <c r="L475" s="16" t="s">
        <v>17</v>
      </c>
      <c r="M475" s="16">
        <v>9</v>
      </c>
      <c r="N475" s="16" t="s">
        <v>462</v>
      </c>
      <c r="O475" s="16" t="s">
        <v>606</v>
      </c>
      <c r="P475" s="16" t="s">
        <v>4380</v>
      </c>
      <c r="Q475" s="16" t="s">
        <v>465</v>
      </c>
      <c r="R475" s="16" t="s">
        <v>466</v>
      </c>
      <c r="S475" s="16" t="s">
        <v>4381</v>
      </c>
      <c r="T475" s="16" t="s">
        <v>4382</v>
      </c>
      <c r="U475" s="16">
        <v>46265.814583333333</v>
      </c>
      <c r="V475" s="16" t="s">
        <v>469</v>
      </c>
      <c r="W475" s="16" t="s">
        <v>470</v>
      </c>
      <c r="X475" s="16" t="s">
        <v>471</v>
      </c>
      <c r="Y475" s="16" t="s">
        <v>523</v>
      </c>
      <c r="Z475" s="16" t="s">
        <v>544</v>
      </c>
      <c r="AA475" s="16" t="s">
        <v>474</v>
      </c>
      <c r="AB475" s="16" t="s">
        <v>4383</v>
      </c>
      <c r="AC475" s="16" t="s">
        <v>546</v>
      </c>
      <c r="AD475" s="16">
        <v>262806740</v>
      </c>
      <c r="AE475" s="16">
        <v>1093740615</v>
      </c>
      <c r="AF475" s="16">
        <v>1467656728</v>
      </c>
      <c r="AG475" s="16"/>
      <c r="AH475" s="16"/>
      <c r="AI475" s="16" t="s">
        <v>134</v>
      </c>
      <c r="AJ475" s="16" t="s">
        <v>481</v>
      </c>
      <c r="AK475" s="16" t="s">
        <v>4384</v>
      </c>
      <c r="AL475" s="16">
        <v>9609</v>
      </c>
      <c r="AM475" s="16"/>
      <c r="AN475" s="16"/>
      <c r="AO475" s="16">
        <v>121</v>
      </c>
      <c r="AP475" s="16" t="s">
        <v>485</v>
      </c>
      <c r="AQ475" s="16" t="s">
        <v>4385</v>
      </c>
      <c r="AR475" s="3">
        <v>46266</v>
      </c>
      <c r="AS475" s="16" t="s">
        <v>134</v>
      </c>
      <c r="AT475" s="16" t="s">
        <v>516</v>
      </c>
      <c r="AU475" s="16"/>
      <c r="AV475" s="16" t="s">
        <v>4386</v>
      </c>
      <c r="AW475" s="16"/>
      <c r="AX475" s="16"/>
      <c r="AY475" s="16"/>
      <c r="AZ475" s="16"/>
      <c r="BA475" s="16"/>
      <c r="BB475" s="16"/>
      <c r="BC475" s="16"/>
      <c r="BD475" s="16" t="s">
        <v>134</v>
      </c>
      <c r="BE475" s="16">
        <v>33</v>
      </c>
      <c r="BF475" s="16"/>
      <c r="BG475" s="16"/>
      <c r="BH475" s="16" t="s">
        <v>491</v>
      </c>
      <c r="BI475" s="16">
        <v>118623763</v>
      </c>
      <c r="BJ475" s="16"/>
      <c r="BK475" s="16"/>
      <c r="BL475" s="16"/>
      <c r="BM475" s="16"/>
      <c r="BN475" s="16"/>
      <c r="BO475" s="16"/>
      <c r="BP475" s="16"/>
      <c r="BQ475" s="16"/>
      <c r="BR475" s="16"/>
      <c r="BS475" s="16"/>
      <c r="BT475" s="16"/>
      <c r="BU475" s="16"/>
      <c r="BV475" s="16"/>
      <c r="BW475" s="16"/>
      <c r="BX475" s="16"/>
      <c r="BY475" s="16"/>
      <c r="BZ475" s="16"/>
      <c r="CA475" s="190">
        <v>46285.666666666701</v>
      </c>
      <c r="CB475" s="3"/>
      <c r="CC475" s="16"/>
      <c r="CD475" s="16"/>
      <c r="CE475" s="16"/>
      <c r="CF475" s="16"/>
      <c r="CG475" s="16"/>
      <c r="CH475" s="16"/>
      <c r="CI475" s="16" t="s">
        <v>4387</v>
      </c>
    </row>
    <row r="476" spans="1:87" ht="29.25">
      <c r="A476" s="16" t="s">
        <v>5</v>
      </c>
      <c r="B476" s="25" t="s">
        <v>3707</v>
      </c>
      <c r="C476" s="3">
        <v>46276</v>
      </c>
      <c r="D476" s="16" t="s">
        <v>14</v>
      </c>
      <c r="E476" s="16" t="s">
        <v>4388</v>
      </c>
      <c r="F476" s="16">
        <v>2026222080092</v>
      </c>
      <c r="G476" s="16">
        <v>40</v>
      </c>
      <c r="H476" s="16">
        <v>31</v>
      </c>
      <c r="I476" s="16" t="s">
        <v>460</v>
      </c>
      <c r="J476" s="16" t="s">
        <v>4388</v>
      </c>
      <c r="K476" s="16" t="s">
        <v>1555</v>
      </c>
      <c r="L476" s="16" t="s">
        <v>17</v>
      </c>
      <c r="M476" s="16">
        <v>9</v>
      </c>
      <c r="N476" s="16" t="s">
        <v>462</v>
      </c>
      <c r="O476" s="16" t="s">
        <v>606</v>
      </c>
      <c r="P476" s="16" t="s">
        <v>4389</v>
      </c>
      <c r="Q476" s="16" t="s">
        <v>465</v>
      </c>
      <c r="R476" s="16" t="s">
        <v>466</v>
      </c>
      <c r="S476" s="16" t="s">
        <v>4390</v>
      </c>
      <c r="T476" s="16" t="s">
        <v>4391</v>
      </c>
      <c r="U476" s="16">
        <v>46265.888194444444</v>
      </c>
      <c r="V476" s="16" t="s">
        <v>469</v>
      </c>
      <c r="W476" s="16" t="s">
        <v>470</v>
      </c>
      <c r="X476" s="16" t="s">
        <v>471</v>
      </c>
      <c r="Y476" s="16" t="s">
        <v>523</v>
      </c>
      <c r="Z476" s="16" t="s">
        <v>544</v>
      </c>
      <c r="AA476" s="16" t="s">
        <v>474</v>
      </c>
      <c r="AB476" s="16" t="s">
        <v>4392</v>
      </c>
      <c r="AC476" s="16" t="s">
        <v>546</v>
      </c>
      <c r="AD476" s="16">
        <v>611665353</v>
      </c>
      <c r="AE476" s="16">
        <v>1437493467</v>
      </c>
      <c r="AF476" s="16">
        <v>1306893300</v>
      </c>
      <c r="AG476" s="16"/>
      <c r="AH476" s="16"/>
      <c r="AI476" s="16" t="s">
        <v>32</v>
      </c>
      <c r="AJ476" s="16" t="s">
        <v>481</v>
      </c>
      <c r="AK476" s="16" t="s">
        <v>4393</v>
      </c>
      <c r="AL476" s="16">
        <v>3257.59</v>
      </c>
      <c r="AM476" s="16"/>
      <c r="AN476" s="16"/>
      <c r="AO476" s="16">
        <v>580</v>
      </c>
      <c r="AP476" s="16" t="s">
        <v>485</v>
      </c>
      <c r="AQ476" s="16" t="s">
        <v>4394</v>
      </c>
      <c r="AR476" s="3">
        <v>46266</v>
      </c>
      <c r="AS476" s="16" t="s">
        <v>32</v>
      </c>
      <c r="AT476" s="16" t="s">
        <v>516</v>
      </c>
      <c r="AU476" s="16"/>
      <c r="AV476" s="16" t="s">
        <v>4395</v>
      </c>
      <c r="AW476" s="16"/>
      <c r="AX476" s="16"/>
      <c r="AY476" s="16"/>
      <c r="AZ476" s="16"/>
      <c r="BA476" s="16"/>
      <c r="BB476" s="16"/>
      <c r="BC476" s="16"/>
      <c r="BD476" s="16" t="s">
        <v>32</v>
      </c>
      <c r="BE476" s="16">
        <v>31</v>
      </c>
      <c r="BF476" s="16"/>
      <c r="BG476" s="16" t="s">
        <v>490</v>
      </c>
      <c r="BH476" s="16" t="s">
        <v>491</v>
      </c>
      <c r="BI476" s="16">
        <v>255562967</v>
      </c>
      <c r="BJ476" s="16"/>
      <c r="BK476" s="16"/>
      <c r="BL476" s="16"/>
      <c r="BM476" s="16"/>
      <c r="BN476" s="16"/>
      <c r="BO476" s="16"/>
      <c r="BP476" s="16"/>
      <c r="BQ476" s="16"/>
      <c r="BR476" s="16"/>
      <c r="BS476" s="16"/>
      <c r="BT476" s="16"/>
      <c r="BU476" s="16"/>
      <c r="BV476" s="16"/>
      <c r="BW476" s="16"/>
      <c r="BX476" s="16"/>
      <c r="BY476" s="16"/>
      <c r="BZ476" s="16"/>
      <c r="CA476" s="190">
        <v>46285.666666666701</v>
      </c>
      <c r="CB476" s="3"/>
      <c r="CC476" s="16"/>
      <c r="CD476" s="16"/>
      <c r="CE476" s="16"/>
      <c r="CF476" s="16"/>
      <c r="CG476" s="16"/>
      <c r="CH476" s="16"/>
      <c r="CI476" s="16" t="s">
        <v>4396</v>
      </c>
    </row>
    <row r="477" spans="1:87">
      <c r="A477" s="16" t="s">
        <v>5</v>
      </c>
      <c r="B477" s="16" t="s">
        <v>1107</v>
      </c>
      <c r="C477" s="3">
        <v>46276</v>
      </c>
      <c r="D477" s="16" t="s">
        <v>14</v>
      </c>
      <c r="E477" s="16" t="s">
        <v>4397</v>
      </c>
      <c r="F477" s="16">
        <v>2026219450222</v>
      </c>
      <c r="G477" s="16">
        <v>40</v>
      </c>
      <c r="H477" s="16">
        <v>34</v>
      </c>
      <c r="I477" s="16" t="s">
        <v>460</v>
      </c>
      <c r="J477" s="16" t="s">
        <v>4397</v>
      </c>
      <c r="K477" s="16" t="s">
        <v>1109</v>
      </c>
      <c r="L477" s="16" t="s">
        <v>17</v>
      </c>
      <c r="M477" s="16">
        <v>9</v>
      </c>
      <c r="N477" s="16" t="s">
        <v>462</v>
      </c>
      <c r="O477" s="16" t="s">
        <v>606</v>
      </c>
      <c r="P477" s="16" t="s">
        <v>4398</v>
      </c>
      <c r="Q477" s="16" t="s">
        <v>465</v>
      </c>
      <c r="R477" s="16" t="s">
        <v>466</v>
      </c>
      <c r="S477" s="16" t="s">
        <v>4399</v>
      </c>
      <c r="T477" s="16" t="s">
        <v>4400</v>
      </c>
      <c r="U477" s="16">
        <v>46265.732638888891</v>
      </c>
      <c r="V477" s="16" t="s">
        <v>469</v>
      </c>
      <c r="W477" s="16" t="s">
        <v>470</v>
      </c>
      <c r="X477" s="16" t="s">
        <v>471</v>
      </c>
      <c r="Y477" s="16" t="s">
        <v>523</v>
      </c>
      <c r="Z477" s="16" t="s">
        <v>731</v>
      </c>
      <c r="AA477" s="16" t="s">
        <v>474</v>
      </c>
      <c r="AB477" s="16" t="s">
        <v>4401</v>
      </c>
      <c r="AC477" s="16" t="s">
        <v>733</v>
      </c>
      <c r="AD477" s="16">
        <v>542183221</v>
      </c>
      <c r="AE477" s="16">
        <v>1760405864</v>
      </c>
      <c r="AF477" s="16">
        <v>1003336843</v>
      </c>
      <c r="AG477" s="16"/>
      <c r="AH477" s="16"/>
      <c r="AI477" s="16" t="s">
        <v>25</v>
      </c>
      <c r="AJ477" s="16" t="s">
        <v>481</v>
      </c>
      <c r="AK477" s="16" t="s">
        <v>4402</v>
      </c>
      <c r="AL477" s="16">
        <v>4874.01</v>
      </c>
      <c r="AM477" s="16"/>
      <c r="AN477" s="16"/>
      <c r="AO477" s="16">
        <v>518</v>
      </c>
      <c r="AP477" s="16" t="s">
        <v>485</v>
      </c>
      <c r="AQ477" s="16" t="s">
        <v>4403</v>
      </c>
      <c r="AR477" s="3">
        <v>46266</v>
      </c>
      <c r="AS477" s="16" t="s">
        <v>25</v>
      </c>
      <c r="AT477" s="16" t="s">
        <v>516</v>
      </c>
      <c r="AU477" s="16"/>
      <c r="AV477" s="16" t="s">
        <v>4404</v>
      </c>
      <c r="AW477" s="16"/>
      <c r="AX477" s="16"/>
      <c r="AY477" s="16"/>
      <c r="AZ477" s="16"/>
      <c r="BA477" s="16"/>
      <c r="BB477" s="16"/>
      <c r="BC477" s="16"/>
      <c r="BD477" s="16" t="s">
        <v>25</v>
      </c>
      <c r="BE477" s="16">
        <v>32</v>
      </c>
      <c r="BF477" s="16"/>
      <c r="BG477" s="16"/>
      <c r="BH477" s="16" t="s">
        <v>491</v>
      </c>
      <c r="BI477" s="16">
        <v>489628822</v>
      </c>
      <c r="BJ477" s="16"/>
      <c r="BK477" s="16"/>
      <c r="BL477" s="16"/>
      <c r="BM477" s="16"/>
      <c r="BN477" s="16"/>
      <c r="BO477" s="16"/>
      <c r="BP477" s="16"/>
      <c r="BQ477" s="16"/>
      <c r="BR477" s="16"/>
      <c r="BS477" s="16"/>
      <c r="BT477" s="16"/>
      <c r="BU477" s="16"/>
      <c r="BV477" s="16"/>
      <c r="BW477" s="16"/>
      <c r="BX477" s="16"/>
      <c r="BY477" s="16"/>
      <c r="BZ477" s="16"/>
      <c r="CA477" s="190">
        <v>46281.666666666701</v>
      </c>
      <c r="CB477" s="3"/>
      <c r="CC477" s="16"/>
      <c r="CD477" s="16"/>
      <c r="CE477" s="16"/>
      <c r="CF477" s="16"/>
      <c r="CG477" s="16"/>
      <c r="CH477" s="16"/>
      <c r="CI477" s="16" t="s">
        <v>4405</v>
      </c>
    </row>
    <row r="478" spans="1:87">
      <c r="A478" s="16" t="s">
        <v>5</v>
      </c>
      <c r="B478" s="16" t="s">
        <v>1107</v>
      </c>
      <c r="C478" s="3">
        <v>46276</v>
      </c>
      <c r="D478" s="16" t="s">
        <v>14</v>
      </c>
      <c r="E478" s="16" t="s">
        <v>4406</v>
      </c>
      <c r="F478" s="16">
        <v>2026220610251</v>
      </c>
      <c r="G478" s="16">
        <v>40</v>
      </c>
      <c r="H478" s="16">
        <v>34</v>
      </c>
      <c r="I478" s="16" t="s">
        <v>460</v>
      </c>
      <c r="J478" s="16" t="s">
        <v>4406</v>
      </c>
      <c r="K478" s="16" t="s">
        <v>1109</v>
      </c>
      <c r="L478" s="16" t="s">
        <v>17</v>
      </c>
      <c r="M478" s="16">
        <v>9</v>
      </c>
      <c r="N478" s="16" t="s">
        <v>462</v>
      </c>
      <c r="O478" s="16" t="s">
        <v>606</v>
      </c>
      <c r="P478" s="16" t="s">
        <v>4407</v>
      </c>
      <c r="Q478" s="16" t="s">
        <v>465</v>
      </c>
      <c r="R478" s="16" t="s">
        <v>466</v>
      </c>
      <c r="S478" s="16" t="s">
        <v>4408</v>
      </c>
      <c r="T478" s="16" t="s">
        <v>4409</v>
      </c>
      <c r="U478" s="16">
        <v>46265.72152777778</v>
      </c>
      <c r="V478" s="16" t="s">
        <v>469</v>
      </c>
      <c r="W478" s="16" t="s">
        <v>470</v>
      </c>
      <c r="X478" s="16" t="s">
        <v>471</v>
      </c>
      <c r="Y478" s="16" t="s">
        <v>472</v>
      </c>
      <c r="Z478" s="16" t="s">
        <v>665</v>
      </c>
      <c r="AA478" s="16" t="s">
        <v>474</v>
      </c>
      <c r="AB478" s="16" t="s">
        <v>4410</v>
      </c>
      <c r="AC478" s="16" t="s">
        <v>640</v>
      </c>
      <c r="AD478" s="16">
        <v>135562308</v>
      </c>
      <c r="AE478" s="16">
        <v>1285826438</v>
      </c>
      <c r="AF478" s="16">
        <v>1902867393</v>
      </c>
      <c r="AG478" s="16"/>
      <c r="AH478" s="16"/>
      <c r="AI478" s="16" t="s">
        <v>25</v>
      </c>
      <c r="AJ478" s="16" t="s">
        <v>481</v>
      </c>
      <c r="AK478" s="16" t="s">
        <v>4411</v>
      </c>
      <c r="AL478" s="16">
        <v>158913</v>
      </c>
      <c r="AM478" s="16"/>
      <c r="AN478" s="16"/>
      <c r="AO478" s="16">
        <v>29</v>
      </c>
      <c r="AP478" s="16" t="s">
        <v>485</v>
      </c>
      <c r="AQ478" s="16" t="s">
        <v>4412</v>
      </c>
      <c r="AR478" s="3">
        <v>46266</v>
      </c>
      <c r="AS478" s="16" t="s">
        <v>25</v>
      </c>
      <c r="AT478" s="16" t="s">
        <v>516</v>
      </c>
      <c r="AU478" s="16"/>
      <c r="AV478" s="16" t="s">
        <v>2603</v>
      </c>
      <c r="AW478" s="16"/>
      <c r="AX478" s="16"/>
      <c r="AY478" s="16"/>
      <c r="AZ478" s="16"/>
      <c r="BA478" s="16"/>
      <c r="BB478" s="16"/>
      <c r="BC478" s="16"/>
      <c r="BD478" s="16" t="s">
        <v>25</v>
      </c>
      <c r="BE478" s="16">
        <v>33</v>
      </c>
      <c r="BF478" s="16"/>
      <c r="BG478" s="16"/>
      <c r="BH478" s="16" t="s">
        <v>491</v>
      </c>
      <c r="BI478" s="16">
        <v>344929222</v>
      </c>
      <c r="BJ478" s="16"/>
      <c r="BK478" s="16"/>
      <c r="BL478" s="16"/>
      <c r="BM478" s="16"/>
      <c r="BN478" s="16"/>
      <c r="BO478" s="16"/>
      <c r="BP478" s="16"/>
      <c r="BQ478" s="16"/>
      <c r="BR478" s="16"/>
      <c r="BS478" s="16"/>
      <c r="BT478" s="16"/>
      <c r="BU478" s="16"/>
      <c r="BV478" s="16"/>
      <c r="BW478" s="16"/>
      <c r="BX478" s="16"/>
      <c r="BY478" s="16"/>
      <c r="BZ478" s="16"/>
      <c r="CA478" s="190">
        <v>46281.666666666701</v>
      </c>
      <c r="CB478" s="3"/>
      <c r="CC478" s="16"/>
      <c r="CD478" s="16"/>
      <c r="CE478" s="16"/>
      <c r="CF478" s="16"/>
      <c r="CG478" s="16"/>
      <c r="CH478" s="16"/>
      <c r="CI478" s="16" t="s">
        <v>4413</v>
      </c>
    </row>
    <row r="479" spans="1:87">
      <c r="A479" s="16" t="s">
        <v>5</v>
      </c>
      <c r="B479" s="16" t="s">
        <v>4414</v>
      </c>
      <c r="C479" s="3">
        <v>46276</v>
      </c>
      <c r="D479" s="16" t="s">
        <v>14</v>
      </c>
      <c r="E479" s="16" t="s">
        <v>4415</v>
      </c>
      <c r="F479" s="16">
        <v>2026222780131</v>
      </c>
      <c r="G479" s="16">
        <v>40</v>
      </c>
      <c r="H479" s="16">
        <v>31</v>
      </c>
      <c r="I479" s="16" t="s">
        <v>460</v>
      </c>
      <c r="J479" s="16" t="s">
        <v>4415</v>
      </c>
      <c r="K479" s="16" t="s">
        <v>3947</v>
      </c>
      <c r="L479" s="16" t="s">
        <v>1760</v>
      </c>
      <c r="M479" s="16">
        <v>9</v>
      </c>
      <c r="N479" s="16" t="s">
        <v>462</v>
      </c>
      <c r="O479" s="16" t="s">
        <v>606</v>
      </c>
      <c r="P479" s="16" t="s">
        <v>4416</v>
      </c>
      <c r="Q479" s="16" t="s">
        <v>465</v>
      </c>
      <c r="R479" s="16" t="s">
        <v>466</v>
      </c>
      <c r="S479" s="16" t="s">
        <v>4417</v>
      </c>
      <c r="T479" s="16" t="s">
        <v>3393</v>
      </c>
      <c r="U479" s="16">
        <v>46265.95</v>
      </c>
      <c r="V479" s="16" t="s">
        <v>469</v>
      </c>
      <c r="W479" s="16" t="s">
        <v>568</v>
      </c>
      <c r="X479" s="16" t="s">
        <v>471</v>
      </c>
      <c r="Y479" s="16" t="s">
        <v>628</v>
      </c>
      <c r="Z479" s="16" t="s">
        <v>524</v>
      </c>
      <c r="AA479" s="16" t="s">
        <v>474</v>
      </c>
      <c r="AB479" s="16" t="s">
        <v>4418</v>
      </c>
      <c r="AC479" s="16" t="s">
        <v>526</v>
      </c>
      <c r="AD479" s="16">
        <v>310588183</v>
      </c>
      <c r="AE479" s="16">
        <v>1013942101</v>
      </c>
      <c r="AF479" s="16">
        <v>1114435625</v>
      </c>
      <c r="AG479" s="16"/>
      <c r="AH479" s="16"/>
      <c r="AI479" s="16" t="s">
        <v>3951</v>
      </c>
      <c r="AJ479" s="16" t="s">
        <v>481</v>
      </c>
      <c r="AK479" s="16" t="s">
        <v>4419</v>
      </c>
      <c r="AL479" s="16">
        <v>3254</v>
      </c>
      <c r="AM479" s="16"/>
      <c r="AN479" s="16"/>
      <c r="AO479" s="16" t="s">
        <v>3832</v>
      </c>
      <c r="AP479" s="16" t="s">
        <v>485</v>
      </c>
      <c r="AQ479" s="16" t="s">
        <v>4420</v>
      </c>
      <c r="AR479" s="3">
        <v>46266</v>
      </c>
      <c r="AS479" s="16" t="s">
        <v>3951</v>
      </c>
      <c r="AT479" s="16" t="s">
        <v>3954</v>
      </c>
      <c r="AU479" s="16"/>
      <c r="AV479" s="16" t="s">
        <v>4421</v>
      </c>
      <c r="AW479" s="16"/>
      <c r="AX479" s="16"/>
      <c r="AY479" s="16"/>
      <c r="AZ479" s="16"/>
      <c r="BA479" s="16"/>
      <c r="BB479" s="16"/>
      <c r="BC479" s="16"/>
      <c r="BD479" s="16" t="s">
        <v>3951</v>
      </c>
      <c r="BE479" s="16">
        <v>31</v>
      </c>
      <c r="BF479" s="16"/>
      <c r="BG479" s="16"/>
      <c r="BH479" s="16" t="s">
        <v>491</v>
      </c>
      <c r="BI479" s="16">
        <v>305825155</v>
      </c>
      <c r="BJ479" s="16"/>
      <c r="BK479" s="16"/>
      <c r="BL479" s="16"/>
      <c r="BM479" s="16"/>
      <c r="BN479" s="16"/>
      <c r="BO479" s="16"/>
      <c r="BP479" s="16"/>
      <c r="BQ479" s="16"/>
      <c r="BR479" s="16"/>
      <c r="BS479" s="16"/>
      <c r="BT479" s="16"/>
      <c r="BU479" s="16"/>
      <c r="BV479" s="16"/>
      <c r="BW479" s="16"/>
      <c r="BX479" s="16"/>
      <c r="BY479" s="16"/>
      <c r="BZ479" s="16"/>
      <c r="CA479" s="190">
        <v>46285.666666666701</v>
      </c>
      <c r="CB479" s="3"/>
      <c r="CC479" s="16"/>
      <c r="CD479" s="16"/>
      <c r="CE479" s="16"/>
      <c r="CF479" s="16"/>
      <c r="CG479" s="16"/>
      <c r="CH479" s="16"/>
      <c r="CI479" s="16" t="s">
        <v>4422</v>
      </c>
    </row>
    <row r="480" spans="1:87">
      <c r="A480" s="16" t="s">
        <v>5</v>
      </c>
      <c r="B480" s="16" t="s">
        <v>4423</v>
      </c>
      <c r="C480" s="3">
        <v>46276</v>
      </c>
      <c r="D480" s="16" t="s">
        <v>14</v>
      </c>
      <c r="E480" s="16" t="s">
        <v>4424</v>
      </c>
      <c r="F480" s="16">
        <v>2026222620460</v>
      </c>
      <c r="G480" s="16">
        <v>40</v>
      </c>
      <c r="H480" s="16">
        <v>31</v>
      </c>
      <c r="I480" s="16" t="s">
        <v>460</v>
      </c>
      <c r="J480" s="16" t="s">
        <v>4424</v>
      </c>
      <c r="K480" s="16" t="s">
        <v>1348</v>
      </c>
      <c r="L480" s="16" t="s">
        <v>17</v>
      </c>
      <c r="M480" s="16">
        <v>8</v>
      </c>
      <c r="N480" s="16" t="s">
        <v>462</v>
      </c>
      <c r="O480" s="16" t="s">
        <v>606</v>
      </c>
      <c r="P480" s="16" t="s">
        <v>4425</v>
      </c>
      <c r="Q480" s="16" t="s">
        <v>465</v>
      </c>
      <c r="R480" s="16" t="s">
        <v>466</v>
      </c>
      <c r="S480" s="16" t="s">
        <v>4426</v>
      </c>
      <c r="T480" s="16" t="s">
        <v>4427</v>
      </c>
      <c r="U480" s="16">
        <v>46266.801388888889</v>
      </c>
      <c r="V480" s="16" t="s">
        <v>469</v>
      </c>
      <c r="W480" s="16" t="s">
        <v>568</v>
      </c>
      <c r="X480" s="16" t="s">
        <v>471</v>
      </c>
      <c r="Y480" s="16" t="s">
        <v>628</v>
      </c>
      <c r="Z480" s="16" t="s">
        <v>524</v>
      </c>
      <c r="AA480" s="16" t="s">
        <v>474</v>
      </c>
      <c r="AB480" s="16" t="s">
        <v>4428</v>
      </c>
      <c r="AC480" s="16" t="s">
        <v>526</v>
      </c>
      <c r="AD480" s="16">
        <v>311483173</v>
      </c>
      <c r="AE480" s="16">
        <v>1386670065</v>
      </c>
      <c r="AF480" s="16">
        <v>1669471447</v>
      </c>
      <c r="AG480" s="16"/>
      <c r="AH480" s="16" t="s">
        <v>1076</v>
      </c>
      <c r="AI480" s="16" t="s">
        <v>267</v>
      </c>
      <c r="AJ480" s="16" t="s">
        <v>481</v>
      </c>
      <c r="AK480" s="16" t="s">
        <v>4429</v>
      </c>
      <c r="AL480" s="16">
        <v>8890</v>
      </c>
      <c r="AM480" s="16"/>
      <c r="AN480" s="16"/>
      <c r="AO480" s="16">
        <v>49</v>
      </c>
      <c r="AP480" s="16" t="s">
        <v>485</v>
      </c>
      <c r="AQ480" s="16" t="s">
        <v>4430</v>
      </c>
      <c r="AR480" s="3">
        <v>46267</v>
      </c>
      <c r="AS480" s="16" t="s">
        <v>267</v>
      </c>
      <c r="AT480" s="16" t="s">
        <v>516</v>
      </c>
      <c r="AU480" s="16"/>
      <c r="AV480" s="16" t="s">
        <v>4431</v>
      </c>
      <c r="AW480" s="16"/>
      <c r="AX480" s="16"/>
      <c r="AY480" s="16"/>
      <c r="AZ480" s="16"/>
      <c r="BA480" s="16"/>
      <c r="BB480" s="16"/>
      <c r="BC480" s="16"/>
      <c r="BD480" s="16" t="s">
        <v>267</v>
      </c>
      <c r="BE480" s="16">
        <v>31</v>
      </c>
      <c r="BF480" s="16"/>
      <c r="BG480" s="16"/>
      <c r="BH480" s="16" t="s">
        <v>491</v>
      </c>
      <c r="BI480" s="16">
        <v>295682367</v>
      </c>
      <c r="BJ480" s="16"/>
      <c r="BK480" s="16"/>
      <c r="BL480" s="16"/>
      <c r="BM480" s="16"/>
      <c r="BN480" s="16"/>
      <c r="BO480" s="16"/>
      <c r="BP480" s="16"/>
      <c r="BQ480" s="16"/>
      <c r="BR480" s="16"/>
      <c r="BS480" s="16"/>
      <c r="BT480" s="16"/>
      <c r="BU480" s="16"/>
      <c r="BV480" s="16"/>
      <c r="BW480" s="16"/>
      <c r="BX480" s="16"/>
      <c r="BY480" s="16"/>
      <c r="BZ480" s="16"/>
      <c r="CA480" s="190">
        <v>46285.666666666701</v>
      </c>
      <c r="CB480" s="3"/>
      <c r="CC480" s="16"/>
      <c r="CD480" s="16"/>
      <c r="CE480" s="16"/>
      <c r="CF480" s="16"/>
      <c r="CG480" s="16"/>
      <c r="CH480" s="16"/>
      <c r="CI480" s="16" t="s">
        <v>4432</v>
      </c>
    </row>
    <row r="481" spans="1:87">
      <c r="A481" s="16"/>
      <c r="B481" s="16"/>
      <c r="C481" s="3">
        <v>46276</v>
      </c>
      <c r="D481" s="16" t="s">
        <v>14</v>
      </c>
      <c r="E481" s="16" t="s">
        <v>4433</v>
      </c>
      <c r="F481" s="16">
        <v>2026222800369</v>
      </c>
      <c r="G481" s="16">
        <v>40</v>
      </c>
      <c r="H481" s="16">
        <v>31</v>
      </c>
      <c r="I481" s="16" t="s">
        <v>460</v>
      </c>
      <c r="J481" s="16" t="s">
        <v>4433</v>
      </c>
      <c r="K481" s="16" t="s">
        <v>682</v>
      </c>
      <c r="L481" s="16" t="s">
        <v>18</v>
      </c>
      <c r="M481" s="16">
        <v>8</v>
      </c>
      <c r="N481" s="16" t="s">
        <v>462</v>
      </c>
      <c r="O481" s="16" t="s">
        <v>606</v>
      </c>
      <c r="P481" s="16" t="s">
        <v>4434</v>
      </c>
      <c r="Q481" s="16" t="s">
        <v>465</v>
      </c>
      <c r="R481" s="16" t="s">
        <v>466</v>
      </c>
      <c r="S481" s="16" t="s">
        <v>4435</v>
      </c>
      <c r="T481" s="16" t="s">
        <v>4427</v>
      </c>
      <c r="U481" s="16">
        <v>46267.032638888886</v>
      </c>
      <c r="V481" s="16" t="s">
        <v>469</v>
      </c>
      <c r="W481" s="16" t="s">
        <v>568</v>
      </c>
      <c r="X481" s="16" t="s">
        <v>471</v>
      </c>
      <c r="Y481" s="16" t="s">
        <v>628</v>
      </c>
      <c r="Z481" s="16" t="s">
        <v>524</v>
      </c>
      <c r="AA481" s="16" t="s">
        <v>474</v>
      </c>
      <c r="AB481" s="16" t="s">
        <v>4436</v>
      </c>
      <c r="AC481" s="16" t="s">
        <v>526</v>
      </c>
      <c r="AD481" s="16">
        <v>314379441</v>
      </c>
      <c r="AE481" s="16">
        <v>1134152986</v>
      </c>
      <c r="AF481" s="16"/>
      <c r="AG481" s="16"/>
      <c r="AH481" s="16"/>
      <c r="AI481" s="16" t="s">
        <v>19</v>
      </c>
      <c r="AJ481" s="16" t="s">
        <v>481</v>
      </c>
      <c r="AK481" s="16" t="s">
        <v>4437</v>
      </c>
      <c r="AL481" s="16">
        <v>65831.289999999994</v>
      </c>
      <c r="AM481" s="16"/>
      <c r="AN481" s="16"/>
      <c r="AO481" s="16" t="s">
        <v>3832</v>
      </c>
      <c r="AP481" s="16" t="s">
        <v>485</v>
      </c>
      <c r="AQ481" s="16" t="s">
        <v>4438</v>
      </c>
      <c r="AR481" s="3">
        <v>46267</v>
      </c>
      <c r="AS481" s="16" t="s">
        <v>19</v>
      </c>
      <c r="AT481" s="16" t="s">
        <v>516</v>
      </c>
      <c r="AU481" s="16"/>
      <c r="AV481" s="16" t="s">
        <v>4439</v>
      </c>
      <c r="AW481" s="16"/>
      <c r="AX481" s="16"/>
      <c r="AY481" s="16"/>
      <c r="AZ481" s="16"/>
      <c r="BA481" s="16"/>
      <c r="BB481" s="16"/>
      <c r="BC481" s="16"/>
      <c r="BD481" s="16" t="s">
        <v>19</v>
      </c>
      <c r="BE481" s="16">
        <v>31</v>
      </c>
      <c r="BF481" s="16"/>
      <c r="BG481" s="16"/>
      <c r="BH481" s="16" t="s">
        <v>491</v>
      </c>
      <c r="BI481" s="16">
        <v>203682296</v>
      </c>
      <c r="BJ481" s="16"/>
      <c r="BK481" s="16"/>
      <c r="BL481" s="16"/>
      <c r="BM481" s="16"/>
      <c r="BN481" s="16"/>
      <c r="BO481" s="16"/>
      <c r="BP481" s="16"/>
      <c r="BQ481" s="16"/>
      <c r="BR481" s="16"/>
      <c r="BS481" s="16"/>
      <c r="BT481" s="16"/>
      <c r="BU481" s="16"/>
      <c r="BV481" s="16"/>
      <c r="BW481" s="16"/>
      <c r="BX481" s="16"/>
      <c r="BY481" s="16"/>
      <c r="BZ481" s="16"/>
      <c r="CA481" s="190">
        <v>46275</v>
      </c>
      <c r="CB481" s="3"/>
      <c r="CC481" s="16"/>
      <c r="CD481" s="16"/>
      <c r="CE481" s="16"/>
      <c r="CF481" s="16"/>
      <c r="CG481" s="16"/>
      <c r="CH481" s="16"/>
      <c r="CI481" s="16" t="s">
        <v>4440</v>
      </c>
    </row>
    <row r="482" spans="1:87">
      <c r="A482" s="16" t="s">
        <v>5</v>
      </c>
      <c r="B482" s="16" t="s">
        <v>1038</v>
      </c>
      <c r="C482" s="3">
        <v>46276</v>
      </c>
      <c r="D482" s="16" t="s">
        <v>14</v>
      </c>
      <c r="E482" s="16" t="s">
        <v>4441</v>
      </c>
      <c r="F482" s="16">
        <v>2026221610175</v>
      </c>
      <c r="G482" s="16">
        <v>40</v>
      </c>
      <c r="H482" s="16">
        <v>32</v>
      </c>
      <c r="I482" s="16" t="s">
        <v>460</v>
      </c>
      <c r="J482" s="16" t="s">
        <v>4441</v>
      </c>
      <c r="K482" s="16" t="s">
        <v>1040</v>
      </c>
      <c r="L482" s="16" t="s">
        <v>17</v>
      </c>
      <c r="M482" s="16">
        <v>9</v>
      </c>
      <c r="N482" s="16" t="s">
        <v>462</v>
      </c>
      <c r="O482" s="16" t="s">
        <v>606</v>
      </c>
      <c r="P482" s="16" t="s">
        <v>4442</v>
      </c>
      <c r="Q482" s="16" t="s">
        <v>465</v>
      </c>
      <c r="R482" s="16" t="s">
        <v>466</v>
      </c>
      <c r="S482" s="16" t="s">
        <v>4443</v>
      </c>
      <c r="T482" s="16" t="s">
        <v>4444</v>
      </c>
      <c r="U482" s="16">
        <v>46265.845833333333</v>
      </c>
      <c r="V482" s="16" t="s">
        <v>469</v>
      </c>
      <c r="W482" s="16" t="s">
        <v>568</v>
      </c>
      <c r="X482" s="16" t="s">
        <v>471</v>
      </c>
      <c r="Y482" s="16" t="s">
        <v>628</v>
      </c>
      <c r="Z482" s="16" t="s">
        <v>524</v>
      </c>
      <c r="AA482" s="16" t="s">
        <v>474</v>
      </c>
      <c r="AB482" s="16" t="s">
        <v>4445</v>
      </c>
      <c r="AC482" s="16" t="s">
        <v>592</v>
      </c>
      <c r="AD482" s="16">
        <v>742161737</v>
      </c>
      <c r="AE482" s="16">
        <v>1962461889</v>
      </c>
      <c r="AF482" s="16">
        <v>1104322072</v>
      </c>
      <c r="AG482" s="16"/>
      <c r="AH482" s="16"/>
      <c r="AI482" s="16" t="s">
        <v>173</v>
      </c>
      <c r="AJ482" s="16" t="s">
        <v>481</v>
      </c>
      <c r="AK482" s="16" t="s">
        <v>4446</v>
      </c>
      <c r="AL482" s="16">
        <v>2832.75</v>
      </c>
      <c r="AM482" s="16"/>
      <c r="AN482" s="16"/>
      <c r="AO482" s="16" t="s">
        <v>2352</v>
      </c>
      <c r="AP482" s="16" t="s">
        <v>485</v>
      </c>
      <c r="AQ482" s="16" t="s">
        <v>4447</v>
      </c>
      <c r="AR482" s="3">
        <v>46266</v>
      </c>
      <c r="AS482" s="16" t="s">
        <v>173</v>
      </c>
      <c r="AT482" s="16" t="s">
        <v>1047</v>
      </c>
      <c r="AU482" s="16"/>
      <c r="AV482" s="16" t="s">
        <v>4448</v>
      </c>
      <c r="AW482" s="16"/>
      <c r="AX482" s="16"/>
      <c r="AY482" s="16"/>
      <c r="AZ482" s="16"/>
      <c r="BA482" s="16"/>
      <c r="BB482" s="16"/>
      <c r="BC482" s="16"/>
      <c r="BD482" s="16" t="s">
        <v>173</v>
      </c>
      <c r="BE482" s="16">
        <v>32</v>
      </c>
      <c r="BF482" s="16"/>
      <c r="BG482" s="16" t="s">
        <v>490</v>
      </c>
      <c r="BH482" s="16" t="s">
        <v>491</v>
      </c>
      <c r="BI482" s="16">
        <v>523751314</v>
      </c>
      <c r="BJ482" s="16"/>
      <c r="BK482" s="16"/>
      <c r="BL482" s="16"/>
      <c r="BM482" s="16"/>
      <c r="BN482" s="16"/>
      <c r="BO482" s="16"/>
      <c r="BP482" s="16"/>
      <c r="BQ482" s="16"/>
      <c r="BR482" s="16"/>
      <c r="BS482" s="16"/>
      <c r="BT482" s="16"/>
      <c r="BU482" s="16"/>
      <c r="BV482" s="16"/>
      <c r="BW482" s="16"/>
      <c r="BX482" s="16"/>
      <c r="BY482" s="16"/>
      <c r="BZ482" s="16"/>
      <c r="CA482" s="190">
        <v>46285.666666666701</v>
      </c>
      <c r="CB482" s="3"/>
      <c r="CC482" s="16"/>
      <c r="CD482" s="16"/>
      <c r="CE482" s="16"/>
      <c r="CF482" s="16"/>
      <c r="CG482" s="16"/>
      <c r="CH482" s="16"/>
      <c r="CI482" s="16" t="s">
        <v>4449</v>
      </c>
    </row>
    <row r="483" spans="1:87">
      <c r="A483" s="16"/>
      <c r="B483" s="16"/>
      <c r="C483" s="3">
        <v>46276</v>
      </c>
      <c r="D483" s="16" t="s">
        <v>14</v>
      </c>
      <c r="E483" s="16" t="s">
        <v>4450</v>
      </c>
      <c r="F483" s="16">
        <v>2026195690493</v>
      </c>
      <c r="G483" s="16">
        <v>40</v>
      </c>
      <c r="H483" s="16">
        <v>58</v>
      </c>
      <c r="I483" s="16" t="s">
        <v>559</v>
      </c>
      <c r="J483" s="16" t="s">
        <v>4450</v>
      </c>
      <c r="K483" s="16" t="s">
        <v>839</v>
      </c>
      <c r="L483" s="16" t="s">
        <v>18</v>
      </c>
      <c r="M483" s="16">
        <v>8</v>
      </c>
      <c r="N483" s="16" t="s">
        <v>462</v>
      </c>
      <c r="O483" s="16" t="s">
        <v>497</v>
      </c>
      <c r="P483" s="16" t="s">
        <v>4451</v>
      </c>
      <c r="Q483" s="16" t="s">
        <v>564</v>
      </c>
      <c r="R483" s="16" t="s">
        <v>466</v>
      </c>
      <c r="S483" s="16" t="s">
        <v>4452</v>
      </c>
      <c r="T483" s="16">
        <v>174232</v>
      </c>
      <c r="U483" s="16">
        <v>46267.301388888889</v>
      </c>
      <c r="V483" s="16" t="s">
        <v>469</v>
      </c>
      <c r="W483" s="16" t="s">
        <v>568</v>
      </c>
      <c r="X483" s="16" t="s">
        <v>471</v>
      </c>
      <c r="Y483" s="16" t="s">
        <v>1724</v>
      </c>
      <c r="Z483" s="16" t="s">
        <v>570</v>
      </c>
      <c r="AA483" s="16" t="s">
        <v>474</v>
      </c>
      <c r="AB483" s="16" t="s">
        <v>2043</v>
      </c>
      <c r="AC483" s="16" t="s">
        <v>733</v>
      </c>
      <c r="AD483" s="16">
        <v>430738490</v>
      </c>
      <c r="AE483" s="16">
        <v>1508935891</v>
      </c>
      <c r="AF483" s="16"/>
      <c r="AG483" s="16"/>
      <c r="AH483" s="16"/>
      <c r="AI483" s="16" t="s">
        <v>159</v>
      </c>
      <c r="AJ483" s="16" t="s">
        <v>481</v>
      </c>
      <c r="AK483" s="16" t="s">
        <v>4453</v>
      </c>
      <c r="AL483" s="16">
        <v>47788.800000000003</v>
      </c>
      <c r="AM483" s="16"/>
      <c r="AN483" s="16"/>
      <c r="AO483" s="16">
        <v>352</v>
      </c>
      <c r="AP483" s="16" t="s">
        <v>485</v>
      </c>
      <c r="AQ483" s="16" t="s">
        <v>4454</v>
      </c>
      <c r="AR483" s="3">
        <v>46267</v>
      </c>
      <c r="AS483" s="16" t="s">
        <v>159</v>
      </c>
      <c r="AT483" s="16" t="s">
        <v>4455</v>
      </c>
      <c r="AU483" s="16"/>
      <c r="AV483" s="16" t="s">
        <v>4456</v>
      </c>
      <c r="AW483" s="16"/>
      <c r="AX483" s="16"/>
      <c r="AY483" s="16"/>
      <c r="AZ483" s="16"/>
      <c r="BA483" s="16"/>
      <c r="BB483" s="16"/>
      <c r="BC483" s="16"/>
      <c r="BD483" s="16" t="s">
        <v>159</v>
      </c>
      <c r="BE483" s="16">
        <v>57</v>
      </c>
      <c r="BF483" s="16"/>
      <c r="BG483" s="16" t="s">
        <v>490</v>
      </c>
      <c r="BH483" s="16" t="s">
        <v>491</v>
      </c>
      <c r="BI483" s="16">
        <v>490722201</v>
      </c>
      <c r="BJ483" s="16"/>
      <c r="BK483" s="16"/>
      <c r="BL483" s="16"/>
      <c r="BM483" s="16"/>
      <c r="BN483" s="16"/>
      <c r="BO483" s="16"/>
      <c r="BP483" s="16"/>
      <c r="BQ483" s="16"/>
      <c r="BR483" s="16"/>
      <c r="BS483" s="16"/>
      <c r="BT483" s="16"/>
      <c r="BU483" s="16"/>
      <c r="BV483" s="16"/>
      <c r="BW483" s="16"/>
      <c r="BX483" s="16"/>
      <c r="BY483" s="16"/>
      <c r="BZ483" s="16"/>
      <c r="CA483" s="190">
        <v>46275</v>
      </c>
      <c r="CB483" s="3"/>
      <c r="CC483" s="16"/>
      <c r="CD483" s="16"/>
      <c r="CE483" s="16"/>
      <c r="CF483" s="16"/>
      <c r="CG483" s="16"/>
      <c r="CH483" s="16"/>
      <c r="CI483" s="16" t="s">
        <v>4457</v>
      </c>
    </row>
    <row r="484" spans="1:87">
      <c r="A484" s="16"/>
      <c r="B484" s="16"/>
      <c r="C484" s="3">
        <v>46276</v>
      </c>
      <c r="D484" s="16" t="s">
        <v>14</v>
      </c>
      <c r="E484" s="16" t="s">
        <v>4458</v>
      </c>
      <c r="F484" s="16">
        <v>2026204280267</v>
      </c>
      <c r="G484" s="16">
        <v>40</v>
      </c>
      <c r="H484" s="16">
        <v>49</v>
      </c>
      <c r="I484" s="16" t="s">
        <v>559</v>
      </c>
      <c r="J484" s="16" t="s">
        <v>4458</v>
      </c>
      <c r="K484" s="16" t="s">
        <v>682</v>
      </c>
      <c r="L484" s="16" t="s">
        <v>18</v>
      </c>
      <c r="M484" s="16">
        <v>9</v>
      </c>
      <c r="N484" s="16" t="s">
        <v>462</v>
      </c>
      <c r="O484" s="16" t="s">
        <v>562</v>
      </c>
      <c r="P484" s="16" t="s">
        <v>4459</v>
      </c>
      <c r="Q484" s="16" t="s">
        <v>564</v>
      </c>
      <c r="R484" s="16" t="s">
        <v>466</v>
      </c>
      <c r="S484" s="16" t="s">
        <v>4460</v>
      </c>
      <c r="T484" s="16">
        <v>174327</v>
      </c>
      <c r="U484" s="16">
        <v>46266.040972222225</v>
      </c>
      <c r="V484" s="16" t="s">
        <v>469</v>
      </c>
      <c r="W484" s="16" t="s">
        <v>568</v>
      </c>
      <c r="X484" s="16" t="s">
        <v>471</v>
      </c>
      <c r="Y484" s="16" t="s">
        <v>2827</v>
      </c>
      <c r="Z484" s="16" t="s">
        <v>570</v>
      </c>
      <c r="AA484" s="16" t="s">
        <v>474</v>
      </c>
      <c r="AB484" s="16" t="s">
        <v>4461</v>
      </c>
      <c r="AC484" s="16" t="s">
        <v>572</v>
      </c>
      <c r="AD484" s="16">
        <v>870737749</v>
      </c>
      <c r="AE484" s="16">
        <v>1417580028</v>
      </c>
      <c r="AF484" s="16"/>
      <c r="AG484" s="16"/>
      <c r="AH484" s="16"/>
      <c r="AI484" s="16" t="s">
        <v>19</v>
      </c>
      <c r="AJ484" s="16" t="s">
        <v>481</v>
      </c>
      <c r="AK484" s="16" t="s">
        <v>4462</v>
      </c>
      <c r="AL484" s="16">
        <v>158142.26999999999</v>
      </c>
      <c r="AM484" s="16"/>
      <c r="AN484" s="16"/>
      <c r="AO484" s="16">
        <v>940</v>
      </c>
      <c r="AP484" s="16" t="s">
        <v>485</v>
      </c>
      <c r="AQ484" s="16" t="s">
        <v>4463</v>
      </c>
      <c r="AR484" s="3">
        <v>46266</v>
      </c>
      <c r="AS484" s="16" t="s">
        <v>19</v>
      </c>
      <c r="AT484" s="16" t="s">
        <v>4126</v>
      </c>
      <c r="AU484" s="16"/>
      <c r="AV484" s="16" t="s">
        <v>4464</v>
      </c>
      <c r="AW484" s="16"/>
      <c r="AX484" s="16"/>
      <c r="AY484" s="16"/>
      <c r="AZ484" s="16"/>
      <c r="BA484" s="16"/>
      <c r="BB484" s="16"/>
      <c r="BC484" s="16"/>
      <c r="BD484" s="16" t="s">
        <v>19</v>
      </c>
      <c r="BE484" s="16">
        <v>49</v>
      </c>
      <c r="BF484" s="16"/>
      <c r="BG484" s="16" t="s">
        <v>490</v>
      </c>
      <c r="BH484" s="16" t="s">
        <v>491</v>
      </c>
      <c r="BI484" s="16">
        <v>610567857</v>
      </c>
      <c r="BJ484" s="16"/>
      <c r="BK484" s="16"/>
      <c r="BL484" s="16"/>
      <c r="BM484" s="16"/>
      <c r="BN484" s="16"/>
      <c r="BO484" s="16"/>
      <c r="BP484" s="16"/>
      <c r="BQ484" s="16"/>
      <c r="BR484" s="16"/>
      <c r="BS484" s="16"/>
      <c r="BT484" s="16"/>
      <c r="BU484" s="16"/>
      <c r="BV484" s="16"/>
      <c r="BW484" s="16"/>
      <c r="BX484" s="16"/>
      <c r="BY484" s="16"/>
      <c r="BZ484" s="16"/>
      <c r="CA484" s="190">
        <v>46275</v>
      </c>
      <c r="CB484" s="3"/>
      <c r="CC484" s="16"/>
      <c r="CD484" s="16"/>
      <c r="CE484" s="16"/>
      <c r="CF484" s="16"/>
      <c r="CG484" s="16"/>
      <c r="CH484" s="16"/>
      <c r="CI484" s="16" t="s">
        <v>4465</v>
      </c>
    </row>
    <row r="485" spans="1:87">
      <c r="A485" s="16"/>
      <c r="B485" s="16"/>
      <c r="C485" s="3">
        <v>46276</v>
      </c>
      <c r="D485" s="16" t="s">
        <v>14</v>
      </c>
      <c r="E485" s="16" t="s">
        <v>4466</v>
      </c>
      <c r="F485" s="16">
        <v>2026198810249</v>
      </c>
      <c r="G485" s="16">
        <v>40</v>
      </c>
      <c r="H485" s="16">
        <v>58</v>
      </c>
      <c r="I485" s="16" t="s">
        <v>559</v>
      </c>
      <c r="J485" s="16" t="s">
        <v>4466</v>
      </c>
      <c r="K485" s="16" t="s">
        <v>839</v>
      </c>
      <c r="L485" s="16" t="s">
        <v>18</v>
      </c>
      <c r="M485" s="16">
        <v>8</v>
      </c>
      <c r="N485" s="16" t="s">
        <v>462</v>
      </c>
      <c r="O485" s="16" t="s">
        <v>497</v>
      </c>
      <c r="P485" s="16" t="s">
        <v>4467</v>
      </c>
      <c r="Q485" s="16" t="s">
        <v>465</v>
      </c>
      <c r="R485" s="16" t="s">
        <v>466</v>
      </c>
      <c r="S485" s="16">
        <v>2025280730619</v>
      </c>
      <c r="T485" s="16">
        <v>174326</v>
      </c>
      <c r="U485" s="16">
        <v>46267.302083333336</v>
      </c>
      <c r="V485" s="16" t="s">
        <v>469</v>
      </c>
      <c r="W485" s="16" t="s">
        <v>568</v>
      </c>
      <c r="X485" s="16" t="s">
        <v>471</v>
      </c>
      <c r="Y485" s="16" t="s">
        <v>1724</v>
      </c>
      <c r="Z485" s="16" t="s">
        <v>570</v>
      </c>
      <c r="AA485" s="16" t="s">
        <v>474</v>
      </c>
      <c r="AB485" s="16" t="s">
        <v>4468</v>
      </c>
      <c r="AC485" s="16" t="s">
        <v>1932</v>
      </c>
      <c r="AD485" s="16">
        <v>880350180</v>
      </c>
      <c r="AE485" s="16">
        <v>1598770471</v>
      </c>
      <c r="AF485" s="16">
        <v>1275755670</v>
      </c>
      <c r="AG485" s="16"/>
      <c r="AH485" s="16"/>
      <c r="AI485" s="16" t="s">
        <v>159</v>
      </c>
      <c r="AJ485" s="16" t="s">
        <v>481</v>
      </c>
      <c r="AK485" s="16" t="s">
        <v>4469</v>
      </c>
      <c r="AL485" s="16">
        <v>36348</v>
      </c>
      <c r="AM485" s="16"/>
      <c r="AN485" s="16"/>
      <c r="AO485" s="16">
        <v>195</v>
      </c>
      <c r="AP485" s="16" t="s">
        <v>485</v>
      </c>
      <c r="AQ485" s="16" t="s">
        <v>4470</v>
      </c>
      <c r="AR485" s="3">
        <v>46267</v>
      </c>
      <c r="AS485" s="16" t="s">
        <v>159</v>
      </c>
      <c r="AT485" s="16" t="s">
        <v>4455</v>
      </c>
      <c r="AU485" s="16"/>
      <c r="AV485" s="16" t="s">
        <v>4471</v>
      </c>
      <c r="AW485" s="16"/>
      <c r="AX485" s="16"/>
      <c r="AY485" s="16"/>
      <c r="AZ485" s="16"/>
      <c r="BA485" s="16"/>
      <c r="BB485" s="16"/>
      <c r="BC485" s="16"/>
      <c r="BD485" s="16" t="s">
        <v>159</v>
      </c>
      <c r="BE485" s="16">
        <v>55</v>
      </c>
      <c r="BF485" s="16"/>
      <c r="BG485" s="16"/>
      <c r="BH485" s="16" t="s">
        <v>491</v>
      </c>
      <c r="BI485" s="16">
        <v>575475812</v>
      </c>
      <c r="BJ485" s="16"/>
      <c r="BK485" s="16"/>
      <c r="BL485" s="16"/>
      <c r="BM485" s="16"/>
      <c r="BN485" s="16"/>
      <c r="BO485" s="16"/>
      <c r="BP485" s="16"/>
      <c r="BQ485" s="16"/>
      <c r="BR485" s="16"/>
      <c r="BS485" s="16"/>
      <c r="BT485" s="16"/>
      <c r="BU485" s="16"/>
      <c r="BV485" s="16"/>
      <c r="BW485" s="16"/>
      <c r="BX485" s="16"/>
      <c r="BY485" s="16"/>
      <c r="BZ485" s="16"/>
      <c r="CA485" s="190">
        <v>46275</v>
      </c>
      <c r="CB485" s="3"/>
      <c r="CC485" s="16"/>
      <c r="CD485" s="16"/>
      <c r="CE485" s="16"/>
      <c r="CF485" s="16"/>
      <c r="CG485" s="16"/>
      <c r="CH485" s="16"/>
      <c r="CI485" s="16" t="s">
        <v>4472</v>
      </c>
    </row>
    <row r="486" spans="1:87">
      <c r="A486" s="16"/>
      <c r="B486" s="16"/>
      <c r="C486" s="3">
        <v>46276</v>
      </c>
      <c r="D486" s="16" t="s">
        <v>14</v>
      </c>
      <c r="E486" s="16" t="s">
        <v>4473</v>
      </c>
      <c r="F486" s="16">
        <v>2026199880227</v>
      </c>
      <c r="G486" s="16">
        <v>40</v>
      </c>
      <c r="H486" s="16">
        <v>54</v>
      </c>
      <c r="I486" s="16" t="s">
        <v>559</v>
      </c>
      <c r="J486" s="16" t="s">
        <v>4473</v>
      </c>
      <c r="K486" s="16" t="s">
        <v>1070</v>
      </c>
      <c r="L486" s="16" t="s">
        <v>16</v>
      </c>
      <c r="M486" s="16">
        <v>7</v>
      </c>
      <c r="N486" s="16" t="s">
        <v>462</v>
      </c>
      <c r="O486" s="16" t="s">
        <v>606</v>
      </c>
      <c r="P486" s="16" t="s">
        <v>4474</v>
      </c>
      <c r="Q486" s="16" t="s">
        <v>465</v>
      </c>
      <c r="R486" s="16" t="s">
        <v>466</v>
      </c>
      <c r="S486" s="16" t="s">
        <v>4475</v>
      </c>
      <c r="T486" s="16" t="s">
        <v>4476</v>
      </c>
      <c r="U486" s="16">
        <v>46246.756944444445</v>
      </c>
      <c r="V486" s="16" t="s">
        <v>469</v>
      </c>
      <c r="W486" s="16" t="s">
        <v>568</v>
      </c>
      <c r="X486" s="16" t="s">
        <v>471</v>
      </c>
      <c r="Y486" s="16" t="s">
        <v>628</v>
      </c>
      <c r="Z486" s="16" t="s">
        <v>544</v>
      </c>
      <c r="AA486" s="16" t="s">
        <v>474</v>
      </c>
      <c r="AB486" s="16" t="s">
        <v>4477</v>
      </c>
      <c r="AC486" s="16" t="s">
        <v>546</v>
      </c>
      <c r="AD486" s="16">
        <v>582568787</v>
      </c>
      <c r="AE486" s="16">
        <v>1063604791</v>
      </c>
      <c r="AF486" s="16">
        <v>1669819736</v>
      </c>
      <c r="AG486" s="16"/>
      <c r="AH486" s="16" t="s">
        <v>1076</v>
      </c>
      <c r="AI486" s="16" t="s">
        <v>366</v>
      </c>
      <c r="AJ486" s="16" t="s">
        <v>481</v>
      </c>
      <c r="AK486" s="16" t="s">
        <v>4478</v>
      </c>
      <c r="AL486" s="16">
        <v>407139</v>
      </c>
      <c r="AM486" s="16"/>
      <c r="AN486" s="16"/>
      <c r="AO486" s="16">
        <v>242</v>
      </c>
      <c r="AP486" s="16" t="s">
        <v>485</v>
      </c>
      <c r="AQ486" s="16" t="s">
        <v>4479</v>
      </c>
      <c r="AR486" s="3">
        <v>46268</v>
      </c>
      <c r="AS486" s="16" t="s">
        <v>366</v>
      </c>
      <c r="AT486" s="16" t="s">
        <v>4480</v>
      </c>
      <c r="AU486" s="16"/>
      <c r="AV486" s="16" t="s">
        <v>4481</v>
      </c>
      <c r="AW486" s="16"/>
      <c r="AX486" s="16"/>
      <c r="AY486" s="16"/>
      <c r="AZ486" s="16"/>
      <c r="BA486" s="16"/>
      <c r="BB486" s="16"/>
      <c r="BC486" s="16"/>
      <c r="BD486" s="16" t="s">
        <v>366</v>
      </c>
      <c r="BE486" s="16">
        <v>52</v>
      </c>
      <c r="BF486" s="16"/>
      <c r="BG486" s="16"/>
      <c r="BH486" s="16" t="s">
        <v>491</v>
      </c>
      <c r="BI486" s="16">
        <v>260416133</v>
      </c>
      <c r="BJ486" s="16"/>
      <c r="BK486" s="16"/>
      <c r="BL486" s="16"/>
      <c r="BM486" s="16"/>
      <c r="BN486" s="16"/>
      <c r="BO486" s="16"/>
      <c r="BP486" s="16"/>
      <c r="BQ486" s="16"/>
      <c r="BR486" s="16"/>
      <c r="BS486" s="16"/>
      <c r="BT486" s="16"/>
      <c r="BU486" s="16"/>
      <c r="BV486" s="16"/>
      <c r="BW486" s="16"/>
      <c r="BX486" s="16"/>
      <c r="BY486" s="16"/>
      <c r="BZ486" s="16"/>
      <c r="CA486" s="190">
        <v>46275</v>
      </c>
      <c r="CB486" s="3"/>
      <c r="CC486" s="16"/>
      <c r="CD486" s="16"/>
      <c r="CE486" s="16"/>
      <c r="CF486" s="16"/>
      <c r="CG486" s="16"/>
      <c r="CH486" s="16"/>
      <c r="CI486" s="16" t="s">
        <v>4482</v>
      </c>
    </row>
    <row r="487" spans="1:87">
      <c r="A487" s="16"/>
      <c r="B487" s="16"/>
      <c r="C487" s="3">
        <v>46276</v>
      </c>
      <c r="D487" s="16" t="s">
        <v>14</v>
      </c>
      <c r="E487" s="16" t="s">
        <v>4483</v>
      </c>
      <c r="F487" s="16">
        <v>2026200390250</v>
      </c>
      <c r="G487" s="16">
        <v>40</v>
      </c>
      <c r="H487" s="16">
        <v>53</v>
      </c>
      <c r="I487" s="16" t="s">
        <v>559</v>
      </c>
      <c r="J487" s="16" t="s">
        <v>4483</v>
      </c>
      <c r="K487" s="16" t="s">
        <v>741</v>
      </c>
      <c r="L487" s="16" t="s">
        <v>13</v>
      </c>
      <c r="M487" s="16">
        <v>9</v>
      </c>
      <c r="N487" s="16" t="s">
        <v>462</v>
      </c>
      <c r="O487" s="16" t="s">
        <v>606</v>
      </c>
      <c r="P487" s="16">
        <v>910949845</v>
      </c>
      <c r="Q487" s="16" t="s">
        <v>465</v>
      </c>
      <c r="R487" s="16" t="s">
        <v>466</v>
      </c>
      <c r="S487" s="16" t="s">
        <v>4484</v>
      </c>
      <c r="T487" s="16" t="s">
        <v>2771</v>
      </c>
      <c r="U487" s="16">
        <v>46246.899305555555</v>
      </c>
      <c r="V487" s="16" t="s">
        <v>469</v>
      </c>
      <c r="W487" s="16" t="s">
        <v>651</v>
      </c>
      <c r="X487" s="16" t="s">
        <v>652</v>
      </c>
      <c r="Y487" s="16" t="s">
        <v>653</v>
      </c>
      <c r="Z487" s="16" t="s">
        <v>1338</v>
      </c>
      <c r="AA487" s="16" t="s">
        <v>474</v>
      </c>
      <c r="AB487" s="16" t="s">
        <v>2772</v>
      </c>
      <c r="AC487" s="16" t="s">
        <v>1429</v>
      </c>
      <c r="AD487" s="16">
        <v>473214543</v>
      </c>
      <c r="AE487" s="16">
        <v>1750742144</v>
      </c>
      <c r="AF487" s="16">
        <v>1528231552</v>
      </c>
      <c r="AG487" s="16">
        <v>6220252330341600</v>
      </c>
      <c r="AH487" s="16" t="s">
        <v>1076</v>
      </c>
      <c r="AI487" s="16" t="s">
        <v>290</v>
      </c>
      <c r="AJ487" s="16" t="s">
        <v>481</v>
      </c>
      <c r="AK487" s="16" t="s">
        <v>4485</v>
      </c>
      <c r="AL487" s="16">
        <v>490</v>
      </c>
      <c r="AM487" s="16"/>
      <c r="AN487" s="16"/>
      <c r="AO487" s="16">
        <v>910</v>
      </c>
      <c r="AP487" s="16" t="s">
        <v>485</v>
      </c>
      <c r="AQ487" s="16" t="s">
        <v>4486</v>
      </c>
      <c r="AR487" s="3">
        <v>46266</v>
      </c>
      <c r="AS487" s="16" t="s">
        <v>290</v>
      </c>
      <c r="AT487" s="16" t="s">
        <v>516</v>
      </c>
      <c r="AU487" s="16"/>
      <c r="AV487" s="16" t="s">
        <v>2775</v>
      </c>
      <c r="AW487" s="16"/>
      <c r="AX487" s="16"/>
      <c r="AY487" s="16"/>
      <c r="AZ487" s="16"/>
      <c r="BA487" s="16"/>
      <c r="BB487" s="16"/>
      <c r="BC487" s="16"/>
      <c r="BD487" s="16" t="s">
        <v>290</v>
      </c>
      <c r="BE487" s="16">
        <v>53</v>
      </c>
      <c r="BF487" s="16"/>
      <c r="BG487" s="16"/>
      <c r="BH487" s="16" t="s">
        <v>658</v>
      </c>
      <c r="BI487" s="16">
        <v>910949845</v>
      </c>
      <c r="BJ487" s="16"/>
      <c r="BK487" s="16"/>
      <c r="BL487" s="16"/>
      <c r="BM487" s="16"/>
      <c r="BN487" s="16"/>
      <c r="BO487" s="16"/>
      <c r="BP487" s="16"/>
      <c r="BQ487" s="16"/>
      <c r="BR487" s="16"/>
      <c r="BS487" s="16"/>
      <c r="BT487" s="16"/>
      <c r="BU487" s="16"/>
      <c r="BV487" s="16"/>
      <c r="BW487" s="16"/>
      <c r="BX487" s="16"/>
      <c r="BY487" s="16"/>
      <c r="BZ487" s="16"/>
      <c r="CA487" s="190">
        <v>46275</v>
      </c>
      <c r="CB487" s="3"/>
      <c r="CC487" s="16"/>
      <c r="CD487" s="16"/>
      <c r="CE487" s="16"/>
      <c r="CF487" s="16"/>
      <c r="CG487" s="16"/>
      <c r="CH487" s="16"/>
      <c r="CI487" s="16" t="s">
        <v>4487</v>
      </c>
    </row>
    <row r="488" spans="1:87">
      <c r="A488" s="16" t="s">
        <v>5</v>
      </c>
      <c r="B488" s="16" t="s">
        <v>4488</v>
      </c>
      <c r="C488" s="3">
        <v>46276</v>
      </c>
      <c r="D488" s="16" t="s">
        <v>14</v>
      </c>
      <c r="E488" s="16" t="s">
        <v>4489</v>
      </c>
      <c r="F488" s="16">
        <v>2026205920390</v>
      </c>
      <c r="G488" s="16">
        <v>40</v>
      </c>
      <c r="H488" s="16">
        <v>48</v>
      </c>
      <c r="I488" s="16" t="s">
        <v>559</v>
      </c>
      <c r="J488" s="16" t="s">
        <v>4489</v>
      </c>
      <c r="K488" s="16" t="s">
        <v>1824</v>
      </c>
      <c r="L488" s="16" t="s">
        <v>17</v>
      </c>
      <c r="M488" s="16">
        <v>7</v>
      </c>
      <c r="N488" s="16" t="s">
        <v>462</v>
      </c>
      <c r="O488" s="16" t="s">
        <v>606</v>
      </c>
      <c r="P488" s="16">
        <v>971949033</v>
      </c>
      <c r="Q488" s="16" t="s">
        <v>465</v>
      </c>
      <c r="R488" s="16" t="s">
        <v>466</v>
      </c>
      <c r="S488" s="16" t="s">
        <v>4490</v>
      </c>
      <c r="T488" s="16">
        <v>800006</v>
      </c>
      <c r="U488" s="16">
        <v>46267.725694444445</v>
      </c>
      <c r="V488" s="16" t="s">
        <v>469</v>
      </c>
      <c r="W488" s="16" t="s">
        <v>470</v>
      </c>
      <c r="X488" s="16" t="s">
        <v>471</v>
      </c>
      <c r="Y488" s="16" t="s">
        <v>628</v>
      </c>
      <c r="Z488" s="16" t="s">
        <v>1338</v>
      </c>
      <c r="AA488" s="16" t="s">
        <v>474</v>
      </c>
      <c r="AB488" s="16" t="s">
        <v>4491</v>
      </c>
      <c r="AC488" s="16" t="s">
        <v>1429</v>
      </c>
      <c r="AD488" s="16">
        <v>820880104</v>
      </c>
      <c r="AE488" s="16">
        <v>1396267126</v>
      </c>
      <c r="AF488" s="16">
        <v>1578013074</v>
      </c>
      <c r="AG488" s="16"/>
      <c r="AH488" s="16" t="s">
        <v>1076</v>
      </c>
      <c r="AI488" s="16" t="s">
        <v>247</v>
      </c>
      <c r="AJ488" s="16" t="s">
        <v>481</v>
      </c>
      <c r="AK488" s="16" t="s">
        <v>4492</v>
      </c>
      <c r="AL488" s="16">
        <v>330</v>
      </c>
      <c r="AM488" s="16"/>
      <c r="AN488" s="16"/>
      <c r="AO488" s="16">
        <v>971</v>
      </c>
      <c r="AP488" s="16" t="s">
        <v>485</v>
      </c>
      <c r="AQ488" s="16" t="s">
        <v>4493</v>
      </c>
      <c r="AR488" s="3">
        <v>46268</v>
      </c>
      <c r="AS488" s="16" t="s">
        <v>247</v>
      </c>
      <c r="AT488" s="16" t="s">
        <v>4494</v>
      </c>
      <c r="AU488" s="16"/>
      <c r="AV488" s="16" t="s">
        <v>2330</v>
      </c>
      <c r="AW488" s="16"/>
      <c r="AX488" s="16"/>
      <c r="AY488" s="16"/>
      <c r="AZ488" s="16"/>
      <c r="BA488" s="16"/>
      <c r="BB488" s="16"/>
      <c r="BC488" s="16"/>
      <c r="BD488" s="16" t="s">
        <v>247</v>
      </c>
      <c r="BE488" s="16">
        <v>48</v>
      </c>
      <c r="BF488" s="16"/>
      <c r="BG488" s="16"/>
      <c r="BH488" s="16" t="s">
        <v>491</v>
      </c>
      <c r="BI488" s="16">
        <v>41669118</v>
      </c>
      <c r="BJ488" s="16"/>
      <c r="BK488" s="16"/>
      <c r="BL488" s="16"/>
      <c r="BM488" s="16"/>
      <c r="BN488" s="16"/>
      <c r="BO488" s="16"/>
      <c r="BP488" s="16"/>
      <c r="BQ488" s="16"/>
      <c r="BR488" s="16"/>
      <c r="BS488" s="16"/>
      <c r="BT488" s="16"/>
      <c r="BU488" s="16"/>
      <c r="BV488" s="16"/>
      <c r="BW488" s="16"/>
      <c r="BX488" s="16"/>
      <c r="BY488" s="16"/>
      <c r="BZ488" s="16"/>
      <c r="CA488" s="190">
        <v>46281.666666666701</v>
      </c>
      <c r="CB488" s="3"/>
      <c r="CC488" s="16"/>
      <c r="CD488" s="16"/>
      <c r="CE488" s="16"/>
      <c r="CF488" s="16"/>
      <c r="CG488" s="16"/>
      <c r="CH488" s="16"/>
      <c r="CI488" s="16" t="s">
        <v>4495</v>
      </c>
    </row>
    <row r="489" spans="1:87">
      <c r="A489" s="16" t="s">
        <v>5</v>
      </c>
      <c r="B489" s="16" t="s">
        <v>4496</v>
      </c>
      <c r="C489" s="3">
        <v>46276</v>
      </c>
      <c r="D489" s="16" t="s">
        <v>14</v>
      </c>
      <c r="E489" s="16" t="s">
        <v>4497</v>
      </c>
      <c r="F489" s="16">
        <v>2026198620081</v>
      </c>
      <c r="G489" s="16">
        <v>40</v>
      </c>
      <c r="H489" s="16">
        <v>55</v>
      </c>
      <c r="I489" s="16" t="s">
        <v>559</v>
      </c>
      <c r="J489" s="16" t="s">
        <v>4497</v>
      </c>
      <c r="K489" s="16" t="s">
        <v>1260</v>
      </c>
      <c r="L489" s="16" t="s">
        <v>13</v>
      </c>
      <c r="M489" s="16">
        <v>9</v>
      </c>
      <c r="N489" s="16" t="s">
        <v>462</v>
      </c>
      <c r="O489" s="16" t="s">
        <v>606</v>
      </c>
      <c r="P489" s="16" t="s">
        <v>4498</v>
      </c>
      <c r="Q489" s="16" t="s">
        <v>465</v>
      </c>
      <c r="R489" s="16" t="s">
        <v>466</v>
      </c>
      <c r="S489" s="16" t="s">
        <v>4499</v>
      </c>
      <c r="T489" s="16">
        <v>720097</v>
      </c>
      <c r="U489" s="16">
        <v>46245.69027777778</v>
      </c>
      <c r="V489" s="16" t="s">
        <v>469</v>
      </c>
      <c r="W489" s="16" t="s">
        <v>1752</v>
      </c>
      <c r="X489" s="16" t="s">
        <v>471</v>
      </c>
      <c r="Y489" s="16" t="s">
        <v>628</v>
      </c>
      <c r="Z489" s="16" t="s">
        <v>665</v>
      </c>
      <c r="AA489" s="16" t="s">
        <v>474</v>
      </c>
      <c r="AB489" s="16" t="s">
        <v>3102</v>
      </c>
      <c r="AC489" s="16" t="s">
        <v>640</v>
      </c>
      <c r="AD489" s="16">
        <v>113613997</v>
      </c>
      <c r="AE489" s="16">
        <v>1023277241</v>
      </c>
      <c r="AF489" s="16">
        <v>1023277241</v>
      </c>
      <c r="AG489" s="16"/>
      <c r="AH489" s="16" t="s">
        <v>1076</v>
      </c>
      <c r="AI489" s="16" t="s">
        <v>30</v>
      </c>
      <c r="AJ489" s="16" t="s">
        <v>481</v>
      </c>
      <c r="AK489" s="16" t="s">
        <v>4500</v>
      </c>
      <c r="AL489" s="16">
        <v>18514.939999999999</v>
      </c>
      <c r="AM489" s="16"/>
      <c r="AN489" s="16"/>
      <c r="AO489" s="16">
        <v>22</v>
      </c>
      <c r="AP489" s="16" t="s">
        <v>485</v>
      </c>
      <c r="AQ489" s="16" t="s">
        <v>4501</v>
      </c>
      <c r="AR489" s="3">
        <v>46266</v>
      </c>
      <c r="AS489" s="16" t="s">
        <v>30</v>
      </c>
      <c r="AT489" s="16" t="s">
        <v>1258</v>
      </c>
      <c r="AU489" s="16"/>
      <c r="AV489" s="16" t="s">
        <v>4502</v>
      </c>
      <c r="AW489" s="16"/>
      <c r="AX489" s="16"/>
      <c r="AY489" s="16"/>
      <c r="AZ489" s="16"/>
      <c r="BA489" s="16"/>
      <c r="BB489" s="16"/>
      <c r="BC489" s="16"/>
      <c r="BD489" s="16" t="s">
        <v>30</v>
      </c>
      <c r="BE489" s="16">
        <v>55</v>
      </c>
      <c r="BF489" s="16"/>
      <c r="BG489" s="16"/>
      <c r="BH489" s="16" t="s">
        <v>491</v>
      </c>
      <c r="BI489" s="16">
        <v>100603077</v>
      </c>
      <c r="BJ489" s="16"/>
      <c r="BK489" s="16"/>
      <c r="BL489" s="16"/>
      <c r="BM489" s="16"/>
      <c r="BN489" s="16"/>
      <c r="BO489" s="16"/>
      <c r="BP489" s="16"/>
      <c r="BQ489" s="16"/>
      <c r="BR489" s="16"/>
      <c r="BS489" s="16"/>
      <c r="BT489" s="16"/>
      <c r="BU489" s="16"/>
      <c r="BV489" s="16"/>
      <c r="BW489" s="16"/>
      <c r="BX489" s="16"/>
      <c r="BY489" s="16"/>
      <c r="BZ489" s="16"/>
      <c r="CA489" s="190">
        <v>46282.666666666701</v>
      </c>
      <c r="CB489" s="3"/>
      <c r="CC489" s="16"/>
      <c r="CD489" s="16"/>
      <c r="CE489" s="16"/>
      <c r="CF489" s="16"/>
      <c r="CG489" s="16"/>
      <c r="CH489" s="16"/>
      <c r="CI489" s="16" t="s">
        <v>4503</v>
      </c>
    </row>
    <row r="490" spans="1:87">
      <c r="A490" s="16" t="s">
        <v>5</v>
      </c>
      <c r="B490" s="16"/>
      <c r="C490" s="3">
        <v>46276</v>
      </c>
      <c r="D490" s="16" t="s">
        <v>14</v>
      </c>
      <c r="E490" s="16" t="s">
        <v>4504</v>
      </c>
      <c r="F490" s="16">
        <v>2026198600134</v>
      </c>
      <c r="G490" s="16">
        <v>40</v>
      </c>
      <c r="H490" s="16">
        <v>55</v>
      </c>
      <c r="I490" s="16" t="s">
        <v>559</v>
      </c>
      <c r="J490" s="16" t="s">
        <v>4504</v>
      </c>
      <c r="K490" s="16" t="s">
        <v>1201</v>
      </c>
      <c r="L490" s="16" t="s">
        <v>17</v>
      </c>
      <c r="M490" s="16">
        <v>7</v>
      </c>
      <c r="N490" s="16" t="s">
        <v>462</v>
      </c>
      <c r="O490" s="16" t="s">
        <v>606</v>
      </c>
      <c r="P490" s="16">
        <v>135306222</v>
      </c>
      <c r="Q490" s="16" t="s">
        <v>465</v>
      </c>
      <c r="R490" s="16" t="s">
        <v>466</v>
      </c>
      <c r="S490" s="16" t="s">
        <v>4505</v>
      </c>
      <c r="T490" s="16" t="s">
        <v>928</v>
      </c>
      <c r="U490" s="16">
        <v>46268.68472222222</v>
      </c>
      <c r="V490" s="16" t="s">
        <v>469</v>
      </c>
      <c r="W490" s="16" t="s">
        <v>651</v>
      </c>
      <c r="X490" s="16" t="s">
        <v>652</v>
      </c>
      <c r="Y490" s="16" t="s">
        <v>653</v>
      </c>
      <c r="Z490" s="16" t="s">
        <v>544</v>
      </c>
      <c r="AA490" s="16" t="s">
        <v>474</v>
      </c>
      <c r="AB490" s="16" t="s">
        <v>929</v>
      </c>
      <c r="AC490" s="16" t="s">
        <v>546</v>
      </c>
      <c r="AD490" s="16">
        <v>260833842</v>
      </c>
      <c r="AE490" s="16">
        <v>1255475091</v>
      </c>
      <c r="AF490" s="16">
        <v>1912951039</v>
      </c>
      <c r="AG490" s="16">
        <v>1.02202534616286E+16</v>
      </c>
      <c r="AH490" s="16"/>
      <c r="AI490" s="16" t="s">
        <v>150</v>
      </c>
      <c r="AJ490" s="16" t="s">
        <v>481</v>
      </c>
      <c r="AK490" s="16" t="s">
        <v>4506</v>
      </c>
      <c r="AL490" s="16">
        <v>33845.9</v>
      </c>
      <c r="AM490" s="16"/>
      <c r="AN490" s="16"/>
      <c r="AO490" s="16">
        <v>135</v>
      </c>
      <c r="AP490" s="16" t="s">
        <v>485</v>
      </c>
      <c r="AQ490" s="16" t="s">
        <v>4507</v>
      </c>
      <c r="AR490" s="3">
        <v>46268</v>
      </c>
      <c r="AS490" s="16" t="s">
        <v>150</v>
      </c>
      <c r="AT490" s="16" t="s">
        <v>4508</v>
      </c>
      <c r="AU490" s="16"/>
      <c r="AV490" s="16" t="s">
        <v>1649</v>
      </c>
      <c r="AW490" s="16"/>
      <c r="AX490" s="16"/>
      <c r="AY490" s="16"/>
      <c r="AZ490" s="16"/>
      <c r="BA490" s="16"/>
      <c r="BB490" s="16"/>
      <c r="BC490" s="16"/>
      <c r="BD490" s="16" t="s">
        <v>150</v>
      </c>
      <c r="BE490" s="16">
        <v>55</v>
      </c>
      <c r="BF490" s="16"/>
      <c r="BG490" s="16" t="s">
        <v>490</v>
      </c>
      <c r="BH490" s="16" t="s">
        <v>658</v>
      </c>
      <c r="BI490" s="16">
        <v>135306222</v>
      </c>
      <c r="BJ490" s="16"/>
      <c r="BK490" s="16"/>
      <c r="BL490" s="16"/>
      <c r="BM490" s="16"/>
      <c r="BN490" s="16"/>
      <c r="BO490" s="16"/>
      <c r="BP490" s="16"/>
      <c r="BQ490" s="16"/>
      <c r="BR490" s="16"/>
      <c r="BS490" s="16"/>
      <c r="BT490" s="16"/>
      <c r="BU490" s="16"/>
      <c r="BV490" s="16"/>
      <c r="BW490" s="16"/>
      <c r="BX490" s="16"/>
      <c r="BY490" s="16"/>
      <c r="BZ490" s="16"/>
      <c r="CA490" s="190">
        <v>46281.166666666701</v>
      </c>
      <c r="CB490" s="3"/>
      <c r="CC490" s="16"/>
      <c r="CD490" s="16"/>
      <c r="CE490" s="16"/>
      <c r="CF490" s="16"/>
      <c r="CG490" s="16"/>
      <c r="CH490" s="16"/>
      <c r="CI490" s="16" t="s">
        <v>4509</v>
      </c>
    </row>
    <row r="491" spans="1:87">
      <c r="A491" s="16" t="s">
        <v>5</v>
      </c>
      <c r="B491" s="16" t="s">
        <v>516</v>
      </c>
      <c r="C491" s="3">
        <v>46276</v>
      </c>
      <c r="D491" s="16" t="s">
        <v>14</v>
      </c>
      <c r="E491" s="16" t="s">
        <v>4510</v>
      </c>
      <c r="F491" s="16">
        <v>2026203200354</v>
      </c>
      <c r="G491" s="16">
        <v>40</v>
      </c>
      <c r="H491" s="16">
        <v>50</v>
      </c>
      <c r="I491" s="16" t="s">
        <v>559</v>
      </c>
      <c r="J491" s="16" t="s">
        <v>4510</v>
      </c>
      <c r="K491" s="16" t="s">
        <v>2270</v>
      </c>
      <c r="L491" s="16" t="s">
        <v>13</v>
      </c>
      <c r="M491" s="16">
        <v>7</v>
      </c>
      <c r="N491" s="16" t="s">
        <v>462</v>
      </c>
      <c r="O491" s="16" t="s">
        <v>606</v>
      </c>
      <c r="P491" s="16">
        <v>846236554</v>
      </c>
      <c r="Q491" s="16" t="s">
        <v>465</v>
      </c>
      <c r="R491" s="16" t="s">
        <v>466</v>
      </c>
      <c r="S491" s="16" t="s">
        <v>4511</v>
      </c>
      <c r="T491" s="16" t="s">
        <v>928</v>
      </c>
      <c r="U491" s="16">
        <v>46267.779166666667</v>
      </c>
      <c r="V491" s="16" t="s">
        <v>469</v>
      </c>
      <c r="W491" s="16" t="s">
        <v>651</v>
      </c>
      <c r="X491" s="16" t="s">
        <v>652</v>
      </c>
      <c r="Y491" s="16" t="s">
        <v>653</v>
      </c>
      <c r="Z491" s="16" t="s">
        <v>544</v>
      </c>
      <c r="AA491" s="16" t="s">
        <v>474</v>
      </c>
      <c r="AB491" s="16" t="s">
        <v>929</v>
      </c>
      <c r="AC491" s="16" t="s">
        <v>546</v>
      </c>
      <c r="AD491" s="16">
        <v>273818647</v>
      </c>
      <c r="AE491" s="16">
        <v>1275992240</v>
      </c>
      <c r="AF491" s="16">
        <v>1982659371</v>
      </c>
      <c r="AG491" s="16">
        <v>1.02202526622877E+16</v>
      </c>
      <c r="AH491" s="16"/>
      <c r="AI491" s="16" t="s">
        <v>28</v>
      </c>
      <c r="AJ491" s="16" t="s">
        <v>481</v>
      </c>
      <c r="AK491" s="16" t="s">
        <v>4512</v>
      </c>
      <c r="AL491" s="16">
        <v>2741.6</v>
      </c>
      <c r="AM491" s="16"/>
      <c r="AN491" s="16"/>
      <c r="AO491" s="16">
        <v>846</v>
      </c>
      <c r="AP491" s="16" t="s">
        <v>485</v>
      </c>
      <c r="AQ491" s="16" t="s">
        <v>4513</v>
      </c>
      <c r="AR491" s="3">
        <v>46268</v>
      </c>
      <c r="AS491" s="16" t="s">
        <v>28</v>
      </c>
      <c r="AT491" s="16" t="s">
        <v>516</v>
      </c>
      <c r="AU491" s="16"/>
      <c r="AV491" s="16" t="s">
        <v>4514</v>
      </c>
      <c r="AW491" s="16"/>
      <c r="AX491" s="16"/>
      <c r="AY491" s="16"/>
      <c r="AZ491" s="16"/>
      <c r="BA491" s="16"/>
      <c r="BB491" s="16"/>
      <c r="BC491" s="16"/>
      <c r="BD491" s="16" t="s">
        <v>28</v>
      </c>
      <c r="BE491" s="16">
        <v>50</v>
      </c>
      <c r="BF491" s="16"/>
      <c r="BG491" s="16"/>
      <c r="BH491" s="16" t="s">
        <v>658</v>
      </c>
      <c r="BI491" s="16">
        <v>846236554</v>
      </c>
      <c r="BJ491" s="16"/>
      <c r="BK491" s="16"/>
      <c r="BL491" s="16"/>
      <c r="BM491" s="16"/>
      <c r="BN491" s="16"/>
      <c r="BO491" s="16"/>
      <c r="BP491" s="16"/>
      <c r="BQ491" s="16"/>
      <c r="BR491" s="16"/>
      <c r="BS491" s="16"/>
      <c r="BT491" s="16"/>
      <c r="BU491" s="16"/>
      <c r="BV491" s="16"/>
      <c r="BW491" s="16"/>
      <c r="BX491" s="16"/>
      <c r="BY491" s="16"/>
      <c r="BZ491" s="16"/>
      <c r="CA491" s="190">
        <v>46280.666666666701</v>
      </c>
      <c r="CB491" s="3"/>
      <c r="CC491" s="16"/>
      <c r="CD491" s="16"/>
      <c r="CE491" s="16"/>
      <c r="CF491" s="16"/>
      <c r="CG491" s="16"/>
      <c r="CH491" s="16"/>
      <c r="CI491" s="16" t="s">
        <v>4515</v>
      </c>
    </row>
    <row r="492" spans="1:87">
      <c r="A492" s="16"/>
      <c r="B492" s="16"/>
      <c r="C492" s="3">
        <v>46276</v>
      </c>
      <c r="D492" s="16" t="s">
        <v>14</v>
      </c>
      <c r="E492" s="16" t="s">
        <v>4516</v>
      </c>
      <c r="F492" s="16">
        <v>2026201250699</v>
      </c>
      <c r="G492" s="16">
        <v>40</v>
      </c>
      <c r="H492" s="16">
        <v>52</v>
      </c>
      <c r="I492" s="16" t="s">
        <v>559</v>
      </c>
      <c r="J492" s="16" t="s">
        <v>4516</v>
      </c>
      <c r="K492" s="16" t="s">
        <v>741</v>
      </c>
      <c r="L492" s="16" t="s">
        <v>13</v>
      </c>
      <c r="M492" s="16">
        <v>9</v>
      </c>
      <c r="N492" s="16" t="s">
        <v>462</v>
      </c>
      <c r="O492" s="16" t="s">
        <v>606</v>
      </c>
      <c r="P492" s="16">
        <v>602866862</v>
      </c>
      <c r="Q492" s="16" t="s">
        <v>465</v>
      </c>
      <c r="R492" s="16" t="s">
        <v>466</v>
      </c>
      <c r="S492" s="16" t="s">
        <v>4517</v>
      </c>
      <c r="T492" s="16" t="s">
        <v>928</v>
      </c>
      <c r="U492" s="16">
        <v>46247.761805555558</v>
      </c>
      <c r="V492" s="16" t="s">
        <v>469</v>
      </c>
      <c r="W492" s="16" t="s">
        <v>651</v>
      </c>
      <c r="X492" s="16" t="s">
        <v>652</v>
      </c>
      <c r="Y492" s="16" t="s">
        <v>653</v>
      </c>
      <c r="Z492" s="16" t="s">
        <v>544</v>
      </c>
      <c r="AA492" s="16" t="s">
        <v>474</v>
      </c>
      <c r="AB492" s="16" t="s">
        <v>929</v>
      </c>
      <c r="AC492" s="16" t="s">
        <v>546</v>
      </c>
      <c r="AD492" s="16">
        <v>582078064</v>
      </c>
      <c r="AE492" s="16">
        <v>1891745212</v>
      </c>
      <c r="AF492" s="16">
        <v>1407031347</v>
      </c>
      <c r="AG492" s="16">
        <v>1.02202527406921E+16</v>
      </c>
      <c r="AH492" s="16"/>
      <c r="AI492" s="16" t="s">
        <v>290</v>
      </c>
      <c r="AJ492" s="16" t="s">
        <v>481</v>
      </c>
      <c r="AK492" s="16" t="s">
        <v>4518</v>
      </c>
      <c r="AL492" s="16">
        <v>9037</v>
      </c>
      <c r="AM492" s="16"/>
      <c r="AN492" s="16"/>
      <c r="AO492" s="16">
        <v>602</v>
      </c>
      <c r="AP492" s="16" t="s">
        <v>485</v>
      </c>
      <c r="AQ492" s="16" t="s">
        <v>4519</v>
      </c>
      <c r="AR492" s="3">
        <v>46266</v>
      </c>
      <c r="AS492" s="16" t="s">
        <v>290</v>
      </c>
      <c r="AT492" s="16" t="s">
        <v>4520</v>
      </c>
      <c r="AU492" s="16"/>
      <c r="AV492" s="16" t="s">
        <v>2766</v>
      </c>
      <c r="AW492" s="16"/>
      <c r="AX492" s="16"/>
      <c r="AY492" s="16"/>
      <c r="AZ492" s="16"/>
      <c r="BA492" s="16"/>
      <c r="BB492" s="16"/>
      <c r="BC492" s="16"/>
      <c r="BD492" s="16" t="s">
        <v>290</v>
      </c>
      <c r="BE492" s="16">
        <v>52</v>
      </c>
      <c r="BF492" s="16"/>
      <c r="BG492" s="16" t="s">
        <v>490</v>
      </c>
      <c r="BH492" s="16" t="s">
        <v>658</v>
      </c>
      <c r="BI492" s="16">
        <v>602866862</v>
      </c>
      <c r="BJ492" s="16"/>
      <c r="BK492" s="16"/>
      <c r="BL492" s="16"/>
      <c r="BM492" s="16"/>
      <c r="BN492" s="16"/>
      <c r="BO492" s="16"/>
      <c r="BP492" s="16"/>
      <c r="BQ492" s="16"/>
      <c r="BR492" s="16"/>
      <c r="BS492" s="16"/>
      <c r="BT492" s="16"/>
      <c r="BU492" s="16"/>
      <c r="BV492" s="16"/>
      <c r="BW492" s="16"/>
      <c r="BX492" s="16"/>
      <c r="BY492" s="16"/>
      <c r="BZ492" s="16"/>
      <c r="CA492" s="190">
        <v>46275</v>
      </c>
      <c r="CB492" s="3"/>
      <c r="CC492" s="16"/>
      <c r="CD492" s="16"/>
      <c r="CE492" s="16"/>
      <c r="CF492" s="16"/>
      <c r="CG492" s="16"/>
      <c r="CH492" s="16"/>
      <c r="CI492" s="16" t="s">
        <v>4521</v>
      </c>
    </row>
    <row r="493" spans="1:87">
      <c r="A493" s="16" t="s">
        <v>5</v>
      </c>
      <c r="B493" s="16" t="s">
        <v>4522</v>
      </c>
      <c r="C493" s="3">
        <v>46276</v>
      </c>
      <c r="D493" s="16" t="s">
        <v>14</v>
      </c>
      <c r="E493" s="16" t="s">
        <v>4523</v>
      </c>
      <c r="F493" s="16">
        <v>2026204870370</v>
      </c>
      <c r="G493" s="16">
        <v>40</v>
      </c>
      <c r="H493" s="16">
        <v>49</v>
      </c>
      <c r="I493" s="16" t="s">
        <v>559</v>
      </c>
      <c r="J493" s="16" t="s">
        <v>4523</v>
      </c>
      <c r="K493" s="16" t="s">
        <v>2270</v>
      </c>
      <c r="L493" s="16" t="s">
        <v>13</v>
      </c>
      <c r="M493" s="16">
        <v>7</v>
      </c>
      <c r="N493" s="16" t="s">
        <v>462</v>
      </c>
      <c r="O493" s="16" t="s">
        <v>606</v>
      </c>
      <c r="P493" s="16" t="s">
        <v>4524</v>
      </c>
      <c r="Q493" s="16" t="s">
        <v>465</v>
      </c>
      <c r="R493" s="16" t="s">
        <v>466</v>
      </c>
      <c r="S493" s="16" t="s">
        <v>4525</v>
      </c>
      <c r="T493" s="16" t="s">
        <v>465</v>
      </c>
      <c r="U493" s="16">
        <v>46267.756249999999</v>
      </c>
      <c r="V493" s="16" t="s">
        <v>469</v>
      </c>
      <c r="W493" s="16" t="s">
        <v>470</v>
      </c>
      <c r="X493" s="16" t="s">
        <v>471</v>
      </c>
      <c r="Y493" s="16" t="s">
        <v>472</v>
      </c>
      <c r="Z493" s="16" t="s">
        <v>524</v>
      </c>
      <c r="AA493" s="16" t="s">
        <v>474</v>
      </c>
      <c r="AB493" s="16" t="s">
        <v>4526</v>
      </c>
      <c r="AC493" s="16" t="s">
        <v>526</v>
      </c>
      <c r="AD493" s="16">
        <v>346004382</v>
      </c>
      <c r="AE493" s="16">
        <v>1053353896</v>
      </c>
      <c r="AF493" s="16">
        <v>1396278552</v>
      </c>
      <c r="AG493" s="16"/>
      <c r="AH493" s="16" t="s">
        <v>1076</v>
      </c>
      <c r="AI493" s="16" t="s">
        <v>28</v>
      </c>
      <c r="AJ493" s="16" t="s">
        <v>481</v>
      </c>
      <c r="AK493" s="16" t="s">
        <v>4527</v>
      </c>
      <c r="AL493" s="16">
        <v>11052</v>
      </c>
      <c r="AM493" s="16"/>
      <c r="AN493" s="16"/>
      <c r="AO493" s="16">
        <v>724</v>
      </c>
      <c r="AP493" s="16" t="s">
        <v>485</v>
      </c>
      <c r="AQ493" s="16" t="s">
        <v>4528</v>
      </c>
      <c r="AR493" s="3">
        <v>46268</v>
      </c>
      <c r="AS493" s="16" t="s">
        <v>28</v>
      </c>
      <c r="AT493" s="16" t="s">
        <v>4529</v>
      </c>
      <c r="AU493" s="16"/>
      <c r="AV493" s="16" t="s">
        <v>4530</v>
      </c>
      <c r="AW493" s="16"/>
      <c r="AX493" s="16"/>
      <c r="AY493" s="16"/>
      <c r="AZ493" s="16"/>
      <c r="BA493" s="16"/>
      <c r="BB493" s="16"/>
      <c r="BC493" s="16"/>
      <c r="BD493" s="16" t="s">
        <v>28</v>
      </c>
      <c r="BE493" s="16">
        <v>49</v>
      </c>
      <c r="BF493" s="16"/>
      <c r="BG493" s="16"/>
      <c r="BH493" s="16" t="s">
        <v>491</v>
      </c>
      <c r="BI493" s="16">
        <v>290742814</v>
      </c>
      <c r="BJ493" s="16"/>
      <c r="BK493" s="16"/>
      <c r="BL493" s="16"/>
      <c r="BM493" s="16"/>
      <c r="BN493" s="16"/>
      <c r="BO493" s="16"/>
      <c r="BP493" s="16"/>
      <c r="BQ493" s="16"/>
      <c r="BR493" s="16"/>
      <c r="BS493" s="16"/>
      <c r="BT493" s="16"/>
      <c r="BU493" s="16"/>
      <c r="BV493" s="16"/>
      <c r="BW493" s="16"/>
      <c r="BX493" s="16"/>
      <c r="BY493" s="16"/>
      <c r="BZ493" s="16"/>
      <c r="CA493" s="190">
        <v>46280.666666666701</v>
      </c>
      <c r="CB493" s="3"/>
      <c r="CC493" s="16"/>
      <c r="CD493" s="16"/>
      <c r="CE493" s="16"/>
      <c r="CF493" s="16"/>
      <c r="CG493" s="16"/>
      <c r="CH493" s="16"/>
      <c r="CI493" s="16" t="s">
        <v>4531</v>
      </c>
    </row>
    <row r="494" spans="1:87">
      <c r="A494" s="16" t="s">
        <v>5</v>
      </c>
      <c r="B494" s="16" t="s">
        <v>4496</v>
      </c>
      <c r="C494" s="3">
        <v>46276</v>
      </c>
      <c r="D494" s="16" t="s">
        <v>14</v>
      </c>
      <c r="E494" s="16" t="s">
        <v>4532</v>
      </c>
      <c r="F494" s="16">
        <v>2026202770466</v>
      </c>
      <c r="G494" s="16">
        <v>40</v>
      </c>
      <c r="H494" s="16">
        <v>51</v>
      </c>
      <c r="I494" s="16" t="s">
        <v>559</v>
      </c>
      <c r="J494" s="16" t="s">
        <v>4532</v>
      </c>
      <c r="K494" s="16" t="s">
        <v>1260</v>
      </c>
      <c r="L494" s="16" t="s">
        <v>13</v>
      </c>
      <c r="M494" s="16">
        <v>9</v>
      </c>
      <c r="N494" s="16" t="s">
        <v>462</v>
      </c>
      <c r="O494" s="16" t="s">
        <v>606</v>
      </c>
      <c r="P494" s="16" t="s">
        <v>4533</v>
      </c>
      <c r="Q494" s="16" t="s">
        <v>465</v>
      </c>
      <c r="R494" s="16" t="s">
        <v>466</v>
      </c>
      <c r="S494" s="16" t="s">
        <v>4534</v>
      </c>
      <c r="T494" s="16" t="s">
        <v>465</v>
      </c>
      <c r="U494" s="16">
        <v>46250.65625</v>
      </c>
      <c r="V494" s="16" t="s">
        <v>469</v>
      </c>
      <c r="W494" s="16" t="s">
        <v>470</v>
      </c>
      <c r="X494" s="16" t="s">
        <v>471</v>
      </c>
      <c r="Y494" s="16" t="s">
        <v>472</v>
      </c>
      <c r="Z494" s="16" t="s">
        <v>1338</v>
      </c>
      <c r="AA494" s="16" t="s">
        <v>474</v>
      </c>
      <c r="AB494" s="16" t="s">
        <v>4535</v>
      </c>
      <c r="AC494" s="16" t="s">
        <v>640</v>
      </c>
      <c r="AD494" s="16">
        <v>134010372</v>
      </c>
      <c r="AE494" s="16">
        <v>1699766261</v>
      </c>
      <c r="AF494" s="16">
        <v>1396158598</v>
      </c>
      <c r="AG494" s="16"/>
      <c r="AH494" s="16" t="s">
        <v>1076</v>
      </c>
      <c r="AI494" s="16" t="s">
        <v>30</v>
      </c>
      <c r="AJ494" s="16" t="s">
        <v>481</v>
      </c>
      <c r="AK494" s="16" t="s">
        <v>4536</v>
      </c>
      <c r="AL494" s="16">
        <v>2184</v>
      </c>
      <c r="AM494" s="16"/>
      <c r="AN494" s="16"/>
      <c r="AO494" s="16">
        <v>180</v>
      </c>
      <c r="AP494" s="16" t="s">
        <v>485</v>
      </c>
      <c r="AQ494" s="16" t="s">
        <v>4537</v>
      </c>
      <c r="AR494" s="3">
        <v>46266</v>
      </c>
      <c r="AS494" s="16" t="s">
        <v>30</v>
      </c>
      <c r="AT494" s="16" t="s">
        <v>1258</v>
      </c>
      <c r="AU494" s="16"/>
      <c r="AV494" s="16" t="s">
        <v>4538</v>
      </c>
      <c r="AW494" s="16"/>
      <c r="AX494" s="16"/>
      <c r="AY494" s="16"/>
      <c r="AZ494" s="16"/>
      <c r="BA494" s="16"/>
      <c r="BB494" s="16"/>
      <c r="BC494" s="16"/>
      <c r="BD494" s="16" t="s">
        <v>30</v>
      </c>
      <c r="BE494" s="16">
        <v>51</v>
      </c>
      <c r="BF494" s="16"/>
      <c r="BG494" s="16"/>
      <c r="BH494" s="16" t="s">
        <v>491</v>
      </c>
      <c r="BI494" s="16">
        <v>91628757</v>
      </c>
      <c r="BJ494" s="16"/>
      <c r="BK494" s="16"/>
      <c r="BL494" s="16"/>
      <c r="BM494" s="16"/>
      <c r="BN494" s="16"/>
      <c r="BO494" s="16"/>
      <c r="BP494" s="16"/>
      <c r="BQ494" s="16"/>
      <c r="BR494" s="16"/>
      <c r="BS494" s="16"/>
      <c r="BT494" s="16"/>
      <c r="BU494" s="16"/>
      <c r="BV494" s="16"/>
      <c r="BW494" s="16"/>
      <c r="BX494" s="16"/>
      <c r="BY494" s="16"/>
      <c r="BZ494" s="16"/>
      <c r="CA494" s="190">
        <v>46282.666666666701</v>
      </c>
      <c r="CB494" s="3"/>
      <c r="CC494" s="16"/>
      <c r="CD494" s="16"/>
      <c r="CE494" s="16"/>
      <c r="CF494" s="16"/>
      <c r="CG494" s="16"/>
      <c r="CH494" s="16"/>
      <c r="CI494" s="16" t="s">
        <v>4539</v>
      </c>
    </row>
    <row r="495" spans="1:87">
      <c r="A495" s="16" t="s">
        <v>5</v>
      </c>
      <c r="B495" s="16" t="s">
        <v>719</v>
      </c>
      <c r="C495" s="3">
        <v>46276</v>
      </c>
      <c r="D495" s="16" t="s">
        <v>14</v>
      </c>
      <c r="E495" s="16" t="s">
        <v>4540</v>
      </c>
      <c r="F495" s="16">
        <v>2026198600062</v>
      </c>
      <c r="G495" s="16">
        <v>40</v>
      </c>
      <c r="H495" s="16">
        <v>55</v>
      </c>
      <c r="I495" s="16" t="s">
        <v>559</v>
      </c>
      <c r="J495" s="16" t="s">
        <v>4540</v>
      </c>
      <c r="K495" s="16" t="s">
        <v>1260</v>
      </c>
      <c r="L495" s="16" t="s">
        <v>13</v>
      </c>
      <c r="M495" s="16">
        <v>9</v>
      </c>
      <c r="N495" s="16" t="s">
        <v>462</v>
      </c>
      <c r="O495" s="16" t="s">
        <v>606</v>
      </c>
      <c r="P495" s="16" t="s">
        <v>4541</v>
      </c>
      <c r="Q495" s="16" t="s">
        <v>465</v>
      </c>
      <c r="R495" s="16" t="s">
        <v>466</v>
      </c>
      <c r="S495" s="16" t="s">
        <v>4542</v>
      </c>
      <c r="T495" s="16" t="s">
        <v>4543</v>
      </c>
      <c r="U495" s="16">
        <v>46245.740972222222</v>
      </c>
      <c r="V495" s="16" t="s">
        <v>469</v>
      </c>
      <c r="W495" s="16" t="s">
        <v>470</v>
      </c>
      <c r="X495" s="16" t="s">
        <v>471</v>
      </c>
      <c r="Y495" s="16" t="s">
        <v>523</v>
      </c>
      <c r="Z495" s="16" t="s">
        <v>473</v>
      </c>
      <c r="AA495" s="16" t="s">
        <v>474</v>
      </c>
      <c r="AB495" s="16" t="s">
        <v>4544</v>
      </c>
      <c r="AC495" s="16" t="s">
        <v>476</v>
      </c>
      <c r="AD495" s="16">
        <v>391990012</v>
      </c>
      <c r="AE495" s="16">
        <v>1942970405</v>
      </c>
      <c r="AF495" s="16">
        <v>1356432553</v>
      </c>
      <c r="AG495" s="16"/>
      <c r="AH495" s="16" t="s">
        <v>1076</v>
      </c>
      <c r="AI495" s="16" t="s">
        <v>30</v>
      </c>
      <c r="AJ495" s="16" t="s">
        <v>481</v>
      </c>
      <c r="AK495" s="16" t="s">
        <v>4545</v>
      </c>
      <c r="AL495" s="16">
        <v>78141.25</v>
      </c>
      <c r="AM495" s="16"/>
      <c r="AN495" s="16"/>
      <c r="AO495" s="16">
        <v>202</v>
      </c>
      <c r="AP495" s="16" t="s">
        <v>485</v>
      </c>
      <c r="AQ495" s="16" t="s">
        <v>4546</v>
      </c>
      <c r="AR495" s="3">
        <v>46266</v>
      </c>
      <c r="AS495" s="16" t="s">
        <v>30</v>
      </c>
      <c r="AT495" s="16" t="s">
        <v>1258</v>
      </c>
      <c r="AU495" s="16"/>
      <c r="AV495" s="16" t="s">
        <v>4547</v>
      </c>
      <c r="AW495" s="16"/>
      <c r="AX495" s="16"/>
      <c r="AY495" s="16"/>
      <c r="AZ495" s="16"/>
      <c r="BA495" s="16"/>
      <c r="BB495" s="16"/>
      <c r="BC495" s="16"/>
      <c r="BD495" s="16" t="s">
        <v>30</v>
      </c>
      <c r="BE495" s="16">
        <v>55</v>
      </c>
      <c r="BF495" s="16"/>
      <c r="BG495" s="16"/>
      <c r="BH495" s="16" t="s">
        <v>491</v>
      </c>
      <c r="BI495" s="16">
        <v>213479575</v>
      </c>
      <c r="BJ495" s="16"/>
      <c r="BK495" s="16"/>
      <c r="BL495" s="16"/>
      <c r="BM495" s="16"/>
      <c r="BN495" s="16"/>
      <c r="BO495" s="16"/>
      <c r="BP495" s="16"/>
      <c r="BQ495" s="16"/>
      <c r="BR495" s="16"/>
      <c r="BS495" s="16"/>
      <c r="BT495" s="16"/>
      <c r="BU495" s="16"/>
      <c r="BV495" s="16"/>
      <c r="BW495" s="16"/>
      <c r="BX495" s="16"/>
      <c r="BY495" s="16"/>
      <c r="BZ495" s="16"/>
      <c r="CA495" s="190">
        <v>46282.666666666701</v>
      </c>
      <c r="CB495" s="3"/>
      <c r="CC495" s="16"/>
      <c r="CD495" s="16"/>
      <c r="CE495" s="16"/>
      <c r="CF495" s="16"/>
      <c r="CG495" s="16"/>
      <c r="CH495" s="16"/>
      <c r="CI495" s="16" t="s">
        <v>4548</v>
      </c>
    </row>
    <row r="496" spans="1:87">
      <c r="A496" s="16" t="s">
        <v>5</v>
      </c>
      <c r="B496" s="16" t="s">
        <v>4488</v>
      </c>
      <c r="C496" s="3">
        <v>46276</v>
      </c>
      <c r="D496" s="16" t="s">
        <v>14</v>
      </c>
      <c r="E496" s="16" t="s">
        <v>4549</v>
      </c>
      <c r="F496" s="16">
        <v>2026198400479</v>
      </c>
      <c r="G496" s="16">
        <v>40</v>
      </c>
      <c r="H496" s="16">
        <v>55</v>
      </c>
      <c r="I496" s="16" t="s">
        <v>559</v>
      </c>
      <c r="J496" s="16" t="s">
        <v>4549</v>
      </c>
      <c r="K496" s="16" t="s">
        <v>1824</v>
      </c>
      <c r="L496" s="16" t="s">
        <v>17</v>
      </c>
      <c r="M496" s="16">
        <v>7</v>
      </c>
      <c r="N496" s="16" t="s">
        <v>462</v>
      </c>
      <c r="O496" s="16" t="s">
        <v>606</v>
      </c>
      <c r="P496" s="16" t="s">
        <v>4550</v>
      </c>
      <c r="Q496" s="16" t="s">
        <v>465</v>
      </c>
      <c r="R496" s="16" t="s">
        <v>466</v>
      </c>
      <c r="S496" s="16" t="s">
        <v>4551</v>
      </c>
      <c r="T496" s="16" t="s">
        <v>4552</v>
      </c>
      <c r="U496" s="16">
        <v>46267.723611111112</v>
      </c>
      <c r="V496" s="16" t="s">
        <v>469</v>
      </c>
      <c r="W496" s="16" t="s">
        <v>470</v>
      </c>
      <c r="X496" s="16" t="s">
        <v>471</v>
      </c>
      <c r="Y496" s="16" t="s">
        <v>523</v>
      </c>
      <c r="Z496" s="16" t="s">
        <v>473</v>
      </c>
      <c r="AA496" s="16" t="s">
        <v>474</v>
      </c>
      <c r="AB496" s="16" t="s">
        <v>4553</v>
      </c>
      <c r="AC496" s="16" t="s">
        <v>476</v>
      </c>
      <c r="AD496" s="16">
        <v>390813418</v>
      </c>
      <c r="AE496" s="16">
        <v>1235588831</v>
      </c>
      <c r="AF496" s="16">
        <v>1841801651</v>
      </c>
      <c r="AG496" s="16"/>
      <c r="AH496" s="16" t="s">
        <v>1076</v>
      </c>
      <c r="AI496" s="16" t="s">
        <v>247</v>
      </c>
      <c r="AJ496" s="16" t="s">
        <v>481</v>
      </c>
      <c r="AK496" s="16" t="s">
        <v>4554</v>
      </c>
      <c r="AL496" s="16">
        <v>20196</v>
      </c>
      <c r="AM496" s="16"/>
      <c r="AN496" s="16"/>
      <c r="AO496" s="16">
        <v>891</v>
      </c>
      <c r="AP496" s="16" t="s">
        <v>485</v>
      </c>
      <c r="AQ496" s="16" t="s">
        <v>4555</v>
      </c>
      <c r="AR496" s="3">
        <v>46268</v>
      </c>
      <c r="AS496" s="16" t="s">
        <v>247</v>
      </c>
      <c r="AT496" s="16" t="s">
        <v>4494</v>
      </c>
      <c r="AU496" s="16"/>
      <c r="AV496" s="16" t="s">
        <v>4556</v>
      </c>
      <c r="AW496" s="16"/>
      <c r="AX496" s="16"/>
      <c r="AY496" s="16"/>
      <c r="AZ496" s="16"/>
      <c r="BA496" s="16"/>
      <c r="BB496" s="16"/>
      <c r="BC496" s="16"/>
      <c r="BD496" s="16" t="s">
        <v>247</v>
      </c>
      <c r="BE496" s="16">
        <v>55</v>
      </c>
      <c r="BF496" s="16"/>
      <c r="BG496" s="16" t="s">
        <v>490</v>
      </c>
      <c r="BH496" s="16" t="s">
        <v>491</v>
      </c>
      <c r="BI496" s="16">
        <v>387130709</v>
      </c>
      <c r="BJ496" s="16"/>
      <c r="BK496" s="16"/>
      <c r="BL496" s="16"/>
      <c r="BM496" s="16"/>
      <c r="BN496" s="16"/>
      <c r="BO496" s="16"/>
      <c r="BP496" s="16"/>
      <c r="BQ496" s="16"/>
      <c r="BR496" s="16"/>
      <c r="BS496" s="16"/>
      <c r="BT496" s="16"/>
      <c r="BU496" s="16"/>
      <c r="BV496" s="16"/>
      <c r="BW496" s="16"/>
      <c r="BX496" s="16"/>
      <c r="BY496" s="16"/>
      <c r="BZ496" s="16"/>
      <c r="CA496" s="190">
        <v>46285.666666666701</v>
      </c>
      <c r="CB496" s="3"/>
      <c r="CC496" s="16"/>
      <c r="CD496" s="16"/>
      <c r="CE496" s="16"/>
      <c r="CF496" s="16"/>
      <c r="CG496" s="16"/>
      <c r="CH496" s="16"/>
      <c r="CI496" s="16" t="s">
        <v>4557</v>
      </c>
    </row>
    <row r="497" spans="1:87">
      <c r="A497" s="16" t="s">
        <v>5</v>
      </c>
      <c r="B497" s="16" t="s">
        <v>4558</v>
      </c>
      <c r="C497" s="3">
        <v>46276</v>
      </c>
      <c r="D497" s="16" t="s">
        <v>14</v>
      </c>
      <c r="E497" s="16" t="s">
        <v>4559</v>
      </c>
      <c r="F497" s="16">
        <v>2026198860063</v>
      </c>
      <c r="G497" s="16">
        <v>40</v>
      </c>
      <c r="H497" s="16">
        <v>55</v>
      </c>
      <c r="I497" s="16" t="s">
        <v>559</v>
      </c>
      <c r="J497" s="16" t="s">
        <v>4559</v>
      </c>
      <c r="K497" s="16" t="s">
        <v>585</v>
      </c>
      <c r="L497" s="16" t="s">
        <v>17</v>
      </c>
      <c r="M497" s="16">
        <v>8</v>
      </c>
      <c r="N497" s="16" t="s">
        <v>462</v>
      </c>
      <c r="O497" s="16" t="s">
        <v>606</v>
      </c>
      <c r="P497" s="16">
        <v>193504380</v>
      </c>
      <c r="Q497" s="16" t="s">
        <v>465</v>
      </c>
      <c r="R497" s="16" t="s">
        <v>466</v>
      </c>
      <c r="S497" s="16" t="s">
        <v>4560</v>
      </c>
      <c r="T497" s="16" t="s">
        <v>664</v>
      </c>
      <c r="U497" s="16">
        <v>46267.661111111112</v>
      </c>
      <c r="V497" s="16" t="s">
        <v>469</v>
      </c>
      <c r="W497" s="16" t="s">
        <v>651</v>
      </c>
      <c r="X497" s="16" t="s">
        <v>652</v>
      </c>
      <c r="Y497" s="16" t="s">
        <v>653</v>
      </c>
      <c r="Z497" s="16" t="s">
        <v>665</v>
      </c>
      <c r="AA497" s="16" t="s">
        <v>474</v>
      </c>
      <c r="AB497" s="16" t="s">
        <v>1124</v>
      </c>
      <c r="AC497" s="16" t="s">
        <v>640</v>
      </c>
      <c r="AD497" s="16">
        <v>113492255</v>
      </c>
      <c r="AE497" s="16">
        <v>1275640609</v>
      </c>
      <c r="AF497" s="16">
        <v>1316119233</v>
      </c>
      <c r="AG497" s="16">
        <v>2.54202534528641E+16</v>
      </c>
      <c r="AH497" s="16"/>
      <c r="AI497" s="16" t="s">
        <v>22</v>
      </c>
      <c r="AJ497" s="16" t="s">
        <v>481</v>
      </c>
      <c r="AK497" s="16" t="s">
        <v>4561</v>
      </c>
      <c r="AL497" s="16">
        <v>6409</v>
      </c>
      <c r="AM497" s="16"/>
      <c r="AN497" s="16"/>
      <c r="AO497" s="16">
        <v>193</v>
      </c>
      <c r="AP497" s="16" t="s">
        <v>485</v>
      </c>
      <c r="AQ497" s="16" t="s">
        <v>4562</v>
      </c>
      <c r="AR497" s="3">
        <v>46267</v>
      </c>
      <c r="AS497" s="16" t="s">
        <v>22</v>
      </c>
      <c r="AT497" s="16" t="s">
        <v>4563</v>
      </c>
      <c r="AU497" s="16"/>
      <c r="AV497" s="16" t="s">
        <v>4564</v>
      </c>
      <c r="AW497" s="16"/>
      <c r="AX497" s="16"/>
      <c r="AY497" s="16"/>
      <c r="AZ497" s="16"/>
      <c r="BA497" s="16"/>
      <c r="BB497" s="16"/>
      <c r="BC497" s="16"/>
      <c r="BD497" s="16" t="s">
        <v>22</v>
      </c>
      <c r="BE497" s="16">
        <v>55</v>
      </c>
      <c r="BF497" s="16"/>
      <c r="BG497" s="16" t="s">
        <v>490</v>
      </c>
      <c r="BH497" s="16" t="s">
        <v>658</v>
      </c>
      <c r="BI497" s="16">
        <v>193504380</v>
      </c>
      <c r="BJ497" s="16"/>
      <c r="BK497" s="16"/>
      <c r="BL497" s="16"/>
      <c r="BM497" s="16"/>
      <c r="BN497" s="16"/>
      <c r="BO497" s="16"/>
      <c r="BP497" s="16"/>
      <c r="BQ497" s="16"/>
      <c r="BR497" s="16"/>
      <c r="BS497" s="16"/>
      <c r="BT497" s="16"/>
      <c r="BU497" s="16"/>
      <c r="BV497" s="16"/>
      <c r="BW497" s="16"/>
      <c r="BX497" s="16"/>
      <c r="BY497" s="16"/>
      <c r="BZ497" s="16"/>
      <c r="CA497" s="190">
        <v>46285.166666666701</v>
      </c>
      <c r="CB497" s="3"/>
      <c r="CC497" s="16"/>
      <c r="CD497" s="16"/>
      <c r="CE497" s="16"/>
      <c r="CF497" s="16"/>
      <c r="CG497" s="16"/>
      <c r="CH497" s="16"/>
      <c r="CI497" s="16" t="s">
        <v>4565</v>
      </c>
    </row>
    <row r="498" spans="1:87">
      <c r="A498" s="16"/>
      <c r="B498" s="16"/>
      <c r="C498" s="3">
        <v>46276</v>
      </c>
      <c r="D498" s="16" t="s">
        <v>14</v>
      </c>
      <c r="E498" s="16" t="s">
        <v>4566</v>
      </c>
      <c r="F498" s="16"/>
      <c r="G498" s="16">
        <v>40</v>
      </c>
      <c r="H498" s="16">
        <v>50</v>
      </c>
      <c r="I498" s="16" t="s">
        <v>559</v>
      </c>
      <c r="J498" s="16" t="s">
        <v>4566</v>
      </c>
      <c r="K498" s="16" t="s">
        <v>741</v>
      </c>
      <c r="L498" s="16" t="s">
        <v>13</v>
      </c>
      <c r="M498" s="16">
        <v>9</v>
      </c>
      <c r="N498" s="16" t="s">
        <v>462</v>
      </c>
      <c r="O498" s="16" t="s">
        <v>606</v>
      </c>
      <c r="P498" s="16">
        <v>912316618</v>
      </c>
      <c r="Q498" s="16" t="s">
        <v>1055</v>
      </c>
      <c r="R498" s="16" t="s">
        <v>1350</v>
      </c>
      <c r="S498" s="16" t="s">
        <v>4567</v>
      </c>
      <c r="T498" s="16" t="s">
        <v>664</v>
      </c>
      <c r="U498" s="16">
        <v>46251.068749999999</v>
      </c>
      <c r="V498" s="16" t="s">
        <v>469</v>
      </c>
      <c r="W498" s="16" t="s">
        <v>651</v>
      </c>
      <c r="X498" s="16" t="s">
        <v>652</v>
      </c>
      <c r="Y498" s="16" t="s">
        <v>653</v>
      </c>
      <c r="Z498" s="16" t="s">
        <v>665</v>
      </c>
      <c r="AA498" s="16" t="s">
        <v>1354</v>
      </c>
      <c r="AB498" s="16" t="s">
        <v>666</v>
      </c>
      <c r="AC498" s="16" t="s">
        <v>640</v>
      </c>
      <c r="AD498" s="16">
        <v>830535258</v>
      </c>
      <c r="AE498" s="16">
        <v>1841767274</v>
      </c>
      <c r="AF498" s="16">
        <v>1346493566</v>
      </c>
      <c r="AG498" s="16">
        <v>2.54202522020757E+16</v>
      </c>
      <c r="AH498" s="16" t="s">
        <v>1076</v>
      </c>
      <c r="AI498" s="16" t="s">
        <v>290</v>
      </c>
      <c r="AJ498" s="16" t="s">
        <v>481</v>
      </c>
      <c r="AK498" s="16" t="s">
        <v>4568</v>
      </c>
      <c r="AL498" s="16">
        <v>3313.66</v>
      </c>
      <c r="AM498" s="16"/>
      <c r="AN498" s="16"/>
      <c r="AO498" s="16">
        <v>912</v>
      </c>
      <c r="AP498" s="16" t="s">
        <v>1063</v>
      </c>
      <c r="AQ498" s="16" t="s">
        <v>4569</v>
      </c>
      <c r="AR498" s="3">
        <v>46266</v>
      </c>
      <c r="AS498" s="16" t="s">
        <v>290</v>
      </c>
      <c r="AT498" s="16" t="s">
        <v>4520</v>
      </c>
      <c r="AU498" s="16"/>
      <c r="AV498" s="16" t="s">
        <v>4570</v>
      </c>
      <c r="AW498" s="16"/>
      <c r="AX498" s="16"/>
      <c r="AY498" s="16"/>
      <c r="AZ498" s="16"/>
      <c r="BA498" s="16"/>
      <c r="BB498" s="16"/>
      <c r="BC498" s="16"/>
      <c r="BD498" s="16" t="s">
        <v>290</v>
      </c>
      <c r="BE498" s="16">
        <v>50</v>
      </c>
      <c r="BF498" s="16"/>
      <c r="BG498" s="16"/>
      <c r="BH498" s="16" t="s">
        <v>658</v>
      </c>
      <c r="BI498" s="16">
        <v>912316618</v>
      </c>
      <c r="BJ498" s="16"/>
      <c r="BK498" s="16"/>
      <c r="BL498" s="16"/>
      <c r="BM498" s="16"/>
      <c r="BN498" s="16"/>
      <c r="BO498" s="16"/>
      <c r="BP498" s="16"/>
      <c r="BQ498" s="16"/>
      <c r="BR498" s="16"/>
      <c r="BS498" s="16"/>
      <c r="BT498" s="16"/>
      <c r="BU498" s="16"/>
      <c r="BV498" s="16"/>
      <c r="BW498" s="16"/>
      <c r="BX498" s="16"/>
      <c r="BY498" s="16"/>
      <c r="BZ498" s="16"/>
      <c r="CA498" s="190">
        <v>46275</v>
      </c>
      <c r="CB498" s="3"/>
      <c r="CC498" s="16"/>
      <c r="CD498" s="16"/>
      <c r="CE498" s="16"/>
      <c r="CF498" s="16"/>
      <c r="CG498" s="16"/>
      <c r="CH498" s="16"/>
      <c r="CI498" s="16" t="s">
        <v>4571</v>
      </c>
    </row>
    <row r="499" spans="1:87">
      <c r="A499" s="16" t="s">
        <v>5</v>
      </c>
      <c r="B499" s="16" t="s">
        <v>4572</v>
      </c>
      <c r="C499" s="3">
        <v>46276</v>
      </c>
      <c r="D499" s="16" t="s">
        <v>14</v>
      </c>
      <c r="E499" s="16" t="s">
        <v>4573</v>
      </c>
      <c r="F499" s="16">
        <v>2026201570181</v>
      </c>
      <c r="G499" s="16">
        <v>40</v>
      </c>
      <c r="H499" s="16">
        <v>52</v>
      </c>
      <c r="I499" s="16" t="s">
        <v>559</v>
      </c>
      <c r="J499" s="16" t="s">
        <v>4573</v>
      </c>
      <c r="K499" s="16" t="s">
        <v>2647</v>
      </c>
      <c r="L499" s="16" t="s">
        <v>18</v>
      </c>
      <c r="M499" s="16">
        <v>9</v>
      </c>
      <c r="N499" s="16" t="s">
        <v>462</v>
      </c>
      <c r="O499" s="16" t="s">
        <v>606</v>
      </c>
      <c r="P499" s="16" t="s">
        <v>4574</v>
      </c>
      <c r="Q499" s="16" t="s">
        <v>465</v>
      </c>
      <c r="R499" s="16" t="s">
        <v>466</v>
      </c>
      <c r="S499" s="16" t="s">
        <v>4575</v>
      </c>
      <c r="T499" s="16" t="s">
        <v>4576</v>
      </c>
      <c r="U499" s="16">
        <v>46266.006249999999</v>
      </c>
      <c r="V499" s="16" t="s">
        <v>469</v>
      </c>
      <c r="W499" s="16" t="s">
        <v>470</v>
      </c>
      <c r="X499" s="16" t="s">
        <v>471</v>
      </c>
      <c r="Y499" s="16" t="s">
        <v>628</v>
      </c>
      <c r="Z499" s="16" t="s">
        <v>473</v>
      </c>
      <c r="AA499" s="16" t="s">
        <v>474</v>
      </c>
      <c r="AB499" s="16" t="s">
        <v>4577</v>
      </c>
      <c r="AC499" s="16" t="s">
        <v>476</v>
      </c>
      <c r="AD499" s="16">
        <v>390806261</v>
      </c>
      <c r="AE499" s="16">
        <v>1699720086</v>
      </c>
      <c r="AF499" s="16">
        <v>1942435375</v>
      </c>
      <c r="AG499" s="16"/>
      <c r="AH499" s="16" t="s">
        <v>1076</v>
      </c>
      <c r="AI499" s="16" t="s">
        <v>241</v>
      </c>
      <c r="AJ499" s="16" t="s">
        <v>481</v>
      </c>
      <c r="AK499" s="16" t="s">
        <v>4578</v>
      </c>
      <c r="AL499" s="16">
        <v>73619.399999999994</v>
      </c>
      <c r="AM499" s="16"/>
      <c r="AN499" s="16"/>
      <c r="AO499" s="16">
        <v>280</v>
      </c>
      <c r="AP499" s="16" t="s">
        <v>485</v>
      </c>
      <c r="AQ499" s="16" t="s">
        <v>4579</v>
      </c>
      <c r="AR499" s="3">
        <v>46266</v>
      </c>
      <c r="AS499" s="16" t="s">
        <v>241</v>
      </c>
      <c r="AT499" s="16" t="s">
        <v>4580</v>
      </c>
      <c r="AU499" s="16"/>
      <c r="AV499" s="16" t="s">
        <v>2038</v>
      </c>
      <c r="AW499" s="16"/>
      <c r="AX499" s="16"/>
      <c r="AY499" s="16"/>
      <c r="AZ499" s="16"/>
      <c r="BA499" s="16"/>
      <c r="BB499" s="16"/>
      <c r="BC499" s="16"/>
      <c r="BD499" s="16" t="s">
        <v>241</v>
      </c>
      <c r="BE499" s="16">
        <v>52</v>
      </c>
      <c r="BF499" s="16"/>
      <c r="BG499" s="16"/>
      <c r="BH499" s="16" t="s">
        <v>491</v>
      </c>
      <c r="BI499" s="16">
        <v>396069679</v>
      </c>
      <c r="BJ499" s="16"/>
      <c r="BK499" s="16"/>
      <c r="BL499" s="16"/>
      <c r="BM499" s="16"/>
      <c r="BN499" s="16"/>
      <c r="BO499" s="16"/>
      <c r="BP499" s="16"/>
      <c r="BQ499" s="16"/>
      <c r="BR499" s="16"/>
      <c r="BS499" s="16"/>
      <c r="BT499" s="16"/>
      <c r="BU499" s="16"/>
      <c r="BV499" s="16"/>
      <c r="BW499" s="16"/>
      <c r="BX499" s="16"/>
      <c r="BY499" s="16"/>
      <c r="BZ499" s="16"/>
      <c r="CA499" s="190">
        <v>46281.666666666701</v>
      </c>
      <c r="CB499" s="3"/>
      <c r="CC499" s="16"/>
      <c r="CD499" s="16"/>
      <c r="CE499" s="16"/>
      <c r="CF499" s="16"/>
      <c r="CG499" s="16"/>
      <c r="CH499" s="16"/>
      <c r="CI499" s="16" t="s">
        <v>4581</v>
      </c>
    </row>
    <row r="500" spans="1:87">
      <c r="A500" s="16" t="s">
        <v>5</v>
      </c>
      <c r="B500" s="25" t="s">
        <v>4582</v>
      </c>
      <c r="C500" s="3">
        <v>46276</v>
      </c>
      <c r="D500" s="16" t="s">
        <v>14</v>
      </c>
      <c r="E500" s="16" t="s">
        <v>4583</v>
      </c>
      <c r="F500" s="16">
        <v>2026202200337</v>
      </c>
      <c r="G500" s="16">
        <v>100</v>
      </c>
      <c r="H500" s="16">
        <v>52</v>
      </c>
      <c r="I500" s="16" t="s">
        <v>559</v>
      </c>
      <c r="J500" s="16" t="s">
        <v>4583</v>
      </c>
      <c r="K500" s="16" t="s">
        <v>4584</v>
      </c>
      <c r="L500" s="16" t="s">
        <v>17</v>
      </c>
      <c r="M500" s="16">
        <v>7</v>
      </c>
      <c r="N500" s="16" t="s">
        <v>462</v>
      </c>
      <c r="O500" s="16" t="s">
        <v>2575</v>
      </c>
      <c r="P500" s="16" t="s">
        <v>4585</v>
      </c>
      <c r="Q500" s="16" t="s">
        <v>465</v>
      </c>
      <c r="R500" s="16" t="s">
        <v>466</v>
      </c>
      <c r="S500" s="16" t="s">
        <v>4586</v>
      </c>
      <c r="T500" s="16" t="s">
        <v>4587</v>
      </c>
      <c r="U500" s="16">
        <v>46267.763888888891</v>
      </c>
      <c r="V500" s="16" t="s">
        <v>3257</v>
      </c>
      <c r="W500" s="16" t="s">
        <v>568</v>
      </c>
      <c r="X500" s="16" t="s">
        <v>471</v>
      </c>
      <c r="Y500" s="16" t="s">
        <v>628</v>
      </c>
      <c r="Z500" s="16" t="s">
        <v>638</v>
      </c>
      <c r="AA500" s="16" t="s">
        <v>474</v>
      </c>
      <c r="AB500" s="16" t="s">
        <v>4588</v>
      </c>
      <c r="AC500" s="16" t="s">
        <v>465</v>
      </c>
      <c r="AD500" s="16">
        <v>263162145</v>
      </c>
      <c r="AE500" s="16">
        <v>1326296211</v>
      </c>
      <c r="AF500" s="16"/>
      <c r="AG500" s="16"/>
      <c r="AH500" s="16"/>
      <c r="AI500" s="16" t="s">
        <v>102</v>
      </c>
      <c r="AJ500" s="16" t="s">
        <v>481</v>
      </c>
      <c r="AK500" s="16" t="s">
        <v>4589</v>
      </c>
      <c r="AL500" s="16">
        <v>345240.4</v>
      </c>
      <c r="AM500" s="16"/>
      <c r="AN500" s="16"/>
      <c r="AO500" s="16">
        <v>520</v>
      </c>
      <c r="AP500" s="16" t="s">
        <v>485</v>
      </c>
      <c r="AQ500" s="16" t="s">
        <v>4590</v>
      </c>
      <c r="AR500" s="3">
        <v>46268</v>
      </c>
      <c r="AS500" s="16" t="s">
        <v>102</v>
      </c>
      <c r="AT500" s="16" t="s">
        <v>4591</v>
      </c>
      <c r="AU500" s="16"/>
      <c r="AV500" s="16" t="s">
        <v>4592</v>
      </c>
      <c r="AW500" s="16"/>
      <c r="AX500" s="16"/>
      <c r="AY500" s="16"/>
      <c r="AZ500" s="16"/>
      <c r="BA500" s="16"/>
      <c r="BB500" s="16"/>
      <c r="BC500" s="16"/>
      <c r="BD500" s="16" t="s">
        <v>102</v>
      </c>
      <c r="BE500" s="16">
        <v>51</v>
      </c>
      <c r="BF500" s="16"/>
      <c r="BG500" s="16"/>
      <c r="BH500" s="16" t="s">
        <v>491</v>
      </c>
      <c r="BI500" s="16">
        <v>313669604</v>
      </c>
      <c r="BJ500" s="16"/>
      <c r="BK500" s="16"/>
      <c r="BL500" s="16"/>
      <c r="BM500" s="16"/>
      <c r="BN500" s="16"/>
      <c r="BO500" s="16"/>
      <c r="BP500" s="16"/>
      <c r="BQ500" s="16"/>
      <c r="BR500" s="16"/>
      <c r="BS500" s="16"/>
      <c r="BT500" s="16"/>
      <c r="BU500" s="16"/>
      <c r="BV500" s="16"/>
      <c r="BW500" s="16"/>
      <c r="BX500" s="16"/>
      <c r="BY500" s="16"/>
      <c r="BZ500" s="16"/>
      <c r="CA500" s="190">
        <v>46285.166666666701</v>
      </c>
      <c r="CB500" s="3"/>
      <c r="CC500" s="16"/>
      <c r="CD500" s="16"/>
      <c r="CE500" s="16"/>
      <c r="CF500" s="16"/>
      <c r="CG500" s="16"/>
      <c r="CH500" s="16"/>
      <c r="CI500" s="16" t="s">
        <v>4593</v>
      </c>
    </row>
    <row r="501" spans="1:87">
      <c r="A501" s="16" t="s">
        <v>5</v>
      </c>
      <c r="B501" s="16" t="s">
        <v>4488</v>
      </c>
      <c r="C501" s="3">
        <v>46276</v>
      </c>
      <c r="D501" s="16" t="s">
        <v>14</v>
      </c>
      <c r="E501" s="16" t="s">
        <v>4594</v>
      </c>
      <c r="F501" s="16">
        <v>2026191680236</v>
      </c>
      <c r="G501" s="16">
        <v>50</v>
      </c>
      <c r="H501" s="16">
        <v>62</v>
      </c>
      <c r="I501" s="16" t="s">
        <v>3018</v>
      </c>
      <c r="J501" s="16" t="s">
        <v>4594</v>
      </c>
      <c r="K501" s="16" t="s">
        <v>1824</v>
      </c>
      <c r="L501" s="16" t="s">
        <v>17</v>
      </c>
      <c r="M501" s="16">
        <v>7</v>
      </c>
      <c r="N501" s="16" t="s">
        <v>462</v>
      </c>
      <c r="O501" s="16" t="s">
        <v>606</v>
      </c>
      <c r="P501" s="16" t="s">
        <v>4595</v>
      </c>
      <c r="Q501" s="16" t="s">
        <v>465</v>
      </c>
      <c r="R501" s="16" t="s">
        <v>466</v>
      </c>
      <c r="S501" s="16" t="s">
        <v>4596</v>
      </c>
      <c r="T501" s="16" t="s">
        <v>465</v>
      </c>
      <c r="U501" s="16">
        <v>46267.722916666666</v>
      </c>
      <c r="V501" s="16" t="s">
        <v>469</v>
      </c>
      <c r="W501" s="16" t="s">
        <v>470</v>
      </c>
      <c r="X501" s="16" t="s">
        <v>471</v>
      </c>
      <c r="Y501" s="16" t="s">
        <v>472</v>
      </c>
      <c r="Z501" s="16" t="s">
        <v>524</v>
      </c>
      <c r="AA501" s="16" t="s">
        <v>474</v>
      </c>
      <c r="AB501" s="16" t="s">
        <v>4597</v>
      </c>
      <c r="AC501" s="16" t="s">
        <v>526</v>
      </c>
      <c r="AD501" s="16">
        <v>263070266</v>
      </c>
      <c r="AE501" s="16">
        <v>1497901458</v>
      </c>
      <c r="AF501" s="16">
        <v>1316971757</v>
      </c>
      <c r="AG501" s="16"/>
      <c r="AH501" s="16" t="s">
        <v>1076</v>
      </c>
      <c r="AI501" s="16" t="s">
        <v>247</v>
      </c>
      <c r="AJ501" s="16" t="s">
        <v>481</v>
      </c>
      <c r="AK501" s="16" t="s">
        <v>4598</v>
      </c>
      <c r="AL501" s="16">
        <v>8308</v>
      </c>
      <c r="AM501" s="16"/>
      <c r="AN501" s="16"/>
      <c r="AO501" s="16">
        <v>46</v>
      </c>
      <c r="AP501" s="16" t="s">
        <v>485</v>
      </c>
      <c r="AQ501" s="16" t="s">
        <v>4599</v>
      </c>
      <c r="AR501" s="3">
        <v>46268</v>
      </c>
      <c r="AS501" s="16" t="s">
        <v>247</v>
      </c>
      <c r="AT501" s="16" t="s">
        <v>4494</v>
      </c>
      <c r="AU501" s="16"/>
      <c r="AV501" s="16" t="s">
        <v>4600</v>
      </c>
      <c r="AW501" s="16"/>
      <c r="AX501" s="16"/>
      <c r="AY501" s="16"/>
      <c r="AZ501" s="16"/>
      <c r="BA501" s="16"/>
      <c r="BB501" s="16"/>
      <c r="BC501" s="16"/>
      <c r="BD501" s="16" t="s">
        <v>247</v>
      </c>
      <c r="BE501" s="16">
        <v>62</v>
      </c>
      <c r="BF501" s="16"/>
      <c r="BG501" s="16"/>
      <c r="BH501" s="16" t="s">
        <v>491</v>
      </c>
      <c r="BI501" s="16">
        <v>272880158</v>
      </c>
      <c r="BJ501" s="16"/>
      <c r="BK501" s="16"/>
      <c r="BL501" s="16"/>
      <c r="BM501" s="16"/>
      <c r="BN501" s="16"/>
      <c r="BO501" s="16"/>
      <c r="BP501" s="16"/>
      <c r="BQ501" s="16"/>
      <c r="BR501" s="16"/>
      <c r="BS501" s="16"/>
      <c r="BT501" s="16"/>
      <c r="BU501" s="16"/>
      <c r="BV501" s="16"/>
      <c r="BW501" s="16"/>
      <c r="BX501" s="16"/>
      <c r="BY501" s="16"/>
      <c r="BZ501" s="16"/>
      <c r="CA501" s="190">
        <v>46285.666666666701</v>
      </c>
      <c r="CB501" s="3"/>
      <c r="CC501" s="16"/>
      <c r="CD501" s="16"/>
      <c r="CE501" s="16"/>
      <c r="CF501" s="16"/>
      <c r="CG501" s="16"/>
      <c r="CH501" s="16"/>
      <c r="CI501" s="16" t="s">
        <v>4601</v>
      </c>
    </row>
    <row r="502" spans="1:87">
      <c r="A502" s="16" t="s">
        <v>5</v>
      </c>
      <c r="B502" s="16" t="s">
        <v>4488</v>
      </c>
      <c r="C502" s="3">
        <v>46276</v>
      </c>
      <c r="D502" s="16" t="s">
        <v>14</v>
      </c>
      <c r="E502" s="16" t="s">
        <v>4602</v>
      </c>
      <c r="F502" s="16">
        <v>2026190440120</v>
      </c>
      <c r="G502" s="16">
        <v>50</v>
      </c>
      <c r="H502" s="16">
        <v>63</v>
      </c>
      <c r="I502" s="16" t="s">
        <v>3018</v>
      </c>
      <c r="J502" s="16" t="s">
        <v>4602</v>
      </c>
      <c r="K502" s="16" t="s">
        <v>1824</v>
      </c>
      <c r="L502" s="16" t="s">
        <v>17</v>
      </c>
      <c r="M502" s="16">
        <v>7</v>
      </c>
      <c r="N502" s="16" t="s">
        <v>462</v>
      </c>
      <c r="O502" s="16" t="s">
        <v>606</v>
      </c>
      <c r="P502" s="16" t="s">
        <v>4603</v>
      </c>
      <c r="Q502" s="16" t="s">
        <v>465</v>
      </c>
      <c r="R502" s="16" t="s">
        <v>466</v>
      </c>
      <c r="S502" s="16" t="s">
        <v>4604</v>
      </c>
      <c r="T502" s="16" t="s">
        <v>465</v>
      </c>
      <c r="U502" s="16">
        <v>46267.72152777778</v>
      </c>
      <c r="V502" s="16" t="s">
        <v>469</v>
      </c>
      <c r="W502" s="16" t="s">
        <v>589</v>
      </c>
      <c r="X502" s="16" t="s">
        <v>471</v>
      </c>
      <c r="Y502" s="16" t="s">
        <v>472</v>
      </c>
      <c r="Z502" s="16" t="s">
        <v>590</v>
      </c>
      <c r="AA502" s="16" t="s">
        <v>474</v>
      </c>
      <c r="AB502" s="16" t="s">
        <v>4605</v>
      </c>
      <c r="AC502" s="16" t="s">
        <v>592</v>
      </c>
      <c r="AD502" s="16">
        <v>841276956</v>
      </c>
      <c r="AE502" s="16">
        <v>1972578359</v>
      </c>
      <c r="AF502" s="16">
        <v>1841265626</v>
      </c>
      <c r="AG502" s="16"/>
      <c r="AH502" s="16" t="s">
        <v>1076</v>
      </c>
      <c r="AI502" s="16" t="s">
        <v>247</v>
      </c>
      <c r="AJ502" s="16" t="s">
        <v>481</v>
      </c>
      <c r="AK502" s="16" t="s">
        <v>4606</v>
      </c>
      <c r="AL502" s="16">
        <v>5421.09</v>
      </c>
      <c r="AM502" s="16"/>
      <c r="AN502" s="16"/>
      <c r="AO502" s="16">
        <v>95</v>
      </c>
      <c r="AP502" s="16" t="s">
        <v>485</v>
      </c>
      <c r="AQ502" s="16" t="s">
        <v>4607</v>
      </c>
      <c r="AR502" s="3">
        <v>46268</v>
      </c>
      <c r="AS502" s="16" t="s">
        <v>247</v>
      </c>
      <c r="AT502" s="16" t="s">
        <v>4494</v>
      </c>
      <c r="AU502" s="16"/>
      <c r="AV502" s="16" t="s">
        <v>4608</v>
      </c>
      <c r="AW502" s="16"/>
      <c r="AX502" s="16"/>
      <c r="AY502" s="16"/>
      <c r="AZ502" s="16"/>
      <c r="BA502" s="16"/>
      <c r="BB502" s="16"/>
      <c r="BC502" s="16"/>
      <c r="BD502" s="16" t="s">
        <v>247</v>
      </c>
      <c r="BE502" s="16">
        <v>63</v>
      </c>
      <c r="BF502" s="16"/>
      <c r="BG502" s="16"/>
      <c r="BH502" s="16" t="s">
        <v>491</v>
      </c>
      <c r="BI502" s="16">
        <v>768983470</v>
      </c>
      <c r="BJ502" s="16"/>
      <c r="BK502" s="16"/>
      <c r="BL502" s="16"/>
      <c r="BM502" s="16"/>
      <c r="BN502" s="16"/>
      <c r="BO502" s="16"/>
      <c r="BP502" s="16"/>
      <c r="BQ502" s="16"/>
      <c r="BR502" s="16"/>
      <c r="BS502" s="16"/>
      <c r="BT502" s="16"/>
      <c r="BU502" s="16"/>
      <c r="BV502" s="16"/>
      <c r="BW502" s="16"/>
      <c r="BX502" s="16"/>
      <c r="BY502" s="16"/>
      <c r="BZ502" s="16"/>
      <c r="CA502" s="190">
        <v>46285.666666666701</v>
      </c>
      <c r="CB502" s="3"/>
      <c r="CC502" s="16"/>
      <c r="CD502" s="16"/>
      <c r="CE502" s="16"/>
      <c r="CF502" s="16"/>
      <c r="CG502" s="16"/>
      <c r="CH502" s="16"/>
      <c r="CI502" s="193" t="s">
        <v>4609</v>
      </c>
    </row>
    <row r="503" spans="1:87">
      <c r="A503" s="16" t="s">
        <v>5</v>
      </c>
      <c r="B503" s="16" t="s">
        <v>1107</v>
      </c>
      <c r="C503" s="3">
        <v>46276</v>
      </c>
      <c r="D503" s="16" t="s">
        <v>14</v>
      </c>
      <c r="E503" s="16" t="s">
        <v>4610</v>
      </c>
      <c r="F503" s="16">
        <v>2026188630208</v>
      </c>
      <c r="G503" s="16">
        <v>50</v>
      </c>
      <c r="H503" s="16">
        <v>65</v>
      </c>
      <c r="I503" s="16" t="s">
        <v>3018</v>
      </c>
      <c r="J503" s="16" t="s">
        <v>4610</v>
      </c>
      <c r="K503" s="16" t="s">
        <v>1109</v>
      </c>
      <c r="L503" s="16" t="s">
        <v>17</v>
      </c>
      <c r="M503" s="16">
        <v>7</v>
      </c>
      <c r="N503" s="16" t="s">
        <v>462</v>
      </c>
      <c r="O503" s="16" t="s">
        <v>606</v>
      </c>
      <c r="P503" s="16">
        <v>193913940</v>
      </c>
      <c r="Q503" s="16" t="s">
        <v>465</v>
      </c>
      <c r="R503" s="16" t="s">
        <v>466</v>
      </c>
      <c r="S503" s="16" t="s">
        <v>4611</v>
      </c>
      <c r="T503" s="16" t="s">
        <v>664</v>
      </c>
      <c r="U503" s="16">
        <v>46268.649305555555</v>
      </c>
      <c r="V503" s="16" t="s">
        <v>469</v>
      </c>
      <c r="W503" s="16" t="s">
        <v>651</v>
      </c>
      <c r="X503" s="16" t="s">
        <v>652</v>
      </c>
      <c r="Y503" s="16" t="s">
        <v>653</v>
      </c>
      <c r="Z503" s="16" t="s">
        <v>665</v>
      </c>
      <c r="AA503" s="16" t="s">
        <v>474</v>
      </c>
      <c r="AB503" s="16" t="s">
        <v>666</v>
      </c>
      <c r="AC503" s="16" t="s">
        <v>640</v>
      </c>
      <c r="AD503" s="16">
        <v>135598093</v>
      </c>
      <c r="AE503" s="16">
        <v>1508266347</v>
      </c>
      <c r="AF503" s="16">
        <v>1356224737</v>
      </c>
      <c r="AG503" s="16">
        <v>2.54202532610133E+16</v>
      </c>
      <c r="AH503" s="16"/>
      <c r="AI503" s="16" t="s">
        <v>25</v>
      </c>
      <c r="AJ503" s="16" t="s">
        <v>481</v>
      </c>
      <c r="AK503" s="16" t="s">
        <v>4612</v>
      </c>
      <c r="AL503" s="16">
        <v>6193</v>
      </c>
      <c r="AM503" s="16"/>
      <c r="AN503" s="16"/>
      <c r="AO503" s="16">
        <v>193</v>
      </c>
      <c r="AP503" s="16" t="s">
        <v>485</v>
      </c>
      <c r="AQ503" s="16" t="s">
        <v>4613</v>
      </c>
      <c r="AR503" s="3">
        <v>46268</v>
      </c>
      <c r="AS503" s="16" t="s">
        <v>25</v>
      </c>
      <c r="AT503" s="16" t="s">
        <v>516</v>
      </c>
      <c r="AU503" s="16"/>
      <c r="AV503" s="16" t="s">
        <v>4614</v>
      </c>
      <c r="AW503" s="16"/>
      <c r="AX503" s="16"/>
      <c r="AY503" s="16"/>
      <c r="AZ503" s="16"/>
      <c r="BA503" s="16"/>
      <c r="BB503" s="16"/>
      <c r="BC503" s="16"/>
      <c r="BD503" s="16" t="s">
        <v>25</v>
      </c>
      <c r="BE503" s="16">
        <v>65</v>
      </c>
      <c r="BF503" s="16"/>
      <c r="BG503" s="16" t="s">
        <v>490</v>
      </c>
      <c r="BH503" s="16" t="s">
        <v>658</v>
      </c>
      <c r="BI503" s="16">
        <v>193913940</v>
      </c>
      <c r="BJ503" s="16"/>
      <c r="BK503" s="16"/>
      <c r="BL503" s="16"/>
      <c r="BM503" s="16"/>
      <c r="BN503" s="16"/>
      <c r="BO503" s="16"/>
      <c r="BP503" s="16"/>
      <c r="BQ503" s="16"/>
      <c r="BR503" s="16"/>
      <c r="BS503" s="16"/>
      <c r="BT503" s="16"/>
      <c r="BU503" s="16"/>
      <c r="BV503" s="16"/>
      <c r="BW503" s="16"/>
      <c r="BX503" s="16"/>
      <c r="BY503" s="16"/>
      <c r="BZ503" s="16"/>
      <c r="CA503" s="190">
        <v>46281.666666666701</v>
      </c>
      <c r="CB503" s="3"/>
      <c r="CC503" s="16"/>
      <c r="CD503" s="16"/>
      <c r="CE503" s="16"/>
      <c r="CF503" s="16"/>
      <c r="CG503" s="16"/>
      <c r="CH503" s="16"/>
      <c r="CI503" s="16" t="s">
        <v>4615</v>
      </c>
    </row>
    <row r="504" spans="1:87" ht="29.25">
      <c r="A504" s="16" t="s">
        <v>5</v>
      </c>
      <c r="B504" s="25" t="s">
        <v>4616</v>
      </c>
      <c r="C504" s="3">
        <v>46276</v>
      </c>
      <c r="D504" s="16" t="s">
        <v>14</v>
      </c>
      <c r="E504" s="16" t="s">
        <v>4617</v>
      </c>
      <c r="F504" s="16">
        <v>2026188520451</v>
      </c>
      <c r="G504" s="16">
        <v>50</v>
      </c>
      <c r="H504" s="16">
        <v>65</v>
      </c>
      <c r="I504" s="16" t="s">
        <v>3018</v>
      </c>
      <c r="J504" s="16" t="s">
        <v>4617</v>
      </c>
      <c r="K504" s="16" t="s">
        <v>1201</v>
      </c>
      <c r="L504" s="16" t="s">
        <v>17</v>
      </c>
      <c r="M504" s="16">
        <v>7</v>
      </c>
      <c r="N504" s="16" t="s">
        <v>462</v>
      </c>
      <c r="O504" s="16" t="s">
        <v>606</v>
      </c>
      <c r="P504" s="16">
        <v>807893273</v>
      </c>
      <c r="Q504" s="16" t="s">
        <v>465</v>
      </c>
      <c r="R504" s="16" t="s">
        <v>466</v>
      </c>
      <c r="S504" s="16" t="s">
        <v>4618</v>
      </c>
      <c r="T504" s="16" t="s">
        <v>664</v>
      </c>
      <c r="U504" s="16">
        <v>46268.63958333333</v>
      </c>
      <c r="V504" s="16" t="s">
        <v>469</v>
      </c>
      <c r="W504" s="16" t="s">
        <v>651</v>
      </c>
      <c r="X504" s="16" t="s">
        <v>652</v>
      </c>
      <c r="Y504" s="16" t="s">
        <v>653</v>
      </c>
      <c r="Z504" s="16" t="s">
        <v>665</v>
      </c>
      <c r="AA504" s="16" t="s">
        <v>474</v>
      </c>
      <c r="AB504" s="16" t="s">
        <v>666</v>
      </c>
      <c r="AC504" s="16" t="s">
        <v>640</v>
      </c>
      <c r="AD504" s="16">
        <v>135562308</v>
      </c>
      <c r="AE504" s="16">
        <v>1285826438</v>
      </c>
      <c r="AF504" s="16">
        <v>1679729297</v>
      </c>
      <c r="AG504" s="16">
        <v>2.54202521602088E+16</v>
      </c>
      <c r="AH504" s="16"/>
      <c r="AI504" s="16" t="s">
        <v>150</v>
      </c>
      <c r="AJ504" s="16" t="s">
        <v>481</v>
      </c>
      <c r="AK504" s="16" t="s">
        <v>4619</v>
      </c>
      <c r="AL504" s="16">
        <v>82133</v>
      </c>
      <c r="AM504" s="16"/>
      <c r="AN504" s="16"/>
      <c r="AO504" s="16">
        <v>807</v>
      </c>
      <c r="AP504" s="16" t="s">
        <v>485</v>
      </c>
      <c r="AQ504" s="16" t="s">
        <v>4620</v>
      </c>
      <c r="AR504" s="3">
        <v>46268</v>
      </c>
      <c r="AS504" s="16" t="s">
        <v>150</v>
      </c>
      <c r="AT504" s="16" t="s">
        <v>1199</v>
      </c>
      <c r="AU504" s="16"/>
      <c r="AV504" s="16" t="s">
        <v>644</v>
      </c>
      <c r="AW504" s="16"/>
      <c r="AX504" s="16"/>
      <c r="AY504" s="16"/>
      <c r="AZ504" s="16"/>
      <c r="BA504" s="16"/>
      <c r="BB504" s="16"/>
      <c r="BC504" s="16"/>
      <c r="BD504" s="16" t="s">
        <v>150</v>
      </c>
      <c r="BE504" s="16">
        <v>65</v>
      </c>
      <c r="BF504" s="16"/>
      <c r="BG504" s="16" t="s">
        <v>490</v>
      </c>
      <c r="BH504" s="16" t="s">
        <v>658</v>
      </c>
      <c r="BI504" s="16">
        <v>807893273</v>
      </c>
      <c r="BJ504" s="16"/>
      <c r="BK504" s="16"/>
      <c r="BL504" s="16"/>
      <c r="BM504" s="16"/>
      <c r="BN504" s="16"/>
      <c r="BO504" s="16"/>
      <c r="BP504" s="16"/>
      <c r="BQ504" s="16"/>
      <c r="BR504" s="16"/>
      <c r="BS504" s="16"/>
      <c r="BT504" s="16"/>
      <c r="BU504" s="16"/>
      <c r="BV504" s="16"/>
      <c r="BW504" s="16"/>
      <c r="BX504" s="16"/>
      <c r="BY504" s="16"/>
      <c r="BZ504" s="16"/>
      <c r="CA504" s="190">
        <v>46286.166666666701</v>
      </c>
      <c r="CB504" s="3"/>
      <c r="CC504" s="16"/>
      <c r="CD504" s="16"/>
      <c r="CE504" s="16"/>
      <c r="CF504" s="16"/>
      <c r="CG504" s="16"/>
      <c r="CH504" s="16"/>
      <c r="CI504" s="16" t="s">
        <v>4621</v>
      </c>
    </row>
    <row r="505" spans="1:87">
      <c r="A505" s="16" t="s">
        <v>5</v>
      </c>
      <c r="B505" s="16" t="s">
        <v>4622</v>
      </c>
      <c r="C505" s="3">
        <v>46276</v>
      </c>
      <c r="D505" s="16" t="s">
        <v>14</v>
      </c>
      <c r="E505" s="16" t="s">
        <v>4623</v>
      </c>
      <c r="F505" s="16">
        <v>2026188050425</v>
      </c>
      <c r="G505" s="16">
        <v>50</v>
      </c>
      <c r="H505" s="16">
        <v>65</v>
      </c>
      <c r="I505" s="16" t="s">
        <v>3018</v>
      </c>
      <c r="J505" s="16" t="s">
        <v>4623</v>
      </c>
      <c r="K505" s="16" t="s">
        <v>1371</v>
      </c>
      <c r="L505" s="16" t="s">
        <v>17</v>
      </c>
      <c r="M505" s="16">
        <v>7</v>
      </c>
      <c r="N505" s="16" t="s">
        <v>462</v>
      </c>
      <c r="O505" s="16" t="s">
        <v>606</v>
      </c>
      <c r="P505" s="16">
        <v>981428694</v>
      </c>
      <c r="Q505" s="16" t="s">
        <v>465</v>
      </c>
      <c r="R505" s="16" t="s">
        <v>466</v>
      </c>
      <c r="S505" s="16" t="s">
        <v>4624</v>
      </c>
      <c r="T505" s="16" t="s">
        <v>664</v>
      </c>
      <c r="U505" s="16">
        <v>46268.636111111111</v>
      </c>
      <c r="V505" s="16" t="s">
        <v>469</v>
      </c>
      <c r="W505" s="16" t="s">
        <v>651</v>
      </c>
      <c r="X505" s="16" t="s">
        <v>652</v>
      </c>
      <c r="Y505" s="16" t="s">
        <v>653</v>
      </c>
      <c r="Z505" s="16" t="s">
        <v>665</v>
      </c>
      <c r="AA505" s="16" t="s">
        <v>474</v>
      </c>
      <c r="AB505" s="16" t="s">
        <v>1124</v>
      </c>
      <c r="AC505" s="16" t="s">
        <v>640</v>
      </c>
      <c r="AD505" s="16">
        <v>135562308</v>
      </c>
      <c r="AE505" s="16">
        <v>1285826438</v>
      </c>
      <c r="AF505" s="16">
        <v>1902867393</v>
      </c>
      <c r="AG505" s="16">
        <v>2.54202521409183E+16</v>
      </c>
      <c r="AH505" s="16"/>
      <c r="AI505" s="16" t="s">
        <v>164</v>
      </c>
      <c r="AJ505" s="16" t="s">
        <v>481</v>
      </c>
      <c r="AK505" s="16" t="s">
        <v>4625</v>
      </c>
      <c r="AL505" s="16">
        <v>85583</v>
      </c>
      <c r="AM505" s="16"/>
      <c r="AN505" s="16"/>
      <c r="AO505" s="16">
        <v>981</v>
      </c>
      <c r="AP505" s="16" t="s">
        <v>485</v>
      </c>
      <c r="AQ505" s="16" t="s">
        <v>4626</v>
      </c>
      <c r="AR505" s="3">
        <v>46268</v>
      </c>
      <c r="AS505" s="16" t="s">
        <v>164</v>
      </c>
      <c r="AT505" s="16" t="s">
        <v>516</v>
      </c>
      <c r="AU505" s="16"/>
      <c r="AV505" s="16" t="s">
        <v>1120</v>
      </c>
      <c r="AW505" s="16"/>
      <c r="AX505" s="16"/>
      <c r="AY505" s="16"/>
      <c r="AZ505" s="16"/>
      <c r="BA505" s="16"/>
      <c r="BB505" s="16"/>
      <c r="BC505" s="16"/>
      <c r="BD505" s="16" t="s">
        <v>164</v>
      </c>
      <c r="BE505" s="16">
        <v>65</v>
      </c>
      <c r="BF505" s="16"/>
      <c r="BG505" s="16" t="s">
        <v>490</v>
      </c>
      <c r="BH505" s="16" t="s">
        <v>658</v>
      </c>
      <c r="BI505" s="16">
        <v>981428694</v>
      </c>
      <c r="BJ505" s="16"/>
      <c r="BK505" s="16"/>
      <c r="BL505" s="16"/>
      <c r="BM505" s="16"/>
      <c r="BN505" s="16"/>
      <c r="BO505" s="16"/>
      <c r="BP505" s="16"/>
      <c r="BQ505" s="16"/>
      <c r="BR505" s="16"/>
      <c r="BS505" s="16"/>
      <c r="BT505" s="16"/>
      <c r="BU505" s="16"/>
      <c r="BV505" s="16"/>
      <c r="BW505" s="16"/>
      <c r="BX505" s="16"/>
      <c r="BY505" s="16"/>
      <c r="BZ505" s="16"/>
      <c r="CA505" s="190">
        <v>46280.666666666701</v>
      </c>
      <c r="CB505" s="3"/>
      <c r="CC505" s="16"/>
      <c r="CD505" s="16"/>
      <c r="CE505" s="16"/>
      <c r="CF505" s="16"/>
      <c r="CG505" s="16"/>
      <c r="CH505" s="16"/>
      <c r="CI505" s="16" t="s">
        <v>4627</v>
      </c>
    </row>
    <row r="506" spans="1:87">
      <c r="A506" s="16" t="s">
        <v>5</v>
      </c>
      <c r="B506" s="16" t="s">
        <v>4628</v>
      </c>
      <c r="C506" s="3">
        <v>46276</v>
      </c>
      <c r="D506" s="16" t="s">
        <v>14</v>
      </c>
      <c r="E506" s="16" t="s">
        <v>4629</v>
      </c>
      <c r="F506" s="16">
        <v>2026183910923</v>
      </c>
      <c r="G506" s="16">
        <v>50</v>
      </c>
      <c r="H506" s="16">
        <v>70</v>
      </c>
      <c r="I506" s="16" t="s">
        <v>3018</v>
      </c>
      <c r="J506" s="16" t="s">
        <v>4629</v>
      </c>
      <c r="K506" s="16" t="s">
        <v>2270</v>
      </c>
      <c r="L506" s="16" t="s">
        <v>13</v>
      </c>
      <c r="M506" s="16">
        <v>7</v>
      </c>
      <c r="N506" s="16" t="s">
        <v>462</v>
      </c>
      <c r="O506" s="16" t="s">
        <v>606</v>
      </c>
      <c r="P506" s="16">
        <v>836042355</v>
      </c>
      <c r="Q506" s="16" t="s">
        <v>465</v>
      </c>
      <c r="R506" s="16" t="s">
        <v>466</v>
      </c>
      <c r="S506" s="16" t="s">
        <v>4630</v>
      </c>
      <c r="T506" s="16" t="s">
        <v>664</v>
      </c>
      <c r="U506" s="16">
        <v>46267.776388888888</v>
      </c>
      <c r="V506" s="16" t="s">
        <v>469</v>
      </c>
      <c r="W506" s="16" t="s">
        <v>651</v>
      </c>
      <c r="X506" s="16" t="s">
        <v>652</v>
      </c>
      <c r="Y506" s="16" t="s">
        <v>653</v>
      </c>
      <c r="Z506" s="16" t="s">
        <v>665</v>
      </c>
      <c r="AA506" s="16" t="s">
        <v>474</v>
      </c>
      <c r="AB506" s="16" t="s">
        <v>666</v>
      </c>
      <c r="AC506" s="16" t="s">
        <v>640</v>
      </c>
      <c r="AD506" s="16">
        <v>135598093</v>
      </c>
      <c r="AE506" s="16">
        <v>1508266347</v>
      </c>
      <c r="AF506" s="16">
        <v>1518702653</v>
      </c>
      <c r="AG506" s="16">
        <v>2.54202520217988E+16</v>
      </c>
      <c r="AH506" s="16"/>
      <c r="AI506" s="16" t="s">
        <v>28</v>
      </c>
      <c r="AJ506" s="16" t="s">
        <v>481</v>
      </c>
      <c r="AK506" s="16" t="s">
        <v>4631</v>
      </c>
      <c r="AL506" s="16">
        <v>10055</v>
      </c>
      <c r="AM506" s="16"/>
      <c r="AN506" s="16"/>
      <c r="AO506" s="16">
        <v>836</v>
      </c>
      <c r="AP506" s="16" t="s">
        <v>485</v>
      </c>
      <c r="AQ506" s="16" t="s">
        <v>4632</v>
      </c>
      <c r="AR506" s="3">
        <v>46268</v>
      </c>
      <c r="AS506" s="16" t="s">
        <v>28</v>
      </c>
      <c r="AT506" s="16" t="s">
        <v>516</v>
      </c>
      <c r="AU506" s="16"/>
      <c r="AV506" s="16" t="s">
        <v>4633</v>
      </c>
      <c r="AW506" s="16"/>
      <c r="AX506" s="16"/>
      <c r="AY506" s="16"/>
      <c r="AZ506" s="16"/>
      <c r="BA506" s="16"/>
      <c r="BB506" s="16"/>
      <c r="BC506" s="16"/>
      <c r="BD506" s="16" t="s">
        <v>28</v>
      </c>
      <c r="BE506" s="16">
        <v>70</v>
      </c>
      <c r="BF506" s="16"/>
      <c r="BG506" s="16" t="s">
        <v>490</v>
      </c>
      <c r="BH506" s="16" t="s">
        <v>658</v>
      </c>
      <c r="BI506" s="16">
        <v>836042355</v>
      </c>
      <c r="BJ506" s="16"/>
      <c r="BK506" s="16"/>
      <c r="BL506" s="16"/>
      <c r="BM506" s="16"/>
      <c r="BN506" s="16"/>
      <c r="BO506" s="16"/>
      <c r="BP506" s="16"/>
      <c r="BQ506" s="16"/>
      <c r="BR506" s="16"/>
      <c r="BS506" s="16"/>
      <c r="BT506" s="16"/>
      <c r="BU506" s="16"/>
      <c r="BV506" s="16"/>
      <c r="BW506" s="16"/>
      <c r="BX506" s="16"/>
      <c r="BY506" s="16"/>
      <c r="BZ506" s="16"/>
      <c r="CA506" s="190">
        <v>46282.666666666701</v>
      </c>
      <c r="CB506" s="3"/>
      <c r="CC506" s="16"/>
      <c r="CD506" s="16"/>
      <c r="CE506" s="16"/>
      <c r="CF506" s="16"/>
      <c r="CG506" s="16"/>
      <c r="CH506" s="16"/>
      <c r="CI506" s="16" t="s">
        <v>4634</v>
      </c>
    </row>
    <row r="507" spans="1:87">
      <c r="A507" s="16"/>
      <c r="B507" s="16"/>
      <c r="C507" s="3">
        <v>46276</v>
      </c>
      <c r="D507" s="16" t="s">
        <v>14</v>
      </c>
      <c r="E507" s="16" t="s">
        <v>4635</v>
      </c>
      <c r="F507" s="16">
        <v>2026190540513</v>
      </c>
      <c r="G507" s="16">
        <v>50</v>
      </c>
      <c r="H507" s="16">
        <v>63</v>
      </c>
      <c r="I507" s="16" t="s">
        <v>3018</v>
      </c>
      <c r="J507" s="16" t="s">
        <v>4635</v>
      </c>
      <c r="K507" s="16" t="s">
        <v>625</v>
      </c>
      <c r="L507" s="16" t="s">
        <v>17</v>
      </c>
      <c r="M507" s="16">
        <v>9</v>
      </c>
      <c r="N507" s="16" t="s">
        <v>462</v>
      </c>
      <c r="O507" s="16" t="s">
        <v>606</v>
      </c>
      <c r="P507" s="16" t="s">
        <v>4636</v>
      </c>
      <c r="Q507" s="16" t="s">
        <v>465</v>
      </c>
      <c r="R507" s="16" t="s">
        <v>466</v>
      </c>
      <c r="S507" s="16" t="s">
        <v>4637</v>
      </c>
      <c r="T507" s="16" t="s">
        <v>4638</v>
      </c>
      <c r="U507" s="16">
        <v>46260.77847222222</v>
      </c>
      <c r="V507" s="16" t="s">
        <v>469</v>
      </c>
      <c r="W507" s="16" t="s">
        <v>470</v>
      </c>
      <c r="X507" s="16" t="s">
        <v>471</v>
      </c>
      <c r="Y507" s="16" t="s">
        <v>628</v>
      </c>
      <c r="Z507" s="16" t="s">
        <v>638</v>
      </c>
      <c r="AA507" s="16" t="s">
        <v>474</v>
      </c>
      <c r="AB507" s="16" t="s">
        <v>4639</v>
      </c>
      <c r="AC507" s="16" t="s">
        <v>465</v>
      </c>
      <c r="AD507" s="16">
        <v>351720796</v>
      </c>
      <c r="AE507" s="16">
        <v>1205860335</v>
      </c>
      <c r="AF507" s="16"/>
      <c r="AG507" s="16"/>
      <c r="AH507" s="16"/>
      <c r="AI507" s="16" t="s">
        <v>70</v>
      </c>
      <c r="AJ507" s="16" t="s">
        <v>481</v>
      </c>
      <c r="AK507" s="16" t="s">
        <v>4640</v>
      </c>
      <c r="AL507" s="16">
        <v>94609.81</v>
      </c>
      <c r="AM507" s="16"/>
      <c r="AN507" s="16"/>
      <c r="AO507" s="16">
        <v>761</v>
      </c>
      <c r="AP507" s="16" t="s">
        <v>485</v>
      </c>
      <c r="AQ507" s="16" t="s">
        <v>4641</v>
      </c>
      <c r="AR507" s="3">
        <v>46266</v>
      </c>
      <c r="AS507" s="16" t="s">
        <v>2506</v>
      </c>
      <c r="AT507" s="16" t="s">
        <v>4642</v>
      </c>
      <c r="AU507" s="16"/>
      <c r="AV507" s="16" t="s">
        <v>4592</v>
      </c>
      <c r="AW507" s="16"/>
      <c r="AX507" s="16"/>
      <c r="AY507" s="16"/>
      <c r="AZ507" s="16"/>
      <c r="BA507" s="16"/>
      <c r="BB507" s="16"/>
      <c r="BC507" s="16"/>
      <c r="BD507" s="16" t="s">
        <v>70</v>
      </c>
      <c r="BE507" s="16">
        <v>63</v>
      </c>
      <c r="BF507" s="16"/>
      <c r="BG507" s="16"/>
      <c r="BH507" s="16" t="s">
        <v>491</v>
      </c>
      <c r="BI507" s="16">
        <v>305865405</v>
      </c>
      <c r="BJ507" s="16"/>
      <c r="BK507" s="16"/>
      <c r="BL507" s="16"/>
      <c r="BM507" s="16"/>
      <c r="BN507" s="16"/>
      <c r="BO507" s="16"/>
      <c r="BP507" s="16"/>
      <c r="BQ507" s="16"/>
      <c r="BR507" s="16"/>
      <c r="BS507" s="16"/>
      <c r="BT507" s="16"/>
      <c r="BU507" s="16"/>
      <c r="BV507" s="16"/>
      <c r="BW507" s="16"/>
      <c r="BX507" s="16"/>
      <c r="BY507" s="16"/>
      <c r="BZ507" s="16"/>
      <c r="CA507" s="190">
        <v>46275</v>
      </c>
      <c r="CB507" s="3"/>
      <c r="CC507" s="16"/>
      <c r="CD507" s="16"/>
      <c r="CE507" s="16"/>
      <c r="CF507" s="16"/>
      <c r="CG507" s="16"/>
      <c r="CH507" s="16"/>
      <c r="CI507" s="16" t="s">
        <v>4643</v>
      </c>
    </row>
    <row r="508" spans="1:87">
      <c r="A508" s="16" t="s">
        <v>5</v>
      </c>
      <c r="B508" s="16" t="s">
        <v>4488</v>
      </c>
      <c r="C508" s="3">
        <v>46276</v>
      </c>
      <c r="D508" s="16" t="s">
        <v>14</v>
      </c>
      <c r="E508" s="16" t="s">
        <v>4644</v>
      </c>
      <c r="F508" s="16">
        <v>2026190770134</v>
      </c>
      <c r="G508" s="16">
        <v>50</v>
      </c>
      <c r="H508" s="16">
        <v>63</v>
      </c>
      <c r="I508" s="16" t="s">
        <v>3018</v>
      </c>
      <c r="J508" s="16" t="s">
        <v>4644</v>
      </c>
      <c r="K508" s="16" t="s">
        <v>1824</v>
      </c>
      <c r="L508" s="16" t="s">
        <v>17</v>
      </c>
      <c r="M508" s="16">
        <v>7</v>
      </c>
      <c r="N508" s="16" t="s">
        <v>462</v>
      </c>
      <c r="O508" s="16" t="s">
        <v>606</v>
      </c>
      <c r="P508" s="16">
        <v>838076051</v>
      </c>
      <c r="Q508" s="16" t="s">
        <v>465</v>
      </c>
      <c r="R508" s="16" t="s">
        <v>466</v>
      </c>
      <c r="S508" s="16" t="s">
        <v>4645</v>
      </c>
      <c r="T508" s="16">
        <v>173323</v>
      </c>
      <c r="U508" s="16">
        <v>46267.71875</v>
      </c>
      <c r="V508" s="16" t="s">
        <v>469</v>
      </c>
      <c r="W508" s="16" t="s">
        <v>651</v>
      </c>
      <c r="X508" s="16" t="s">
        <v>652</v>
      </c>
      <c r="Y508" s="16" t="s">
        <v>653</v>
      </c>
      <c r="Z508" s="16" t="s">
        <v>590</v>
      </c>
      <c r="AA508" s="16" t="s">
        <v>474</v>
      </c>
      <c r="AB508" s="16" t="s">
        <v>2303</v>
      </c>
      <c r="AC508" s="16" t="s">
        <v>592</v>
      </c>
      <c r="AD508" s="16">
        <v>841276956</v>
      </c>
      <c r="AE508" s="16">
        <v>1972578359</v>
      </c>
      <c r="AF508" s="16">
        <v>1841265626</v>
      </c>
      <c r="AG508" s="16">
        <v>5120252651498800</v>
      </c>
      <c r="AH508" s="16" t="s">
        <v>1076</v>
      </c>
      <c r="AI508" s="16" t="s">
        <v>247</v>
      </c>
      <c r="AJ508" s="16" t="s">
        <v>481</v>
      </c>
      <c r="AK508" s="16" t="s">
        <v>4646</v>
      </c>
      <c r="AL508" s="16">
        <v>5421.09</v>
      </c>
      <c r="AM508" s="16"/>
      <c r="AN508" s="16"/>
      <c r="AO508" s="16">
        <v>838</v>
      </c>
      <c r="AP508" s="16" t="s">
        <v>485</v>
      </c>
      <c r="AQ508" s="16" t="s">
        <v>4647</v>
      </c>
      <c r="AR508" s="3">
        <v>46268</v>
      </c>
      <c r="AS508" s="16" t="s">
        <v>247</v>
      </c>
      <c r="AT508" s="16" t="s">
        <v>4494</v>
      </c>
      <c r="AU508" s="16"/>
      <c r="AV508" s="16" t="s">
        <v>4608</v>
      </c>
      <c r="AW508" s="16"/>
      <c r="AX508" s="16"/>
      <c r="AY508" s="16"/>
      <c r="AZ508" s="16"/>
      <c r="BA508" s="16"/>
      <c r="BB508" s="16"/>
      <c r="BC508" s="16"/>
      <c r="BD508" s="16" t="s">
        <v>247</v>
      </c>
      <c r="BE508" s="16">
        <v>63</v>
      </c>
      <c r="BF508" s="16"/>
      <c r="BG508" s="16"/>
      <c r="BH508" s="16" t="s">
        <v>658</v>
      </c>
      <c r="BI508" s="16">
        <v>838076051</v>
      </c>
      <c r="BJ508" s="16"/>
      <c r="BK508" s="16"/>
      <c r="BL508" s="16"/>
      <c r="BM508" s="16"/>
      <c r="BN508" s="16"/>
      <c r="BO508" s="16"/>
      <c r="BP508" s="16"/>
      <c r="BQ508" s="16"/>
      <c r="BR508" s="16"/>
      <c r="BS508" s="16"/>
      <c r="BT508" s="16"/>
      <c r="BU508" s="16"/>
      <c r="BV508" s="16"/>
      <c r="BW508" s="16"/>
      <c r="BX508" s="16"/>
      <c r="BY508" s="16"/>
      <c r="BZ508" s="16"/>
      <c r="CA508" s="190">
        <v>46285.666666666701</v>
      </c>
      <c r="CB508" s="3"/>
      <c r="CC508" s="16"/>
      <c r="CD508" s="16"/>
      <c r="CE508" s="16"/>
      <c r="CF508" s="16"/>
      <c r="CG508" s="16"/>
      <c r="CH508" s="16"/>
      <c r="CI508" s="16" t="s">
        <v>4648</v>
      </c>
    </row>
    <row r="509" spans="1:87" ht="29.25">
      <c r="A509" s="16" t="s">
        <v>4</v>
      </c>
      <c r="B509" s="25" t="s">
        <v>4649</v>
      </c>
      <c r="C509" s="3">
        <v>46276</v>
      </c>
      <c r="D509" s="16" t="s">
        <v>14</v>
      </c>
      <c r="E509" s="16" t="s">
        <v>4650</v>
      </c>
      <c r="F509" s="16">
        <v>2026184200231</v>
      </c>
      <c r="G509" s="16">
        <v>50</v>
      </c>
      <c r="H509" s="16">
        <v>69</v>
      </c>
      <c r="I509" s="16" t="s">
        <v>3018</v>
      </c>
      <c r="J509" s="16" t="s">
        <v>4650</v>
      </c>
      <c r="K509" s="16" t="s">
        <v>1201</v>
      </c>
      <c r="L509" s="16" t="s">
        <v>17</v>
      </c>
      <c r="M509" s="16">
        <v>8</v>
      </c>
      <c r="N509" s="16" t="s">
        <v>462</v>
      </c>
      <c r="O509" s="16" t="s">
        <v>606</v>
      </c>
      <c r="P509" s="16">
        <v>967182563</v>
      </c>
      <c r="Q509" s="16" t="s">
        <v>465</v>
      </c>
      <c r="R509" s="16" t="s">
        <v>466</v>
      </c>
      <c r="S509" s="16" t="s">
        <v>4651</v>
      </c>
      <c r="T509" s="16">
        <v>173326</v>
      </c>
      <c r="U509" s="16">
        <v>46267.620833333334</v>
      </c>
      <c r="V509" s="16" t="s">
        <v>469</v>
      </c>
      <c r="W509" s="16" t="s">
        <v>651</v>
      </c>
      <c r="X509" s="16" t="s">
        <v>652</v>
      </c>
      <c r="Y509" s="16" t="s">
        <v>653</v>
      </c>
      <c r="Z509" s="16" t="s">
        <v>473</v>
      </c>
      <c r="AA509" s="16" t="s">
        <v>474</v>
      </c>
      <c r="AB509" s="16" t="s">
        <v>2129</v>
      </c>
      <c r="AC509" s="16" t="s">
        <v>476</v>
      </c>
      <c r="AD509" s="16">
        <v>391128616</v>
      </c>
      <c r="AE509" s="16">
        <v>1053358846</v>
      </c>
      <c r="AF509" s="16">
        <v>1619597523</v>
      </c>
      <c r="AG509" s="16">
        <v>4.58202533025904E+16</v>
      </c>
      <c r="AH509" s="16"/>
      <c r="AI509" s="16" t="s">
        <v>150</v>
      </c>
      <c r="AJ509" s="16" t="s">
        <v>481</v>
      </c>
      <c r="AK509" s="16" t="s">
        <v>4652</v>
      </c>
      <c r="AL509" s="16">
        <v>8504</v>
      </c>
      <c r="AM509" s="16"/>
      <c r="AN509" s="16"/>
      <c r="AO509" s="16">
        <v>967</v>
      </c>
      <c r="AP509" s="16" t="s">
        <v>485</v>
      </c>
      <c r="AQ509" s="16" t="s">
        <v>4653</v>
      </c>
      <c r="AR509" s="3">
        <v>46267</v>
      </c>
      <c r="AS509" s="16" t="s">
        <v>150</v>
      </c>
      <c r="AT509" s="16" t="s">
        <v>4654</v>
      </c>
      <c r="AU509" s="16"/>
      <c r="AV509" s="16" t="s">
        <v>4655</v>
      </c>
      <c r="AW509" s="16"/>
      <c r="AX509" s="16"/>
      <c r="AY509" s="16"/>
      <c r="AZ509" s="16"/>
      <c r="BA509" s="16"/>
      <c r="BB509" s="16"/>
      <c r="BC509" s="16"/>
      <c r="BD509" s="16" t="s">
        <v>150</v>
      </c>
      <c r="BE509" s="16">
        <v>69</v>
      </c>
      <c r="BF509" s="16"/>
      <c r="BG509" s="16"/>
      <c r="BH509" s="16" t="s">
        <v>658</v>
      </c>
      <c r="BI509" s="16">
        <v>967182563</v>
      </c>
      <c r="BJ509" s="16"/>
      <c r="BK509" s="16"/>
      <c r="BL509" s="16"/>
      <c r="BM509" s="16"/>
      <c r="BN509" s="16"/>
      <c r="BO509" s="16"/>
      <c r="BP509" s="16"/>
      <c r="BQ509" s="16"/>
      <c r="BR509" s="16"/>
      <c r="BS509" s="16"/>
      <c r="BT509" s="16"/>
      <c r="BU509" s="16"/>
      <c r="BV509" s="16"/>
      <c r="BW509" s="16"/>
      <c r="BX509" s="16"/>
      <c r="BY509" s="16"/>
      <c r="BZ509" s="16"/>
      <c r="CA509" s="190">
        <v>46285.166666666701</v>
      </c>
      <c r="CB509" s="3"/>
      <c r="CC509" s="16"/>
      <c r="CD509" s="16"/>
      <c r="CE509" s="16"/>
      <c r="CF509" s="16"/>
      <c r="CG509" s="16"/>
      <c r="CH509" s="16"/>
      <c r="CI509" s="16" t="s">
        <v>4656</v>
      </c>
    </row>
    <row r="510" spans="1:87">
      <c r="A510" s="16" t="s">
        <v>4</v>
      </c>
      <c r="B510" s="16" t="s">
        <v>4657</v>
      </c>
      <c r="C510" s="3">
        <v>46276</v>
      </c>
      <c r="D510" s="16" t="s">
        <v>14</v>
      </c>
      <c r="E510" s="16" t="s">
        <v>4658</v>
      </c>
      <c r="F510" s="16"/>
      <c r="G510" s="16">
        <v>50</v>
      </c>
      <c r="H510" s="16">
        <v>70</v>
      </c>
      <c r="I510" s="16" t="s">
        <v>3018</v>
      </c>
      <c r="J510" s="16" t="s">
        <v>4658</v>
      </c>
      <c r="K510" s="16" t="s">
        <v>1040</v>
      </c>
      <c r="L510" s="16" t="s">
        <v>17</v>
      </c>
      <c r="M510" s="16">
        <v>7</v>
      </c>
      <c r="N510" s="16" t="s">
        <v>462</v>
      </c>
      <c r="O510" s="16" t="s">
        <v>606</v>
      </c>
      <c r="P510" s="16">
        <v>815392443</v>
      </c>
      <c r="Q510" s="16" t="s">
        <v>1055</v>
      </c>
      <c r="R510" s="16" t="s">
        <v>1193</v>
      </c>
      <c r="S510" s="16" t="s">
        <v>4659</v>
      </c>
      <c r="T510" s="16">
        <v>173326</v>
      </c>
      <c r="U510" s="16">
        <v>46267.754861111112</v>
      </c>
      <c r="V510" s="16" t="s">
        <v>469</v>
      </c>
      <c r="W510" s="16" t="s">
        <v>651</v>
      </c>
      <c r="X510" s="16" t="s">
        <v>652</v>
      </c>
      <c r="Y510" s="16" t="s">
        <v>653</v>
      </c>
      <c r="Z510" s="16" t="s">
        <v>473</v>
      </c>
      <c r="AA510" s="16" t="s">
        <v>474</v>
      </c>
      <c r="AB510" s="16" t="s">
        <v>684</v>
      </c>
      <c r="AC510" s="16" t="s">
        <v>476</v>
      </c>
      <c r="AD510" s="16">
        <v>430688874</v>
      </c>
      <c r="AE510" s="16">
        <v>1194004408</v>
      </c>
      <c r="AF510" s="16"/>
      <c r="AG510" s="16">
        <v>4.5820252671473504E+16</v>
      </c>
      <c r="AH510" s="16" t="s">
        <v>1076</v>
      </c>
      <c r="AI510" s="16" t="s">
        <v>173</v>
      </c>
      <c r="AJ510" s="16" t="s">
        <v>481</v>
      </c>
      <c r="AK510" s="16" t="s">
        <v>4660</v>
      </c>
      <c r="AL510" s="16">
        <v>47057.27</v>
      </c>
      <c r="AM510" s="16"/>
      <c r="AN510" s="16"/>
      <c r="AO510" s="16">
        <v>815</v>
      </c>
      <c r="AP510" s="16" t="s">
        <v>485</v>
      </c>
      <c r="AQ510" s="16" t="s">
        <v>4661</v>
      </c>
      <c r="AR510" s="3">
        <v>46268</v>
      </c>
      <c r="AS510" s="16" t="s">
        <v>173</v>
      </c>
      <c r="AT510" s="16" t="s">
        <v>1047</v>
      </c>
      <c r="AU510" s="16"/>
      <c r="AV510" s="16" t="s">
        <v>1528</v>
      </c>
      <c r="AW510" s="16"/>
      <c r="AX510" s="16"/>
      <c r="AY510" s="16"/>
      <c r="AZ510" s="16"/>
      <c r="BA510" s="16"/>
      <c r="BB510" s="16"/>
      <c r="BC510" s="16"/>
      <c r="BD510" s="16" t="s">
        <v>173</v>
      </c>
      <c r="BE510" s="16">
        <v>70</v>
      </c>
      <c r="BF510" s="16"/>
      <c r="BG510" s="16" t="s">
        <v>490</v>
      </c>
      <c r="BH510" s="16" t="s">
        <v>658</v>
      </c>
      <c r="BI510" s="16">
        <v>815392443</v>
      </c>
      <c r="BJ510" s="16"/>
      <c r="BK510" s="16"/>
      <c r="BL510" s="16"/>
      <c r="BM510" s="16"/>
      <c r="BN510" s="16"/>
      <c r="BO510" s="16"/>
      <c r="BP510" s="16"/>
      <c r="BQ510" s="16"/>
      <c r="BR510" s="16"/>
      <c r="BS510" s="16"/>
      <c r="BT510" s="16"/>
      <c r="BU510" s="16"/>
      <c r="BV510" s="16"/>
      <c r="BW510" s="16"/>
      <c r="BX510" s="16"/>
      <c r="BY510" s="16"/>
      <c r="BZ510" s="16"/>
      <c r="CA510" s="190">
        <v>46285.666666666701</v>
      </c>
      <c r="CB510" s="3"/>
      <c r="CC510" s="16"/>
      <c r="CD510" s="16"/>
      <c r="CE510" s="16"/>
      <c r="CF510" s="16"/>
      <c r="CG510" s="16"/>
      <c r="CH510" s="16"/>
      <c r="CI510" s="16" t="s">
        <v>4662</v>
      </c>
    </row>
    <row r="511" spans="1:87">
      <c r="A511" s="16"/>
      <c r="B511" s="16"/>
      <c r="C511" s="3">
        <v>46276</v>
      </c>
      <c r="D511" s="16" t="s">
        <v>14</v>
      </c>
      <c r="E511" s="16" t="s">
        <v>4663</v>
      </c>
      <c r="F511" s="16">
        <v>2026181590460</v>
      </c>
      <c r="G511" s="16">
        <v>50</v>
      </c>
      <c r="H511" s="16">
        <v>72</v>
      </c>
      <c r="I511" s="16" t="s">
        <v>3018</v>
      </c>
      <c r="J511" s="16" t="s">
        <v>4663</v>
      </c>
      <c r="K511" s="16" t="s">
        <v>1040</v>
      </c>
      <c r="L511" s="16" t="s">
        <v>17</v>
      </c>
      <c r="M511" s="16">
        <v>7</v>
      </c>
      <c r="N511" s="16" t="s">
        <v>462</v>
      </c>
      <c r="O511" s="16" t="s">
        <v>606</v>
      </c>
      <c r="P511" s="16">
        <v>896361954</v>
      </c>
      <c r="Q511" s="16" t="s">
        <v>465</v>
      </c>
      <c r="R511" s="16" t="s">
        <v>466</v>
      </c>
      <c r="S511" s="16" t="s">
        <v>4664</v>
      </c>
      <c r="T511" s="16">
        <v>173327</v>
      </c>
      <c r="U511" s="16">
        <v>46267.755555555559</v>
      </c>
      <c r="V511" s="16" t="s">
        <v>469</v>
      </c>
      <c r="W511" s="16" t="s">
        <v>651</v>
      </c>
      <c r="X511" s="16" t="s">
        <v>652</v>
      </c>
      <c r="Y511" s="16" t="s">
        <v>653</v>
      </c>
      <c r="Z511" s="16" t="s">
        <v>524</v>
      </c>
      <c r="AA511" s="16" t="s">
        <v>474</v>
      </c>
      <c r="AB511" s="16" t="s">
        <v>757</v>
      </c>
      <c r="AC511" s="16" t="s">
        <v>526</v>
      </c>
      <c r="AD511" s="16">
        <v>341032526</v>
      </c>
      <c r="AE511" s="16">
        <v>1649236142</v>
      </c>
      <c r="AF511" s="16">
        <v>1023202728</v>
      </c>
      <c r="AG511" s="16">
        <v>3.30202504933787E+16</v>
      </c>
      <c r="AH511" s="16"/>
      <c r="AI511" s="16" t="s">
        <v>173</v>
      </c>
      <c r="AJ511" s="16" t="s">
        <v>481</v>
      </c>
      <c r="AK511" s="16" t="s">
        <v>4665</v>
      </c>
      <c r="AL511" s="16">
        <v>6240</v>
      </c>
      <c r="AM511" s="16"/>
      <c r="AN511" s="16"/>
      <c r="AO511" s="16">
        <v>896</v>
      </c>
      <c r="AP511" s="16" t="s">
        <v>485</v>
      </c>
      <c r="AQ511" s="16" t="s">
        <v>4666</v>
      </c>
      <c r="AR511" s="3">
        <v>46268</v>
      </c>
      <c r="AS511" s="16" t="s">
        <v>173</v>
      </c>
      <c r="AT511" s="16" t="s">
        <v>1047</v>
      </c>
      <c r="AU511" s="16"/>
      <c r="AV511" s="16" t="s">
        <v>4667</v>
      </c>
      <c r="AW511" s="16"/>
      <c r="AX511" s="16"/>
      <c r="AY511" s="16"/>
      <c r="AZ511" s="16"/>
      <c r="BA511" s="16"/>
      <c r="BB511" s="16"/>
      <c r="BC511" s="16"/>
      <c r="BD511" s="16" t="s">
        <v>173</v>
      </c>
      <c r="BE511" s="16">
        <v>72</v>
      </c>
      <c r="BF511" s="16"/>
      <c r="BG511" s="16"/>
      <c r="BH511" s="16" t="s">
        <v>658</v>
      </c>
      <c r="BI511" s="16">
        <v>896361954</v>
      </c>
      <c r="BJ511" s="16"/>
      <c r="BK511" s="16"/>
      <c r="BL511" s="16"/>
      <c r="BM511" s="16"/>
      <c r="BN511" s="16"/>
      <c r="BO511" s="16"/>
      <c r="BP511" s="16"/>
      <c r="BQ511" s="16"/>
      <c r="BR511" s="16"/>
      <c r="BS511" s="16"/>
      <c r="BT511" s="16"/>
      <c r="BU511" s="16"/>
      <c r="BV511" s="16"/>
      <c r="BW511" s="16"/>
      <c r="BX511" s="16"/>
      <c r="BY511" s="16"/>
      <c r="BZ511" s="16"/>
      <c r="CA511" s="190">
        <v>46275</v>
      </c>
      <c r="CB511" s="3"/>
      <c r="CC511" s="16"/>
      <c r="CD511" s="16"/>
      <c r="CE511" s="16"/>
      <c r="CF511" s="16"/>
      <c r="CG511" s="16"/>
      <c r="CH511" s="16"/>
      <c r="CI511" s="16" t="s">
        <v>4668</v>
      </c>
    </row>
    <row r="512" spans="1:87">
      <c r="A512" s="16" t="s">
        <v>5</v>
      </c>
      <c r="B512" s="16" t="s">
        <v>4488</v>
      </c>
      <c r="C512" s="3">
        <v>46276</v>
      </c>
      <c r="D512" s="16" t="s">
        <v>14</v>
      </c>
      <c r="E512" s="16" t="s">
        <v>4669</v>
      </c>
      <c r="F512" s="16">
        <v>2026188260393</v>
      </c>
      <c r="G512" s="16">
        <v>50</v>
      </c>
      <c r="H512" s="16">
        <v>65</v>
      </c>
      <c r="I512" s="16" t="s">
        <v>3018</v>
      </c>
      <c r="J512" s="16" t="s">
        <v>4669</v>
      </c>
      <c r="K512" s="16" t="s">
        <v>1824</v>
      </c>
      <c r="L512" s="16" t="s">
        <v>17</v>
      </c>
      <c r="M512" s="16">
        <v>7</v>
      </c>
      <c r="N512" s="16" t="s">
        <v>462</v>
      </c>
      <c r="O512" s="16" t="s">
        <v>606</v>
      </c>
      <c r="P512" s="16">
        <v>275377250</v>
      </c>
      <c r="Q512" s="16" t="s">
        <v>465</v>
      </c>
      <c r="R512" s="16" t="s">
        <v>466</v>
      </c>
      <c r="S512" s="16" t="s">
        <v>4670</v>
      </c>
      <c r="T512" s="16">
        <v>173326</v>
      </c>
      <c r="U512" s="16">
        <v>46267.719444444447</v>
      </c>
      <c r="V512" s="16" t="s">
        <v>469</v>
      </c>
      <c r="W512" s="16" t="s">
        <v>651</v>
      </c>
      <c r="X512" s="16" t="s">
        <v>652</v>
      </c>
      <c r="Y512" s="16" t="s">
        <v>653</v>
      </c>
      <c r="Z512" s="16" t="s">
        <v>473</v>
      </c>
      <c r="AA512" s="16" t="s">
        <v>474</v>
      </c>
      <c r="AB512" s="16" t="s">
        <v>684</v>
      </c>
      <c r="AC512" s="16" t="s">
        <v>476</v>
      </c>
      <c r="AD512" s="16">
        <v>391824445</v>
      </c>
      <c r="AE512" s="16">
        <v>1598784555</v>
      </c>
      <c r="AF512" s="16">
        <v>1649234204</v>
      </c>
      <c r="AG512" s="16">
        <v>4.58202523021824E+16</v>
      </c>
      <c r="AH512" s="16" t="s">
        <v>1076</v>
      </c>
      <c r="AI512" s="16" t="s">
        <v>247</v>
      </c>
      <c r="AJ512" s="16" t="s">
        <v>481</v>
      </c>
      <c r="AK512" s="16" t="s">
        <v>4671</v>
      </c>
      <c r="AL512" s="16">
        <v>15077</v>
      </c>
      <c r="AM512" s="16"/>
      <c r="AN512" s="16"/>
      <c r="AO512" s="16">
        <v>275</v>
      </c>
      <c r="AP512" s="16" t="s">
        <v>485</v>
      </c>
      <c r="AQ512" s="16" t="s">
        <v>4672</v>
      </c>
      <c r="AR512" s="3">
        <v>46268</v>
      </c>
      <c r="AS512" s="16" t="s">
        <v>247</v>
      </c>
      <c r="AT512" s="16" t="s">
        <v>4673</v>
      </c>
      <c r="AU512" s="16"/>
      <c r="AV512" s="16" t="s">
        <v>4674</v>
      </c>
      <c r="AW512" s="16"/>
      <c r="AX512" s="16"/>
      <c r="AY512" s="16"/>
      <c r="AZ512" s="16"/>
      <c r="BA512" s="16"/>
      <c r="BB512" s="16"/>
      <c r="BC512" s="16"/>
      <c r="BD512" s="16" t="s">
        <v>247</v>
      </c>
      <c r="BE512" s="16">
        <v>65</v>
      </c>
      <c r="BF512" s="16"/>
      <c r="BG512" s="16"/>
      <c r="BH512" s="16" t="s">
        <v>658</v>
      </c>
      <c r="BI512" s="16">
        <v>275377250</v>
      </c>
      <c r="BJ512" s="16"/>
      <c r="BK512" s="16"/>
      <c r="BL512" s="16"/>
      <c r="BM512" s="16"/>
      <c r="BN512" s="16"/>
      <c r="BO512" s="16"/>
      <c r="BP512" s="16"/>
      <c r="BQ512" s="16"/>
      <c r="BR512" s="16"/>
      <c r="BS512" s="16"/>
      <c r="BT512" s="16"/>
      <c r="BU512" s="16"/>
      <c r="BV512" s="16"/>
      <c r="BW512" s="16"/>
      <c r="BX512" s="16"/>
      <c r="BY512" s="16"/>
      <c r="BZ512" s="16"/>
      <c r="CA512" s="190">
        <v>46285.666666666701</v>
      </c>
      <c r="CB512" s="3"/>
      <c r="CC512" s="16"/>
      <c r="CD512" s="16"/>
      <c r="CE512" s="16"/>
      <c r="CF512" s="16"/>
      <c r="CG512" s="16"/>
      <c r="CH512" s="16"/>
      <c r="CI512" s="16" t="s">
        <v>4675</v>
      </c>
    </row>
    <row r="513" spans="1:87">
      <c r="A513" s="16" t="s">
        <v>5</v>
      </c>
      <c r="B513" s="16" t="s">
        <v>516</v>
      </c>
      <c r="C513" s="3">
        <v>46276</v>
      </c>
      <c r="D513" s="16" t="s">
        <v>14</v>
      </c>
      <c r="E513" s="16" t="s">
        <v>4676</v>
      </c>
      <c r="F513" s="16">
        <v>2026188020139</v>
      </c>
      <c r="G513" s="16">
        <v>100</v>
      </c>
      <c r="H513" s="16">
        <v>65</v>
      </c>
      <c r="I513" s="16" t="s">
        <v>3018</v>
      </c>
      <c r="J513" s="16" t="s">
        <v>4676</v>
      </c>
      <c r="K513" s="16" t="s">
        <v>700</v>
      </c>
      <c r="L513" s="16" t="s">
        <v>18</v>
      </c>
      <c r="M513" s="16">
        <v>7</v>
      </c>
      <c r="N513" s="16" t="s">
        <v>561</v>
      </c>
      <c r="O513" s="16" t="s">
        <v>606</v>
      </c>
      <c r="P513" s="16" t="s">
        <v>4677</v>
      </c>
      <c r="Q513" s="16" t="s">
        <v>465</v>
      </c>
      <c r="R513" s="16" t="s">
        <v>466</v>
      </c>
      <c r="S513" s="16" t="s">
        <v>4678</v>
      </c>
      <c r="T513" s="16" t="s">
        <v>664</v>
      </c>
      <c r="U513" s="16">
        <v>46268.261805555558</v>
      </c>
      <c r="V513" s="16" t="s">
        <v>3257</v>
      </c>
      <c r="W513" s="16" t="s">
        <v>651</v>
      </c>
      <c r="X513" s="16" t="s">
        <v>652</v>
      </c>
      <c r="Y513" s="16" t="s">
        <v>653</v>
      </c>
      <c r="Z513" s="16" t="s">
        <v>665</v>
      </c>
      <c r="AA513" s="16" t="s">
        <v>474</v>
      </c>
      <c r="AB513" s="16" t="s">
        <v>666</v>
      </c>
      <c r="AC513" s="16" t="s">
        <v>640</v>
      </c>
      <c r="AD513" s="16">
        <v>208451747</v>
      </c>
      <c r="AE513" s="16">
        <v>1437321049</v>
      </c>
      <c r="AF513" s="16">
        <v>1699932806</v>
      </c>
      <c r="AG513" s="16">
        <v>2.54202532928398E+16</v>
      </c>
      <c r="AH513" s="16" t="s">
        <v>1076</v>
      </c>
      <c r="AI513" s="16" t="s">
        <v>341</v>
      </c>
      <c r="AJ513" s="16" t="s">
        <v>481</v>
      </c>
      <c r="AK513" s="16" t="s">
        <v>4679</v>
      </c>
      <c r="AL513" s="16">
        <v>3000</v>
      </c>
      <c r="AM513" s="16"/>
      <c r="AN513" s="16"/>
      <c r="AO513" s="16" t="s">
        <v>4680</v>
      </c>
      <c r="AP513" s="16" t="s">
        <v>485</v>
      </c>
      <c r="AQ513" s="16" t="s">
        <v>4681</v>
      </c>
      <c r="AR513" s="3">
        <v>46268</v>
      </c>
      <c r="AS513" s="16" t="s">
        <v>201</v>
      </c>
      <c r="AT513" s="16" t="s">
        <v>516</v>
      </c>
      <c r="AU513" s="16"/>
      <c r="AV513" s="16" t="s">
        <v>3234</v>
      </c>
      <c r="AW513" s="16"/>
      <c r="AX513" s="16"/>
      <c r="AY513" s="16"/>
      <c r="AZ513" s="16"/>
      <c r="BA513" s="16"/>
      <c r="BB513" s="16"/>
      <c r="BC513" s="16"/>
      <c r="BD513" s="16" t="s">
        <v>4682</v>
      </c>
      <c r="BE513" s="16">
        <v>65</v>
      </c>
      <c r="BF513" s="16"/>
      <c r="BG513" s="16" t="s">
        <v>490</v>
      </c>
      <c r="BH513" s="16" t="s">
        <v>658</v>
      </c>
      <c r="BI513" s="16" t="s">
        <v>4677</v>
      </c>
      <c r="BJ513" s="16"/>
      <c r="BK513" s="16"/>
      <c r="BL513" s="16"/>
      <c r="BM513" s="16"/>
      <c r="BN513" s="16"/>
      <c r="BO513" s="16"/>
      <c r="BP513" s="16"/>
      <c r="BQ513" s="16"/>
      <c r="BR513" s="16"/>
      <c r="BS513" s="16"/>
      <c r="BT513" s="16"/>
      <c r="BU513" s="16"/>
      <c r="BV513" s="16"/>
      <c r="BW513" s="16"/>
      <c r="BX513" s="16"/>
      <c r="BY513" s="16"/>
      <c r="BZ513" s="16"/>
      <c r="CA513" s="190">
        <v>46281.666666666701</v>
      </c>
      <c r="CB513" s="3"/>
      <c r="CC513" s="16"/>
      <c r="CD513" s="16"/>
      <c r="CE513" s="16"/>
      <c r="CF513" s="16"/>
      <c r="CG513" s="16"/>
      <c r="CH513" s="16"/>
      <c r="CI513" s="16" t="s">
        <v>4683</v>
      </c>
    </row>
    <row r="514" spans="1:87">
      <c r="A514" s="16"/>
      <c r="B514" s="16"/>
      <c r="C514" s="3">
        <v>46276</v>
      </c>
      <c r="D514" s="16" t="s">
        <v>14</v>
      </c>
      <c r="E514" s="16" t="s">
        <v>4684</v>
      </c>
      <c r="F514" s="16">
        <v>2026181520244</v>
      </c>
      <c r="G514" s="16">
        <v>100</v>
      </c>
      <c r="H514" s="16">
        <v>72</v>
      </c>
      <c r="I514" s="16" t="s">
        <v>3018</v>
      </c>
      <c r="J514" s="16" t="s">
        <v>4684</v>
      </c>
      <c r="K514" s="16" t="s">
        <v>625</v>
      </c>
      <c r="L514" s="16" t="s">
        <v>17</v>
      </c>
      <c r="M514" s="16">
        <v>9</v>
      </c>
      <c r="N514" s="16" t="s">
        <v>462</v>
      </c>
      <c r="O514" s="16" t="s">
        <v>606</v>
      </c>
      <c r="P514" s="16">
        <v>107267758</v>
      </c>
      <c r="Q514" s="16" t="s">
        <v>465</v>
      </c>
      <c r="R514" s="16" t="s">
        <v>466</v>
      </c>
      <c r="S514" s="16" t="s">
        <v>4685</v>
      </c>
      <c r="T514" s="16" t="s">
        <v>664</v>
      </c>
      <c r="U514" s="16">
        <v>46265.829861111109</v>
      </c>
      <c r="V514" s="16" t="s">
        <v>3257</v>
      </c>
      <c r="W514" s="16" t="s">
        <v>651</v>
      </c>
      <c r="X514" s="16" t="s">
        <v>652</v>
      </c>
      <c r="Y514" s="16" t="s">
        <v>653</v>
      </c>
      <c r="Z514" s="16" t="s">
        <v>665</v>
      </c>
      <c r="AA514" s="16" t="s">
        <v>474</v>
      </c>
      <c r="AB514" s="16" t="s">
        <v>666</v>
      </c>
      <c r="AC514" s="16" t="s">
        <v>640</v>
      </c>
      <c r="AD514" s="16">
        <v>135598093</v>
      </c>
      <c r="AE514" s="16">
        <v>1508266347</v>
      </c>
      <c r="AF514" s="16">
        <v>1144858887</v>
      </c>
      <c r="AG514" s="16">
        <v>2.54202532808252E+16</v>
      </c>
      <c r="AH514" s="16"/>
      <c r="AI514" s="16" t="s">
        <v>70</v>
      </c>
      <c r="AJ514" s="16" t="s">
        <v>481</v>
      </c>
      <c r="AK514" s="16" t="s">
        <v>4686</v>
      </c>
      <c r="AL514" s="16">
        <v>6020</v>
      </c>
      <c r="AM514" s="16"/>
      <c r="AN514" s="16"/>
      <c r="AO514" s="16">
        <v>107</v>
      </c>
      <c r="AP514" s="16" t="s">
        <v>485</v>
      </c>
      <c r="AQ514" s="16" t="s">
        <v>4687</v>
      </c>
      <c r="AR514" s="3">
        <v>46266</v>
      </c>
      <c r="AS514" s="16" t="s">
        <v>70</v>
      </c>
      <c r="AT514" s="16" t="s">
        <v>643</v>
      </c>
      <c r="AU514" s="16"/>
      <c r="AV514" s="16" t="s">
        <v>4688</v>
      </c>
      <c r="AW514" s="16"/>
      <c r="AX514" s="16"/>
      <c r="AY514" s="16"/>
      <c r="AZ514" s="16"/>
      <c r="BA514" s="16"/>
      <c r="BB514" s="16"/>
      <c r="BC514" s="16"/>
      <c r="BD514" s="16" t="s">
        <v>70</v>
      </c>
      <c r="BE514" s="16">
        <v>72</v>
      </c>
      <c r="BF514" s="16"/>
      <c r="BG514" s="16"/>
      <c r="BH514" s="16" t="s">
        <v>658</v>
      </c>
      <c r="BI514" s="16">
        <v>107267758</v>
      </c>
      <c r="BJ514" s="16"/>
      <c r="BK514" s="16"/>
      <c r="BL514" s="16"/>
      <c r="BM514" s="16"/>
      <c r="BN514" s="16"/>
      <c r="BO514" s="16"/>
      <c r="BP514" s="16"/>
      <c r="BQ514" s="16"/>
      <c r="BR514" s="16"/>
      <c r="BS514" s="16"/>
      <c r="BT514" s="16"/>
      <c r="BU514" s="16"/>
      <c r="BV514" s="16"/>
      <c r="BW514" s="16"/>
      <c r="BX514" s="16"/>
      <c r="BY514" s="16"/>
      <c r="BZ514" s="16"/>
      <c r="CA514" s="190">
        <v>46275</v>
      </c>
      <c r="CB514" s="3"/>
      <c r="CC514" s="16"/>
      <c r="CD514" s="16"/>
      <c r="CE514" s="16"/>
      <c r="CF514" s="16"/>
      <c r="CG514" s="16"/>
      <c r="CH514" s="16"/>
      <c r="CI514" s="16" t="s">
        <v>4689</v>
      </c>
    </row>
    <row r="515" spans="1:87">
      <c r="A515" s="16"/>
      <c r="B515" s="16"/>
      <c r="C515" s="3">
        <v>46276</v>
      </c>
      <c r="D515" s="16" t="s">
        <v>14</v>
      </c>
      <c r="E515" s="16" t="s">
        <v>4690</v>
      </c>
      <c r="F515" s="16">
        <v>2026117210345</v>
      </c>
      <c r="G515" s="16">
        <v>60</v>
      </c>
      <c r="H515" s="16">
        <v>136</v>
      </c>
      <c r="I515" s="16" t="s">
        <v>3296</v>
      </c>
      <c r="J515" s="16" t="s">
        <v>4690</v>
      </c>
      <c r="K515" s="16" t="s">
        <v>682</v>
      </c>
      <c r="L515" s="16" t="s">
        <v>18</v>
      </c>
      <c r="M515" s="16">
        <v>7</v>
      </c>
      <c r="N515" s="16" t="s">
        <v>462</v>
      </c>
      <c r="O515" s="16" t="s">
        <v>606</v>
      </c>
      <c r="P515" s="16">
        <v>799041222</v>
      </c>
      <c r="Q515" s="16" t="s">
        <v>465</v>
      </c>
      <c r="R515" s="16" t="s">
        <v>466</v>
      </c>
      <c r="S515" s="16" t="s">
        <v>4691</v>
      </c>
      <c r="T515" s="16">
        <v>173325</v>
      </c>
      <c r="U515" s="16">
        <v>46268.015972222223</v>
      </c>
      <c r="V515" s="16" t="s">
        <v>469</v>
      </c>
      <c r="W515" s="16" t="s">
        <v>651</v>
      </c>
      <c r="X515" s="16" t="s">
        <v>652</v>
      </c>
      <c r="Y515" s="16" t="s">
        <v>653</v>
      </c>
      <c r="Z515" s="16" t="s">
        <v>731</v>
      </c>
      <c r="AA515" s="16" t="s">
        <v>474</v>
      </c>
      <c r="AB515" s="16" t="s">
        <v>732</v>
      </c>
      <c r="AC515" s="16" t="s">
        <v>733</v>
      </c>
      <c r="AD515" s="16">
        <v>431343281</v>
      </c>
      <c r="AE515" s="16">
        <v>1467521146</v>
      </c>
      <c r="AF515" s="16"/>
      <c r="AG515" s="16">
        <v>7.4820243371278208E+16</v>
      </c>
      <c r="AH515" s="16"/>
      <c r="AI515" s="16" t="s">
        <v>19</v>
      </c>
      <c r="AJ515" s="16" t="s">
        <v>481</v>
      </c>
      <c r="AK515" s="16" t="s">
        <v>4692</v>
      </c>
      <c r="AL515" s="16">
        <v>28001.599999999999</v>
      </c>
      <c r="AM515" s="16"/>
      <c r="AN515" s="16"/>
      <c r="AO515" s="16">
        <v>799</v>
      </c>
      <c r="AP515" s="16" t="s">
        <v>485</v>
      </c>
      <c r="AQ515" s="16" t="s">
        <v>4693</v>
      </c>
      <c r="AR515" s="3">
        <v>46268</v>
      </c>
      <c r="AS515" s="16" t="s">
        <v>19</v>
      </c>
      <c r="AT515" s="16" t="s">
        <v>4694</v>
      </c>
      <c r="AU515" s="16"/>
      <c r="AV515" s="16" t="s">
        <v>4695</v>
      </c>
      <c r="AW515" s="16"/>
      <c r="AX515" s="16"/>
      <c r="AY515" s="16"/>
      <c r="AZ515" s="16"/>
      <c r="BA515" s="16"/>
      <c r="BB515" s="16"/>
      <c r="BC515" s="16"/>
      <c r="BD515" s="16" t="s">
        <v>19</v>
      </c>
      <c r="BE515" s="16">
        <v>136</v>
      </c>
      <c r="BF515" s="16"/>
      <c r="BG515" s="16"/>
      <c r="BH515" s="16" t="s">
        <v>658</v>
      </c>
      <c r="BI515" s="16">
        <v>799041222</v>
      </c>
      <c r="BJ515" s="16"/>
      <c r="BK515" s="16"/>
      <c r="BL515" s="16"/>
      <c r="BM515" s="16"/>
      <c r="BN515" s="16"/>
      <c r="BO515" s="16"/>
      <c r="BP515" s="16"/>
      <c r="BQ515" s="16"/>
      <c r="BR515" s="16"/>
      <c r="BS515" s="16"/>
      <c r="BT515" s="16"/>
      <c r="BU515" s="16"/>
      <c r="BV515" s="16"/>
      <c r="BW515" s="16"/>
      <c r="BX515" s="16"/>
      <c r="BY515" s="16"/>
      <c r="BZ515" s="16"/>
      <c r="CA515" s="190">
        <v>46275</v>
      </c>
      <c r="CB515" s="3"/>
      <c r="CC515" s="16"/>
      <c r="CD515" s="16"/>
      <c r="CE515" s="16"/>
      <c r="CF515" s="16"/>
      <c r="CG515" s="16"/>
      <c r="CH515" s="16"/>
      <c r="CI515" s="16" t="s">
        <v>4696</v>
      </c>
    </row>
    <row r="516" spans="1:87">
      <c r="A516" s="16"/>
      <c r="B516" s="16"/>
      <c r="C516" s="3">
        <v>46276</v>
      </c>
      <c r="D516" s="16" t="s">
        <v>1</v>
      </c>
      <c r="E516" s="16" t="s">
        <v>4697</v>
      </c>
      <c r="F516" s="16">
        <v>2026219150230</v>
      </c>
      <c r="G516" s="16">
        <v>40</v>
      </c>
      <c r="H516" s="16">
        <v>34</v>
      </c>
      <c r="I516" s="16" t="s">
        <v>460</v>
      </c>
      <c r="J516" s="16" t="s">
        <v>4697</v>
      </c>
      <c r="K516" s="16" t="s">
        <v>540</v>
      </c>
      <c r="L516" s="16" t="s">
        <v>18</v>
      </c>
      <c r="M516" s="16">
        <v>3</v>
      </c>
      <c r="N516" s="16" t="s">
        <v>462</v>
      </c>
      <c r="O516" s="16" t="s">
        <v>562</v>
      </c>
      <c r="P516" s="16" t="s">
        <v>4698</v>
      </c>
      <c r="Q516" s="16" t="s">
        <v>465</v>
      </c>
      <c r="R516" s="16" t="s">
        <v>466</v>
      </c>
      <c r="S516" s="16" t="s">
        <v>4699</v>
      </c>
      <c r="T516" s="16">
        <v>173324</v>
      </c>
      <c r="U516" s="16">
        <v>46266.353472222225</v>
      </c>
      <c r="V516" s="16" t="s">
        <v>469</v>
      </c>
      <c r="W516" s="16" t="s">
        <v>651</v>
      </c>
      <c r="X516" s="16" t="s">
        <v>652</v>
      </c>
      <c r="Y516" s="16" t="s">
        <v>653</v>
      </c>
      <c r="Z516" s="16" t="s">
        <v>590</v>
      </c>
      <c r="AA516" s="16" t="s">
        <v>474</v>
      </c>
      <c r="AB516" s="16" t="s">
        <v>3283</v>
      </c>
      <c r="AC516" s="16" t="s">
        <v>1932</v>
      </c>
      <c r="AD516" s="16">
        <v>621762537</v>
      </c>
      <c r="AE516" s="16">
        <v>1861439952</v>
      </c>
      <c r="AF516" s="16"/>
      <c r="AG516" s="16">
        <v>2.66202606408128E+16</v>
      </c>
      <c r="AH516" s="16"/>
      <c r="AI516" s="16" t="s">
        <v>31</v>
      </c>
      <c r="AJ516" s="16" t="s">
        <v>481</v>
      </c>
      <c r="AK516" s="16" t="s">
        <v>4700</v>
      </c>
      <c r="AL516" s="16">
        <v>205415.75</v>
      </c>
      <c r="AM516" s="16"/>
      <c r="AN516" s="16"/>
      <c r="AO516" s="16" t="s">
        <v>4701</v>
      </c>
      <c r="AP516" s="16" t="s">
        <v>485</v>
      </c>
      <c r="AQ516" s="16" t="s">
        <v>4702</v>
      </c>
      <c r="AR516" s="3">
        <v>46272</v>
      </c>
      <c r="AS516" s="16" t="s">
        <v>31</v>
      </c>
      <c r="AT516" s="16" t="s">
        <v>4703</v>
      </c>
      <c r="AU516" s="16"/>
      <c r="AV516" s="16" t="s">
        <v>4704</v>
      </c>
      <c r="AW516" s="16"/>
      <c r="AX516" s="16"/>
      <c r="AY516" s="16"/>
      <c r="AZ516" s="16"/>
      <c r="BA516" s="16"/>
      <c r="BB516" s="16"/>
      <c r="BC516" s="16"/>
      <c r="BD516" s="16" t="s">
        <v>31</v>
      </c>
      <c r="BE516" s="16">
        <v>34</v>
      </c>
      <c r="BF516" s="16"/>
      <c r="BG516" s="16"/>
      <c r="BH516" s="16" t="s">
        <v>658</v>
      </c>
      <c r="BI516" s="16" t="s">
        <v>4698</v>
      </c>
      <c r="BJ516" s="16"/>
      <c r="BK516" s="16"/>
      <c r="BL516" s="16"/>
      <c r="BM516" s="16"/>
      <c r="BN516" s="16"/>
      <c r="BO516" s="16"/>
      <c r="BP516" s="16"/>
      <c r="BQ516" s="16"/>
      <c r="BR516" s="16"/>
      <c r="BS516" s="16"/>
      <c r="BT516" s="16"/>
      <c r="BU516" s="16"/>
      <c r="BV516" s="16"/>
      <c r="BW516" s="16"/>
      <c r="BX516" s="16"/>
      <c r="BY516" s="16"/>
      <c r="BZ516" s="16"/>
      <c r="CA516" s="190">
        <v>46275</v>
      </c>
      <c r="CB516" s="3"/>
      <c r="CC516" s="16"/>
      <c r="CD516" s="16"/>
      <c r="CE516" s="16"/>
      <c r="CF516" s="16"/>
      <c r="CG516" s="16"/>
      <c r="CH516" s="16"/>
      <c r="CI516" s="16" t="s">
        <v>4705</v>
      </c>
    </row>
    <row r="517" spans="1:87">
      <c r="A517" s="16"/>
      <c r="B517" s="16"/>
      <c r="C517" s="3">
        <v>46276</v>
      </c>
      <c r="D517" s="16" t="s">
        <v>1</v>
      </c>
      <c r="E517" s="16" t="s">
        <v>4706</v>
      </c>
      <c r="F517" s="16">
        <v>2026217050461</v>
      </c>
      <c r="G517" s="16">
        <v>40</v>
      </c>
      <c r="H517" s="16">
        <v>36</v>
      </c>
      <c r="I517" s="16" t="s">
        <v>460</v>
      </c>
      <c r="J517" s="16" t="s">
        <v>4706</v>
      </c>
      <c r="K517" s="16" t="s">
        <v>1040</v>
      </c>
      <c r="L517" s="16" t="s">
        <v>17</v>
      </c>
      <c r="M517" s="16">
        <v>0</v>
      </c>
      <c r="N517" s="16" t="s">
        <v>462</v>
      </c>
      <c r="O517" s="16" t="s">
        <v>606</v>
      </c>
      <c r="P517" s="16" t="s">
        <v>4707</v>
      </c>
      <c r="Q517" s="16" t="s">
        <v>465</v>
      </c>
      <c r="R517" s="16" t="s">
        <v>466</v>
      </c>
      <c r="S517" s="16" t="s">
        <v>4708</v>
      </c>
      <c r="T517" s="16" t="s">
        <v>4709</v>
      </c>
      <c r="U517" s="16">
        <v>46275.00277777778</v>
      </c>
      <c r="V517" s="16" t="s">
        <v>469</v>
      </c>
      <c r="W517" s="16" t="s">
        <v>470</v>
      </c>
      <c r="X517" s="16" t="s">
        <v>471</v>
      </c>
      <c r="Y517" s="16" t="s">
        <v>628</v>
      </c>
      <c r="Z517" s="16" t="s">
        <v>501</v>
      </c>
      <c r="AA517" s="16" t="s">
        <v>474</v>
      </c>
      <c r="AB517" s="16" t="s">
        <v>4710</v>
      </c>
      <c r="AC517" s="16" t="s">
        <v>1294</v>
      </c>
      <c r="AD517" s="16">
        <v>610458376</v>
      </c>
      <c r="AE517" s="16">
        <v>1285621623</v>
      </c>
      <c r="AF517" s="16"/>
      <c r="AG517" s="16"/>
      <c r="AH517" s="16"/>
      <c r="AI517" s="16" t="s">
        <v>173</v>
      </c>
      <c r="AJ517" s="16" t="s">
        <v>481</v>
      </c>
      <c r="AK517" s="16" t="s">
        <v>4711</v>
      </c>
      <c r="AL517" s="16">
        <v>109496.1</v>
      </c>
      <c r="AM517" s="16"/>
      <c r="AN517" s="16"/>
      <c r="AO517" s="16">
        <v>499</v>
      </c>
      <c r="AP517" s="16" t="s">
        <v>485</v>
      </c>
      <c r="AQ517" s="16" t="s">
        <v>4712</v>
      </c>
      <c r="AR517" s="3">
        <v>46275</v>
      </c>
      <c r="AS517" s="16" t="s">
        <v>173</v>
      </c>
      <c r="AT517" s="16" t="s">
        <v>1047</v>
      </c>
      <c r="AU517" s="16"/>
      <c r="AV517" s="16" t="s">
        <v>4713</v>
      </c>
      <c r="AW517" s="16"/>
      <c r="AX517" s="16"/>
      <c r="AY517" s="16"/>
      <c r="AZ517" s="16"/>
      <c r="BA517" s="16"/>
      <c r="BB517" s="16"/>
      <c r="BC517" s="16"/>
      <c r="BD517" s="16" t="s">
        <v>173</v>
      </c>
      <c r="BE517" s="16">
        <v>36</v>
      </c>
      <c r="BF517" s="16"/>
      <c r="BG517" s="16" t="s">
        <v>490</v>
      </c>
      <c r="BH517" s="16" t="s">
        <v>491</v>
      </c>
      <c r="BI517" s="16">
        <v>228923892</v>
      </c>
      <c r="BJ517" s="16"/>
      <c r="BK517" s="16"/>
      <c r="BL517" s="16"/>
      <c r="BM517" s="16"/>
      <c r="BN517" s="16"/>
      <c r="BO517" s="16"/>
      <c r="BP517" s="16"/>
      <c r="BQ517" s="16"/>
      <c r="BR517" s="16"/>
      <c r="BS517" s="16"/>
      <c r="BT517" s="16"/>
      <c r="BU517" s="16"/>
      <c r="BV517" s="16"/>
      <c r="BW517" s="16"/>
      <c r="BX517" s="16"/>
      <c r="BY517" s="16"/>
      <c r="BZ517" s="16"/>
      <c r="CA517" s="190">
        <v>46275</v>
      </c>
      <c r="CB517" s="3"/>
      <c r="CC517" s="16"/>
      <c r="CD517" s="16"/>
      <c r="CE517" s="16"/>
      <c r="CF517" s="16"/>
      <c r="CG517" s="16"/>
      <c r="CH517" s="16"/>
      <c r="CI517" s="16" t="s">
        <v>4714</v>
      </c>
    </row>
    <row r="518" spans="1:87">
      <c r="A518" s="16"/>
      <c r="B518" s="16"/>
      <c r="C518" s="3">
        <v>46276</v>
      </c>
      <c r="D518" s="16" t="s">
        <v>1</v>
      </c>
      <c r="E518" s="16" t="s">
        <v>4715</v>
      </c>
      <c r="F518" s="16">
        <v>2026218540537</v>
      </c>
      <c r="G518" s="16">
        <v>40</v>
      </c>
      <c r="H518" s="16">
        <v>35</v>
      </c>
      <c r="I518" s="16" t="s">
        <v>460</v>
      </c>
      <c r="J518" s="16" t="s">
        <v>4715</v>
      </c>
      <c r="K518" s="16" t="s">
        <v>4716</v>
      </c>
      <c r="L518" s="16" t="s">
        <v>16</v>
      </c>
      <c r="M518" s="16">
        <v>34</v>
      </c>
      <c r="N518" s="16" t="s">
        <v>462</v>
      </c>
      <c r="O518" s="16" t="s">
        <v>4717</v>
      </c>
      <c r="P518" s="16" t="s">
        <v>4718</v>
      </c>
      <c r="Q518" s="16" t="s">
        <v>465</v>
      </c>
      <c r="R518" s="16" t="s">
        <v>466</v>
      </c>
      <c r="S518" s="16" t="s">
        <v>4719</v>
      </c>
      <c r="T518" s="16" t="s">
        <v>4720</v>
      </c>
      <c r="U518" s="16"/>
      <c r="V518" s="16" t="s">
        <v>469</v>
      </c>
      <c r="W518" s="16" t="s">
        <v>470</v>
      </c>
      <c r="X518" s="16" t="s">
        <v>471</v>
      </c>
      <c r="Y518" s="16" t="s">
        <v>523</v>
      </c>
      <c r="Z518" s="16" t="s">
        <v>501</v>
      </c>
      <c r="AA518" s="16" t="s">
        <v>474</v>
      </c>
      <c r="AB518" s="16" t="s">
        <v>4721</v>
      </c>
      <c r="AC518" s="16" t="s">
        <v>592</v>
      </c>
      <c r="AD518" s="16">
        <v>840405257</v>
      </c>
      <c r="AE518" s="16">
        <v>1881358190</v>
      </c>
      <c r="AF518" s="16">
        <v>1932175155</v>
      </c>
      <c r="AG518" s="16"/>
      <c r="AH518" s="16" t="s">
        <v>1076</v>
      </c>
      <c r="AI518" s="16" t="s">
        <v>206</v>
      </c>
      <c r="AJ518" s="16" t="s">
        <v>481</v>
      </c>
      <c r="AK518" s="16" t="s">
        <v>4722</v>
      </c>
      <c r="AL518" s="16">
        <v>509</v>
      </c>
      <c r="AM518" s="16"/>
      <c r="AN518" s="16"/>
      <c r="AO518" s="16">
        <v>664</v>
      </c>
      <c r="AP518" s="16" t="s">
        <v>485</v>
      </c>
      <c r="AQ518" s="16" t="s">
        <v>4723</v>
      </c>
      <c r="AR518" s="3">
        <v>46241</v>
      </c>
      <c r="AS518" s="16" t="s">
        <v>2506</v>
      </c>
      <c r="AT518" s="16" t="s">
        <v>1819</v>
      </c>
      <c r="AU518" s="16"/>
      <c r="AV518" s="16" t="s">
        <v>4724</v>
      </c>
      <c r="AW518" s="16"/>
      <c r="AX518" s="16"/>
      <c r="AY518" s="16"/>
      <c r="AZ518" s="16"/>
      <c r="BA518" s="16"/>
      <c r="BB518" s="16"/>
      <c r="BC518" s="16"/>
      <c r="BD518" s="16" t="s">
        <v>206</v>
      </c>
      <c r="BE518" s="16">
        <v>35</v>
      </c>
      <c r="BF518" s="16"/>
      <c r="BG518" s="16"/>
      <c r="BH518" s="16" t="s">
        <v>491</v>
      </c>
      <c r="BI518" s="16">
        <v>523471941</v>
      </c>
      <c r="BJ518" s="16"/>
      <c r="BK518" s="16"/>
      <c r="BL518" s="16"/>
      <c r="BM518" s="16"/>
      <c r="BN518" s="16"/>
      <c r="BO518" s="16"/>
      <c r="BP518" s="16"/>
      <c r="BQ518" s="16"/>
      <c r="BR518" s="16"/>
      <c r="BS518" s="16"/>
      <c r="BT518" s="16"/>
      <c r="BU518" s="16"/>
      <c r="BV518" s="16"/>
      <c r="BW518" s="16"/>
      <c r="BX518" s="16"/>
      <c r="BY518" s="16"/>
      <c r="BZ518" s="16"/>
      <c r="CA518" s="190">
        <v>46275</v>
      </c>
      <c r="CB518" s="3"/>
      <c r="CC518" s="16"/>
      <c r="CD518" s="16"/>
      <c r="CE518" s="16"/>
      <c r="CF518" s="16"/>
      <c r="CG518" s="16"/>
      <c r="CH518" s="16"/>
      <c r="CI518" s="16" t="s">
        <v>4725</v>
      </c>
    </row>
    <row r="519" spans="1:87">
      <c r="A519" s="16"/>
      <c r="B519" s="16"/>
      <c r="C519" s="3">
        <v>46276</v>
      </c>
      <c r="D519" s="16" t="s">
        <v>1</v>
      </c>
      <c r="E519" s="16" t="s">
        <v>4726</v>
      </c>
      <c r="F519" s="16">
        <v>2026218960543</v>
      </c>
      <c r="G519" s="16">
        <v>40</v>
      </c>
      <c r="H519" s="16">
        <v>35</v>
      </c>
      <c r="I519" s="16" t="s">
        <v>460</v>
      </c>
      <c r="J519" s="16" t="s">
        <v>4726</v>
      </c>
      <c r="K519" s="16" t="s">
        <v>4716</v>
      </c>
      <c r="L519" s="16" t="s">
        <v>16</v>
      </c>
      <c r="M519" s="16">
        <v>34</v>
      </c>
      <c r="N519" s="16" t="s">
        <v>462</v>
      </c>
      <c r="O519" s="16" t="s">
        <v>4717</v>
      </c>
      <c r="P519" s="16" t="s">
        <v>4727</v>
      </c>
      <c r="Q519" s="16" t="s">
        <v>465</v>
      </c>
      <c r="R519" s="16" t="s">
        <v>466</v>
      </c>
      <c r="S519" s="16" t="s">
        <v>4728</v>
      </c>
      <c r="T519" s="16">
        <v>6381</v>
      </c>
      <c r="U519" s="16"/>
      <c r="V519" s="16" t="s">
        <v>469</v>
      </c>
      <c r="W519" s="16" t="s">
        <v>470</v>
      </c>
      <c r="X519" s="16" t="s">
        <v>471</v>
      </c>
      <c r="Y519" s="16" t="s">
        <v>628</v>
      </c>
      <c r="Z519" s="16" t="s">
        <v>501</v>
      </c>
      <c r="AA519" s="16" t="s">
        <v>474</v>
      </c>
      <c r="AB519" s="16" t="s">
        <v>4729</v>
      </c>
      <c r="AC519" s="16" t="s">
        <v>503</v>
      </c>
      <c r="AD519" s="16">
        <v>540911387</v>
      </c>
      <c r="AE519" s="16">
        <v>1336140623</v>
      </c>
      <c r="AF519" s="16">
        <v>1790756534</v>
      </c>
      <c r="AG519" s="16"/>
      <c r="AH519" s="16" t="s">
        <v>1076</v>
      </c>
      <c r="AI519" s="16" t="s">
        <v>206</v>
      </c>
      <c r="AJ519" s="16" t="s">
        <v>481</v>
      </c>
      <c r="AK519" s="16" t="s">
        <v>4730</v>
      </c>
      <c r="AL519" s="16">
        <v>864.08</v>
      </c>
      <c r="AM519" s="16"/>
      <c r="AN519" s="16"/>
      <c r="AO519" s="16">
        <v>237</v>
      </c>
      <c r="AP519" s="16" t="s">
        <v>485</v>
      </c>
      <c r="AQ519" s="16" t="s">
        <v>4731</v>
      </c>
      <c r="AR519" s="3">
        <v>46241</v>
      </c>
      <c r="AS519" s="16" t="s">
        <v>2506</v>
      </c>
      <c r="AT519" s="16" t="s">
        <v>1819</v>
      </c>
      <c r="AU519" s="16"/>
      <c r="AV519" s="16" t="s">
        <v>4732</v>
      </c>
      <c r="AW519" s="16"/>
      <c r="AX519" s="16"/>
      <c r="AY519" s="16"/>
      <c r="AZ519" s="16"/>
      <c r="BA519" s="16"/>
      <c r="BB519" s="16"/>
      <c r="BC519" s="16"/>
      <c r="BD519" s="16" t="s">
        <v>206</v>
      </c>
      <c r="BE519" s="16">
        <v>35</v>
      </c>
      <c r="BF519" s="16"/>
      <c r="BG519" s="16" t="s">
        <v>490</v>
      </c>
      <c r="BH519" s="16" t="s">
        <v>491</v>
      </c>
      <c r="BI519" s="16">
        <v>228925487</v>
      </c>
      <c r="BJ519" s="16"/>
      <c r="BK519" s="16"/>
      <c r="BL519" s="16"/>
      <c r="BM519" s="16"/>
      <c r="BN519" s="16"/>
      <c r="BO519" s="16"/>
      <c r="BP519" s="16"/>
      <c r="BQ519" s="16"/>
      <c r="BR519" s="16"/>
      <c r="BS519" s="16"/>
      <c r="BT519" s="16"/>
      <c r="BU519" s="16"/>
      <c r="BV519" s="16"/>
      <c r="BW519" s="16"/>
      <c r="BX519" s="16"/>
      <c r="BY519" s="16"/>
      <c r="BZ519" s="16"/>
      <c r="CA519" s="190">
        <v>46275</v>
      </c>
      <c r="CB519" s="3"/>
      <c r="CC519" s="16"/>
      <c r="CD519" s="16"/>
      <c r="CE519" s="16"/>
      <c r="CF519" s="16"/>
      <c r="CG519" s="16"/>
      <c r="CH519" s="16"/>
      <c r="CI519" s="16" t="s">
        <v>4733</v>
      </c>
    </row>
    <row r="520" spans="1:87">
      <c r="A520" s="16"/>
      <c r="B520" s="16"/>
      <c r="C520" s="3">
        <v>46276</v>
      </c>
      <c r="D520" s="16" t="s">
        <v>1</v>
      </c>
      <c r="E520" s="16" t="s">
        <v>4734</v>
      </c>
      <c r="F520" s="16">
        <v>2026218440572</v>
      </c>
      <c r="G520" s="16">
        <v>40</v>
      </c>
      <c r="H520" s="16">
        <v>35</v>
      </c>
      <c r="I520" s="16" t="s">
        <v>460</v>
      </c>
      <c r="J520" s="16" t="s">
        <v>4734</v>
      </c>
      <c r="K520" s="16" t="s">
        <v>4716</v>
      </c>
      <c r="L520" s="16" t="s">
        <v>16</v>
      </c>
      <c r="M520" s="16">
        <v>34</v>
      </c>
      <c r="N520" s="16" t="s">
        <v>462</v>
      </c>
      <c r="O520" s="16" t="s">
        <v>4717</v>
      </c>
      <c r="P520" s="16" t="s">
        <v>4735</v>
      </c>
      <c r="Q520" s="16" t="s">
        <v>465</v>
      </c>
      <c r="R520" s="16" t="s">
        <v>466</v>
      </c>
      <c r="S520" s="16" t="s">
        <v>4736</v>
      </c>
      <c r="T520" s="16">
        <v>5930</v>
      </c>
      <c r="U520" s="16"/>
      <c r="V520" s="16" t="s">
        <v>469</v>
      </c>
      <c r="W520" s="16" t="s">
        <v>470</v>
      </c>
      <c r="X520" s="16" t="s">
        <v>471</v>
      </c>
      <c r="Y520" s="16" t="s">
        <v>628</v>
      </c>
      <c r="Z520" s="16" t="s">
        <v>501</v>
      </c>
      <c r="AA520" s="16" t="s">
        <v>474</v>
      </c>
      <c r="AB520" s="16" t="s">
        <v>4737</v>
      </c>
      <c r="AC520" s="16" t="s">
        <v>503</v>
      </c>
      <c r="AD520" s="16">
        <v>611272888</v>
      </c>
      <c r="AE520" s="16">
        <v>1285671248</v>
      </c>
      <c r="AF520" s="16"/>
      <c r="AG520" s="16"/>
      <c r="AH520" s="16" t="s">
        <v>1076</v>
      </c>
      <c r="AI520" s="16" t="s">
        <v>206</v>
      </c>
      <c r="AJ520" s="16" t="s">
        <v>481</v>
      </c>
      <c r="AK520" s="16" t="s">
        <v>4738</v>
      </c>
      <c r="AL520" s="16">
        <v>69944.5</v>
      </c>
      <c r="AM520" s="16"/>
      <c r="AN520" s="16"/>
      <c r="AO520" s="16">
        <v>364</v>
      </c>
      <c r="AP520" s="16" t="s">
        <v>485</v>
      </c>
      <c r="AQ520" s="16" t="s">
        <v>4739</v>
      </c>
      <c r="AR520" s="3">
        <v>46241</v>
      </c>
      <c r="AS520" s="16" t="s">
        <v>2506</v>
      </c>
      <c r="AT520" s="16" t="s">
        <v>1819</v>
      </c>
      <c r="AU520" s="16"/>
      <c r="AV520" s="16" t="s">
        <v>4740</v>
      </c>
      <c r="AW520" s="16"/>
      <c r="AX520" s="16"/>
      <c r="AY520" s="16"/>
      <c r="AZ520" s="16"/>
      <c r="BA520" s="16"/>
      <c r="BB520" s="16"/>
      <c r="BC520" s="16"/>
      <c r="BD520" s="16" t="s">
        <v>206</v>
      </c>
      <c r="BE520" s="16">
        <v>35</v>
      </c>
      <c r="BF520" s="16"/>
      <c r="BG520" s="16"/>
      <c r="BH520" s="16" t="s">
        <v>491</v>
      </c>
      <c r="BI520" s="16">
        <v>224479053</v>
      </c>
      <c r="BJ520" s="16"/>
      <c r="BK520" s="16"/>
      <c r="BL520" s="16"/>
      <c r="BM520" s="16"/>
      <c r="BN520" s="16"/>
      <c r="BO520" s="16"/>
      <c r="BP520" s="16"/>
      <c r="BQ520" s="16"/>
      <c r="BR520" s="16"/>
      <c r="BS520" s="16"/>
      <c r="BT520" s="16"/>
      <c r="BU520" s="16"/>
      <c r="BV520" s="16"/>
      <c r="BW520" s="16"/>
      <c r="BX520" s="16"/>
      <c r="BY520" s="16"/>
      <c r="BZ520" s="16"/>
      <c r="CA520" s="190">
        <v>46275</v>
      </c>
      <c r="CB520" s="3"/>
      <c r="CC520" s="16"/>
      <c r="CD520" s="16"/>
      <c r="CE520" s="16"/>
      <c r="CF520" s="16"/>
      <c r="CG520" s="16"/>
      <c r="CH520" s="16"/>
      <c r="CI520" s="16" t="s">
        <v>4741</v>
      </c>
    </row>
    <row r="521" spans="1:87">
      <c r="A521" s="16"/>
      <c r="B521" s="16"/>
      <c r="C521" s="3">
        <v>46276</v>
      </c>
      <c r="D521" s="16" t="s">
        <v>1</v>
      </c>
      <c r="E521" s="16" t="s">
        <v>4742</v>
      </c>
      <c r="F521" s="16">
        <v>2026230220641</v>
      </c>
      <c r="G521" s="16">
        <v>40</v>
      </c>
      <c r="H521" s="16">
        <v>35</v>
      </c>
      <c r="I521" s="16" t="s">
        <v>460</v>
      </c>
      <c r="J521" s="16" t="s">
        <v>4742</v>
      </c>
      <c r="K521" s="16" t="s">
        <v>983</v>
      </c>
      <c r="L521" s="16" t="s">
        <v>17</v>
      </c>
      <c r="M521" s="16">
        <v>10</v>
      </c>
      <c r="N521" s="16" t="s">
        <v>462</v>
      </c>
      <c r="O521" s="16" t="s">
        <v>4717</v>
      </c>
      <c r="P521" s="16">
        <v>971964035</v>
      </c>
      <c r="Q521" s="16" t="s">
        <v>465</v>
      </c>
      <c r="R521" s="16" t="s">
        <v>466</v>
      </c>
      <c r="S521" s="16" t="s">
        <v>4743</v>
      </c>
      <c r="T521" s="16">
        <v>1116</v>
      </c>
      <c r="U521" s="16"/>
      <c r="V521" s="16" t="s">
        <v>469</v>
      </c>
      <c r="W521" s="16" t="s">
        <v>470</v>
      </c>
      <c r="X521" s="16" t="s">
        <v>471</v>
      </c>
      <c r="Y521" s="16" t="s">
        <v>628</v>
      </c>
      <c r="Z521" s="16" t="s">
        <v>1338</v>
      </c>
      <c r="AA521" s="16" t="s">
        <v>474</v>
      </c>
      <c r="AB521" s="16" t="s">
        <v>4744</v>
      </c>
      <c r="AC521" s="16" t="s">
        <v>1429</v>
      </c>
      <c r="AD521" s="16">
        <v>61356148</v>
      </c>
      <c r="AE521" s="16">
        <v>1043243538</v>
      </c>
      <c r="AF521" s="16"/>
      <c r="AG521" s="16"/>
      <c r="AH521" s="16"/>
      <c r="AI521" s="16" t="s">
        <v>34</v>
      </c>
      <c r="AJ521" s="16" t="s">
        <v>481</v>
      </c>
      <c r="AK521" s="16" t="s">
        <v>4745</v>
      </c>
      <c r="AL521" s="16">
        <v>1512.55</v>
      </c>
      <c r="AM521" s="16"/>
      <c r="AN521" s="16"/>
      <c r="AO521" s="16">
        <v>971</v>
      </c>
      <c r="AP521" s="16" t="s">
        <v>485</v>
      </c>
      <c r="AQ521" s="16" t="s">
        <v>4746</v>
      </c>
      <c r="AR521" s="3">
        <v>46265</v>
      </c>
      <c r="AS521" s="16" t="s">
        <v>4747</v>
      </c>
      <c r="AT521" s="16" t="s">
        <v>4748</v>
      </c>
      <c r="AU521" s="16"/>
      <c r="AV521" s="16"/>
      <c r="AW521" s="16"/>
      <c r="AX521" s="16"/>
      <c r="AY521" s="16"/>
      <c r="AZ521" s="16"/>
      <c r="BA521" s="16"/>
      <c r="BB521" s="16"/>
      <c r="BC521" s="16"/>
      <c r="BD521" s="16" t="s">
        <v>34</v>
      </c>
      <c r="BE521" s="16">
        <v>23</v>
      </c>
      <c r="BF521" s="16"/>
      <c r="BG521" s="16" t="s">
        <v>490</v>
      </c>
      <c r="BH521" s="16" t="s">
        <v>491</v>
      </c>
      <c r="BI521" s="16">
        <v>45646471</v>
      </c>
      <c r="BJ521" s="16"/>
      <c r="BK521" s="16"/>
      <c r="BL521" s="16"/>
      <c r="BM521" s="16"/>
      <c r="BN521" s="16"/>
      <c r="BO521" s="16">
        <v>1499.25</v>
      </c>
      <c r="BP521" s="16"/>
      <c r="BQ521" s="16"/>
      <c r="BR521" s="16"/>
      <c r="BS521" s="16"/>
      <c r="BT521" s="16"/>
      <c r="BU521" s="16"/>
      <c r="BV521" s="16"/>
      <c r="BW521" s="16"/>
      <c r="BX521" s="16"/>
      <c r="BY521" s="16"/>
      <c r="BZ521" s="16"/>
      <c r="CA521" s="190">
        <v>46275</v>
      </c>
      <c r="CB521" s="3"/>
      <c r="CC521" s="16"/>
      <c r="CD521" s="16"/>
      <c r="CE521" s="16"/>
      <c r="CF521" s="16"/>
      <c r="CG521" s="16"/>
      <c r="CH521" s="16"/>
      <c r="CI521" s="16" t="s">
        <v>4749</v>
      </c>
    </row>
    <row r="522" spans="1:87" ht="87">
      <c r="A522" s="16" t="s">
        <v>4</v>
      </c>
      <c r="B522" s="25" t="s">
        <v>4750</v>
      </c>
      <c r="C522" s="3">
        <v>46276</v>
      </c>
      <c r="D522" s="16" t="s">
        <v>1</v>
      </c>
      <c r="E522" s="16" t="s">
        <v>4751</v>
      </c>
      <c r="F522" s="16"/>
      <c r="G522" s="16">
        <v>40</v>
      </c>
      <c r="H522" s="16">
        <v>35</v>
      </c>
      <c r="I522" s="16" t="s">
        <v>460</v>
      </c>
      <c r="J522" s="16" t="s">
        <v>4751</v>
      </c>
      <c r="K522" s="16" t="s">
        <v>3947</v>
      </c>
      <c r="L522" s="16" t="s">
        <v>1760</v>
      </c>
      <c r="M522" s="16">
        <v>1</v>
      </c>
      <c r="N522" s="16" t="s">
        <v>462</v>
      </c>
      <c r="O522" s="16" t="s">
        <v>606</v>
      </c>
      <c r="P522" s="16" t="s">
        <v>4752</v>
      </c>
      <c r="Q522" s="16" t="s">
        <v>1055</v>
      </c>
      <c r="R522" s="16" t="s">
        <v>1350</v>
      </c>
      <c r="S522" s="16" t="s">
        <v>4753</v>
      </c>
      <c r="T522" s="16">
        <v>173325</v>
      </c>
      <c r="U522" s="16">
        <v>46273.882638888892</v>
      </c>
      <c r="V522" s="16" t="s">
        <v>469</v>
      </c>
      <c r="W522" s="16" t="s">
        <v>651</v>
      </c>
      <c r="X522" s="16" t="s">
        <v>652</v>
      </c>
      <c r="Y522" s="16" t="s">
        <v>653</v>
      </c>
      <c r="Z522" s="16" t="s">
        <v>731</v>
      </c>
      <c r="AA522" s="16" t="s">
        <v>474</v>
      </c>
      <c r="AB522" s="16" t="s">
        <v>732</v>
      </c>
      <c r="AC522" s="16" t="s">
        <v>733</v>
      </c>
      <c r="AD522" s="16">
        <v>431343281</v>
      </c>
      <c r="AE522" s="16">
        <v>1467521146</v>
      </c>
      <c r="AF522" s="16"/>
      <c r="AG522" s="16">
        <v>7.4820252611247104E+16</v>
      </c>
      <c r="AH522" s="16"/>
      <c r="AI522" s="16" t="s">
        <v>3951</v>
      </c>
      <c r="AJ522" s="16" t="s">
        <v>481</v>
      </c>
      <c r="AK522" s="16" t="s">
        <v>4754</v>
      </c>
      <c r="AL522" s="16">
        <v>62478.52</v>
      </c>
      <c r="AM522" s="16"/>
      <c r="AN522" s="16"/>
      <c r="AO522" s="16" t="s">
        <v>2154</v>
      </c>
      <c r="AP522" s="16" t="s">
        <v>485</v>
      </c>
      <c r="AQ522" s="16" t="s">
        <v>4755</v>
      </c>
      <c r="AR522" s="3">
        <v>46274</v>
      </c>
      <c r="AS522" s="16" t="s">
        <v>3951</v>
      </c>
      <c r="AT522" s="16" t="s">
        <v>4756</v>
      </c>
      <c r="AU522" s="16"/>
      <c r="AV522" s="16" t="s">
        <v>4695</v>
      </c>
      <c r="AW522" s="16"/>
      <c r="AX522" s="16"/>
      <c r="AY522" s="16"/>
      <c r="AZ522" s="16"/>
      <c r="BA522" s="16"/>
      <c r="BB522" s="16"/>
      <c r="BC522" s="16"/>
      <c r="BD522" s="16" t="s">
        <v>3951</v>
      </c>
      <c r="BE522" s="16">
        <v>35</v>
      </c>
      <c r="BF522" s="16"/>
      <c r="BG522" s="16" t="s">
        <v>490</v>
      </c>
      <c r="BH522" s="16" t="s">
        <v>658</v>
      </c>
      <c r="BI522" s="16" t="s">
        <v>4752</v>
      </c>
      <c r="BJ522" s="16"/>
      <c r="BK522" s="16"/>
      <c r="BL522" s="16"/>
      <c r="BM522" s="16"/>
      <c r="BN522" s="16"/>
      <c r="BO522" s="16"/>
      <c r="BP522" s="16"/>
      <c r="BQ522" s="16"/>
      <c r="BR522" s="16"/>
      <c r="BS522" s="16"/>
      <c r="BT522" s="16"/>
      <c r="BU522" s="16"/>
      <c r="BV522" s="16"/>
      <c r="BW522" s="16"/>
      <c r="BX522" s="16"/>
      <c r="BY522" s="16"/>
      <c r="BZ522" s="16"/>
      <c r="CA522" s="190">
        <v>46285.666666666701</v>
      </c>
      <c r="CB522" s="3"/>
      <c r="CC522" s="16"/>
      <c r="CD522" s="16"/>
      <c r="CE522" s="16"/>
      <c r="CF522" s="16"/>
      <c r="CG522" s="16"/>
      <c r="CH522" s="16"/>
      <c r="CI522" s="16" t="s">
        <v>4757</v>
      </c>
    </row>
    <row r="523" spans="1:87" ht="29.25">
      <c r="A523" s="16" t="s">
        <v>5</v>
      </c>
      <c r="B523" s="25" t="s">
        <v>3493</v>
      </c>
      <c r="C523" s="3">
        <v>46276</v>
      </c>
      <c r="D523" s="16" t="s">
        <v>1</v>
      </c>
      <c r="E523" s="16" t="s">
        <v>4758</v>
      </c>
      <c r="F523" s="16">
        <v>2026218610028</v>
      </c>
      <c r="G523" s="16">
        <v>40</v>
      </c>
      <c r="H523" s="16">
        <v>35</v>
      </c>
      <c r="I523" s="16" t="s">
        <v>460</v>
      </c>
      <c r="J523" s="16" t="s">
        <v>4758</v>
      </c>
      <c r="K523" s="16" t="s">
        <v>461</v>
      </c>
      <c r="L523" s="16" t="s">
        <v>17</v>
      </c>
      <c r="M523" s="16">
        <v>2</v>
      </c>
      <c r="N523" s="16" t="s">
        <v>462</v>
      </c>
      <c r="O523" s="16" t="s">
        <v>606</v>
      </c>
      <c r="P523" s="16">
        <v>814225024</v>
      </c>
      <c r="Q523" s="16" t="s">
        <v>465</v>
      </c>
      <c r="R523" s="16" t="s">
        <v>466</v>
      </c>
      <c r="S523" s="16" t="s">
        <v>4759</v>
      </c>
      <c r="T523" s="16">
        <v>173325</v>
      </c>
      <c r="U523" s="16">
        <v>46272.92083333333</v>
      </c>
      <c r="V523" s="16" t="s">
        <v>469</v>
      </c>
      <c r="W523" s="16" t="s">
        <v>651</v>
      </c>
      <c r="X523" s="16" t="s">
        <v>652</v>
      </c>
      <c r="Y523" s="16" t="s">
        <v>653</v>
      </c>
      <c r="Z523" s="16" t="s">
        <v>731</v>
      </c>
      <c r="AA523" s="16" t="s">
        <v>474</v>
      </c>
      <c r="AB523" s="16" t="s">
        <v>732</v>
      </c>
      <c r="AC523" s="16" t="s">
        <v>733</v>
      </c>
      <c r="AD523" s="16">
        <v>430980256</v>
      </c>
      <c r="AE523" s="16">
        <v>1568481984</v>
      </c>
      <c r="AF523" s="16"/>
      <c r="AG523" s="16">
        <v>7.48202505113592E+16</v>
      </c>
      <c r="AH523" s="16"/>
      <c r="AI523" s="16" t="s">
        <v>67</v>
      </c>
      <c r="AJ523" s="16" t="s">
        <v>481</v>
      </c>
      <c r="AK523" s="16" t="s">
        <v>4760</v>
      </c>
      <c r="AL523" s="16">
        <v>59470.66</v>
      </c>
      <c r="AM523" s="16"/>
      <c r="AN523" s="16"/>
      <c r="AO523" s="16">
        <v>814</v>
      </c>
      <c r="AP523" s="16" t="s">
        <v>485</v>
      </c>
      <c r="AQ523" s="16" t="s">
        <v>4761</v>
      </c>
      <c r="AR523" s="3">
        <v>46273</v>
      </c>
      <c r="AS523" s="16" t="s">
        <v>67</v>
      </c>
      <c r="AT523" s="16" t="s">
        <v>487</v>
      </c>
      <c r="AU523" s="16"/>
      <c r="AV523" s="16" t="s">
        <v>4762</v>
      </c>
      <c r="AW523" s="16"/>
      <c r="AX523" s="16"/>
      <c r="AY523" s="16"/>
      <c r="AZ523" s="16"/>
      <c r="BA523" s="16"/>
      <c r="BB523" s="16"/>
      <c r="BC523" s="16"/>
      <c r="BD523" s="16" t="s">
        <v>67</v>
      </c>
      <c r="BE523" s="16">
        <v>35</v>
      </c>
      <c r="BF523" s="16"/>
      <c r="BG523" s="16"/>
      <c r="BH523" s="16" t="s">
        <v>658</v>
      </c>
      <c r="BI523" s="16">
        <v>814225024</v>
      </c>
      <c r="BJ523" s="16"/>
      <c r="BK523" s="16"/>
      <c r="BL523" s="16"/>
      <c r="BM523" s="16"/>
      <c r="BN523" s="16"/>
      <c r="BO523" s="16"/>
      <c r="BP523" s="16"/>
      <c r="BQ523" s="16"/>
      <c r="BR523" s="16"/>
      <c r="BS523" s="16"/>
      <c r="BT523" s="16"/>
      <c r="BU523" s="16"/>
      <c r="BV523" s="16"/>
      <c r="BW523" s="16"/>
      <c r="BX523" s="16"/>
      <c r="BY523" s="16"/>
      <c r="BZ523" s="16"/>
      <c r="CA523" s="190">
        <v>46275.166666666701</v>
      </c>
      <c r="CB523" s="3"/>
      <c r="CC523" s="16"/>
      <c r="CD523" s="16"/>
      <c r="CE523" s="16"/>
      <c r="CF523" s="16"/>
      <c r="CG523" s="16"/>
      <c r="CH523" s="16"/>
      <c r="CI523" s="16" t="s">
        <v>4763</v>
      </c>
    </row>
    <row r="524" spans="1:87">
      <c r="A524" s="16"/>
      <c r="B524" s="16"/>
      <c r="C524" s="3">
        <v>46276</v>
      </c>
      <c r="D524" s="16" t="s">
        <v>1</v>
      </c>
      <c r="E524" s="16" t="s">
        <v>4764</v>
      </c>
      <c r="F524" s="16">
        <v>2026222970127</v>
      </c>
      <c r="G524" s="16">
        <v>40</v>
      </c>
      <c r="H524" s="16">
        <v>31</v>
      </c>
      <c r="I524" s="16" t="s">
        <v>460</v>
      </c>
      <c r="J524" s="16" t="s">
        <v>4764</v>
      </c>
      <c r="K524" s="16" t="s">
        <v>983</v>
      </c>
      <c r="L524" s="16" t="s">
        <v>17</v>
      </c>
      <c r="M524" s="16">
        <v>29</v>
      </c>
      <c r="N524" s="16" t="s">
        <v>462</v>
      </c>
      <c r="O524" s="16" t="s">
        <v>4717</v>
      </c>
      <c r="P524" s="16">
        <v>840061795</v>
      </c>
      <c r="Q524" s="16" t="s">
        <v>465</v>
      </c>
      <c r="R524" s="16" t="s">
        <v>466</v>
      </c>
      <c r="S524" s="16" t="s">
        <v>4765</v>
      </c>
      <c r="T524" s="16">
        <v>173326</v>
      </c>
      <c r="U524" s="16"/>
      <c r="V524" s="16" t="s">
        <v>469</v>
      </c>
      <c r="W524" s="16" t="s">
        <v>651</v>
      </c>
      <c r="X524" s="16" t="s">
        <v>652</v>
      </c>
      <c r="Y524" s="16" t="s">
        <v>653</v>
      </c>
      <c r="Z524" s="16" t="s">
        <v>473</v>
      </c>
      <c r="AA524" s="16" t="s">
        <v>474</v>
      </c>
      <c r="AB524" s="16" t="s">
        <v>684</v>
      </c>
      <c r="AC524" s="16" t="s">
        <v>476</v>
      </c>
      <c r="AD524" s="16">
        <v>272042610</v>
      </c>
      <c r="AE524" s="16">
        <v>1568787448</v>
      </c>
      <c r="AF524" s="16">
        <v>1124007901</v>
      </c>
      <c r="AG524" s="16">
        <v>4.5820250990980096E+16</v>
      </c>
      <c r="AH524" s="16"/>
      <c r="AI524" s="16" t="s">
        <v>34</v>
      </c>
      <c r="AJ524" s="16" t="s">
        <v>481</v>
      </c>
      <c r="AK524" s="16" t="s">
        <v>4766</v>
      </c>
      <c r="AL524" s="16">
        <v>22151</v>
      </c>
      <c r="AM524" s="16"/>
      <c r="AN524" s="16"/>
      <c r="AO524" s="16">
        <v>840</v>
      </c>
      <c r="AP524" s="16" t="s">
        <v>485</v>
      </c>
      <c r="AQ524" s="16" t="s">
        <v>4767</v>
      </c>
      <c r="AR524" s="3">
        <v>46246</v>
      </c>
      <c r="AS524" s="16" t="s">
        <v>983</v>
      </c>
      <c r="AT524" s="16" t="s">
        <v>4768</v>
      </c>
      <c r="AU524" s="16"/>
      <c r="AV524" s="16" t="s">
        <v>4769</v>
      </c>
      <c r="AW524" s="16"/>
      <c r="AX524" s="16"/>
      <c r="AY524" s="16"/>
      <c r="AZ524" s="16"/>
      <c r="BA524" s="16"/>
      <c r="BB524" s="16"/>
      <c r="BC524" s="16"/>
      <c r="BD524" s="16" t="s">
        <v>34</v>
      </c>
      <c r="BE524" s="16">
        <v>31</v>
      </c>
      <c r="BF524" s="16"/>
      <c r="BG524" s="16"/>
      <c r="BH524" s="16" t="s">
        <v>658</v>
      </c>
      <c r="BI524" s="16">
        <v>840061795</v>
      </c>
      <c r="BJ524" s="16"/>
      <c r="BK524" s="16"/>
      <c r="BL524" s="16"/>
      <c r="BM524" s="16"/>
      <c r="BN524" s="16"/>
      <c r="BO524" s="16"/>
      <c r="BP524" s="16"/>
      <c r="BQ524" s="16"/>
      <c r="BR524" s="16"/>
      <c r="BS524" s="16"/>
      <c r="BT524" s="16"/>
      <c r="BU524" s="16"/>
      <c r="BV524" s="16"/>
      <c r="BW524" s="16"/>
      <c r="BX524" s="16"/>
      <c r="BY524" s="16"/>
      <c r="BZ524" s="16"/>
      <c r="CA524" s="190">
        <v>46275</v>
      </c>
      <c r="CB524" s="3"/>
      <c r="CC524" s="16"/>
      <c r="CD524" s="16"/>
      <c r="CE524" s="16"/>
      <c r="CF524" s="16"/>
      <c r="CG524" s="16"/>
      <c r="CH524" s="16"/>
      <c r="CI524" s="16" t="s">
        <v>4770</v>
      </c>
    </row>
    <row r="525" spans="1:87">
      <c r="A525" s="16"/>
      <c r="B525" s="16"/>
      <c r="C525" s="3">
        <v>46276</v>
      </c>
      <c r="D525" s="16" t="s">
        <v>1</v>
      </c>
      <c r="E525" s="16" t="s">
        <v>4771</v>
      </c>
      <c r="F525" s="16"/>
      <c r="G525" s="16">
        <v>40</v>
      </c>
      <c r="H525" s="16">
        <v>37</v>
      </c>
      <c r="I525" s="16" t="s">
        <v>460</v>
      </c>
      <c r="J525" s="16" t="s">
        <v>4771</v>
      </c>
      <c r="K525" s="16" t="s">
        <v>2871</v>
      </c>
      <c r="L525" s="16" t="s">
        <v>18</v>
      </c>
      <c r="M525" s="16">
        <v>3</v>
      </c>
      <c r="N525" s="16" t="s">
        <v>462</v>
      </c>
      <c r="O525" s="16" t="s">
        <v>497</v>
      </c>
      <c r="P525" s="16">
        <v>821243763</v>
      </c>
      <c r="Q525" s="16" t="s">
        <v>465</v>
      </c>
      <c r="R525" s="16" t="s">
        <v>1056</v>
      </c>
      <c r="S525" s="16" t="s">
        <v>4772</v>
      </c>
      <c r="T525" s="16">
        <v>173327</v>
      </c>
      <c r="U525" s="16">
        <v>46272.703472222223</v>
      </c>
      <c r="V525" s="16" t="s">
        <v>469</v>
      </c>
      <c r="W525" s="16" t="s">
        <v>651</v>
      </c>
      <c r="X525" s="16" t="s">
        <v>652</v>
      </c>
      <c r="Y525" s="16" t="s">
        <v>653</v>
      </c>
      <c r="Z525" s="16" t="s">
        <v>524</v>
      </c>
      <c r="AA525" s="16" t="s">
        <v>1354</v>
      </c>
      <c r="AB525" s="16" t="s">
        <v>757</v>
      </c>
      <c r="AC525" s="16" t="s">
        <v>526</v>
      </c>
      <c r="AD525" s="16">
        <v>310621866</v>
      </c>
      <c r="AE525" s="16">
        <v>1023587045</v>
      </c>
      <c r="AF525" s="16"/>
      <c r="AG525" s="16">
        <v>3.3020242912649E+16</v>
      </c>
      <c r="AH525" s="16"/>
      <c r="AI525" s="16" t="s">
        <v>143</v>
      </c>
      <c r="AJ525" s="16" t="s">
        <v>481</v>
      </c>
      <c r="AK525" s="16" t="s">
        <v>4773</v>
      </c>
      <c r="AL525" s="16">
        <v>59738.07</v>
      </c>
      <c r="AM525" s="16"/>
      <c r="AN525" s="16"/>
      <c r="AO525" s="16">
        <v>821</v>
      </c>
      <c r="AP525" s="16" t="s">
        <v>1063</v>
      </c>
      <c r="AQ525" s="16" t="s">
        <v>4774</v>
      </c>
      <c r="AR525" s="3">
        <v>46272</v>
      </c>
      <c r="AS525" s="16" t="s">
        <v>143</v>
      </c>
      <c r="AT525" s="16" t="s">
        <v>2285</v>
      </c>
      <c r="AU525" s="16"/>
      <c r="AV525" s="16" t="s">
        <v>4775</v>
      </c>
      <c r="AW525" s="16"/>
      <c r="AX525" s="16"/>
      <c r="AY525" s="16"/>
      <c r="AZ525" s="16"/>
      <c r="BA525" s="16"/>
      <c r="BB525" s="16"/>
      <c r="BC525" s="16"/>
      <c r="BD525" s="16" t="s">
        <v>143</v>
      </c>
      <c r="BE525" s="16">
        <v>37</v>
      </c>
      <c r="BF525" s="16"/>
      <c r="BG525" s="16" t="s">
        <v>490</v>
      </c>
      <c r="BH525" s="16" t="s">
        <v>658</v>
      </c>
      <c r="BI525" s="16">
        <v>821243763</v>
      </c>
      <c r="BJ525" s="16"/>
      <c r="BK525" s="16"/>
      <c r="BL525" s="16"/>
      <c r="BM525" s="16"/>
      <c r="BN525" s="16"/>
      <c r="BO525" s="16"/>
      <c r="BP525" s="16"/>
      <c r="BQ525" s="16"/>
      <c r="BR525" s="16"/>
      <c r="BS525" s="16"/>
      <c r="BT525" s="16"/>
      <c r="BU525" s="16"/>
      <c r="BV525" s="16"/>
      <c r="BW525" s="16"/>
      <c r="BX525" s="16"/>
      <c r="BY525" s="16"/>
      <c r="BZ525" s="16"/>
      <c r="CA525" s="190">
        <v>46275</v>
      </c>
      <c r="CB525" s="3"/>
      <c r="CC525" s="16"/>
      <c r="CD525" s="16"/>
      <c r="CE525" s="16"/>
      <c r="CF525" s="16"/>
      <c r="CG525" s="16"/>
      <c r="CH525" s="16"/>
      <c r="CI525" s="16" t="s">
        <v>4776</v>
      </c>
    </row>
    <row r="526" spans="1:87">
      <c r="A526" s="16"/>
      <c r="B526" s="16"/>
      <c r="C526" s="3">
        <v>46276</v>
      </c>
      <c r="D526" s="16" t="s">
        <v>1</v>
      </c>
      <c r="E526" s="16" t="s">
        <v>4777</v>
      </c>
      <c r="F526" s="16">
        <v>2026220810176</v>
      </c>
      <c r="G526" s="16">
        <v>40</v>
      </c>
      <c r="H526" s="16">
        <v>33</v>
      </c>
      <c r="I526" s="16" t="s">
        <v>460</v>
      </c>
      <c r="J526" s="16" t="s">
        <v>4777</v>
      </c>
      <c r="K526" s="16" t="s">
        <v>3416</v>
      </c>
      <c r="L526" s="16" t="s">
        <v>1760</v>
      </c>
      <c r="M526" s="16">
        <v>1</v>
      </c>
      <c r="N526" s="16" t="s">
        <v>462</v>
      </c>
      <c r="O526" s="16" t="s">
        <v>606</v>
      </c>
      <c r="P526" s="16">
        <v>922478614</v>
      </c>
      <c r="Q526" s="16" t="s">
        <v>465</v>
      </c>
      <c r="R526" s="16" t="s">
        <v>466</v>
      </c>
      <c r="S526" s="16" t="s">
        <v>4778</v>
      </c>
      <c r="T526" s="16">
        <v>173328</v>
      </c>
      <c r="U526" s="16">
        <v>46274.659722222219</v>
      </c>
      <c r="V526" s="16" t="s">
        <v>469</v>
      </c>
      <c r="W526" s="16" t="s">
        <v>651</v>
      </c>
      <c r="X526" s="16" t="s">
        <v>652</v>
      </c>
      <c r="Y526" s="16" t="s">
        <v>653</v>
      </c>
      <c r="Z526" s="16" t="s">
        <v>638</v>
      </c>
      <c r="AA526" s="16" t="s">
        <v>474</v>
      </c>
      <c r="AB526" s="16" t="s">
        <v>743</v>
      </c>
      <c r="AC526" s="16" t="s">
        <v>465</v>
      </c>
      <c r="AD526" s="16">
        <v>270426722</v>
      </c>
      <c r="AE526" s="16">
        <v>1902134372</v>
      </c>
      <c r="AF526" s="16"/>
      <c r="AG526" s="16">
        <v>1.31202509205369E+16</v>
      </c>
      <c r="AH526" s="16"/>
      <c r="AI526" s="16" t="s">
        <v>3421</v>
      </c>
      <c r="AJ526" s="16" t="s">
        <v>481</v>
      </c>
      <c r="AK526" s="16" t="s">
        <v>4779</v>
      </c>
      <c r="AL526" s="16">
        <v>32024.23</v>
      </c>
      <c r="AM526" s="16"/>
      <c r="AN526" s="16"/>
      <c r="AO526" s="16">
        <v>922</v>
      </c>
      <c r="AP526" s="16" t="s">
        <v>485</v>
      </c>
      <c r="AQ526" s="16" t="s">
        <v>4780</v>
      </c>
      <c r="AR526" s="3">
        <v>46274</v>
      </c>
      <c r="AS526" s="16" t="s">
        <v>3421</v>
      </c>
      <c r="AT526" s="16" t="s">
        <v>516</v>
      </c>
      <c r="AU526" s="16"/>
      <c r="AV526" s="16" t="s">
        <v>2075</v>
      </c>
      <c r="AW526" s="16"/>
      <c r="AX526" s="16"/>
      <c r="AY526" s="16"/>
      <c r="AZ526" s="16"/>
      <c r="BA526" s="16"/>
      <c r="BB526" s="16"/>
      <c r="BC526" s="16"/>
      <c r="BD526" s="16" t="s">
        <v>3421</v>
      </c>
      <c r="BE526" s="16">
        <v>33</v>
      </c>
      <c r="BF526" s="16"/>
      <c r="BG526" s="16" t="s">
        <v>490</v>
      </c>
      <c r="BH526" s="16" t="s">
        <v>658</v>
      </c>
      <c r="BI526" s="16">
        <v>922478614</v>
      </c>
      <c r="BJ526" s="16"/>
      <c r="BK526" s="16"/>
      <c r="BL526" s="16"/>
      <c r="BM526" s="16"/>
      <c r="BN526" s="16"/>
      <c r="BO526" s="16"/>
      <c r="BP526" s="16"/>
      <c r="BQ526" s="16"/>
      <c r="BR526" s="16"/>
      <c r="BS526" s="16"/>
      <c r="BT526" s="16"/>
      <c r="BU526" s="16"/>
      <c r="BV526" s="16"/>
      <c r="BW526" s="16"/>
      <c r="BX526" s="16"/>
      <c r="BY526" s="16"/>
      <c r="BZ526" s="16"/>
      <c r="CA526" s="190">
        <v>46275</v>
      </c>
      <c r="CB526" s="3"/>
      <c r="CC526" s="16"/>
      <c r="CD526" s="16"/>
      <c r="CE526" s="16"/>
      <c r="CF526" s="16"/>
      <c r="CG526" s="16"/>
      <c r="CH526" s="16"/>
      <c r="CI526" s="16" t="s">
        <v>4781</v>
      </c>
    </row>
    <row r="527" spans="1:87" ht="29.25">
      <c r="A527" s="16" t="s">
        <v>5</v>
      </c>
      <c r="B527" s="25" t="s">
        <v>3544</v>
      </c>
      <c r="C527" s="3">
        <v>46276</v>
      </c>
      <c r="D527" s="16" t="s">
        <v>1</v>
      </c>
      <c r="E527" s="16" t="s">
        <v>4782</v>
      </c>
      <c r="F527" s="16">
        <v>2026208070158</v>
      </c>
      <c r="G527" s="16">
        <v>40</v>
      </c>
      <c r="H527" s="16">
        <v>45</v>
      </c>
      <c r="I527" s="16" t="s">
        <v>460</v>
      </c>
      <c r="J527" s="16" t="e">
        <v>#N/A</v>
      </c>
      <c r="K527" s="16" t="s">
        <v>1555</v>
      </c>
      <c r="L527" s="16" t="s">
        <v>17</v>
      </c>
      <c r="M527" s="16">
        <v>0</v>
      </c>
      <c r="N527" s="16" t="s">
        <v>462</v>
      </c>
      <c r="O527" s="16" t="s">
        <v>606</v>
      </c>
      <c r="P527" s="16">
        <v>849862503</v>
      </c>
      <c r="Q527" s="16" t="s">
        <v>465</v>
      </c>
      <c r="R527" s="16" t="s">
        <v>466</v>
      </c>
      <c r="S527" s="16" t="s">
        <v>4783</v>
      </c>
      <c r="T527" s="16">
        <v>173328</v>
      </c>
      <c r="U527" s="16">
        <v>46274.865972222222</v>
      </c>
      <c r="V527" s="16" t="s">
        <v>469</v>
      </c>
      <c r="W527" s="16" t="s">
        <v>651</v>
      </c>
      <c r="X527" s="16" t="s">
        <v>652</v>
      </c>
      <c r="Y527" s="16" t="s">
        <v>653</v>
      </c>
      <c r="Z527" s="16" t="s">
        <v>638</v>
      </c>
      <c r="AA527" s="16" t="s">
        <v>474</v>
      </c>
      <c r="AB527" s="16" t="s">
        <v>743</v>
      </c>
      <c r="AC527" s="16" t="s">
        <v>465</v>
      </c>
      <c r="AD527" s="16">
        <v>270426722</v>
      </c>
      <c r="AE527" s="16">
        <v>1902134372</v>
      </c>
      <c r="AF527" s="16"/>
      <c r="AG527" s="16">
        <v>1.31202422201874E+16</v>
      </c>
      <c r="AH527" s="16"/>
      <c r="AI527" s="16" t="s">
        <v>32</v>
      </c>
      <c r="AJ527" s="16" t="s">
        <v>481</v>
      </c>
      <c r="AK527" s="16" t="s">
        <v>4784</v>
      </c>
      <c r="AL527" s="16">
        <v>61131.199999999997</v>
      </c>
      <c r="AM527" s="16"/>
      <c r="AN527" s="16"/>
      <c r="AO527" s="16">
        <v>849</v>
      </c>
      <c r="AP527" s="16" t="s">
        <v>485</v>
      </c>
      <c r="AQ527" s="16" t="s">
        <v>4785</v>
      </c>
      <c r="AR527" s="3">
        <v>46275</v>
      </c>
      <c r="AS527" s="16" t="s">
        <v>32</v>
      </c>
      <c r="AT527" s="16" t="s">
        <v>1038</v>
      </c>
      <c r="AU527" s="16"/>
      <c r="AV527" s="16" t="s">
        <v>2075</v>
      </c>
      <c r="AW527" s="16"/>
      <c r="AX527" s="16"/>
      <c r="AY527" s="16"/>
      <c r="AZ527" s="16"/>
      <c r="BA527" s="16"/>
      <c r="BB527" s="16"/>
      <c r="BC527" s="16"/>
      <c r="BD527" s="16" t="s">
        <v>32</v>
      </c>
      <c r="BE527" s="16">
        <v>45</v>
      </c>
      <c r="BF527" s="16"/>
      <c r="BG527" s="16" t="s">
        <v>490</v>
      </c>
      <c r="BH527" s="16" t="s">
        <v>658</v>
      </c>
      <c r="BI527" s="16">
        <v>849862503</v>
      </c>
      <c r="BJ527" s="16"/>
      <c r="BK527" s="16"/>
      <c r="BL527" s="16"/>
      <c r="BM527" s="16"/>
      <c r="BN527" s="16"/>
      <c r="BO527" s="16"/>
      <c r="BP527" s="16"/>
      <c r="BQ527" s="16"/>
      <c r="BR527" s="16"/>
      <c r="BS527" s="16"/>
      <c r="BT527" s="16"/>
      <c r="BU527" s="16"/>
      <c r="BV527" s="16"/>
      <c r="BW527" s="16"/>
      <c r="BX527" s="16"/>
      <c r="BY527" s="16"/>
      <c r="BZ527" s="16"/>
      <c r="CA527" s="190">
        <v>46285.666666666701</v>
      </c>
      <c r="CB527" s="3"/>
      <c r="CC527" s="16"/>
      <c r="CD527" s="16"/>
      <c r="CE527" s="16"/>
      <c r="CF527" s="16"/>
      <c r="CG527" s="16"/>
      <c r="CH527" s="16"/>
      <c r="CI527" s="16" t="s">
        <v>4786</v>
      </c>
    </row>
    <row r="528" spans="1:87">
      <c r="A528" s="16"/>
      <c r="B528" s="16"/>
      <c r="C528" s="3">
        <v>46276</v>
      </c>
      <c r="D528" s="16" t="s">
        <v>1</v>
      </c>
      <c r="E528" s="16" t="s">
        <v>4787</v>
      </c>
      <c r="F528" s="16">
        <v>2026219040091</v>
      </c>
      <c r="G528" s="16">
        <v>40</v>
      </c>
      <c r="H528" s="16">
        <v>34</v>
      </c>
      <c r="I528" s="16" t="s">
        <v>460</v>
      </c>
      <c r="J528" s="16" t="s">
        <v>4787</v>
      </c>
      <c r="K528" s="16" t="s">
        <v>540</v>
      </c>
      <c r="L528" s="16" t="s">
        <v>18</v>
      </c>
      <c r="M528" s="16">
        <v>3</v>
      </c>
      <c r="N528" s="16" t="s">
        <v>462</v>
      </c>
      <c r="O528" s="16" t="s">
        <v>606</v>
      </c>
      <c r="P528" s="16" t="s">
        <v>4788</v>
      </c>
      <c r="Q528" s="16" t="s">
        <v>564</v>
      </c>
      <c r="R528" s="16" t="s">
        <v>466</v>
      </c>
      <c r="S528" s="16" t="s">
        <v>4789</v>
      </c>
      <c r="T528" s="16">
        <v>174273</v>
      </c>
      <c r="U528" s="16">
        <v>46265.294444444444</v>
      </c>
      <c r="V528" s="16" t="s">
        <v>469</v>
      </c>
      <c r="W528" s="16" t="s">
        <v>568</v>
      </c>
      <c r="X528" s="16" t="s">
        <v>471</v>
      </c>
      <c r="Y528" s="16" t="s">
        <v>1724</v>
      </c>
      <c r="Z528" s="16" t="s">
        <v>570</v>
      </c>
      <c r="AA528" s="16" t="s">
        <v>474</v>
      </c>
      <c r="AB528" s="16" t="s">
        <v>4790</v>
      </c>
      <c r="AC528" s="16" t="s">
        <v>546</v>
      </c>
      <c r="AD528" s="16">
        <v>260593928</v>
      </c>
      <c r="AE528" s="16">
        <v>1275729691</v>
      </c>
      <c r="AF528" s="16">
        <v>1780649616</v>
      </c>
      <c r="AG528" s="16"/>
      <c r="AH528" s="16"/>
      <c r="AI528" s="16" t="s">
        <v>31</v>
      </c>
      <c r="AJ528" s="16" t="s">
        <v>481</v>
      </c>
      <c r="AK528" s="16" t="s">
        <v>4791</v>
      </c>
      <c r="AL528" s="16">
        <v>3016.25</v>
      </c>
      <c r="AM528" s="16"/>
      <c r="AN528" s="16"/>
      <c r="AO528" s="16">
        <v>263</v>
      </c>
      <c r="AP528" s="16" t="s">
        <v>485</v>
      </c>
      <c r="AQ528" s="16" t="s">
        <v>4792</v>
      </c>
      <c r="AR528" s="3">
        <v>46272</v>
      </c>
      <c r="AS528" s="16" t="s">
        <v>31</v>
      </c>
      <c r="AT528" s="16" t="s">
        <v>4793</v>
      </c>
      <c r="AU528" s="16"/>
      <c r="AV528" s="16" t="s">
        <v>4794</v>
      </c>
      <c r="AW528" s="16"/>
      <c r="AX528" s="16"/>
      <c r="AY528" s="16"/>
      <c r="AZ528" s="16"/>
      <c r="BA528" s="16"/>
      <c r="BB528" s="16"/>
      <c r="BC528" s="16"/>
      <c r="BD528" s="16" t="s">
        <v>31</v>
      </c>
      <c r="BE528" s="16">
        <v>34</v>
      </c>
      <c r="BF528" s="16"/>
      <c r="BG528" s="16" t="s">
        <v>490</v>
      </c>
      <c r="BH528" s="16" t="s">
        <v>491</v>
      </c>
      <c r="BI528" s="16">
        <v>257310269</v>
      </c>
      <c r="BJ528" s="16"/>
      <c r="BK528" s="16"/>
      <c r="BL528" s="16"/>
      <c r="BM528" s="16"/>
      <c r="BN528" s="16"/>
      <c r="BO528" s="16"/>
      <c r="BP528" s="16"/>
      <c r="BQ528" s="16"/>
      <c r="BR528" s="16"/>
      <c r="BS528" s="16"/>
      <c r="BT528" s="16"/>
      <c r="BU528" s="16"/>
      <c r="BV528" s="16"/>
      <c r="BW528" s="16"/>
      <c r="BX528" s="16"/>
      <c r="BY528" s="16"/>
      <c r="BZ528" s="16"/>
      <c r="CA528" s="190">
        <v>46275</v>
      </c>
      <c r="CB528" s="3"/>
      <c r="CC528" s="16"/>
      <c r="CD528" s="16"/>
      <c r="CE528" s="16"/>
      <c r="CF528" s="16"/>
      <c r="CG528" s="16"/>
      <c r="CH528" s="16"/>
      <c r="CI528" s="16" t="s">
        <v>4795</v>
      </c>
    </row>
    <row r="529" spans="1:87">
      <c r="A529" s="16"/>
      <c r="B529" s="16"/>
      <c r="C529" s="3">
        <v>46276</v>
      </c>
      <c r="D529" s="16" t="s">
        <v>1</v>
      </c>
      <c r="E529" s="16" t="s">
        <v>4796</v>
      </c>
      <c r="F529" s="16">
        <v>2026219500073</v>
      </c>
      <c r="G529" s="16">
        <v>40</v>
      </c>
      <c r="H529" s="16">
        <v>34</v>
      </c>
      <c r="I529" s="16" t="s">
        <v>460</v>
      </c>
      <c r="J529" s="16" t="s">
        <v>4796</v>
      </c>
      <c r="K529" s="16" t="s">
        <v>540</v>
      </c>
      <c r="L529" s="16" t="s">
        <v>18</v>
      </c>
      <c r="M529" s="16">
        <v>3</v>
      </c>
      <c r="N529" s="16" t="s">
        <v>462</v>
      </c>
      <c r="O529" s="16" t="s">
        <v>606</v>
      </c>
      <c r="P529" s="16" t="s">
        <v>4788</v>
      </c>
      <c r="Q529" s="16" t="s">
        <v>564</v>
      </c>
      <c r="R529" s="16" t="s">
        <v>466</v>
      </c>
      <c r="S529" s="16" t="s">
        <v>4797</v>
      </c>
      <c r="T529" s="16">
        <v>174273</v>
      </c>
      <c r="U529" s="16">
        <v>46265.293055555558</v>
      </c>
      <c r="V529" s="16" t="s">
        <v>469</v>
      </c>
      <c r="W529" s="16" t="s">
        <v>568</v>
      </c>
      <c r="X529" s="16" t="s">
        <v>471</v>
      </c>
      <c r="Y529" s="16" t="s">
        <v>1724</v>
      </c>
      <c r="Z529" s="16" t="s">
        <v>570</v>
      </c>
      <c r="AA529" s="16" t="s">
        <v>474</v>
      </c>
      <c r="AB529" s="16" t="s">
        <v>4790</v>
      </c>
      <c r="AC529" s="16" t="s">
        <v>546</v>
      </c>
      <c r="AD529" s="16">
        <v>260593928</v>
      </c>
      <c r="AE529" s="16">
        <v>1275729691</v>
      </c>
      <c r="AF529" s="16">
        <v>1366605552</v>
      </c>
      <c r="AG529" s="16"/>
      <c r="AH529" s="16"/>
      <c r="AI529" s="16" t="s">
        <v>31</v>
      </c>
      <c r="AJ529" s="16" t="s">
        <v>481</v>
      </c>
      <c r="AK529" s="16" t="s">
        <v>4798</v>
      </c>
      <c r="AL529" s="16">
        <v>3016.25</v>
      </c>
      <c r="AM529" s="16"/>
      <c r="AN529" s="16"/>
      <c r="AO529" s="16">
        <v>263</v>
      </c>
      <c r="AP529" s="16" t="s">
        <v>485</v>
      </c>
      <c r="AQ529" s="16" t="s">
        <v>4799</v>
      </c>
      <c r="AR529" s="3">
        <v>46272</v>
      </c>
      <c r="AS529" s="16" t="s">
        <v>31</v>
      </c>
      <c r="AT529" s="16" t="s">
        <v>4793</v>
      </c>
      <c r="AU529" s="16"/>
      <c r="AV529" s="16" t="s">
        <v>4800</v>
      </c>
      <c r="AW529" s="16"/>
      <c r="AX529" s="16"/>
      <c r="AY529" s="16"/>
      <c r="AZ529" s="16"/>
      <c r="BA529" s="16"/>
      <c r="BB529" s="16"/>
      <c r="BC529" s="16"/>
      <c r="BD529" s="16" t="s">
        <v>31</v>
      </c>
      <c r="BE529" s="16">
        <v>34</v>
      </c>
      <c r="BF529" s="16"/>
      <c r="BG529" s="16" t="s">
        <v>490</v>
      </c>
      <c r="BH529" s="16" t="s">
        <v>491</v>
      </c>
      <c r="BI529" s="16">
        <v>257310269</v>
      </c>
      <c r="BJ529" s="16"/>
      <c r="BK529" s="16"/>
      <c r="BL529" s="16"/>
      <c r="BM529" s="16"/>
      <c r="BN529" s="16"/>
      <c r="BO529" s="16"/>
      <c r="BP529" s="16"/>
      <c r="BQ529" s="16"/>
      <c r="BR529" s="16"/>
      <c r="BS529" s="16"/>
      <c r="BT529" s="16"/>
      <c r="BU529" s="16"/>
      <c r="BV529" s="16"/>
      <c r="BW529" s="16"/>
      <c r="BX529" s="16"/>
      <c r="BY529" s="16"/>
      <c r="BZ529" s="16"/>
      <c r="CA529" s="190">
        <v>46275</v>
      </c>
      <c r="CB529" s="3"/>
      <c r="CC529" s="16"/>
      <c r="CD529" s="16"/>
      <c r="CE529" s="16"/>
      <c r="CF529" s="16"/>
      <c r="CG529" s="16"/>
      <c r="CH529" s="16"/>
      <c r="CI529" s="16" t="s">
        <v>4801</v>
      </c>
    </row>
    <row r="530" spans="1:87">
      <c r="A530" s="16"/>
      <c r="B530" s="16"/>
      <c r="C530" s="3">
        <v>46276</v>
      </c>
      <c r="D530" s="16" t="s">
        <v>1</v>
      </c>
      <c r="E530" s="16" t="s">
        <v>4802</v>
      </c>
      <c r="F530" s="16">
        <v>2026217950334</v>
      </c>
      <c r="G530" s="16">
        <v>40</v>
      </c>
      <c r="H530" s="16">
        <v>36</v>
      </c>
      <c r="I530" s="16" t="s">
        <v>460</v>
      </c>
      <c r="J530" s="16" t="s">
        <v>4802</v>
      </c>
      <c r="K530" s="16" t="s">
        <v>741</v>
      </c>
      <c r="L530" s="16" t="s">
        <v>13</v>
      </c>
      <c r="M530" s="16">
        <v>6</v>
      </c>
      <c r="N530" s="16" t="s">
        <v>462</v>
      </c>
      <c r="O530" s="16" t="s">
        <v>606</v>
      </c>
      <c r="P530" s="16" t="s">
        <v>4803</v>
      </c>
      <c r="Q530" s="16" t="s">
        <v>465</v>
      </c>
      <c r="R530" s="16" t="s">
        <v>466</v>
      </c>
      <c r="S530" s="16" t="s">
        <v>4804</v>
      </c>
      <c r="T530" s="16">
        <v>213062</v>
      </c>
      <c r="U530" s="16">
        <v>46268.819444444445</v>
      </c>
      <c r="V530" s="16" t="s">
        <v>469</v>
      </c>
      <c r="W530" s="16" t="s">
        <v>568</v>
      </c>
      <c r="X530" s="16" t="s">
        <v>471</v>
      </c>
      <c r="Y530" s="16" t="s">
        <v>4805</v>
      </c>
      <c r="Z530" s="16" t="s">
        <v>638</v>
      </c>
      <c r="AA530" s="16" t="s">
        <v>474</v>
      </c>
      <c r="AB530" s="16" t="s">
        <v>4806</v>
      </c>
      <c r="AC530" s="16" t="s">
        <v>465</v>
      </c>
      <c r="AD530" s="16">
        <v>351955872</v>
      </c>
      <c r="AE530" s="16">
        <v>1144266024</v>
      </c>
      <c r="AF530" s="16"/>
      <c r="AG530" s="16"/>
      <c r="AH530" s="16" t="s">
        <v>1076</v>
      </c>
      <c r="AI530" s="16" t="s">
        <v>290</v>
      </c>
      <c r="AJ530" s="16" t="s">
        <v>481</v>
      </c>
      <c r="AK530" s="16" t="s">
        <v>4807</v>
      </c>
      <c r="AL530" s="16">
        <v>328078.68</v>
      </c>
      <c r="AM530" s="16"/>
      <c r="AN530" s="16"/>
      <c r="AO530" s="16" t="s">
        <v>4808</v>
      </c>
      <c r="AP530" s="16" t="s">
        <v>485</v>
      </c>
      <c r="AQ530" s="16" t="s">
        <v>4809</v>
      </c>
      <c r="AR530" s="3">
        <v>46269</v>
      </c>
      <c r="AS530" s="16" t="s">
        <v>290</v>
      </c>
      <c r="AT530" s="16" t="s">
        <v>516</v>
      </c>
      <c r="AU530" s="16"/>
      <c r="AV530" s="16" t="s">
        <v>4592</v>
      </c>
      <c r="AW530" s="16"/>
      <c r="AX530" s="16"/>
      <c r="AY530" s="16"/>
      <c r="AZ530" s="16"/>
      <c r="BA530" s="16"/>
      <c r="BB530" s="16"/>
      <c r="BC530" s="16"/>
      <c r="BD530" s="16" t="s">
        <v>290</v>
      </c>
      <c r="BE530" s="16">
        <v>36</v>
      </c>
      <c r="BF530" s="16"/>
      <c r="BG530" s="16"/>
      <c r="BH530" s="16" t="s">
        <v>491</v>
      </c>
      <c r="BI530" s="16">
        <v>355843525</v>
      </c>
      <c r="BJ530" s="16"/>
      <c r="BK530" s="16"/>
      <c r="BL530" s="16"/>
      <c r="BM530" s="16"/>
      <c r="BN530" s="16"/>
      <c r="BO530" s="16"/>
      <c r="BP530" s="16"/>
      <c r="BQ530" s="16"/>
      <c r="BR530" s="16"/>
      <c r="BS530" s="16"/>
      <c r="BT530" s="16"/>
      <c r="BU530" s="16"/>
      <c r="BV530" s="16"/>
      <c r="BW530" s="16"/>
      <c r="BX530" s="16"/>
      <c r="BY530" s="16"/>
      <c r="BZ530" s="16"/>
      <c r="CA530" s="190">
        <v>46275</v>
      </c>
      <c r="CB530" s="3"/>
      <c r="CC530" s="16"/>
      <c r="CD530" s="16"/>
      <c r="CE530" s="16"/>
      <c r="CF530" s="16"/>
      <c r="CG530" s="16"/>
      <c r="CH530" s="16"/>
      <c r="CI530" s="16" t="s">
        <v>4810</v>
      </c>
    </row>
    <row r="531" spans="1:87">
      <c r="A531" s="16" t="s">
        <v>5</v>
      </c>
      <c r="B531" s="16" t="s">
        <v>2395</v>
      </c>
      <c r="C531" s="3">
        <v>46276</v>
      </c>
      <c r="D531" s="16" t="s">
        <v>1</v>
      </c>
      <c r="E531" s="16" t="s">
        <v>4811</v>
      </c>
      <c r="F531" s="16">
        <v>2026218430441</v>
      </c>
      <c r="G531" s="16">
        <v>40</v>
      </c>
      <c r="H531" s="16">
        <v>35</v>
      </c>
      <c r="I531" s="16" t="s">
        <v>460</v>
      </c>
      <c r="J531" s="16" t="s">
        <v>4811</v>
      </c>
      <c r="K531" s="16" t="s">
        <v>4812</v>
      </c>
      <c r="L531" s="16" t="s">
        <v>16</v>
      </c>
      <c r="M531" s="16">
        <v>33</v>
      </c>
      <c r="N531" s="16" t="s">
        <v>462</v>
      </c>
      <c r="O531" s="16" t="s">
        <v>4717</v>
      </c>
      <c r="P531" s="16" t="s">
        <v>4813</v>
      </c>
      <c r="Q531" s="16" t="s">
        <v>465</v>
      </c>
      <c r="R531" s="16" t="s">
        <v>466</v>
      </c>
      <c r="S531" s="16" t="s">
        <v>4814</v>
      </c>
      <c r="T531" s="16">
        <v>213050</v>
      </c>
      <c r="U531" s="16"/>
      <c r="V531" s="16" t="s">
        <v>469</v>
      </c>
      <c r="W531" s="16" t="s">
        <v>568</v>
      </c>
      <c r="X531" s="16" t="s">
        <v>471</v>
      </c>
      <c r="Y531" s="16" t="s">
        <v>1724</v>
      </c>
      <c r="Z531" s="16" t="s">
        <v>638</v>
      </c>
      <c r="AA531" s="16" t="s">
        <v>474</v>
      </c>
      <c r="AB531" s="16" t="s">
        <v>4815</v>
      </c>
      <c r="AC531" s="16" t="s">
        <v>546</v>
      </c>
      <c r="AD531" s="16">
        <v>581661116</v>
      </c>
      <c r="AE531" s="16">
        <v>1386697928</v>
      </c>
      <c r="AF531" s="16">
        <v>1942592613</v>
      </c>
      <c r="AG531" s="16"/>
      <c r="AH531" s="16" t="s">
        <v>1076</v>
      </c>
      <c r="AI531" s="16" t="s">
        <v>82</v>
      </c>
      <c r="AJ531" s="16" t="s">
        <v>481</v>
      </c>
      <c r="AK531" s="16" t="s">
        <v>4816</v>
      </c>
      <c r="AL531" s="16">
        <v>58046</v>
      </c>
      <c r="AM531" s="16"/>
      <c r="AN531" s="16"/>
      <c r="AO531" s="16">
        <v>745</v>
      </c>
      <c r="AP531" s="16" t="s">
        <v>485</v>
      </c>
      <c r="AQ531" s="16" t="s">
        <v>4817</v>
      </c>
      <c r="AR531" s="3">
        <v>46242</v>
      </c>
      <c r="AS531" s="16" t="s">
        <v>4818</v>
      </c>
      <c r="AT531" s="16" t="s">
        <v>1819</v>
      </c>
      <c r="AU531" s="16"/>
      <c r="AV531" s="16" t="s">
        <v>4819</v>
      </c>
      <c r="AW531" s="16"/>
      <c r="AX531" s="16"/>
      <c r="AY531" s="16"/>
      <c r="AZ531" s="16"/>
      <c r="BA531" s="16"/>
      <c r="BB531" s="16"/>
      <c r="BC531" s="16"/>
      <c r="BD531" s="16" t="s">
        <v>82</v>
      </c>
      <c r="BE531" s="16">
        <v>35</v>
      </c>
      <c r="BF531" s="16"/>
      <c r="BG531" s="16"/>
      <c r="BH531" s="16" t="s">
        <v>491</v>
      </c>
      <c r="BI531" s="16">
        <v>106523510</v>
      </c>
      <c r="BJ531" s="16"/>
      <c r="BK531" s="16"/>
      <c r="BL531" s="16"/>
      <c r="BM531" s="16"/>
      <c r="BN531" s="16"/>
      <c r="BO531" s="16"/>
      <c r="BP531" s="16"/>
      <c r="BQ531" s="16"/>
      <c r="BR531" s="16"/>
      <c r="BS531" s="16"/>
      <c r="BT531" s="16"/>
      <c r="BU531" s="16"/>
      <c r="BV531" s="16"/>
      <c r="BW531" s="16"/>
      <c r="BX531" s="16"/>
      <c r="BY531" s="16"/>
      <c r="BZ531" s="16"/>
      <c r="CA531" s="190">
        <v>46283.166666666701</v>
      </c>
      <c r="CB531" s="3"/>
      <c r="CC531" s="16"/>
      <c r="CD531" s="16"/>
      <c r="CE531" s="16"/>
      <c r="CF531" s="16"/>
      <c r="CG531" s="16"/>
      <c r="CH531" s="16"/>
      <c r="CI531" s="16" t="s">
        <v>4820</v>
      </c>
    </row>
    <row r="532" spans="1:87">
      <c r="A532" s="16"/>
      <c r="B532" s="16"/>
      <c r="C532" s="3">
        <v>46276</v>
      </c>
      <c r="D532" s="16" t="s">
        <v>1</v>
      </c>
      <c r="E532" s="16" t="s">
        <v>4821</v>
      </c>
      <c r="F532" s="16"/>
      <c r="G532" s="16">
        <v>40</v>
      </c>
      <c r="H532" s="16">
        <v>35</v>
      </c>
      <c r="I532" s="16" t="s">
        <v>460</v>
      </c>
      <c r="J532" s="16" t="s">
        <v>4821</v>
      </c>
      <c r="K532" s="16" t="s">
        <v>4716</v>
      </c>
      <c r="L532" s="16" t="s">
        <v>16</v>
      </c>
      <c r="M532" s="16">
        <v>34</v>
      </c>
      <c r="N532" s="16" t="s">
        <v>462</v>
      </c>
      <c r="O532" s="16" t="s">
        <v>4717</v>
      </c>
      <c r="P532" s="16" t="s">
        <v>4822</v>
      </c>
      <c r="Q532" s="16" t="s">
        <v>465</v>
      </c>
      <c r="R532" s="16" t="s">
        <v>1056</v>
      </c>
      <c r="S532" s="16" t="s">
        <v>4823</v>
      </c>
      <c r="T532" s="16">
        <v>213039</v>
      </c>
      <c r="U532" s="16"/>
      <c r="V532" s="16" t="s">
        <v>469</v>
      </c>
      <c r="W532" s="16" t="s">
        <v>568</v>
      </c>
      <c r="X532" s="16" t="s">
        <v>471</v>
      </c>
      <c r="Y532" s="16" t="s">
        <v>1724</v>
      </c>
      <c r="Z532" s="16" t="s">
        <v>638</v>
      </c>
      <c r="AA532" s="16" t="s">
        <v>474</v>
      </c>
      <c r="AB532" s="16" t="s">
        <v>4824</v>
      </c>
      <c r="AC532" s="16" t="s">
        <v>465</v>
      </c>
      <c r="AD532" s="16">
        <v>824503095</v>
      </c>
      <c r="AE532" s="16">
        <v>1669365706</v>
      </c>
      <c r="AF532" s="16">
        <v>1790073336</v>
      </c>
      <c r="AG532" s="16"/>
      <c r="AH532" s="16" t="s">
        <v>1076</v>
      </c>
      <c r="AI532" s="16" t="s">
        <v>206</v>
      </c>
      <c r="AJ532" s="16" t="s">
        <v>481</v>
      </c>
      <c r="AK532" s="16" t="s">
        <v>4825</v>
      </c>
      <c r="AL532" s="16">
        <v>544</v>
      </c>
      <c r="AM532" s="16"/>
      <c r="AN532" s="16"/>
      <c r="AO532" s="16">
        <v>744</v>
      </c>
      <c r="AP532" s="16" t="s">
        <v>485</v>
      </c>
      <c r="AQ532" s="16" t="s">
        <v>4826</v>
      </c>
      <c r="AR532" s="3">
        <v>46241</v>
      </c>
      <c r="AS532" s="16" t="s">
        <v>4827</v>
      </c>
      <c r="AT532" s="16" t="s">
        <v>1819</v>
      </c>
      <c r="AU532" s="16"/>
      <c r="AV532" s="16" t="s">
        <v>4828</v>
      </c>
      <c r="AW532" s="16"/>
      <c r="AX532" s="16"/>
      <c r="AY532" s="16"/>
      <c r="AZ532" s="16"/>
      <c r="BA532" s="16"/>
      <c r="BB532" s="16"/>
      <c r="BC532" s="16"/>
      <c r="BD532" s="16" t="s">
        <v>206</v>
      </c>
      <c r="BE532" s="16">
        <v>35</v>
      </c>
      <c r="BF532" s="16"/>
      <c r="BG532" s="16" t="s">
        <v>490</v>
      </c>
      <c r="BH532" s="16" t="s">
        <v>491</v>
      </c>
      <c r="BI532" s="16">
        <v>312025769</v>
      </c>
      <c r="BJ532" s="16"/>
      <c r="BK532" s="16"/>
      <c r="BL532" s="16"/>
      <c r="BM532" s="16"/>
      <c r="BN532" s="16"/>
      <c r="BO532" s="16"/>
      <c r="BP532" s="16"/>
      <c r="BQ532" s="16"/>
      <c r="BR532" s="16"/>
      <c r="BS532" s="16"/>
      <c r="BT532" s="16"/>
      <c r="BU532" s="16"/>
      <c r="BV532" s="16"/>
      <c r="BW532" s="16"/>
      <c r="BX532" s="16"/>
      <c r="BY532" s="16"/>
      <c r="BZ532" s="16"/>
      <c r="CA532" s="190">
        <v>46275</v>
      </c>
      <c r="CB532" s="3"/>
      <c r="CC532" s="16"/>
      <c r="CD532" s="16"/>
      <c r="CE532" s="16"/>
      <c r="CF532" s="16"/>
      <c r="CG532" s="16"/>
      <c r="CH532" s="16"/>
      <c r="CI532" s="16" t="s">
        <v>4829</v>
      </c>
    </row>
    <row r="533" spans="1:87">
      <c r="A533" s="16"/>
      <c r="B533" s="16"/>
      <c r="C533" s="3">
        <v>46276</v>
      </c>
      <c r="D533" s="16" t="s">
        <v>1</v>
      </c>
      <c r="E533" s="16" t="s">
        <v>4830</v>
      </c>
      <c r="F533" s="16">
        <v>2026220720282</v>
      </c>
      <c r="G533" s="16">
        <v>40</v>
      </c>
      <c r="H533" s="16">
        <v>33</v>
      </c>
      <c r="I533" s="16" t="s">
        <v>460</v>
      </c>
      <c r="J533" s="16" t="s">
        <v>4830</v>
      </c>
      <c r="K533" s="16" t="s">
        <v>4831</v>
      </c>
      <c r="L533" s="16" t="s">
        <v>16</v>
      </c>
      <c r="M533" s="16">
        <v>2</v>
      </c>
      <c r="N533" s="16" t="s">
        <v>462</v>
      </c>
      <c r="O533" s="16" t="s">
        <v>606</v>
      </c>
      <c r="P533" s="16" t="s">
        <v>4832</v>
      </c>
      <c r="Q533" s="16" t="s">
        <v>465</v>
      </c>
      <c r="R533" s="16" t="s">
        <v>466</v>
      </c>
      <c r="S533" s="16" t="s">
        <v>4833</v>
      </c>
      <c r="T533" s="16">
        <v>212107</v>
      </c>
      <c r="U533" s="16">
        <v>46272.901388888888</v>
      </c>
      <c r="V533" s="16" t="s">
        <v>469</v>
      </c>
      <c r="W533" s="16" t="s">
        <v>568</v>
      </c>
      <c r="X533" s="16" t="s">
        <v>471</v>
      </c>
      <c r="Y533" s="16" t="s">
        <v>4834</v>
      </c>
      <c r="Z533" s="16" t="s">
        <v>524</v>
      </c>
      <c r="AA533" s="16" t="s">
        <v>474</v>
      </c>
      <c r="AB533" s="16" t="s">
        <v>4835</v>
      </c>
      <c r="AC533" s="16" t="s">
        <v>546</v>
      </c>
      <c r="AD533" s="16">
        <v>580566257</v>
      </c>
      <c r="AE533" s="16">
        <v>1679664395</v>
      </c>
      <c r="AF533" s="16"/>
      <c r="AG533" s="16"/>
      <c r="AH533" s="16" t="s">
        <v>1076</v>
      </c>
      <c r="AI533" s="16" t="s">
        <v>4836</v>
      </c>
      <c r="AJ533" s="16" t="s">
        <v>481</v>
      </c>
      <c r="AK533" s="16" t="s">
        <v>4837</v>
      </c>
      <c r="AL533" s="16">
        <v>741662.79</v>
      </c>
      <c r="AM533" s="16"/>
      <c r="AN533" s="16"/>
      <c r="AO533" s="16">
        <v>839</v>
      </c>
      <c r="AP533" s="16" t="s">
        <v>485</v>
      </c>
      <c r="AQ533" s="16" t="s">
        <v>4838</v>
      </c>
      <c r="AR533" s="3">
        <v>46273</v>
      </c>
      <c r="AS533" s="16" t="s">
        <v>4836</v>
      </c>
      <c r="AT533" s="16" t="s">
        <v>516</v>
      </c>
      <c r="AU533" s="16"/>
      <c r="AV533" s="16" t="s">
        <v>3516</v>
      </c>
      <c r="AW533" s="16"/>
      <c r="AX533" s="16"/>
      <c r="AY533" s="16"/>
      <c r="AZ533" s="16"/>
      <c r="BA533" s="16"/>
      <c r="BB533" s="16"/>
      <c r="BC533" s="16"/>
      <c r="BD533" s="16" t="s">
        <v>4836</v>
      </c>
      <c r="BE533" s="16">
        <v>33</v>
      </c>
      <c r="BF533" s="16"/>
      <c r="BG533" s="16" t="s">
        <v>490</v>
      </c>
      <c r="BH533" s="16" t="s">
        <v>491</v>
      </c>
      <c r="BI533" s="16">
        <v>260838039</v>
      </c>
      <c r="BJ533" s="16"/>
      <c r="BK533" s="16"/>
      <c r="BL533" s="16"/>
      <c r="BM533" s="16"/>
      <c r="BN533" s="16"/>
      <c r="BO533" s="16"/>
      <c r="BP533" s="16"/>
      <c r="BQ533" s="16"/>
      <c r="BR533" s="16"/>
      <c r="BS533" s="16"/>
      <c r="BT533" s="16"/>
      <c r="BU533" s="16"/>
      <c r="BV533" s="16"/>
      <c r="BW533" s="16"/>
      <c r="BX533" s="16"/>
      <c r="BY533" s="16"/>
      <c r="BZ533" s="16"/>
      <c r="CA533" s="190">
        <v>46275</v>
      </c>
      <c r="CB533" s="3"/>
      <c r="CC533" s="16"/>
      <c r="CD533" s="16"/>
      <c r="CE533" s="16"/>
      <c r="CF533" s="16"/>
      <c r="CG533" s="16"/>
      <c r="CH533" s="16"/>
      <c r="CI533" s="16" t="s">
        <v>4839</v>
      </c>
    </row>
    <row r="534" spans="1:87">
      <c r="A534" s="16"/>
      <c r="B534" s="16"/>
      <c r="C534" s="3">
        <v>46276</v>
      </c>
      <c r="D534" s="16" t="s">
        <v>1</v>
      </c>
      <c r="E534" s="16" t="s">
        <v>4840</v>
      </c>
      <c r="F534" s="16">
        <v>2026218470517</v>
      </c>
      <c r="G534" s="16">
        <v>40</v>
      </c>
      <c r="H534" s="16">
        <v>35</v>
      </c>
      <c r="I534" s="16" t="s">
        <v>460</v>
      </c>
      <c r="J534" s="16" t="s">
        <v>4840</v>
      </c>
      <c r="K534" s="16" t="s">
        <v>4716</v>
      </c>
      <c r="L534" s="16" t="s">
        <v>16</v>
      </c>
      <c r="M534" s="16">
        <v>10</v>
      </c>
      <c r="N534" s="16" t="s">
        <v>462</v>
      </c>
      <c r="O534" s="16" t="s">
        <v>4717</v>
      </c>
      <c r="P534" s="16" t="s">
        <v>4841</v>
      </c>
      <c r="Q534" s="16" t="s">
        <v>465</v>
      </c>
      <c r="R534" s="16" t="s">
        <v>466</v>
      </c>
      <c r="S534" s="16" t="s">
        <v>4842</v>
      </c>
      <c r="T534" s="16">
        <v>212083</v>
      </c>
      <c r="U534" s="16"/>
      <c r="V534" s="16" t="s">
        <v>469</v>
      </c>
      <c r="W534" s="16" t="s">
        <v>568</v>
      </c>
      <c r="X534" s="16" t="s">
        <v>471</v>
      </c>
      <c r="Y534" s="16" t="s">
        <v>1724</v>
      </c>
      <c r="Z534" s="16" t="s">
        <v>524</v>
      </c>
      <c r="AA534" s="16" t="s">
        <v>474</v>
      </c>
      <c r="AB534" s="16" t="s">
        <v>2854</v>
      </c>
      <c r="AC534" s="16" t="s">
        <v>572</v>
      </c>
      <c r="AD534" s="16">
        <v>330751869</v>
      </c>
      <c r="AE534" s="16">
        <v>1114971660</v>
      </c>
      <c r="AF534" s="16"/>
      <c r="AG534" s="16"/>
      <c r="AH534" s="16" t="s">
        <v>1076</v>
      </c>
      <c r="AI534" s="16" t="s">
        <v>206</v>
      </c>
      <c r="AJ534" s="16" t="s">
        <v>481</v>
      </c>
      <c r="AK534" s="16" t="s">
        <v>4843</v>
      </c>
      <c r="AL534" s="16">
        <v>2178.75</v>
      </c>
      <c r="AM534" s="16"/>
      <c r="AN534" s="16"/>
      <c r="AO534" s="16" t="s">
        <v>3326</v>
      </c>
      <c r="AP534" s="16" t="s">
        <v>485</v>
      </c>
      <c r="AQ534" s="16" t="s">
        <v>4844</v>
      </c>
      <c r="AR534" s="3">
        <v>46265</v>
      </c>
      <c r="AS534" s="16" t="s">
        <v>1076</v>
      </c>
      <c r="AT534" s="16" t="s">
        <v>1819</v>
      </c>
      <c r="AU534" s="16"/>
      <c r="AV534" s="16" t="s">
        <v>4845</v>
      </c>
      <c r="AW534" s="16"/>
      <c r="AX534" s="16"/>
      <c r="AY534" s="16"/>
      <c r="AZ534" s="16"/>
      <c r="BA534" s="16"/>
      <c r="BB534" s="16"/>
      <c r="BC534" s="16"/>
      <c r="BD534" s="16" t="s">
        <v>206</v>
      </c>
      <c r="BE534" s="16">
        <v>35</v>
      </c>
      <c r="BF534" s="16"/>
      <c r="BG534" s="16"/>
      <c r="BH534" s="16" t="s">
        <v>491</v>
      </c>
      <c r="BI534" s="16">
        <v>739693290</v>
      </c>
      <c r="BJ534" s="16"/>
      <c r="BK534" s="16"/>
      <c r="BL534" s="16"/>
      <c r="BM534" s="16"/>
      <c r="BN534" s="16"/>
      <c r="BO534" s="16"/>
      <c r="BP534" s="16"/>
      <c r="BQ534" s="16"/>
      <c r="BR534" s="16"/>
      <c r="BS534" s="16"/>
      <c r="BT534" s="16"/>
      <c r="BU534" s="16"/>
      <c r="BV534" s="16"/>
      <c r="BW534" s="16"/>
      <c r="BX534" s="16"/>
      <c r="BY534" s="16"/>
      <c r="BZ534" s="16"/>
      <c r="CA534" s="190">
        <v>46275</v>
      </c>
      <c r="CB534" s="3"/>
      <c r="CC534" s="16"/>
      <c r="CD534" s="16"/>
      <c r="CE534" s="16"/>
      <c r="CF534" s="16"/>
      <c r="CG534" s="16"/>
      <c r="CH534" s="16"/>
      <c r="CI534" s="16" t="s">
        <v>4846</v>
      </c>
    </row>
    <row r="535" spans="1:87">
      <c r="A535" s="16"/>
      <c r="B535" s="16"/>
      <c r="C535" s="3">
        <v>46276</v>
      </c>
      <c r="D535" s="16" t="s">
        <v>1</v>
      </c>
      <c r="E535" s="16" t="s">
        <v>4847</v>
      </c>
      <c r="F535" s="16"/>
      <c r="G535" s="16">
        <v>40</v>
      </c>
      <c r="H535" s="16">
        <v>35</v>
      </c>
      <c r="I535" s="16" t="s">
        <v>460</v>
      </c>
      <c r="J535" s="16" t="s">
        <v>4847</v>
      </c>
      <c r="K535" s="16" t="s">
        <v>4716</v>
      </c>
      <c r="L535" s="16" t="s">
        <v>16</v>
      </c>
      <c r="M535" s="16">
        <v>34</v>
      </c>
      <c r="N535" s="16" t="s">
        <v>462</v>
      </c>
      <c r="O535" s="16" t="s">
        <v>4717</v>
      </c>
      <c r="P535" s="16" t="s">
        <v>4848</v>
      </c>
      <c r="Q535" s="16" t="s">
        <v>465</v>
      </c>
      <c r="R535" s="16" t="s">
        <v>1056</v>
      </c>
      <c r="S535" s="16" t="s">
        <v>4849</v>
      </c>
      <c r="T535" s="16">
        <v>212064</v>
      </c>
      <c r="U535" s="16"/>
      <c r="V535" s="16" t="s">
        <v>469</v>
      </c>
      <c r="W535" s="16" t="s">
        <v>568</v>
      </c>
      <c r="X535" s="16" t="s">
        <v>471</v>
      </c>
      <c r="Y535" s="16" t="s">
        <v>1724</v>
      </c>
      <c r="Z535" s="16" t="s">
        <v>524</v>
      </c>
      <c r="AA535" s="16" t="s">
        <v>474</v>
      </c>
      <c r="AB535" s="16" t="s">
        <v>4850</v>
      </c>
      <c r="AC535" s="16" t="s">
        <v>465</v>
      </c>
      <c r="AD535" s="16">
        <v>351955872</v>
      </c>
      <c r="AE535" s="16">
        <v>1144266024</v>
      </c>
      <c r="AF535" s="16"/>
      <c r="AG535" s="16"/>
      <c r="AH535" s="16" t="s">
        <v>1076</v>
      </c>
      <c r="AI535" s="16" t="s">
        <v>206</v>
      </c>
      <c r="AJ535" s="16" t="s">
        <v>481</v>
      </c>
      <c r="AK535" s="16" t="s">
        <v>4851</v>
      </c>
      <c r="AL535" s="16">
        <v>1683</v>
      </c>
      <c r="AM535" s="16"/>
      <c r="AN535" s="16"/>
      <c r="AO535" s="16">
        <v>295</v>
      </c>
      <c r="AP535" s="16" t="s">
        <v>485</v>
      </c>
      <c r="AQ535" s="16" t="s">
        <v>4852</v>
      </c>
      <c r="AR535" s="3">
        <v>46241</v>
      </c>
      <c r="AS535" s="16" t="s">
        <v>4827</v>
      </c>
      <c r="AT535" s="16" t="s">
        <v>1819</v>
      </c>
      <c r="AU535" s="16"/>
      <c r="AV535" s="16" t="s">
        <v>4592</v>
      </c>
      <c r="AW535" s="16"/>
      <c r="AX535" s="16"/>
      <c r="AY535" s="16"/>
      <c r="AZ535" s="16"/>
      <c r="BA535" s="16"/>
      <c r="BB535" s="16"/>
      <c r="BC535" s="16"/>
      <c r="BD535" s="16" t="s">
        <v>206</v>
      </c>
      <c r="BE535" s="16">
        <v>35</v>
      </c>
      <c r="BF535" s="16"/>
      <c r="BG535" s="16" t="s">
        <v>490</v>
      </c>
      <c r="BH535" s="16" t="s">
        <v>491</v>
      </c>
      <c r="BI535" s="16">
        <v>248374614</v>
      </c>
      <c r="BJ535" s="16"/>
      <c r="BK535" s="16"/>
      <c r="BL535" s="16"/>
      <c r="BM535" s="16"/>
      <c r="BN535" s="16"/>
      <c r="BO535" s="16"/>
      <c r="BP535" s="16"/>
      <c r="BQ535" s="16"/>
      <c r="BR535" s="16"/>
      <c r="BS535" s="16"/>
      <c r="BT535" s="16"/>
      <c r="BU535" s="16"/>
      <c r="BV535" s="16"/>
      <c r="BW535" s="16"/>
      <c r="BX535" s="16"/>
      <c r="BY535" s="16"/>
      <c r="BZ535" s="16"/>
      <c r="CA535" s="190">
        <v>46275</v>
      </c>
      <c r="CB535" s="3"/>
      <c r="CC535" s="16"/>
      <c r="CD535" s="16"/>
      <c r="CE535" s="16"/>
      <c r="CF535" s="16"/>
      <c r="CG535" s="16"/>
      <c r="CH535" s="16"/>
      <c r="CI535" s="16" t="s">
        <v>4853</v>
      </c>
    </row>
    <row r="536" spans="1:87">
      <c r="A536" s="16" t="s">
        <v>5</v>
      </c>
      <c r="B536" s="16"/>
      <c r="C536" s="3">
        <v>46276</v>
      </c>
      <c r="D536" s="16" t="s">
        <v>1</v>
      </c>
      <c r="E536" s="16" t="s">
        <v>4854</v>
      </c>
      <c r="F536" s="16"/>
      <c r="G536" s="16">
        <v>40</v>
      </c>
      <c r="H536" s="16">
        <v>42</v>
      </c>
      <c r="I536" s="16" t="s">
        <v>460</v>
      </c>
      <c r="J536" s="16" t="s">
        <v>4854</v>
      </c>
      <c r="K536" s="16" t="s">
        <v>1252</v>
      </c>
      <c r="L536" s="16" t="s">
        <v>17</v>
      </c>
      <c r="M536" s="16">
        <v>3</v>
      </c>
      <c r="N536" s="16" t="s">
        <v>462</v>
      </c>
      <c r="O536" s="16" t="s">
        <v>4855</v>
      </c>
      <c r="P536" s="16" t="s">
        <v>4856</v>
      </c>
      <c r="Q536" s="16" t="s">
        <v>1055</v>
      </c>
      <c r="R536" s="16" t="s">
        <v>1350</v>
      </c>
      <c r="S536" s="16" t="s">
        <v>4857</v>
      </c>
      <c r="T536" s="16">
        <v>210010</v>
      </c>
      <c r="U536" s="16">
        <v>46272.637499999997</v>
      </c>
      <c r="V536" s="16" t="s">
        <v>469</v>
      </c>
      <c r="W536" s="16" t="s">
        <v>568</v>
      </c>
      <c r="X536" s="16" t="s">
        <v>471</v>
      </c>
      <c r="Y536" s="16" t="s">
        <v>1724</v>
      </c>
      <c r="Z536" s="16" t="s">
        <v>473</v>
      </c>
      <c r="AA536" s="16" t="s">
        <v>1354</v>
      </c>
      <c r="AB536" s="16" t="s">
        <v>4858</v>
      </c>
      <c r="AC536" s="16" t="s">
        <v>465</v>
      </c>
      <c r="AD536" s="16">
        <v>352074283</v>
      </c>
      <c r="AE536" s="16">
        <v>1336205798</v>
      </c>
      <c r="AF536" s="16"/>
      <c r="AG536" s="16"/>
      <c r="AH536" s="16"/>
      <c r="AI536" s="16" t="s">
        <v>154</v>
      </c>
      <c r="AJ536" s="16" t="s">
        <v>481</v>
      </c>
      <c r="AK536" s="16" t="s">
        <v>4859</v>
      </c>
      <c r="AL536" s="16">
        <v>629</v>
      </c>
      <c r="AM536" s="16"/>
      <c r="AN536" s="16"/>
      <c r="AO536" s="16">
        <v>625</v>
      </c>
      <c r="AP536" s="16" t="s">
        <v>485</v>
      </c>
      <c r="AQ536" s="16" t="s">
        <v>4860</v>
      </c>
      <c r="AR536" s="3">
        <v>46272</v>
      </c>
      <c r="AS536" s="16" t="s">
        <v>154</v>
      </c>
      <c r="AT536" s="16" t="s">
        <v>4861</v>
      </c>
      <c r="AU536" s="16"/>
      <c r="AV536" s="16" t="s">
        <v>4862</v>
      </c>
      <c r="AW536" s="16"/>
      <c r="AX536" s="16"/>
      <c r="AY536" s="16"/>
      <c r="AZ536" s="16"/>
      <c r="BA536" s="16"/>
      <c r="BB536" s="16"/>
      <c r="BC536" s="16"/>
      <c r="BD536" s="16" t="s">
        <v>154</v>
      </c>
      <c r="BE536" s="16">
        <v>42</v>
      </c>
      <c r="BF536" s="16"/>
      <c r="BG536" s="16"/>
      <c r="BH536" s="16" t="s">
        <v>491</v>
      </c>
      <c r="BI536" s="16">
        <v>344727371</v>
      </c>
      <c r="BJ536" s="16"/>
      <c r="BK536" s="16"/>
      <c r="BL536" s="16"/>
      <c r="BM536" s="16"/>
      <c r="BN536" s="16"/>
      <c r="BO536" s="16"/>
      <c r="BP536" s="16"/>
      <c r="BQ536" s="16"/>
      <c r="BR536" s="16"/>
      <c r="BS536" s="16"/>
      <c r="BT536" s="16"/>
      <c r="BU536" s="16"/>
      <c r="BV536" s="16"/>
      <c r="BW536" s="16"/>
      <c r="BX536" s="16"/>
      <c r="BY536" s="16"/>
      <c r="BZ536" s="16"/>
      <c r="CA536" s="190" t="s">
        <v>514</v>
      </c>
      <c r="CB536" s="3"/>
      <c r="CC536" s="16"/>
      <c r="CD536" s="16"/>
      <c r="CE536" s="16"/>
      <c r="CF536" s="16"/>
      <c r="CG536" s="16"/>
      <c r="CH536" s="16"/>
      <c r="CI536" s="16" t="s">
        <v>4863</v>
      </c>
    </row>
    <row r="537" spans="1:87">
      <c r="A537" s="16" t="s">
        <v>5</v>
      </c>
      <c r="B537" s="16" t="s">
        <v>4864</v>
      </c>
      <c r="C537" s="3">
        <v>46276</v>
      </c>
      <c r="D537" s="16" t="s">
        <v>1</v>
      </c>
      <c r="E537" s="16" t="s">
        <v>4865</v>
      </c>
      <c r="F537" s="16">
        <v>2026218710492</v>
      </c>
      <c r="G537" s="16">
        <v>40</v>
      </c>
      <c r="H537" s="16">
        <v>35</v>
      </c>
      <c r="I537" s="16" t="s">
        <v>460</v>
      </c>
      <c r="J537" s="16" t="s">
        <v>4865</v>
      </c>
      <c r="K537" s="16" t="s">
        <v>4812</v>
      </c>
      <c r="L537" s="16" t="s">
        <v>16</v>
      </c>
      <c r="M537" s="16">
        <v>2</v>
      </c>
      <c r="N537" s="16" t="s">
        <v>462</v>
      </c>
      <c r="O537" s="16" t="s">
        <v>606</v>
      </c>
      <c r="P537" s="16" t="s">
        <v>4866</v>
      </c>
      <c r="Q537" s="16" t="s">
        <v>465</v>
      </c>
      <c r="R537" s="16" t="s">
        <v>466</v>
      </c>
      <c r="S537" s="16" t="s">
        <v>4867</v>
      </c>
      <c r="T537" s="16">
        <v>196111</v>
      </c>
      <c r="U537" s="16">
        <v>46272.806250000001</v>
      </c>
      <c r="V537" s="16" t="s">
        <v>469</v>
      </c>
      <c r="W537" s="16" t="s">
        <v>568</v>
      </c>
      <c r="X537" s="16" t="s">
        <v>471</v>
      </c>
      <c r="Y537" s="16" t="s">
        <v>628</v>
      </c>
      <c r="Z537" s="16" t="s">
        <v>590</v>
      </c>
      <c r="AA537" s="16" t="s">
        <v>474</v>
      </c>
      <c r="AB537" s="16">
        <v>1961110004</v>
      </c>
      <c r="AC537" s="16" t="s">
        <v>546</v>
      </c>
      <c r="AD537" s="16">
        <v>582540874</v>
      </c>
      <c r="AE537" s="16">
        <v>1548273592</v>
      </c>
      <c r="AF537" s="16">
        <v>1710939889</v>
      </c>
      <c r="AG537" s="16"/>
      <c r="AH537" s="16" t="s">
        <v>1076</v>
      </c>
      <c r="AI537" s="16" t="s">
        <v>82</v>
      </c>
      <c r="AJ537" s="16" t="s">
        <v>481</v>
      </c>
      <c r="AK537" s="16" t="s">
        <v>4868</v>
      </c>
      <c r="AL537" s="16">
        <v>9843.8799999999992</v>
      </c>
      <c r="AM537" s="16"/>
      <c r="AN537" s="16"/>
      <c r="AO537" s="16">
        <v>900</v>
      </c>
      <c r="AP537" s="16" t="s">
        <v>485</v>
      </c>
      <c r="AQ537" s="16" t="s">
        <v>4869</v>
      </c>
      <c r="AR537" s="3">
        <v>46273</v>
      </c>
      <c r="AS537" s="16" t="s">
        <v>82</v>
      </c>
      <c r="AT537" s="16" t="s">
        <v>4870</v>
      </c>
      <c r="AU537" s="16"/>
      <c r="AV537" s="16" t="s">
        <v>4871</v>
      </c>
      <c r="AW537" s="16"/>
      <c r="AX537" s="16"/>
      <c r="AY537" s="16"/>
      <c r="AZ537" s="16"/>
      <c r="BA537" s="16"/>
      <c r="BB537" s="16"/>
      <c r="BC537" s="16"/>
      <c r="BD537" s="16" t="s">
        <v>82</v>
      </c>
      <c r="BE537" s="16">
        <v>35</v>
      </c>
      <c r="BF537" s="16"/>
      <c r="BG537" s="16"/>
      <c r="BH537" s="16" t="s">
        <v>491</v>
      </c>
      <c r="BI537" s="16">
        <v>506960516</v>
      </c>
      <c r="BJ537" s="16"/>
      <c r="BK537" s="16"/>
      <c r="BL537" s="16"/>
      <c r="BM537" s="16"/>
      <c r="BN537" s="16"/>
      <c r="BO537" s="16"/>
      <c r="BP537" s="16"/>
      <c r="BQ537" s="16"/>
      <c r="BR537" s="16"/>
      <c r="BS537" s="16"/>
      <c r="BT537" s="16"/>
      <c r="BU537" s="16"/>
      <c r="BV537" s="16"/>
      <c r="BW537" s="16"/>
      <c r="BX537" s="16"/>
      <c r="BY537" s="16"/>
      <c r="BZ537" s="16"/>
      <c r="CA537" s="190">
        <v>46283.166666666701</v>
      </c>
      <c r="CB537" s="3"/>
      <c r="CC537" s="16"/>
      <c r="CD537" s="16"/>
      <c r="CE537" s="16"/>
      <c r="CF537" s="16"/>
      <c r="CG537" s="16"/>
      <c r="CH537" s="16"/>
      <c r="CI537" s="16" t="s">
        <v>4872</v>
      </c>
    </row>
    <row r="538" spans="1:87">
      <c r="A538" s="16"/>
      <c r="B538" s="16"/>
      <c r="C538" s="3">
        <v>46276</v>
      </c>
      <c r="D538" s="16" t="s">
        <v>1</v>
      </c>
      <c r="E538" s="16" t="s">
        <v>4873</v>
      </c>
      <c r="F538" s="16">
        <v>2026222830512</v>
      </c>
      <c r="G538" s="16">
        <v>40</v>
      </c>
      <c r="H538" s="16">
        <v>31</v>
      </c>
      <c r="I538" s="16" t="s">
        <v>460</v>
      </c>
      <c r="J538" s="16" t="s">
        <v>4873</v>
      </c>
      <c r="K538" s="16" t="s">
        <v>4874</v>
      </c>
      <c r="L538" s="16" t="s">
        <v>1760</v>
      </c>
      <c r="M538" s="16">
        <v>3</v>
      </c>
      <c r="N538" s="16" t="s">
        <v>462</v>
      </c>
      <c r="O538" s="16" t="s">
        <v>497</v>
      </c>
      <c r="P538" s="16" t="s">
        <v>4875</v>
      </c>
      <c r="Q538" s="16" t="s">
        <v>465</v>
      </c>
      <c r="R538" s="16" t="s">
        <v>466</v>
      </c>
      <c r="S538" s="16" t="s">
        <v>4876</v>
      </c>
      <c r="T538" s="16">
        <v>376312</v>
      </c>
      <c r="U538" s="16">
        <v>46272.643750000003</v>
      </c>
      <c r="V538" s="16" t="s">
        <v>469</v>
      </c>
      <c r="W538" s="16" t="s">
        <v>470</v>
      </c>
      <c r="X538" s="16" t="s">
        <v>471</v>
      </c>
      <c r="Y538" s="16" t="s">
        <v>628</v>
      </c>
      <c r="Z538" s="16" t="s">
        <v>665</v>
      </c>
      <c r="AA538" s="16" t="s">
        <v>474</v>
      </c>
      <c r="AB538" s="16" t="s">
        <v>4877</v>
      </c>
      <c r="AC538" s="16" t="s">
        <v>572</v>
      </c>
      <c r="AD538" s="16">
        <v>951684082</v>
      </c>
      <c r="AE538" s="16">
        <v>1124026273</v>
      </c>
      <c r="AF538" s="16"/>
      <c r="AG538" s="16"/>
      <c r="AH538" s="16"/>
      <c r="AI538" s="16" t="s">
        <v>4878</v>
      </c>
      <c r="AJ538" s="16" t="s">
        <v>481</v>
      </c>
      <c r="AK538" s="16" t="s">
        <v>4879</v>
      </c>
      <c r="AL538" s="16">
        <v>17467.439999999999</v>
      </c>
      <c r="AM538" s="16"/>
      <c r="AN538" s="16"/>
      <c r="AO538" s="16">
        <v>156</v>
      </c>
      <c r="AP538" s="16" t="s">
        <v>485</v>
      </c>
      <c r="AQ538" s="16" t="s">
        <v>4880</v>
      </c>
      <c r="AR538" s="3">
        <v>46272</v>
      </c>
      <c r="AS538" s="16" t="s">
        <v>4878</v>
      </c>
      <c r="AT538" s="16" t="s">
        <v>4881</v>
      </c>
      <c r="AU538" s="16"/>
      <c r="AV538" s="16" t="s">
        <v>3169</v>
      </c>
      <c r="AW538" s="16"/>
      <c r="AX538" s="16"/>
      <c r="AY538" s="16"/>
      <c r="AZ538" s="16"/>
      <c r="BA538" s="16"/>
      <c r="BB538" s="16"/>
      <c r="BC538" s="16"/>
      <c r="BD538" s="16" t="s">
        <v>4878</v>
      </c>
      <c r="BE538" s="16">
        <v>31</v>
      </c>
      <c r="BF538" s="16"/>
      <c r="BG538" s="16" t="s">
        <v>490</v>
      </c>
      <c r="BH538" s="16" t="s">
        <v>491</v>
      </c>
      <c r="BI538" s="16">
        <v>576820576</v>
      </c>
      <c r="BJ538" s="16"/>
      <c r="BK538" s="16"/>
      <c r="BL538" s="16"/>
      <c r="BM538" s="16"/>
      <c r="BN538" s="16"/>
      <c r="BO538" s="16"/>
      <c r="BP538" s="16"/>
      <c r="BQ538" s="16"/>
      <c r="BR538" s="16"/>
      <c r="BS538" s="16"/>
      <c r="BT538" s="16"/>
      <c r="BU538" s="16"/>
      <c r="BV538" s="16"/>
      <c r="BW538" s="16"/>
      <c r="BX538" s="16"/>
      <c r="BY538" s="16"/>
      <c r="BZ538" s="16"/>
      <c r="CA538" s="190">
        <v>46275</v>
      </c>
      <c r="CB538" s="3"/>
      <c r="CC538" s="16"/>
      <c r="CD538" s="16"/>
      <c r="CE538" s="16"/>
      <c r="CF538" s="16"/>
      <c r="CG538" s="16"/>
      <c r="CH538" s="16"/>
      <c r="CI538" s="16" t="s">
        <v>4882</v>
      </c>
    </row>
    <row r="539" spans="1:87">
      <c r="A539" s="16"/>
      <c r="B539" s="16"/>
      <c r="C539" s="3">
        <v>46276</v>
      </c>
      <c r="D539" s="16" t="s">
        <v>1</v>
      </c>
      <c r="E539" s="16" t="s">
        <v>4883</v>
      </c>
      <c r="F539" s="16">
        <v>2026218060568</v>
      </c>
      <c r="G539" s="16">
        <v>40</v>
      </c>
      <c r="H539" s="16">
        <v>35</v>
      </c>
      <c r="I539" s="16" t="s">
        <v>460</v>
      </c>
      <c r="J539" s="16" t="s">
        <v>4883</v>
      </c>
      <c r="K539" s="16" t="s">
        <v>983</v>
      </c>
      <c r="L539" s="16" t="s">
        <v>17</v>
      </c>
      <c r="M539" s="16">
        <v>33</v>
      </c>
      <c r="N539" s="16" t="s">
        <v>462</v>
      </c>
      <c r="O539" s="16" t="s">
        <v>4717</v>
      </c>
      <c r="P539" s="16" t="s">
        <v>4884</v>
      </c>
      <c r="Q539" s="16" t="s">
        <v>465</v>
      </c>
      <c r="R539" s="16" t="s">
        <v>466</v>
      </c>
      <c r="S539" s="16" t="s">
        <v>4885</v>
      </c>
      <c r="T539" s="16">
        <v>376312</v>
      </c>
      <c r="U539" s="16"/>
      <c r="V539" s="16" t="s">
        <v>469</v>
      </c>
      <c r="W539" s="16" t="s">
        <v>470</v>
      </c>
      <c r="X539" s="16" t="s">
        <v>471</v>
      </c>
      <c r="Y539" s="16" t="s">
        <v>523</v>
      </c>
      <c r="Z539" s="16" t="s">
        <v>665</v>
      </c>
      <c r="AA539" s="16" t="s">
        <v>474</v>
      </c>
      <c r="AB539" s="16" t="s">
        <v>4886</v>
      </c>
      <c r="AC539" s="16" t="s">
        <v>640</v>
      </c>
      <c r="AD539" s="16">
        <v>112498332</v>
      </c>
      <c r="AE539" s="16">
        <v>1285675660</v>
      </c>
      <c r="AF539" s="16">
        <v>1558366526</v>
      </c>
      <c r="AG539" s="16"/>
      <c r="AH539" s="16"/>
      <c r="AI539" s="16" t="s">
        <v>34</v>
      </c>
      <c r="AJ539" s="16" t="s">
        <v>481</v>
      </c>
      <c r="AK539" s="16" t="s">
        <v>4887</v>
      </c>
      <c r="AL539" s="16">
        <v>3380</v>
      </c>
      <c r="AM539" s="16"/>
      <c r="AN539" s="16"/>
      <c r="AO539" s="16">
        <v>930</v>
      </c>
      <c r="AP539" s="16" t="s">
        <v>485</v>
      </c>
      <c r="AQ539" s="16" t="s">
        <v>4888</v>
      </c>
      <c r="AR539" s="3">
        <v>46242</v>
      </c>
      <c r="AS539" s="16" t="s">
        <v>983</v>
      </c>
      <c r="AT539" s="16" t="s">
        <v>3118</v>
      </c>
      <c r="AU539" s="16"/>
      <c r="AV539" s="16" t="s">
        <v>4889</v>
      </c>
      <c r="AW539" s="16"/>
      <c r="AX539" s="16"/>
      <c r="AY539" s="16"/>
      <c r="AZ539" s="16"/>
      <c r="BA539" s="16"/>
      <c r="BB539" s="16"/>
      <c r="BC539" s="16"/>
      <c r="BD539" s="16" t="s">
        <v>34</v>
      </c>
      <c r="BE539" s="16">
        <v>35</v>
      </c>
      <c r="BF539" s="16"/>
      <c r="BG539" s="16" t="s">
        <v>490</v>
      </c>
      <c r="BH539" s="16" t="s">
        <v>491</v>
      </c>
      <c r="BI539" s="16">
        <v>93422304</v>
      </c>
      <c r="BJ539" s="16"/>
      <c r="BK539" s="16"/>
      <c r="BL539" s="16"/>
      <c r="BM539" s="16"/>
      <c r="BN539" s="16"/>
      <c r="BO539" s="16"/>
      <c r="BP539" s="16"/>
      <c r="BQ539" s="16"/>
      <c r="BR539" s="16"/>
      <c r="BS539" s="16"/>
      <c r="BT539" s="16"/>
      <c r="BU539" s="16"/>
      <c r="BV539" s="16"/>
      <c r="BW539" s="16"/>
      <c r="BX539" s="16"/>
      <c r="BY539" s="16"/>
      <c r="BZ539" s="16"/>
      <c r="CA539" s="190">
        <v>46275</v>
      </c>
      <c r="CB539" s="3"/>
      <c r="CC539" s="16"/>
      <c r="CD539" s="16"/>
      <c r="CE539" s="16"/>
      <c r="CF539" s="16"/>
      <c r="CG539" s="16"/>
      <c r="CH539" s="16"/>
      <c r="CI539" s="16" t="s">
        <v>4890</v>
      </c>
    </row>
    <row r="540" spans="1:87">
      <c r="A540" s="16" t="s">
        <v>5</v>
      </c>
      <c r="B540" s="16" t="s">
        <v>4891</v>
      </c>
      <c r="C540" s="3">
        <v>46276</v>
      </c>
      <c r="D540" s="16" t="s">
        <v>1</v>
      </c>
      <c r="E540" s="16" t="s">
        <v>4892</v>
      </c>
      <c r="F540" s="16">
        <v>2026218260409</v>
      </c>
      <c r="G540" s="16">
        <v>40</v>
      </c>
      <c r="H540" s="16">
        <v>35</v>
      </c>
      <c r="I540" s="16" t="s">
        <v>460</v>
      </c>
      <c r="J540" s="16" t="s">
        <v>4892</v>
      </c>
      <c r="K540" s="16" t="s">
        <v>700</v>
      </c>
      <c r="L540" s="16" t="s">
        <v>18</v>
      </c>
      <c r="M540" s="16">
        <v>0</v>
      </c>
      <c r="N540" s="16" t="s">
        <v>462</v>
      </c>
      <c r="O540" s="16" t="s">
        <v>497</v>
      </c>
      <c r="P540" s="16" t="s">
        <v>4893</v>
      </c>
      <c r="Q540" s="16" t="s">
        <v>465</v>
      </c>
      <c r="R540" s="16" t="s">
        <v>466</v>
      </c>
      <c r="S540" s="16" t="s">
        <v>4894</v>
      </c>
      <c r="T540" s="16">
        <v>374610</v>
      </c>
      <c r="U540" s="16">
        <v>46275.175694444442</v>
      </c>
      <c r="V540" s="16" t="s">
        <v>469</v>
      </c>
      <c r="W540" s="16" t="s">
        <v>1752</v>
      </c>
      <c r="X540" s="16" t="s">
        <v>471</v>
      </c>
      <c r="Y540" s="16" t="s">
        <v>628</v>
      </c>
      <c r="Z540" s="16" t="s">
        <v>665</v>
      </c>
      <c r="AA540" s="16" t="s">
        <v>474</v>
      </c>
      <c r="AB540" s="16" t="s">
        <v>4144</v>
      </c>
      <c r="AC540" s="16" t="s">
        <v>640</v>
      </c>
      <c r="AD540" s="16">
        <v>831967369</v>
      </c>
      <c r="AE540" s="16">
        <v>1417075458</v>
      </c>
      <c r="AF540" s="16">
        <v>1417075458</v>
      </c>
      <c r="AG540" s="16"/>
      <c r="AH540" s="16"/>
      <c r="AI540" s="16" t="s">
        <v>341</v>
      </c>
      <c r="AJ540" s="16" t="s">
        <v>481</v>
      </c>
      <c r="AK540" s="16" t="s">
        <v>4895</v>
      </c>
      <c r="AL540" s="16">
        <v>1176</v>
      </c>
      <c r="AM540" s="16"/>
      <c r="AN540" s="16"/>
      <c r="AO540" s="16">
        <v>8</v>
      </c>
      <c r="AP540" s="16" t="s">
        <v>485</v>
      </c>
      <c r="AQ540" s="16" t="s">
        <v>4896</v>
      </c>
      <c r="AR540" s="3">
        <v>46275</v>
      </c>
      <c r="AS540" s="16" t="s">
        <v>341</v>
      </c>
      <c r="AT540" s="16" t="s">
        <v>4891</v>
      </c>
      <c r="AU540" s="16"/>
      <c r="AV540" s="16" t="s">
        <v>4897</v>
      </c>
      <c r="AW540" s="16"/>
      <c r="AX540" s="16"/>
      <c r="AY540" s="16"/>
      <c r="AZ540" s="16"/>
      <c r="BA540" s="16"/>
      <c r="BB540" s="16"/>
      <c r="BC540" s="16"/>
      <c r="BD540" s="16" t="s">
        <v>341</v>
      </c>
      <c r="BE540" s="16">
        <v>35</v>
      </c>
      <c r="BF540" s="16"/>
      <c r="BG540" s="16" t="s">
        <v>490</v>
      </c>
      <c r="BH540" s="16" t="s">
        <v>491</v>
      </c>
      <c r="BI540" s="16" t="s">
        <v>4893</v>
      </c>
      <c r="BJ540" s="16"/>
      <c r="BK540" s="16"/>
      <c r="BL540" s="16"/>
      <c r="BM540" s="16"/>
      <c r="BN540" s="16"/>
      <c r="BO540" s="16"/>
      <c r="BP540" s="16"/>
      <c r="BQ540" s="16"/>
      <c r="BR540" s="16"/>
      <c r="BS540" s="16"/>
      <c r="BT540" s="16"/>
      <c r="BU540" s="16"/>
      <c r="BV540" s="16"/>
      <c r="BW540" s="16"/>
      <c r="BX540" s="16"/>
      <c r="BY540" s="16"/>
      <c r="BZ540" s="16"/>
      <c r="CA540" s="190">
        <v>46281.666666666701</v>
      </c>
      <c r="CB540" s="3"/>
      <c r="CC540" s="16"/>
      <c r="CD540" s="16"/>
      <c r="CE540" s="16"/>
      <c r="CF540" s="16"/>
      <c r="CG540" s="16"/>
      <c r="CH540" s="16"/>
      <c r="CI540" s="193" t="s">
        <v>4898</v>
      </c>
    </row>
    <row r="541" spans="1:87">
      <c r="A541" s="16"/>
      <c r="B541" s="16"/>
      <c r="C541" s="3">
        <v>46276</v>
      </c>
      <c r="D541" s="16" t="s">
        <v>1</v>
      </c>
      <c r="E541" s="16" t="s">
        <v>4899</v>
      </c>
      <c r="F541" s="16">
        <v>2026217430517</v>
      </c>
      <c r="G541" s="16">
        <v>40</v>
      </c>
      <c r="H541" s="16">
        <v>36</v>
      </c>
      <c r="I541" s="16" t="s">
        <v>460</v>
      </c>
      <c r="J541" s="16" t="s">
        <v>4899</v>
      </c>
      <c r="K541" s="16" t="s">
        <v>540</v>
      </c>
      <c r="L541" s="16" t="s">
        <v>18</v>
      </c>
      <c r="M541" s="16">
        <v>3</v>
      </c>
      <c r="N541" s="16" t="s">
        <v>462</v>
      </c>
      <c r="O541" s="16" t="s">
        <v>562</v>
      </c>
      <c r="P541" s="16">
        <v>964220164</v>
      </c>
      <c r="Q541" s="16" t="s">
        <v>465</v>
      </c>
      <c r="R541" s="16" t="s">
        <v>466</v>
      </c>
      <c r="S541" s="16" t="s">
        <v>4900</v>
      </c>
      <c r="T541" s="16">
        <v>364999</v>
      </c>
      <c r="U541" s="16">
        <v>46266.918055555558</v>
      </c>
      <c r="V541" s="16" t="s">
        <v>469</v>
      </c>
      <c r="W541" s="16" t="s">
        <v>651</v>
      </c>
      <c r="X541" s="16" t="s">
        <v>652</v>
      </c>
      <c r="Y541" s="16" t="s">
        <v>1263</v>
      </c>
      <c r="Z541" s="16" t="s">
        <v>1338</v>
      </c>
      <c r="AA541" s="16" t="s">
        <v>474</v>
      </c>
      <c r="AB541" s="16" t="s">
        <v>4901</v>
      </c>
      <c r="AC541" s="16" t="s">
        <v>614</v>
      </c>
      <c r="AD541" s="16">
        <v>863133848</v>
      </c>
      <c r="AE541" s="16">
        <v>1598510364</v>
      </c>
      <c r="AF541" s="16">
        <v>1639591852</v>
      </c>
      <c r="AG541" s="16">
        <v>2.71202609809512E+16</v>
      </c>
      <c r="AH541" s="16"/>
      <c r="AI541" s="16" t="s">
        <v>31</v>
      </c>
      <c r="AJ541" s="16" t="s">
        <v>481</v>
      </c>
      <c r="AK541" s="16" t="s">
        <v>4902</v>
      </c>
      <c r="AL541" s="16">
        <v>200</v>
      </c>
      <c r="AM541" s="16"/>
      <c r="AN541" s="16"/>
      <c r="AO541" s="16">
        <v>964</v>
      </c>
      <c r="AP541" s="16" t="s">
        <v>485</v>
      </c>
      <c r="AQ541" s="16" t="s">
        <v>4903</v>
      </c>
      <c r="AR541" s="3">
        <v>46272</v>
      </c>
      <c r="AS541" s="16" t="s">
        <v>31</v>
      </c>
      <c r="AT541" s="16" t="s">
        <v>4904</v>
      </c>
      <c r="AU541" s="16"/>
      <c r="AV541" s="16" t="s">
        <v>4905</v>
      </c>
      <c r="AW541" s="16"/>
      <c r="AX541" s="16"/>
      <c r="AY541" s="16"/>
      <c r="AZ541" s="16"/>
      <c r="BA541" s="16"/>
      <c r="BB541" s="16"/>
      <c r="BC541" s="16"/>
      <c r="BD541" s="16" t="s">
        <v>31</v>
      </c>
      <c r="BE541" s="16">
        <v>36</v>
      </c>
      <c r="BF541" s="16"/>
      <c r="BG541" s="16" t="s">
        <v>490</v>
      </c>
      <c r="BH541" s="16" t="s">
        <v>658</v>
      </c>
      <c r="BI541" s="16">
        <v>964220164</v>
      </c>
      <c r="BJ541" s="16"/>
      <c r="BK541" s="16"/>
      <c r="BL541" s="16"/>
      <c r="BM541" s="16"/>
      <c r="BN541" s="16"/>
      <c r="BO541" s="16"/>
      <c r="BP541" s="16"/>
      <c r="BQ541" s="16"/>
      <c r="BR541" s="16"/>
      <c r="BS541" s="16"/>
      <c r="BT541" s="16"/>
      <c r="BU541" s="16"/>
      <c r="BV541" s="16"/>
      <c r="BW541" s="16"/>
      <c r="BX541" s="16"/>
      <c r="BY541" s="16"/>
      <c r="BZ541" s="16"/>
      <c r="CA541" s="190">
        <v>46275</v>
      </c>
      <c r="CB541" s="3"/>
      <c r="CC541" s="16"/>
      <c r="CD541" s="16"/>
      <c r="CE541" s="16"/>
      <c r="CF541" s="16"/>
      <c r="CG541" s="16"/>
      <c r="CH541" s="16"/>
      <c r="CI541" s="16" t="s">
        <v>4906</v>
      </c>
    </row>
    <row r="542" spans="1:87">
      <c r="A542" s="16"/>
      <c r="B542" s="16"/>
      <c r="C542" s="3">
        <v>46276</v>
      </c>
      <c r="D542" s="16" t="s">
        <v>1</v>
      </c>
      <c r="E542" s="16" t="s">
        <v>4907</v>
      </c>
      <c r="F542" s="16"/>
      <c r="G542" s="16">
        <v>40</v>
      </c>
      <c r="H542" s="16">
        <v>31</v>
      </c>
      <c r="I542" s="16" t="s">
        <v>460</v>
      </c>
      <c r="J542" s="16" t="s">
        <v>4907</v>
      </c>
      <c r="K542" s="16" t="s">
        <v>983</v>
      </c>
      <c r="L542" s="16" t="s">
        <v>17</v>
      </c>
      <c r="M542" s="16">
        <v>31</v>
      </c>
      <c r="N542" s="16" t="s">
        <v>462</v>
      </c>
      <c r="O542" s="16" t="s">
        <v>4717</v>
      </c>
      <c r="P542" s="16" t="s">
        <v>4908</v>
      </c>
      <c r="Q542" s="16" t="s">
        <v>1055</v>
      </c>
      <c r="R542" s="16" t="s">
        <v>1350</v>
      </c>
      <c r="S542" s="16" t="s">
        <v>4909</v>
      </c>
      <c r="T542" s="16">
        <v>300663</v>
      </c>
      <c r="U542" s="16"/>
      <c r="V542" s="16" t="s">
        <v>469</v>
      </c>
      <c r="W542" s="16" t="s">
        <v>470</v>
      </c>
      <c r="X542" s="16" t="s">
        <v>471</v>
      </c>
      <c r="Y542" s="16" t="s">
        <v>523</v>
      </c>
      <c r="Z542" s="16" t="s">
        <v>665</v>
      </c>
      <c r="AA542" s="16" t="s">
        <v>1354</v>
      </c>
      <c r="AB542" s="16" t="s">
        <v>4910</v>
      </c>
      <c r="AC542" s="16" t="s">
        <v>640</v>
      </c>
      <c r="AD542" s="16">
        <v>133971298</v>
      </c>
      <c r="AE542" s="16">
        <v>1427616002</v>
      </c>
      <c r="AF542" s="16"/>
      <c r="AG542" s="16"/>
      <c r="AH542" s="16"/>
      <c r="AI542" s="16" t="s">
        <v>34</v>
      </c>
      <c r="AJ542" s="16" t="s">
        <v>481</v>
      </c>
      <c r="AK542" s="16" t="s">
        <v>4911</v>
      </c>
      <c r="AL542" s="16">
        <v>185958.88</v>
      </c>
      <c r="AM542" s="16"/>
      <c r="AN542" s="16"/>
      <c r="AO542" s="16">
        <v>243</v>
      </c>
      <c r="AP542" s="16" t="s">
        <v>485</v>
      </c>
      <c r="AQ542" s="16" t="s">
        <v>4912</v>
      </c>
      <c r="AR542" s="3">
        <v>46244</v>
      </c>
      <c r="AS542" s="16" t="s">
        <v>4913</v>
      </c>
      <c r="AT542" s="16" t="s">
        <v>4914</v>
      </c>
      <c r="AU542" s="16"/>
      <c r="AV542" s="16" t="s">
        <v>4127</v>
      </c>
      <c r="AW542" s="16"/>
      <c r="AX542" s="16"/>
      <c r="AY542" s="16"/>
      <c r="AZ542" s="16"/>
      <c r="BA542" s="16"/>
      <c r="BB542" s="16"/>
      <c r="BC542" s="16"/>
      <c r="BD542" s="16" t="s">
        <v>34</v>
      </c>
      <c r="BE542" s="16">
        <v>31</v>
      </c>
      <c r="BF542" s="16"/>
      <c r="BG542" s="16"/>
      <c r="BH542" s="16" t="s">
        <v>491</v>
      </c>
      <c r="BI542" s="16">
        <v>79822040</v>
      </c>
      <c r="BJ542" s="16"/>
      <c r="BK542" s="16"/>
      <c r="BL542" s="16"/>
      <c r="BM542" s="16"/>
      <c r="BN542" s="16"/>
      <c r="BO542" s="16"/>
      <c r="BP542" s="16"/>
      <c r="BQ542" s="16"/>
      <c r="BR542" s="16"/>
      <c r="BS542" s="16"/>
      <c r="BT542" s="16"/>
      <c r="BU542" s="16"/>
      <c r="BV542" s="16"/>
      <c r="BW542" s="16"/>
      <c r="BX542" s="16"/>
      <c r="BY542" s="16"/>
      <c r="BZ542" s="16"/>
      <c r="CA542" s="190">
        <v>46275</v>
      </c>
      <c r="CB542" s="3"/>
      <c r="CC542" s="16"/>
      <c r="CD542" s="16"/>
      <c r="CE542" s="16"/>
      <c r="CF542" s="16"/>
      <c r="CG542" s="16"/>
      <c r="CH542" s="16"/>
      <c r="CI542" s="16" t="s">
        <v>4915</v>
      </c>
    </row>
    <row r="543" spans="1:87">
      <c r="A543" s="16" t="s">
        <v>4</v>
      </c>
      <c r="B543" s="16" t="s">
        <v>4916</v>
      </c>
      <c r="C543" s="3">
        <v>46276</v>
      </c>
      <c r="D543" s="16" t="s">
        <v>1</v>
      </c>
      <c r="E543" s="16" t="s">
        <v>4917</v>
      </c>
      <c r="F543" s="16">
        <v>2026218130459</v>
      </c>
      <c r="G543" s="16">
        <v>40</v>
      </c>
      <c r="H543" s="16">
        <v>35</v>
      </c>
      <c r="I543" s="16" t="s">
        <v>460</v>
      </c>
      <c r="J543" s="16" t="s">
        <v>4917</v>
      </c>
      <c r="K543" s="16" t="s">
        <v>4812</v>
      </c>
      <c r="L543" s="16" t="s">
        <v>16</v>
      </c>
      <c r="M543" s="16">
        <v>34</v>
      </c>
      <c r="N543" s="16" t="s">
        <v>462</v>
      </c>
      <c r="O543" s="16" t="s">
        <v>4717</v>
      </c>
      <c r="P543" s="16" t="s">
        <v>4918</v>
      </c>
      <c r="Q543" s="16" t="s">
        <v>465</v>
      </c>
      <c r="R543" s="16" t="s">
        <v>466</v>
      </c>
      <c r="S543" s="16" t="s">
        <v>4919</v>
      </c>
      <c r="T543" s="16">
        <v>300380</v>
      </c>
      <c r="U543" s="16"/>
      <c r="V543" s="16" t="s">
        <v>469</v>
      </c>
      <c r="W543" s="16" t="s">
        <v>470</v>
      </c>
      <c r="X543" s="16" t="s">
        <v>471</v>
      </c>
      <c r="Y543" s="16" t="s">
        <v>523</v>
      </c>
      <c r="Z543" s="16" t="s">
        <v>665</v>
      </c>
      <c r="AA543" s="16" t="s">
        <v>474</v>
      </c>
      <c r="AB543" s="16" t="s">
        <v>4920</v>
      </c>
      <c r="AC543" s="16" t="s">
        <v>640</v>
      </c>
      <c r="AD543" s="16">
        <v>141338471</v>
      </c>
      <c r="AE543" s="16">
        <v>1033270699</v>
      </c>
      <c r="AF543" s="16"/>
      <c r="AG543" s="16"/>
      <c r="AH543" s="16" t="s">
        <v>1076</v>
      </c>
      <c r="AI543" s="16" t="s">
        <v>82</v>
      </c>
      <c r="AJ543" s="16" t="s">
        <v>481</v>
      </c>
      <c r="AK543" s="16" t="s">
        <v>4921</v>
      </c>
      <c r="AL543" s="16">
        <v>18765.990000000002</v>
      </c>
      <c r="AM543" s="16"/>
      <c r="AN543" s="16"/>
      <c r="AO543" s="16">
        <v>71</v>
      </c>
      <c r="AP543" s="16" t="s">
        <v>485</v>
      </c>
      <c r="AQ543" s="16" t="s">
        <v>4922</v>
      </c>
      <c r="AR543" s="3">
        <v>46241</v>
      </c>
      <c r="AS543" s="16" t="s">
        <v>2506</v>
      </c>
      <c r="AT543" s="16" t="s">
        <v>1819</v>
      </c>
      <c r="AU543" s="16"/>
      <c r="AV543" s="16" t="s">
        <v>4923</v>
      </c>
      <c r="AW543" s="16"/>
      <c r="AX543" s="16"/>
      <c r="AY543" s="16"/>
      <c r="AZ543" s="16"/>
      <c r="BA543" s="16"/>
      <c r="BB543" s="16"/>
      <c r="BC543" s="16"/>
      <c r="BD543" s="16" t="s">
        <v>82</v>
      </c>
      <c r="BE543" s="16">
        <v>35</v>
      </c>
      <c r="BF543" s="16"/>
      <c r="BG543" s="16"/>
      <c r="BH543" s="16" t="s">
        <v>491</v>
      </c>
      <c r="BI543" s="16">
        <v>110865791</v>
      </c>
      <c r="BJ543" s="16"/>
      <c r="BK543" s="16"/>
      <c r="BL543" s="16"/>
      <c r="BM543" s="16"/>
      <c r="BN543" s="16"/>
      <c r="BO543" s="16"/>
      <c r="BP543" s="16"/>
      <c r="BQ543" s="16"/>
      <c r="BR543" s="16"/>
      <c r="BS543" s="16"/>
      <c r="BT543" s="16"/>
      <c r="BU543" s="16"/>
      <c r="BV543" s="16"/>
      <c r="BW543" s="16"/>
      <c r="BX543" s="16"/>
      <c r="BY543" s="16"/>
      <c r="BZ543" s="16"/>
      <c r="CA543" s="190">
        <v>46286.166666666701</v>
      </c>
      <c r="CB543" s="3"/>
      <c r="CC543" s="16"/>
      <c r="CD543" s="16"/>
      <c r="CE543" s="16"/>
      <c r="CF543" s="16"/>
      <c r="CG543" s="16"/>
      <c r="CH543" s="16"/>
      <c r="CI543" s="16" t="s">
        <v>4924</v>
      </c>
    </row>
    <row r="544" spans="1:87">
      <c r="A544" s="16"/>
      <c r="B544" s="16"/>
      <c r="C544" s="3">
        <v>46276</v>
      </c>
      <c r="D544" s="16" t="s">
        <v>1</v>
      </c>
      <c r="E544" s="16" t="s">
        <v>4925</v>
      </c>
      <c r="F544" s="16">
        <v>2026218330522</v>
      </c>
      <c r="G544" s="16">
        <v>40</v>
      </c>
      <c r="H544" s="16">
        <v>35</v>
      </c>
      <c r="I544" s="16" t="s">
        <v>460</v>
      </c>
      <c r="J544" s="16" t="s">
        <v>4925</v>
      </c>
      <c r="K544" s="16" t="s">
        <v>4716</v>
      </c>
      <c r="L544" s="16" t="s">
        <v>16</v>
      </c>
      <c r="M544" s="16">
        <v>34</v>
      </c>
      <c r="N544" s="16" t="s">
        <v>462</v>
      </c>
      <c r="O544" s="16" t="s">
        <v>4717</v>
      </c>
      <c r="P544" s="16" t="s">
        <v>4926</v>
      </c>
      <c r="Q544" s="16" t="s">
        <v>465</v>
      </c>
      <c r="R544" s="16" t="s">
        <v>466</v>
      </c>
      <c r="S544" s="16" t="s">
        <v>4927</v>
      </c>
      <c r="T544" s="16">
        <v>270242</v>
      </c>
      <c r="U544" s="16"/>
      <c r="V544" s="16" t="s">
        <v>469</v>
      </c>
      <c r="W544" s="16" t="s">
        <v>568</v>
      </c>
      <c r="X544" s="16" t="s">
        <v>471</v>
      </c>
      <c r="Y544" s="16" t="s">
        <v>1724</v>
      </c>
      <c r="Z544" s="16" t="s">
        <v>638</v>
      </c>
      <c r="AA544" s="16" t="s">
        <v>474</v>
      </c>
      <c r="AB544" s="16" t="s">
        <v>4928</v>
      </c>
      <c r="AC544" s="16" t="s">
        <v>1429</v>
      </c>
      <c r="AD544" s="16">
        <v>873520733</v>
      </c>
      <c r="AE544" s="16">
        <v>1013086727</v>
      </c>
      <c r="AF544" s="16">
        <v>1457420176</v>
      </c>
      <c r="AG544" s="16"/>
      <c r="AH544" s="16" t="s">
        <v>1076</v>
      </c>
      <c r="AI544" s="16" t="s">
        <v>206</v>
      </c>
      <c r="AJ544" s="16" t="s">
        <v>481</v>
      </c>
      <c r="AK544" s="16" t="s">
        <v>4929</v>
      </c>
      <c r="AL544" s="16">
        <v>210</v>
      </c>
      <c r="AM544" s="16"/>
      <c r="AN544" s="16"/>
      <c r="AO544" s="16">
        <v>228</v>
      </c>
      <c r="AP544" s="16" t="s">
        <v>485</v>
      </c>
      <c r="AQ544" s="16" t="s">
        <v>4930</v>
      </c>
      <c r="AR544" s="3">
        <v>46241</v>
      </c>
      <c r="AS544" s="16" t="s">
        <v>2506</v>
      </c>
      <c r="AT544" s="16" t="s">
        <v>3118</v>
      </c>
      <c r="AU544" s="16"/>
      <c r="AV544" s="16" t="s">
        <v>4931</v>
      </c>
      <c r="AW544" s="16"/>
      <c r="AX544" s="16"/>
      <c r="AY544" s="16"/>
      <c r="AZ544" s="16"/>
      <c r="BA544" s="16"/>
      <c r="BB544" s="16"/>
      <c r="BC544" s="16"/>
      <c r="BD544" s="16" t="s">
        <v>206</v>
      </c>
      <c r="BE544" s="16">
        <v>35</v>
      </c>
      <c r="BF544" s="16"/>
      <c r="BG544" s="16"/>
      <c r="BH544" s="16" t="s">
        <v>491</v>
      </c>
      <c r="BI544" s="16">
        <v>519354654</v>
      </c>
      <c r="BJ544" s="16"/>
      <c r="BK544" s="16"/>
      <c r="BL544" s="16"/>
      <c r="BM544" s="16"/>
      <c r="BN544" s="16"/>
      <c r="BO544" s="16"/>
      <c r="BP544" s="16"/>
      <c r="BQ544" s="16"/>
      <c r="BR544" s="16"/>
      <c r="BS544" s="16"/>
      <c r="BT544" s="16"/>
      <c r="BU544" s="16"/>
      <c r="BV544" s="16"/>
      <c r="BW544" s="16"/>
      <c r="BX544" s="16"/>
      <c r="BY544" s="16"/>
      <c r="BZ544" s="16"/>
      <c r="CA544" s="190">
        <v>46275</v>
      </c>
      <c r="CB544" s="3"/>
      <c r="CC544" s="16"/>
      <c r="CD544" s="16"/>
      <c r="CE544" s="16"/>
      <c r="CF544" s="16"/>
      <c r="CG544" s="16"/>
      <c r="CH544" s="16"/>
      <c r="CI544" s="16" t="s">
        <v>4932</v>
      </c>
    </row>
    <row r="545" spans="1:87">
      <c r="A545" s="16"/>
      <c r="B545" s="16"/>
      <c r="C545" s="3">
        <v>46276</v>
      </c>
      <c r="D545" s="16" t="s">
        <v>1</v>
      </c>
      <c r="E545" s="16" t="s">
        <v>4933</v>
      </c>
      <c r="F545" s="16">
        <v>2026218400531</v>
      </c>
      <c r="G545" s="16">
        <v>40</v>
      </c>
      <c r="H545" s="16">
        <v>35</v>
      </c>
      <c r="I545" s="16" t="s">
        <v>460</v>
      </c>
      <c r="J545" s="16" t="s">
        <v>4933</v>
      </c>
      <c r="K545" s="16" t="s">
        <v>4716</v>
      </c>
      <c r="L545" s="16" t="s">
        <v>16</v>
      </c>
      <c r="M545" s="16">
        <v>34</v>
      </c>
      <c r="N545" s="16" t="s">
        <v>462</v>
      </c>
      <c r="O545" s="16" t="s">
        <v>4717</v>
      </c>
      <c r="P545" s="16" t="s">
        <v>4934</v>
      </c>
      <c r="Q545" s="16" t="s">
        <v>465</v>
      </c>
      <c r="R545" s="16" t="s">
        <v>466</v>
      </c>
      <c r="S545" s="16" t="s">
        <v>4935</v>
      </c>
      <c r="T545" s="16">
        <v>270241</v>
      </c>
      <c r="U545" s="16"/>
      <c r="V545" s="16" t="s">
        <v>469</v>
      </c>
      <c r="W545" s="16" t="s">
        <v>568</v>
      </c>
      <c r="X545" s="16" t="s">
        <v>471</v>
      </c>
      <c r="Y545" s="16" t="s">
        <v>1724</v>
      </c>
      <c r="Z545" s="16" t="s">
        <v>590</v>
      </c>
      <c r="AA545" s="16" t="s">
        <v>474</v>
      </c>
      <c r="AB545" s="16" t="s">
        <v>4936</v>
      </c>
      <c r="AC545" s="16" t="s">
        <v>1932</v>
      </c>
      <c r="AD545" s="16">
        <v>621762537</v>
      </c>
      <c r="AE545" s="16">
        <v>1861439952</v>
      </c>
      <c r="AF545" s="16"/>
      <c r="AG545" s="16"/>
      <c r="AH545" s="16" t="s">
        <v>1076</v>
      </c>
      <c r="AI545" s="16" t="s">
        <v>206</v>
      </c>
      <c r="AJ545" s="16" t="s">
        <v>481</v>
      </c>
      <c r="AK545" s="16" t="s">
        <v>4937</v>
      </c>
      <c r="AL545" s="16">
        <v>43242</v>
      </c>
      <c r="AM545" s="16"/>
      <c r="AN545" s="16"/>
      <c r="AO545" s="16">
        <v>261</v>
      </c>
      <c r="AP545" s="16" t="s">
        <v>485</v>
      </c>
      <c r="AQ545" s="16" t="s">
        <v>4938</v>
      </c>
      <c r="AR545" s="3">
        <v>46241</v>
      </c>
      <c r="AS545" s="16" t="s">
        <v>2506</v>
      </c>
      <c r="AT545" s="16" t="s">
        <v>1819</v>
      </c>
      <c r="AU545" s="16"/>
      <c r="AV545" s="16" t="s">
        <v>4704</v>
      </c>
      <c r="AW545" s="16"/>
      <c r="AX545" s="16"/>
      <c r="AY545" s="16"/>
      <c r="AZ545" s="16"/>
      <c r="BA545" s="16"/>
      <c r="BB545" s="16"/>
      <c r="BC545" s="16"/>
      <c r="BD545" s="16" t="s">
        <v>206</v>
      </c>
      <c r="BE545" s="16">
        <v>35</v>
      </c>
      <c r="BF545" s="16"/>
      <c r="BG545" s="16"/>
      <c r="BH545" s="16" t="s">
        <v>491</v>
      </c>
      <c r="BI545" s="16">
        <v>562137488</v>
      </c>
      <c r="BJ545" s="16"/>
      <c r="BK545" s="16"/>
      <c r="BL545" s="16"/>
      <c r="BM545" s="16"/>
      <c r="BN545" s="16"/>
      <c r="BO545" s="16"/>
      <c r="BP545" s="16"/>
      <c r="BQ545" s="16"/>
      <c r="BR545" s="16"/>
      <c r="BS545" s="16"/>
      <c r="BT545" s="16"/>
      <c r="BU545" s="16"/>
      <c r="BV545" s="16"/>
      <c r="BW545" s="16"/>
      <c r="BX545" s="16"/>
      <c r="BY545" s="16"/>
      <c r="BZ545" s="16"/>
      <c r="CA545" s="190">
        <v>46275</v>
      </c>
      <c r="CB545" s="3"/>
      <c r="CC545" s="16"/>
      <c r="CD545" s="16"/>
      <c r="CE545" s="16"/>
      <c r="CF545" s="16"/>
      <c r="CG545" s="16"/>
      <c r="CH545" s="16"/>
      <c r="CI545" s="16" t="s">
        <v>4939</v>
      </c>
    </row>
    <row r="546" spans="1:87">
      <c r="A546" s="16"/>
      <c r="B546" s="16"/>
      <c r="C546" s="3">
        <v>46276</v>
      </c>
      <c r="D546" s="16" t="s">
        <v>1</v>
      </c>
      <c r="E546" s="16" t="s">
        <v>4940</v>
      </c>
      <c r="F546" s="16">
        <v>2026209770150</v>
      </c>
      <c r="G546" s="16">
        <v>40</v>
      </c>
      <c r="H546" s="16">
        <v>44</v>
      </c>
      <c r="I546" s="16" t="s">
        <v>460</v>
      </c>
      <c r="J546" s="16" t="s">
        <v>4940</v>
      </c>
      <c r="K546" s="16" t="s">
        <v>682</v>
      </c>
      <c r="L546" s="16" t="s">
        <v>18</v>
      </c>
      <c r="M546" s="16">
        <v>2</v>
      </c>
      <c r="N546" s="16" t="s">
        <v>462</v>
      </c>
      <c r="O546" s="16" t="s">
        <v>497</v>
      </c>
      <c r="P546" s="16" t="s">
        <v>4941</v>
      </c>
      <c r="Q546" s="16" t="s">
        <v>465</v>
      </c>
      <c r="R546" s="16" t="s">
        <v>466</v>
      </c>
      <c r="S546" s="16" t="s">
        <v>4942</v>
      </c>
      <c r="T546" s="16">
        <v>270130</v>
      </c>
      <c r="U546" s="16">
        <v>46273.28125</v>
      </c>
      <c r="V546" s="16" t="s">
        <v>469</v>
      </c>
      <c r="W546" s="16" t="s">
        <v>568</v>
      </c>
      <c r="X546" s="16" t="s">
        <v>471</v>
      </c>
      <c r="Y546" s="16" t="s">
        <v>1724</v>
      </c>
      <c r="Z546" s="16" t="s">
        <v>638</v>
      </c>
      <c r="AA546" s="16" t="s">
        <v>474</v>
      </c>
      <c r="AB546" s="16" t="s">
        <v>4943</v>
      </c>
      <c r="AC546" s="16" t="s">
        <v>733</v>
      </c>
      <c r="AD546" s="16">
        <v>431895029</v>
      </c>
      <c r="AE546" s="16">
        <v>1720055452</v>
      </c>
      <c r="AF546" s="16">
        <v>1548524218</v>
      </c>
      <c r="AG546" s="16"/>
      <c r="AH546" s="16"/>
      <c r="AI546" s="16" t="s">
        <v>19</v>
      </c>
      <c r="AJ546" s="16" t="s">
        <v>481</v>
      </c>
      <c r="AK546" s="16" t="s">
        <v>4944</v>
      </c>
      <c r="AL546" s="16">
        <v>37864</v>
      </c>
      <c r="AM546" s="16"/>
      <c r="AN546" s="16"/>
      <c r="AO546" s="16">
        <v>705</v>
      </c>
      <c r="AP546" s="16" t="s">
        <v>485</v>
      </c>
      <c r="AQ546" s="16" t="s">
        <v>4945</v>
      </c>
      <c r="AR546" s="3">
        <v>46273</v>
      </c>
      <c r="AS546" s="16" t="s">
        <v>19</v>
      </c>
      <c r="AT546" s="16" t="s">
        <v>4946</v>
      </c>
      <c r="AU546" s="16"/>
      <c r="AV546" s="16" t="s">
        <v>4947</v>
      </c>
      <c r="AW546" s="16"/>
      <c r="AX546" s="16"/>
      <c r="AY546" s="16"/>
      <c r="AZ546" s="16"/>
      <c r="BA546" s="16"/>
      <c r="BB546" s="16"/>
      <c r="BC546" s="16"/>
      <c r="BD546" s="16" t="s">
        <v>19</v>
      </c>
      <c r="BE546" s="16">
        <v>40</v>
      </c>
      <c r="BF546" s="16"/>
      <c r="BG546" s="16"/>
      <c r="BH546" s="16" t="s">
        <v>491</v>
      </c>
      <c r="BI546" s="16">
        <v>1760346</v>
      </c>
      <c r="BJ546" s="16"/>
      <c r="BK546" s="16"/>
      <c r="BL546" s="16"/>
      <c r="BM546" s="16"/>
      <c r="BN546" s="16"/>
      <c r="BO546" s="16"/>
      <c r="BP546" s="16"/>
      <c r="BQ546" s="16"/>
      <c r="BR546" s="16"/>
      <c r="BS546" s="16"/>
      <c r="BT546" s="16"/>
      <c r="BU546" s="16"/>
      <c r="BV546" s="16"/>
      <c r="BW546" s="16"/>
      <c r="BX546" s="16"/>
      <c r="BY546" s="16"/>
      <c r="BZ546" s="16"/>
      <c r="CA546" s="190">
        <v>46275</v>
      </c>
      <c r="CB546" s="3"/>
      <c r="CC546" s="16"/>
      <c r="CD546" s="16"/>
      <c r="CE546" s="16"/>
      <c r="CF546" s="16"/>
      <c r="CG546" s="16"/>
      <c r="CH546" s="16"/>
      <c r="CI546" s="16" t="s">
        <v>4948</v>
      </c>
    </row>
    <row r="547" spans="1:87">
      <c r="A547" s="16" t="s">
        <v>4</v>
      </c>
      <c r="B547" s="16" t="s">
        <v>4949</v>
      </c>
      <c r="C547" s="3">
        <v>46276</v>
      </c>
      <c r="D547" s="16" t="s">
        <v>1</v>
      </c>
      <c r="E547" s="16" t="s">
        <v>4950</v>
      </c>
      <c r="F547" s="16">
        <v>2026218170434</v>
      </c>
      <c r="G547" s="16">
        <v>40</v>
      </c>
      <c r="H547" s="16">
        <v>35</v>
      </c>
      <c r="I547" s="16" t="s">
        <v>460</v>
      </c>
      <c r="J547" s="16" t="s">
        <v>4950</v>
      </c>
      <c r="K547" s="16" t="s">
        <v>4812</v>
      </c>
      <c r="L547" s="16" t="s">
        <v>16</v>
      </c>
      <c r="M547" s="16">
        <v>10</v>
      </c>
      <c r="N547" s="16" t="s">
        <v>462</v>
      </c>
      <c r="O547" s="16" t="s">
        <v>4717</v>
      </c>
      <c r="P547" s="16" t="s">
        <v>4951</v>
      </c>
      <c r="Q547" s="16" t="s">
        <v>465</v>
      </c>
      <c r="R547" s="16" t="s">
        <v>466</v>
      </c>
      <c r="S547" s="16" t="s">
        <v>4952</v>
      </c>
      <c r="T547" s="16">
        <v>214021</v>
      </c>
      <c r="U547" s="16"/>
      <c r="V547" s="16" t="s">
        <v>469</v>
      </c>
      <c r="W547" s="16" t="s">
        <v>568</v>
      </c>
      <c r="X547" s="16" t="s">
        <v>471</v>
      </c>
      <c r="Y547" s="16" t="s">
        <v>1887</v>
      </c>
      <c r="Z547" s="16" t="s">
        <v>1292</v>
      </c>
      <c r="AA547" s="16" t="s">
        <v>474</v>
      </c>
      <c r="AB547" s="16" t="s">
        <v>4953</v>
      </c>
      <c r="AC547" s="16" t="s">
        <v>1294</v>
      </c>
      <c r="AD547" s="16">
        <v>616001218</v>
      </c>
      <c r="AE547" s="16">
        <v>1518911338</v>
      </c>
      <c r="AF547" s="16"/>
      <c r="AG547" s="16"/>
      <c r="AH547" s="16" t="s">
        <v>1076</v>
      </c>
      <c r="AI547" s="16" t="s">
        <v>82</v>
      </c>
      <c r="AJ547" s="16" t="s">
        <v>481</v>
      </c>
      <c r="AK547" s="16" t="s">
        <v>4954</v>
      </c>
      <c r="AL547" s="16">
        <v>40723.97</v>
      </c>
      <c r="AM547" s="16"/>
      <c r="AN547" s="16"/>
      <c r="AO547" s="16" t="s">
        <v>2352</v>
      </c>
      <c r="AP547" s="16" t="s">
        <v>485</v>
      </c>
      <c r="AQ547" s="16" t="s">
        <v>4955</v>
      </c>
      <c r="AR547" s="3">
        <v>46265</v>
      </c>
      <c r="AS547" s="16" t="s">
        <v>1076</v>
      </c>
      <c r="AT547" s="16" t="s">
        <v>1819</v>
      </c>
      <c r="AU547" s="16"/>
      <c r="AV547" s="16" t="s">
        <v>4956</v>
      </c>
      <c r="AW547" s="16"/>
      <c r="AX547" s="16"/>
      <c r="AY547" s="16"/>
      <c r="AZ547" s="16"/>
      <c r="BA547" s="16"/>
      <c r="BB547" s="16"/>
      <c r="BC547" s="16"/>
      <c r="BD547" s="16" t="s">
        <v>82</v>
      </c>
      <c r="BE547" s="16">
        <v>35</v>
      </c>
      <c r="BF547" s="16"/>
      <c r="BG547" s="16"/>
      <c r="BH547" s="16" t="s">
        <v>491</v>
      </c>
      <c r="BI547" s="16">
        <v>410653028</v>
      </c>
      <c r="BJ547" s="16"/>
      <c r="BK547" s="16"/>
      <c r="BL547" s="16"/>
      <c r="BM547" s="16"/>
      <c r="BN547" s="16"/>
      <c r="BO547" s="16"/>
      <c r="BP547" s="16"/>
      <c r="BQ547" s="16"/>
      <c r="BR547" s="16"/>
      <c r="BS547" s="16"/>
      <c r="BT547" s="16"/>
      <c r="BU547" s="16"/>
      <c r="BV547" s="16"/>
      <c r="BW547" s="16"/>
      <c r="BX547" s="16"/>
      <c r="BY547" s="16"/>
      <c r="BZ547" s="16"/>
      <c r="CA547" s="190">
        <v>46286.166666666701</v>
      </c>
      <c r="CB547" s="3"/>
      <c r="CC547" s="16"/>
      <c r="CD547" s="16"/>
      <c r="CE547" s="16"/>
      <c r="CF547" s="16"/>
      <c r="CG547" s="16"/>
      <c r="CH547" s="16"/>
      <c r="CI547" s="16" t="s">
        <v>4957</v>
      </c>
    </row>
    <row r="548" spans="1:87">
      <c r="A548" s="16"/>
      <c r="B548" s="16"/>
      <c r="C548" s="3">
        <v>46276</v>
      </c>
      <c r="D548" s="16" t="s">
        <v>1</v>
      </c>
      <c r="E548" s="16" t="s">
        <v>4958</v>
      </c>
      <c r="F548" s="16">
        <v>2026213740261</v>
      </c>
      <c r="G548" s="16">
        <v>40</v>
      </c>
      <c r="H548" s="16">
        <v>40</v>
      </c>
      <c r="I548" s="16" t="s">
        <v>460</v>
      </c>
      <c r="J548" s="16" t="s">
        <v>4958</v>
      </c>
      <c r="K548" s="16" t="s">
        <v>983</v>
      </c>
      <c r="L548" s="16" t="s">
        <v>17</v>
      </c>
      <c r="M548" s="16">
        <v>38</v>
      </c>
      <c r="N548" s="16" t="s">
        <v>462</v>
      </c>
      <c r="O548" s="16" t="s">
        <v>4717</v>
      </c>
      <c r="P548" s="16" t="s">
        <v>4959</v>
      </c>
      <c r="Q548" s="16" t="s">
        <v>465</v>
      </c>
      <c r="R548" s="16" t="s">
        <v>466</v>
      </c>
      <c r="S548" s="16" t="s">
        <v>4960</v>
      </c>
      <c r="T548" s="16" t="s">
        <v>4961</v>
      </c>
      <c r="U548" s="16"/>
      <c r="V548" s="16" t="s">
        <v>469</v>
      </c>
      <c r="W548" s="16" t="s">
        <v>568</v>
      </c>
      <c r="X548" s="16" t="s">
        <v>471</v>
      </c>
      <c r="Y548" s="16" t="s">
        <v>523</v>
      </c>
      <c r="Z548" s="16" t="s">
        <v>544</v>
      </c>
      <c r="AA548" s="16" t="s">
        <v>474</v>
      </c>
      <c r="AB548" s="16" t="s">
        <v>4962</v>
      </c>
      <c r="AC548" s="16" t="s">
        <v>546</v>
      </c>
      <c r="AD548" s="16">
        <v>475259919</v>
      </c>
      <c r="AE548" s="16">
        <v>1033228168</v>
      </c>
      <c r="AF548" s="16"/>
      <c r="AG548" s="16"/>
      <c r="AH548" s="16"/>
      <c r="AI548" s="16" t="s">
        <v>34</v>
      </c>
      <c r="AJ548" s="16" t="s">
        <v>481</v>
      </c>
      <c r="AK548" s="16" t="s">
        <v>4963</v>
      </c>
      <c r="AL548" s="16">
        <v>950</v>
      </c>
      <c r="AM548" s="16"/>
      <c r="AN548" s="16"/>
      <c r="AO548" s="16">
        <v>570</v>
      </c>
      <c r="AP548" s="16" t="s">
        <v>485</v>
      </c>
      <c r="AQ548" s="16" t="s">
        <v>4964</v>
      </c>
      <c r="AR548" s="3">
        <v>46237</v>
      </c>
      <c r="AS548" s="16" t="s">
        <v>983</v>
      </c>
      <c r="AT548" s="16" t="s">
        <v>4965</v>
      </c>
      <c r="AU548" s="16"/>
      <c r="AV548" s="16" t="s">
        <v>4966</v>
      </c>
      <c r="AW548" s="16"/>
      <c r="AX548" s="16"/>
      <c r="AY548" s="16"/>
      <c r="AZ548" s="16"/>
      <c r="BA548" s="16"/>
      <c r="BB548" s="16"/>
      <c r="BC548" s="16"/>
      <c r="BD548" s="16" t="s">
        <v>34</v>
      </c>
      <c r="BE548" s="16">
        <v>40</v>
      </c>
      <c r="BF548" s="16"/>
      <c r="BG548" s="16" t="s">
        <v>490</v>
      </c>
      <c r="BH548" s="16" t="s">
        <v>491</v>
      </c>
      <c r="BI548" s="16">
        <v>254675793</v>
      </c>
      <c r="BJ548" s="16"/>
      <c r="BK548" s="16"/>
      <c r="BL548" s="16"/>
      <c r="BM548" s="16"/>
      <c r="BN548" s="16"/>
      <c r="BO548" s="16"/>
      <c r="BP548" s="16"/>
      <c r="BQ548" s="16"/>
      <c r="BR548" s="16"/>
      <c r="BS548" s="16"/>
      <c r="BT548" s="16"/>
      <c r="BU548" s="16"/>
      <c r="BV548" s="16"/>
      <c r="BW548" s="16"/>
      <c r="BX548" s="16"/>
      <c r="BY548" s="16"/>
      <c r="BZ548" s="16"/>
      <c r="CA548" s="190">
        <v>46275</v>
      </c>
      <c r="CB548" s="3"/>
      <c r="CC548" s="16"/>
      <c r="CD548" s="16"/>
      <c r="CE548" s="16"/>
      <c r="CF548" s="16"/>
      <c r="CG548" s="16"/>
      <c r="CH548" s="16"/>
      <c r="CI548" s="16" t="s">
        <v>4967</v>
      </c>
    </row>
    <row r="549" spans="1:87">
      <c r="A549" s="16" t="s">
        <v>5</v>
      </c>
      <c r="B549" s="16" t="s">
        <v>4968</v>
      </c>
      <c r="C549" s="3">
        <v>46276</v>
      </c>
      <c r="D549" s="16" t="s">
        <v>1</v>
      </c>
      <c r="E549" s="16" t="s">
        <v>4969</v>
      </c>
      <c r="F549" s="16">
        <v>2026216700284</v>
      </c>
      <c r="G549" s="16">
        <v>40</v>
      </c>
      <c r="H549" s="16">
        <v>37</v>
      </c>
      <c r="I549" s="16" t="s">
        <v>460</v>
      </c>
      <c r="J549" s="16" t="s">
        <v>4969</v>
      </c>
      <c r="K549" s="16" t="s">
        <v>1371</v>
      </c>
      <c r="L549" s="16" t="s">
        <v>17</v>
      </c>
      <c r="M549" s="16">
        <v>3</v>
      </c>
      <c r="N549" s="16" t="s">
        <v>462</v>
      </c>
      <c r="O549" s="16" t="s">
        <v>497</v>
      </c>
      <c r="P549" s="16" t="s">
        <v>4970</v>
      </c>
      <c r="Q549" s="16" t="s">
        <v>564</v>
      </c>
      <c r="R549" s="16" t="s">
        <v>466</v>
      </c>
      <c r="S549" s="16">
        <v>2025351388184</v>
      </c>
      <c r="T549" s="16" t="s">
        <v>4971</v>
      </c>
      <c r="U549" s="16">
        <v>46272.693055555559</v>
      </c>
      <c r="V549" s="16" t="s">
        <v>469</v>
      </c>
      <c r="W549" s="16" t="s">
        <v>470</v>
      </c>
      <c r="X549" s="16" t="s">
        <v>471</v>
      </c>
      <c r="Y549" s="16" t="s">
        <v>472</v>
      </c>
      <c r="Z549" s="16" t="s">
        <v>590</v>
      </c>
      <c r="AA549" s="16" t="s">
        <v>1354</v>
      </c>
      <c r="AB549" s="16" t="s">
        <v>4972</v>
      </c>
      <c r="AC549" s="16" t="s">
        <v>1932</v>
      </c>
      <c r="AD549" s="16">
        <v>263668328</v>
      </c>
      <c r="AE549" s="16">
        <v>1861627242</v>
      </c>
      <c r="AF549" s="16">
        <v>1356758833</v>
      </c>
      <c r="AG549" s="16"/>
      <c r="AH549" s="16"/>
      <c r="AI549" s="16" t="s">
        <v>164</v>
      </c>
      <c r="AJ549" s="16" t="s">
        <v>481</v>
      </c>
      <c r="AK549" s="16" t="s">
        <v>4973</v>
      </c>
      <c r="AL549" s="16">
        <v>625</v>
      </c>
      <c r="AM549" s="16"/>
      <c r="AN549" s="16"/>
      <c r="AO549" s="16">
        <v>651</v>
      </c>
      <c r="AP549" s="16" t="s">
        <v>485</v>
      </c>
      <c r="AQ549" s="16" t="s">
        <v>4974</v>
      </c>
      <c r="AR549" s="3">
        <v>46272</v>
      </c>
      <c r="AS549" s="16" t="s">
        <v>164</v>
      </c>
      <c r="AT549" s="16" t="s">
        <v>4946</v>
      </c>
      <c r="AU549" s="16"/>
      <c r="AV549" s="16" t="s">
        <v>4975</v>
      </c>
      <c r="AW549" s="16"/>
      <c r="AX549" s="16"/>
      <c r="AY549" s="16"/>
      <c r="AZ549" s="16"/>
      <c r="BA549" s="16"/>
      <c r="BB549" s="16"/>
      <c r="BC549" s="16"/>
      <c r="BD549" s="16" t="s">
        <v>164</v>
      </c>
      <c r="BE549" s="16">
        <v>37</v>
      </c>
      <c r="BF549" s="16"/>
      <c r="BG549" s="16" t="s">
        <v>490</v>
      </c>
      <c r="BH549" s="16" t="s">
        <v>491</v>
      </c>
      <c r="BI549" s="16">
        <v>197681873</v>
      </c>
      <c r="BJ549" s="16"/>
      <c r="BK549" s="16"/>
      <c r="BL549" s="16"/>
      <c r="BM549" s="16"/>
      <c r="BN549" s="16"/>
      <c r="BO549" s="16"/>
      <c r="BP549" s="16"/>
      <c r="BQ549" s="16"/>
      <c r="BR549" s="16"/>
      <c r="BS549" s="16"/>
      <c r="BT549" s="16"/>
      <c r="BU549" s="16"/>
      <c r="BV549" s="16"/>
      <c r="BW549" s="16"/>
      <c r="BX549" s="16"/>
      <c r="BY549" s="16"/>
      <c r="BZ549" s="16"/>
      <c r="CA549" s="190">
        <v>46280.666666666701</v>
      </c>
      <c r="CB549" s="3"/>
      <c r="CC549" s="16"/>
      <c r="CD549" s="16"/>
      <c r="CE549" s="16"/>
      <c r="CF549" s="16"/>
      <c r="CG549" s="16"/>
      <c r="CH549" s="16"/>
      <c r="CI549" s="16" t="s">
        <v>4976</v>
      </c>
    </row>
    <row r="550" spans="1:87">
      <c r="A550" s="16"/>
      <c r="B550" s="16"/>
      <c r="C550" s="3">
        <v>46276</v>
      </c>
      <c r="D550" s="16" t="s">
        <v>1</v>
      </c>
      <c r="E550" s="16" t="s">
        <v>4977</v>
      </c>
      <c r="F550" s="16">
        <v>2026220090256</v>
      </c>
      <c r="G550" s="16">
        <v>40</v>
      </c>
      <c r="H550" s="16">
        <v>33</v>
      </c>
      <c r="I550" s="16" t="s">
        <v>460</v>
      </c>
      <c r="J550" s="16" t="s">
        <v>4977</v>
      </c>
      <c r="K550" s="16" t="s">
        <v>4874</v>
      </c>
      <c r="L550" s="16" t="s">
        <v>1760</v>
      </c>
      <c r="M550" s="16">
        <v>3</v>
      </c>
      <c r="N550" s="16" t="s">
        <v>462</v>
      </c>
      <c r="O550" s="16" t="s">
        <v>497</v>
      </c>
      <c r="P550" s="16">
        <v>973561661</v>
      </c>
      <c r="Q550" s="16" t="s">
        <v>465</v>
      </c>
      <c r="R550" s="16" t="s">
        <v>466</v>
      </c>
      <c r="S550" s="16" t="s">
        <v>4978</v>
      </c>
      <c r="T550" s="16" t="s">
        <v>4979</v>
      </c>
      <c r="U550" s="16">
        <v>46272.643750000003</v>
      </c>
      <c r="V550" s="16" t="s">
        <v>469</v>
      </c>
      <c r="W550" s="16" t="s">
        <v>470</v>
      </c>
      <c r="X550" s="16" t="s">
        <v>471</v>
      </c>
      <c r="Y550" s="16" t="s">
        <v>628</v>
      </c>
      <c r="Z550" s="16" t="s">
        <v>1338</v>
      </c>
      <c r="AA550" s="16" t="s">
        <v>474</v>
      </c>
      <c r="AB550" s="16" t="s">
        <v>4980</v>
      </c>
      <c r="AC550" s="16" t="s">
        <v>1429</v>
      </c>
      <c r="AD550" s="16">
        <v>60646768</v>
      </c>
      <c r="AE550" s="16">
        <v>1053477075</v>
      </c>
      <c r="AF550" s="16"/>
      <c r="AG550" s="16"/>
      <c r="AH550" s="16"/>
      <c r="AI550" s="16" t="s">
        <v>4878</v>
      </c>
      <c r="AJ550" s="16" t="s">
        <v>481</v>
      </c>
      <c r="AK550" s="16" t="s">
        <v>4981</v>
      </c>
      <c r="AL550" s="16">
        <v>16083.24</v>
      </c>
      <c r="AM550" s="16"/>
      <c r="AN550" s="16"/>
      <c r="AO550" s="16">
        <v>973</v>
      </c>
      <c r="AP550" s="16" t="s">
        <v>485</v>
      </c>
      <c r="AQ550" s="16" t="s">
        <v>4982</v>
      </c>
      <c r="AR550" s="3">
        <v>46272</v>
      </c>
      <c r="AS550" s="16" t="s">
        <v>4878</v>
      </c>
      <c r="AT550" s="16" t="s">
        <v>1038</v>
      </c>
      <c r="AU550" s="16"/>
      <c r="AV550" s="16" t="s">
        <v>3975</v>
      </c>
      <c r="AW550" s="16"/>
      <c r="AX550" s="16"/>
      <c r="AY550" s="16"/>
      <c r="AZ550" s="16"/>
      <c r="BA550" s="16"/>
      <c r="BB550" s="16"/>
      <c r="BC550" s="16"/>
      <c r="BD550" s="16" t="s">
        <v>4878</v>
      </c>
      <c r="BE550" s="16">
        <v>33</v>
      </c>
      <c r="BF550" s="16"/>
      <c r="BG550" s="16"/>
      <c r="BH550" s="16" t="s">
        <v>491</v>
      </c>
      <c r="BI550" s="16">
        <v>177118703</v>
      </c>
      <c r="BJ550" s="16"/>
      <c r="BK550" s="16"/>
      <c r="BL550" s="16"/>
      <c r="BM550" s="16"/>
      <c r="BN550" s="16"/>
      <c r="BO550" s="16"/>
      <c r="BP550" s="16"/>
      <c r="BQ550" s="16"/>
      <c r="BR550" s="16"/>
      <c r="BS550" s="16"/>
      <c r="BT550" s="16"/>
      <c r="BU550" s="16"/>
      <c r="BV550" s="16"/>
      <c r="BW550" s="16"/>
      <c r="BX550" s="16"/>
      <c r="BY550" s="16"/>
      <c r="BZ550" s="16"/>
      <c r="CA550" s="190">
        <v>46275</v>
      </c>
      <c r="CB550" s="3"/>
      <c r="CC550" s="16"/>
      <c r="CD550" s="16"/>
      <c r="CE550" s="16"/>
      <c r="CF550" s="16"/>
      <c r="CG550" s="16"/>
      <c r="CH550" s="16"/>
      <c r="CI550" s="16" t="s">
        <v>4983</v>
      </c>
    </row>
    <row r="551" spans="1:87">
      <c r="A551" s="16"/>
      <c r="B551" s="16"/>
      <c r="C551" s="3">
        <v>46276</v>
      </c>
      <c r="D551" s="16" t="s">
        <v>1</v>
      </c>
      <c r="E551" s="16" t="s">
        <v>4984</v>
      </c>
      <c r="F551" s="16">
        <v>2026219620239</v>
      </c>
      <c r="G551" s="16">
        <v>40</v>
      </c>
      <c r="H551" s="16">
        <v>34</v>
      </c>
      <c r="I551" s="16" t="s">
        <v>460</v>
      </c>
      <c r="J551" s="16" t="s">
        <v>4984</v>
      </c>
      <c r="K551" s="16" t="s">
        <v>4831</v>
      </c>
      <c r="L551" s="16" t="s">
        <v>16</v>
      </c>
      <c r="M551" s="16">
        <v>10</v>
      </c>
      <c r="N551" s="16" t="s">
        <v>462</v>
      </c>
      <c r="O551" s="16" t="s">
        <v>4717</v>
      </c>
      <c r="P551" s="16" t="s">
        <v>4985</v>
      </c>
      <c r="Q551" s="16" t="s">
        <v>564</v>
      </c>
      <c r="R551" s="16" t="s">
        <v>466</v>
      </c>
      <c r="S551" s="16" t="s">
        <v>4986</v>
      </c>
      <c r="T551" s="16" t="s">
        <v>4987</v>
      </c>
      <c r="U551" s="16"/>
      <c r="V551" s="16" t="s">
        <v>469</v>
      </c>
      <c r="W551" s="16" t="s">
        <v>568</v>
      </c>
      <c r="X551" s="16" t="s">
        <v>471</v>
      </c>
      <c r="Y551" s="16" t="s">
        <v>1724</v>
      </c>
      <c r="Z551" s="16" t="s">
        <v>570</v>
      </c>
      <c r="AA551" s="16" t="s">
        <v>474</v>
      </c>
      <c r="AB551" s="16" t="s">
        <v>4988</v>
      </c>
      <c r="AC551" s="16" t="s">
        <v>546</v>
      </c>
      <c r="AD551" s="16">
        <v>580572412</v>
      </c>
      <c r="AE551" s="16">
        <v>1689744450</v>
      </c>
      <c r="AF551" s="16"/>
      <c r="AG551" s="16"/>
      <c r="AH551" s="16" t="s">
        <v>1076</v>
      </c>
      <c r="AI551" s="16" t="s">
        <v>4836</v>
      </c>
      <c r="AJ551" s="16" t="s">
        <v>481</v>
      </c>
      <c r="AK551" s="16" t="s">
        <v>4989</v>
      </c>
      <c r="AL551" s="16">
        <v>165748.9</v>
      </c>
      <c r="AM551" s="16"/>
      <c r="AN551" s="16"/>
      <c r="AO551" s="16">
        <v>772</v>
      </c>
      <c r="AP551" s="16" t="s">
        <v>485</v>
      </c>
      <c r="AQ551" s="16" t="s">
        <v>4990</v>
      </c>
      <c r="AR551" s="3">
        <v>46265</v>
      </c>
      <c r="AS551" s="16" t="s">
        <v>1076</v>
      </c>
      <c r="AT551" s="16" t="s">
        <v>1819</v>
      </c>
      <c r="AU551" s="16"/>
      <c r="AV551" s="16" t="s">
        <v>4991</v>
      </c>
      <c r="AW551" s="16"/>
      <c r="AX551" s="16"/>
      <c r="AY551" s="16"/>
      <c r="AZ551" s="16"/>
      <c r="BA551" s="16"/>
      <c r="BB551" s="16"/>
      <c r="BC551" s="16"/>
      <c r="BD551" s="16" t="s">
        <v>4836</v>
      </c>
      <c r="BE551" s="16">
        <v>31</v>
      </c>
      <c r="BF551" s="16"/>
      <c r="BG551" s="16" t="s">
        <v>490</v>
      </c>
      <c r="BH551" s="16" t="s">
        <v>491</v>
      </c>
      <c r="BI551" s="16">
        <v>252473128</v>
      </c>
      <c r="BJ551" s="16"/>
      <c r="BK551" s="16"/>
      <c r="BL551" s="16"/>
      <c r="BM551" s="16"/>
      <c r="BN551" s="16"/>
      <c r="BO551" s="16"/>
      <c r="BP551" s="16"/>
      <c r="BQ551" s="16"/>
      <c r="BR551" s="16"/>
      <c r="BS551" s="16"/>
      <c r="BT551" s="16"/>
      <c r="BU551" s="16"/>
      <c r="BV551" s="16"/>
      <c r="BW551" s="16"/>
      <c r="BX551" s="16"/>
      <c r="BY551" s="16"/>
      <c r="BZ551" s="16"/>
      <c r="CA551" s="190">
        <v>46275</v>
      </c>
      <c r="CB551" s="3"/>
      <c r="CC551" s="16"/>
      <c r="CD551" s="16"/>
      <c r="CE551" s="16"/>
      <c r="CF551" s="16"/>
      <c r="CG551" s="16"/>
      <c r="CH551" s="16"/>
      <c r="CI551" s="16" t="s">
        <v>4992</v>
      </c>
    </row>
    <row r="552" spans="1:87">
      <c r="A552" s="16"/>
      <c r="B552" s="16"/>
      <c r="C552" s="3">
        <v>46276</v>
      </c>
      <c r="D552" s="16" t="s">
        <v>1</v>
      </c>
      <c r="E552" s="16" t="s">
        <v>4993</v>
      </c>
      <c r="F552" s="16">
        <v>2026210920347</v>
      </c>
      <c r="G552" s="16">
        <v>40</v>
      </c>
      <c r="H552" s="16">
        <v>43</v>
      </c>
      <c r="I552" s="16" t="s">
        <v>460</v>
      </c>
      <c r="J552" s="16" t="s">
        <v>4993</v>
      </c>
      <c r="K552" s="16" t="s">
        <v>540</v>
      </c>
      <c r="L552" s="16" t="s">
        <v>18</v>
      </c>
      <c r="M552" s="16">
        <v>3</v>
      </c>
      <c r="N552" s="16" t="s">
        <v>462</v>
      </c>
      <c r="O552" s="16" t="s">
        <v>606</v>
      </c>
      <c r="P552" s="16" t="s">
        <v>4994</v>
      </c>
      <c r="Q552" s="16" t="s">
        <v>564</v>
      </c>
      <c r="R552" s="16" t="s">
        <v>466</v>
      </c>
      <c r="S552" s="16" t="s">
        <v>4995</v>
      </c>
      <c r="T552" s="16" t="s">
        <v>4221</v>
      </c>
      <c r="U552" s="16">
        <v>46268.818055555559</v>
      </c>
      <c r="V552" s="16" t="s">
        <v>469</v>
      </c>
      <c r="W552" s="16" t="s">
        <v>651</v>
      </c>
      <c r="X552" s="16" t="s">
        <v>652</v>
      </c>
      <c r="Y552" s="16" t="s">
        <v>653</v>
      </c>
      <c r="Z552" s="16" t="s">
        <v>570</v>
      </c>
      <c r="AA552" s="16" t="s">
        <v>474</v>
      </c>
      <c r="AB552" s="16" t="s">
        <v>4222</v>
      </c>
      <c r="AC552" s="16" t="s">
        <v>572</v>
      </c>
      <c r="AD552" s="16">
        <v>201088433</v>
      </c>
      <c r="AE552" s="16">
        <v>1538280284</v>
      </c>
      <c r="AF552" s="16"/>
      <c r="AG552" s="16">
        <v>4020253214088700</v>
      </c>
      <c r="AH552" s="16"/>
      <c r="AI552" s="16" t="s">
        <v>31</v>
      </c>
      <c r="AJ552" s="16" t="s">
        <v>481</v>
      </c>
      <c r="AK552" s="16" t="s">
        <v>4996</v>
      </c>
      <c r="AL552" s="16">
        <v>68000</v>
      </c>
      <c r="AM552" s="16"/>
      <c r="AN552" s="16"/>
      <c r="AO552" s="16" t="s">
        <v>1133</v>
      </c>
      <c r="AP552" s="16" t="s">
        <v>485</v>
      </c>
      <c r="AQ552" s="16" t="s">
        <v>4997</v>
      </c>
      <c r="AR552" s="3">
        <v>46272</v>
      </c>
      <c r="AS552" s="16" t="s">
        <v>31</v>
      </c>
      <c r="AT552" s="16" t="s">
        <v>4998</v>
      </c>
      <c r="AU552" s="16"/>
      <c r="AV552" s="16" t="s">
        <v>4999</v>
      </c>
      <c r="AW552" s="16"/>
      <c r="AX552" s="16"/>
      <c r="AY552" s="16"/>
      <c r="AZ552" s="16"/>
      <c r="BA552" s="16"/>
      <c r="BB552" s="16"/>
      <c r="BC552" s="16"/>
      <c r="BD552" s="16" t="s">
        <v>31</v>
      </c>
      <c r="BE552" s="16">
        <v>43</v>
      </c>
      <c r="BF552" s="16"/>
      <c r="BG552" s="16" t="s">
        <v>490</v>
      </c>
      <c r="BH552" s="16" t="s">
        <v>658</v>
      </c>
      <c r="BI552" s="16" t="s">
        <v>4994</v>
      </c>
      <c r="BJ552" s="16"/>
      <c r="BK552" s="16"/>
      <c r="BL552" s="16"/>
      <c r="BM552" s="16"/>
      <c r="BN552" s="16"/>
      <c r="BO552" s="16"/>
      <c r="BP552" s="16"/>
      <c r="BQ552" s="16"/>
      <c r="BR552" s="16"/>
      <c r="BS552" s="16"/>
      <c r="BT552" s="16"/>
      <c r="BU552" s="16"/>
      <c r="BV552" s="16"/>
      <c r="BW552" s="16"/>
      <c r="BX552" s="16"/>
      <c r="BY552" s="16"/>
      <c r="BZ552" s="16"/>
      <c r="CA552" s="190">
        <v>46275</v>
      </c>
      <c r="CB552" s="3"/>
      <c r="CC552" s="16"/>
      <c r="CD552" s="16"/>
      <c r="CE552" s="16"/>
      <c r="CF552" s="16"/>
      <c r="CG552" s="16"/>
      <c r="CH552" s="16"/>
      <c r="CI552" s="16" t="s">
        <v>5000</v>
      </c>
    </row>
    <row r="553" spans="1:87">
      <c r="A553" s="16"/>
      <c r="B553" s="16"/>
      <c r="C553" s="3">
        <v>46276</v>
      </c>
      <c r="D553" s="16" t="s">
        <v>1</v>
      </c>
      <c r="E553" s="16" t="s">
        <v>5001</v>
      </c>
      <c r="F553" s="16">
        <v>2026218220529</v>
      </c>
      <c r="G553" s="16">
        <v>40</v>
      </c>
      <c r="H553" s="16">
        <v>35</v>
      </c>
      <c r="I553" s="16" t="s">
        <v>460</v>
      </c>
      <c r="J553" s="16" t="s">
        <v>5001</v>
      </c>
      <c r="K553" s="16" t="s">
        <v>4716</v>
      </c>
      <c r="L553" s="16" t="s">
        <v>16</v>
      </c>
      <c r="M553" s="16">
        <v>34</v>
      </c>
      <c r="N553" s="16" t="s">
        <v>462</v>
      </c>
      <c r="O553" s="16" t="s">
        <v>4717</v>
      </c>
      <c r="P553" s="16" t="s">
        <v>5002</v>
      </c>
      <c r="Q553" s="16" t="s">
        <v>465</v>
      </c>
      <c r="R553" s="16" t="s">
        <v>466</v>
      </c>
      <c r="S553" s="16" t="s">
        <v>5003</v>
      </c>
      <c r="T553" s="16" t="s">
        <v>465</v>
      </c>
      <c r="U553" s="16"/>
      <c r="V553" s="16" t="s">
        <v>469</v>
      </c>
      <c r="W553" s="16" t="s">
        <v>470</v>
      </c>
      <c r="X553" s="16" t="s">
        <v>471</v>
      </c>
      <c r="Y553" s="16" t="s">
        <v>472</v>
      </c>
      <c r="Z553" s="16" t="s">
        <v>731</v>
      </c>
      <c r="AA553" s="16" t="s">
        <v>474</v>
      </c>
      <c r="AB553" s="16" t="s">
        <v>5004</v>
      </c>
      <c r="AC553" s="16" t="s">
        <v>733</v>
      </c>
      <c r="AD553" s="16">
        <v>262876334</v>
      </c>
      <c r="AE553" s="16">
        <v>1104082692</v>
      </c>
      <c r="AF553" s="16"/>
      <c r="AG553" s="16"/>
      <c r="AH553" s="16" t="s">
        <v>1076</v>
      </c>
      <c r="AI553" s="16" t="s">
        <v>206</v>
      </c>
      <c r="AJ553" s="16" t="s">
        <v>481</v>
      </c>
      <c r="AK553" s="16" t="s">
        <v>5005</v>
      </c>
      <c r="AL553" s="16">
        <v>54014.75</v>
      </c>
      <c r="AM553" s="16"/>
      <c r="AN553" s="16"/>
      <c r="AO553" s="16">
        <v>345</v>
      </c>
      <c r="AP553" s="16" t="s">
        <v>485</v>
      </c>
      <c r="AQ553" s="16" t="s">
        <v>5006</v>
      </c>
      <c r="AR553" s="3">
        <v>46241</v>
      </c>
      <c r="AS553" s="16" t="s">
        <v>2506</v>
      </c>
      <c r="AT553" s="16" t="s">
        <v>1819</v>
      </c>
      <c r="AU553" s="16"/>
      <c r="AV553" s="16" t="s">
        <v>3360</v>
      </c>
      <c r="AW553" s="16"/>
      <c r="AX553" s="16"/>
      <c r="AY553" s="16"/>
      <c r="AZ553" s="16"/>
      <c r="BA553" s="16"/>
      <c r="BB553" s="16"/>
      <c r="BC553" s="16"/>
      <c r="BD553" s="16" t="s">
        <v>206</v>
      </c>
      <c r="BE553" s="16">
        <v>35</v>
      </c>
      <c r="BF553" s="16"/>
      <c r="BG553" s="16" t="s">
        <v>490</v>
      </c>
      <c r="BH553" s="16" t="s">
        <v>491</v>
      </c>
      <c r="BI553" s="16" t="s">
        <v>5002</v>
      </c>
      <c r="BJ553" s="16"/>
      <c r="BK553" s="16"/>
      <c r="BL553" s="16"/>
      <c r="BM553" s="16"/>
      <c r="BN553" s="16"/>
      <c r="BO553" s="16"/>
      <c r="BP553" s="16"/>
      <c r="BQ553" s="16"/>
      <c r="BR553" s="16"/>
      <c r="BS553" s="16"/>
      <c r="BT553" s="16"/>
      <c r="BU553" s="16"/>
      <c r="BV553" s="16"/>
      <c r="BW553" s="16"/>
      <c r="BX553" s="16"/>
      <c r="BY553" s="16"/>
      <c r="BZ553" s="16"/>
      <c r="CA553" s="190">
        <v>46275</v>
      </c>
      <c r="CB553" s="3"/>
      <c r="CC553" s="16"/>
      <c r="CD553" s="16"/>
      <c r="CE553" s="16"/>
      <c r="CF553" s="16"/>
      <c r="CG553" s="16"/>
      <c r="CH553" s="16"/>
      <c r="CI553" s="16" t="s">
        <v>5007</v>
      </c>
    </row>
    <row r="554" spans="1:87">
      <c r="A554" s="16" t="s">
        <v>5</v>
      </c>
      <c r="B554" s="16" t="s">
        <v>2572</v>
      </c>
      <c r="C554" s="3">
        <v>46276</v>
      </c>
      <c r="D554" s="16" t="s">
        <v>1</v>
      </c>
      <c r="E554" s="16" t="s">
        <v>5008</v>
      </c>
      <c r="F554" s="16">
        <v>2026208000313</v>
      </c>
      <c r="G554" s="16">
        <v>40</v>
      </c>
      <c r="H554" s="16">
        <v>45</v>
      </c>
      <c r="I554" s="16" t="s">
        <v>460</v>
      </c>
      <c r="J554" s="16" t="s">
        <v>5008</v>
      </c>
      <c r="K554" s="16" t="s">
        <v>5009</v>
      </c>
      <c r="L554" s="16" t="s">
        <v>18</v>
      </c>
      <c r="M554" s="16">
        <v>3</v>
      </c>
      <c r="N554" s="16" t="s">
        <v>462</v>
      </c>
      <c r="O554" s="16" t="s">
        <v>497</v>
      </c>
      <c r="P554" s="16" t="s">
        <v>5010</v>
      </c>
      <c r="Q554" s="16" t="s">
        <v>465</v>
      </c>
      <c r="R554" s="16" t="s">
        <v>466</v>
      </c>
      <c r="S554" s="16" t="s">
        <v>5011</v>
      </c>
      <c r="T554" s="16" t="s">
        <v>5012</v>
      </c>
      <c r="U554" s="16">
        <v>46272.664583333331</v>
      </c>
      <c r="V554" s="16" t="s">
        <v>469</v>
      </c>
      <c r="W554" s="16" t="s">
        <v>568</v>
      </c>
      <c r="X554" s="16" t="s">
        <v>471</v>
      </c>
      <c r="Y554" s="16" t="s">
        <v>569</v>
      </c>
      <c r="Z554" s="16" t="s">
        <v>524</v>
      </c>
      <c r="AA554" s="16" t="s">
        <v>474</v>
      </c>
      <c r="AB554" s="16" t="s">
        <v>5013</v>
      </c>
      <c r="AC554" s="16" t="s">
        <v>526</v>
      </c>
      <c r="AD554" s="16">
        <v>200503812</v>
      </c>
      <c r="AE554" s="16">
        <v>1548289697</v>
      </c>
      <c r="AF554" s="16">
        <v>1518109743</v>
      </c>
      <c r="AG554" s="16"/>
      <c r="AH554" s="16"/>
      <c r="AI554" s="16" t="s">
        <v>5014</v>
      </c>
      <c r="AJ554" s="16" t="s">
        <v>481</v>
      </c>
      <c r="AK554" s="16" t="s">
        <v>5015</v>
      </c>
      <c r="AL554" s="16">
        <v>412.5</v>
      </c>
      <c r="AM554" s="16"/>
      <c r="AN554" s="16"/>
      <c r="AO554" s="16">
        <v>131</v>
      </c>
      <c r="AP554" s="16" t="s">
        <v>485</v>
      </c>
      <c r="AQ554" s="16" t="s">
        <v>5016</v>
      </c>
      <c r="AR554" s="3">
        <v>46272</v>
      </c>
      <c r="AS554" s="16" t="s">
        <v>5014</v>
      </c>
      <c r="AT554" s="16" t="s">
        <v>2572</v>
      </c>
      <c r="AU554" s="16"/>
      <c r="AV554" s="16" t="s">
        <v>5017</v>
      </c>
      <c r="AW554" s="16"/>
      <c r="AX554" s="16"/>
      <c r="AY554" s="16"/>
      <c r="AZ554" s="16"/>
      <c r="BA554" s="16"/>
      <c r="BB554" s="16"/>
      <c r="BC554" s="16"/>
      <c r="BD554" s="16" t="s">
        <v>5014</v>
      </c>
      <c r="BE554" s="16">
        <v>45</v>
      </c>
      <c r="BF554" s="16"/>
      <c r="BG554" s="16" t="s">
        <v>490</v>
      </c>
      <c r="BH554" s="16" t="s">
        <v>491</v>
      </c>
      <c r="BI554" s="16" t="s">
        <v>5010</v>
      </c>
      <c r="BJ554" s="16"/>
      <c r="BK554" s="16"/>
      <c r="BL554" s="16"/>
      <c r="BM554" s="16"/>
      <c r="BN554" s="16"/>
      <c r="BO554" s="16"/>
      <c r="BP554" s="16"/>
      <c r="BQ554" s="16"/>
      <c r="BR554" s="16"/>
      <c r="BS554" s="16"/>
      <c r="BT554" s="16"/>
      <c r="BU554" s="16"/>
      <c r="BV554" s="16"/>
      <c r="BW554" s="16"/>
      <c r="BX554" s="16"/>
      <c r="BY554" s="16"/>
      <c r="BZ554" s="16"/>
      <c r="CA554" s="190">
        <v>46280.666666666701</v>
      </c>
      <c r="CB554" s="3"/>
      <c r="CC554" s="16"/>
      <c r="CD554" s="16"/>
      <c r="CE554" s="16"/>
      <c r="CF554" s="16"/>
      <c r="CG554" s="16"/>
      <c r="CH554" s="16"/>
      <c r="CI554" s="16" t="s">
        <v>5018</v>
      </c>
    </row>
    <row r="555" spans="1:87">
      <c r="A555" s="16"/>
      <c r="B555" s="16"/>
      <c r="C555" s="3">
        <v>46276</v>
      </c>
      <c r="D555" s="16" t="s">
        <v>1</v>
      </c>
      <c r="E555" s="16" t="s">
        <v>5019</v>
      </c>
      <c r="F555" s="16">
        <v>2026220550068</v>
      </c>
      <c r="G555" s="16">
        <v>40</v>
      </c>
      <c r="H555" s="16">
        <v>34</v>
      </c>
      <c r="I555" s="16" t="s">
        <v>460</v>
      </c>
      <c r="J555" s="16" t="s">
        <v>5019</v>
      </c>
      <c r="K555" s="16" t="s">
        <v>3416</v>
      </c>
      <c r="L555" s="16" t="s">
        <v>1760</v>
      </c>
      <c r="M555" s="16">
        <v>3</v>
      </c>
      <c r="N555" s="16" t="s">
        <v>462</v>
      </c>
      <c r="O555" s="16" t="s">
        <v>497</v>
      </c>
      <c r="P555" s="16" t="s">
        <v>5020</v>
      </c>
      <c r="Q555" s="16" t="s">
        <v>465</v>
      </c>
      <c r="R555" s="16" t="s">
        <v>466</v>
      </c>
      <c r="S555" s="16" t="s">
        <v>5021</v>
      </c>
      <c r="T555" s="16" t="s">
        <v>5022</v>
      </c>
      <c r="U555" s="16">
        <v>46272.600694444445</v>
      </c>
      <c r="V555" s="16" t="s">
        <v>469</v>
      </c>
      <c r="W555" s="16" t="s">
        <v>470</v>
      </c>
      <c r="X555" s="16" t="s">
        <v>471</v>
      </c>
      <c r="Y555" s="16" t="s">
        <v>628</v>
      </c>
      <c r="Z555" s="16" t="s">
        <v>638</v>
      </c>
      <c r="AA555" s="16" t="s">
        <v>474</v>
      </c>
      <c r="AB555" s="16" t="s">
        <v>5023</v>
      </c>
      <c r="AC555" s="16" t="s">
        <v>465</v>
      </c>
      <c r="AD555" s="16">
        <v>351955872</v>
      </c>
      <c r="AE555" s="16">
        <v>1144266024</v>
      </c>
      <c r="AF555" s="16"/>
      <c r="AG555" s="16"/>
      <c r="AH555" s="16"/>
      <c r="AI555" s="16" t="s">
        <v>3421</v>
      </c>
      <c r="AJ555" s="16" t="s">
        <v>481</v>
      </c>
      <c r="AK555" s="16" t="s">
        <v>5024</v>
      </c>
      <c r="AL555" s="16">
        <v>241218.5</v>
      </c>
      <c r="AM555" s="16"/>
      <c r="AN555" s="16"/>
      <c r="AO555" s="16">
        <v>678</v>
      </c>
      <c r="AP555" s="16" t="s">
        <v>485</v>
      </c>
      <c r="AQ555" s="16" t="s">
        <v>5025</v>
      </c>
      <c r="AR555" s="3">
        <v>46272</v>
      </c>
      <c r="AS555" s="16" t="s">
        <v>3421</v>
      </c>
      <c r="AT555" s="16" t="s">
        <v>5026</v>
      </c>
      <c r="AU555" s="16"/>
      <c r="AV555" s="16" t="s">
        <v>4592</v>
      </c>
      <c r="AW555" s="16"/>
      <c r="AX555" s="16"/>
      <c r="AY555" s="16"/>
      <c r="AZ555" s="16"/>
      <c r="BA555" s="16"/>
      <c r="BB555" s="16"/>
      <c r="BC555" s="16"/>
      <c r="BD555" s="16" t="s">
        <v>3421</v>
      </c>
      <c r="BE555" s="16">
        <v>33</v>
      </c>
      <c r="BF555" s="16"/>
      <c r="BG555" s="16"/>
      <c r="BH555" s="16" t="s">
        <v>491</v>
      </c>
      <c r="BI555" s="16">
        <v>309786657</v>
      </c>
      <c r="BJ555" s="16"/>
      <c r="BK555" s="16"/>
      <c r="BL555" s="16"/>
      <c r="BM555" s="16"/>
      <c r="BN555" s="16"/>
      <c r="BO555" s="16"/>
      <c r="BP555" s="16"/>
      <c r="BQ555" s="16"/>
      <c r="BR555" s="16"/>
      <c r="BS555" s="16"/>
      <c r="BT555" s="16"/>
      <c r="BU555" s="16"/>
      <c r="BV555" s="16"/>
      <c r="BW555" s="16"/>
      <c r="BX555" s="16"/>
      <c r="BY555" s="16"/>
      <c r="BZ555" s="16"/>
      <c r="CA555" s="190">
        <v>46275</v>
      </c>
      <c r="CB555" s="3"/>
      <c r="CC555" s="16"/>
      <c r="CD555" s="16"/>
      <c r="CE555" s="16"/>
      <c r="CF555" s="16"/>
      <c r="CG555" s="16"/>
      <c r="CH555" s="16"/>
      <c r="CI555" s="16" t="s">
        <v>5027</v>
      </c>
    </row>
    <row r="556" spans="1:87">
      <c r="A556" s="16"/>
      <c r="B556" s="16"/>
      <c r="C556" s="3">
        <v>46276</v>
      </c>
      <c r="D556" s="16" t="s">
        <v>1</v>
      </c>
      <c r="E556" s="16" t="s">
        <v>5028</v>
      </c>
      <c r="F556" s="16">
        <v>2026218090500</v>
      </c>
      <c r="G556" s="16">
        <v>40</v>
      </c>
      <c r="H556" s="16">
        <v>35</v>
      </c>
      <c r="I556" s="16" t="s">
        <v>460</v>
      </c>
      <c r="J556" s="16" t="s">
        <v>5028</v>
      </c>
      <c r="K556" s="16" t="s">
        <v>4716</v>
      </c>
      <c r="L556" s="16" t="s">
        <v>16</v>
      </c>
      <c r="M556" s="16">
        <v>34</v>
      </c>
      <c r="N556" s="16" t="s">
        <v>462</v>
      </c>
      <c r="O556" s="16" t="s">
        <v>4717</v>
      </c>
      <c r="P556" s="16" t="s">
        <v>5029</v>
      </c>
      <c r="Q556" s="16" t="s">
        <v>465</v>
      </c>
      <c r="R556" s="16" t="s">
        <v>466</v>
      </c>
      <c r="S556" s="16" t="s">
        <v>5030</v>
      </c>
      <c r="T556" s="16" t="s">
        <v>3238</v>
      </c>
      <c r="U556" s="16"/>
      <c r="V556" s="16" t="s">
        <v>469</v>
      </c>
      <c r="W556" s="16" t="s">
        <v>470</v>
      </c>
      <c r="X556" s="16" t="s">
        <v>471</v>
      </c>
      <c r="Y556" s="16" t="s">
        <v>523</v>
      </c>
      <c r="Z556" s="16" t="s">
        <v>665</v>
      </c>
      <c r="AA556" s="16" t="s">
        <v>474</v>
      </c>
      <c r="AB556" s="16" t="s">
        <v>5031</v>
      </c>
      <c r="AC556" s="16" t="s">
        <v>640</v>
      </c>
      <c r="AD556" s="16">
        <v>141604510</v>
      </c>
      <c r="AE556" s="16">
        <v>1205838729</v>
      </c>
      <c r="AF556" s="16">
        <v>1427044262</v>
      </c>
      <c r="AG556" s="16"/>
      <c r="AH556" s="16" t="s">
        <v>1076</v>
      </c>
      <c r="AI556" s="16" t="s">
        <v>206</v>
      </c>
      <c r="AJ556" s="16" t="s">
        <v>481</v>
      </c>
      <c r="AK556" s="16" t="s">
        <v>5032</v>
      </c>
      <c r="AL556" s="16">
        <v>760</v>
      </c>
      <c r="AM556" s="16"/>
      <c r="AN556" s="16"/>
      <c r="AO556" s="16">
        <v>39</v>
      </c>
      <c r="AP556" s="16" t="s">
        <v>485</v>
      </c>
      <c r="AQ556" s="16" t="s">
        <v>5033</v>
      </c>
      <c r="AR556" s="3">
        <v>46241</v>
      </c>
      <c r="AS556" s="16" t="s">
        <v>2506</v>
      </c>
      <c r="AT556" s="16" t="s">
        <v>1819</v>
      </c>
      <c r="AU556" s="16"/>
      <c r="AV556" s="16" t="s">
        <v>5034</v>
      </c>
      <c r="AW556" s="16"/>
      <c r="AX556" s="16"/>
      <c r="AY556" s="16"/>
      <c r="AZ556" s="16"/>
      <c r="BA556" s="16"/>
      <c r="BB556" s="16"/>
      <c r="BC556" s="16"/>
      <c r="BD556" s="16" t="s">
        <v>206</v>
      </c>
      <c r="BE556" s="16">
        <v>35</v>
      </c>
      <c r="BF556" s="16"/>
      <c r="BG556" s="16"/>
      <c r="BH556" s="16" t="s">
        <v>491</v>
      </c>
      <c r="BI556" s="16">
        <v>84727898</v>
      </c>
      <c r="BJ556" s="16"/>
      <c r="BK556" s="16"/>
      <c r="BL556" s="16"/>
      <c r="BM556" s="16"/>
      <c r="BN556" s="16"/>
      <c r="BO556" s="16"/>
      <c r="BP556" s="16"/>
      <c r="BQ556" s="16"/>
      <c r="BR556" s="16"/>
      <c r="BS556" s="16"/>
      <c r="BT556" s="16"/>
      <c r="BU556" s="16"/>
      <c r="BV556" s="16"/>
      <c r="BW556" s="16"/>
      <c r="BX556" s="16"/>
      <c r="BY556" s="16"/>
      <c r="BZ556" s="16"/>
      <c r="CA556" s="190">
        <v>46275</v>
      </c>
      <c r="CB556" s="3"/>
      <c r="CC556" s="16"/>
      <c r="CD556" s="16"/>
      <c r="CE556" s="16"/>
      <c r="CF556" s="16"/>
      <c r="CG556" s="16"/>
      <c r="CH556" s="16"/>
      <c r="CI556" s="16" t="s">
        <v>5035</v>
      </c>
    </row>
    <row r="557" spans="1:87">
      <c r="A557" s="16"/>
      <c r="B557" s="16"/>
      <c r="C557" s="3">
        <v>46276</v>
      </c>
      <c r="D557" s="16" t="s">
        <v>1</v>
      </c>
      <c r="E557" s="16" t="s">
        <v>5036</v>
      </c>
      <c r="F557" s="16">
        <v>2026222930546</v>
      </c>
      <c r="G557" s="16">
        <v>40</v>
      </c>
      <c r="H557" s="16">
        <v>31</v>
      </c>
      <c r="I557" s="16" t="s">
        <v>460</v>
      </c>
      <c r="J557" s="16" t="s">
        <v>5036</v>
      </c>
      <c r="K557" s="16" t="s">
        <v>682</v>
      </c>
      <c r="L557" s="16" t="s">
        <v>18</v>
      </c>
      <c r="M557" s="16">
        <v>6</v>
      </c>
      <c r="N557" s="16" t="s">
        <v>462</v>
      </c>
      <c r="O557" s="16" t="s">
        <v>606</v>
      </c>
      <c r="P557" s="16" t="s">
        <v>5037</v>
      </c>
      <c r="Q557" s="16" t="s">
        <v>465</v>
      </c>
      <c r="R557" s="16" t="s">
        <v>466</v>
      </c>
      <c r="S557" s="16" t="s">
        <v>5038</v>
      </c>
      <c r="T557" s="16" t="s">
        <v>3238</v>
      </c>
      <c r="U557" s="16">
        <v>46269.129166666666</v>
      </c>
      <c r="V557" s="16" t="s">
        <v>469</v>
      </c>
      <c r="W557" s="16" t="s">
        <v>470</v>
      </c>
      <c r="X557" s="16" t="s">
        <v>471</v>
      </c>
      <c r="Y557" s="16" t="s">
        <v>523</v>
      </c>
      <c r="Z557" s="16" t="s">
        <v>665</v>
      </c>
      <c r="AA557" s="16" t="s">
        <v>474</v>
      </c>
      <c r="AB557" s="16" t="s">
        <v>5039</v>
      </c>
      <c r="AC557" s="16" t="s">
        <v>640</v>
      </c>
      <c r="AD557" s="16">
        <v>141338413</v>
      </c>
      <c r="AE557" s="16">
        <v>1871606764</v>
      </c>
      <c r="AF557" s="16"/>
      <c r="AG557" s="16"/>
      <c r="AH557" s="16"/>
      <c r="AI557" s="16" t="s">
        <v>19</v>
      </c>
      <c r="AJ557" s="16" t="s">
        <v>481</v>
      </c>
      <c r="AK557" s="16" t="s">
        <v>5040</v>
      </c>
      <c r="AL557" s="16">
        <v>27239.599999999999</v>
      </c>
      <c r="AM557" s="16"/>
      <c r="AN557" s="16"/>
      <c r="AO557" s="16">
        <v>528</v>
      </c>
      <c r="AP557" s="16" t="s">
        <v>485</v>
      </c>
      <c r="AQ557" s="16" t="s">
        <v>5041</v>
      </c>
      <c r="AR557" s="3">
        <v>46269</v>
      </c>
      <c r="AS557" s="16" t="s">
        <v>19</v>
      </c>
      <c r="AT557" s="16" t="s">
        <v>516</v>
      </c>
      <c r="AU557" s="16"/>
      <c r="AV557" s="16" t="s">
        <v>5042</v>
      </c>
      <c r="AW557" s="16"/>
      <c r="AX557" s="16"/>
      <c r="AY557" s="16"/>
      <c r="AZ557" s="16"/>
      <c r="BA557" s="16"/>
      <c r="BB557" s="16"/>
      <c r="BC557" s="16"/>
      <c r="BD557" s="16" t="s">
        <v>19</v>
      </c>
      <c r="BE557" s="16">
        <v>30</v>
      </c>
      <c r="BF557" s="16"/>
      <c r="BG557" s="16"/>
      <c r="BH557" s="16" t="s">
        <v>491</v>
      </c>
      <c r="BI557" s="16">
        <v>78743977</v>
      </c>
      <c r="BJ557" s="16"/>
      <c r="BK557" s="16"/>
      <c r="BL557" s="16"/>
      <c r="BM557" s="16"/>
      <c r="BN557" s="16"/>
      <c r="BO557" s="16"/>
      <c r="BP557" s="16"/>
      <c r="BQ557" s="16"/>
      <c r="BR557" s="16"/>
      <c r="BS557" s="16"/>
      <c r="BT557" s="16"/>
      <c r="BU557" s="16"/>
      <c r="BV557" s="16"/>
      <c r="BW557" s="16"/>
      <c r="BX557" s="16"/>
      <c r="BY557" s="16"/>
      <c r="BZ557" s="16"/>
      <c r="CA557" s="190">
        <v>46275</v>
      </c>
      <c r="CB557" s="3"/>
      <c r="CC557" s="16"/>
      <c r="CD557" s="16"/>
      <c r="CE557" s="16"/>
      <c r="CF557" s="16"/>
      <c r="CG557" s="16"/>
      <c r="CH557" s="16"/>
      <c r="CI557" s="16" t="s">
        <v>5043</v>
      </c>
    </row>
    <row r="558" spans="1:87">
      <c r="A558" s="16"/>
      <c r="B558" s="16"/>
      <c r="C558" s="3">
        <v>46276</v>
      </c>
      <c r="D558" s="16" t="s">
        <v>1</v>
      </c>
      <c r="E558" s="16" t="s">
        <v>5044</v>
      </c>
      <c r="F558" s="16">
        <v>2026253280044</v>
      </c>
      <c r="G558" s="16">
        <v>40</v>
      </c>
      <c r="H558" s="16">
        <v>42</v>
      </c>
      <c r="I558" s="16" t="s">
        <v>460</v>
      </c>
      <c r="J558" s="16" t="e">
        <v>#N/A</v>
      </c>
      <c r="K558" s="16" t="s">
        <v>540</v>
      </c>
      <c r="L558" s="16" t="s">
        <v>18</v>
      </c>
      <c r="M558" s="16">
        <v>0</v>
      </c>
      <c r="N558" s="16" t="s">
        <v>462</v>
      </c>
      <c r="O558" s="16" t="s">
        <v>497</v>
      </c>
      <c r="P558" s="16" t="s">
        <v>5045</v>
      </c>
      <c r="Q558" s="16" t="s">
        <v>465</v>
      </c>
      <c r="R558" s="16" t="s">
        <v>466</v>
      </c>
      <c r="S558" s="16" t="s">
        <v>5046</v>
      </c>
      <c r="T558" s="16" t="s">
        <v>5047</v>
      </c>
      <c r="U558" s="16">
        <v>46275.232638888891</v>
      </c>
      <c r="V558" s="16" t="s">
        <v>469</v>
      </c>
      <c r="W558" s="16" t="s">
        <v>470</v>
      </c>
      <c r="X558" s="16" t="s">
        <v>471</v>
      </c>
      <c r="Y558" s="16" t="s">
        <v>523</v>
      </c>
      <c r="Z558" s="16" t="s">
        <v>524</v>
      </c>
      <c r="AA558" s="16" t="s">
        <v>474</v>
      </c>
      <c r="AB558" s="16" t="s">
        <v>5048</v>
      </c>
      <c r="AC558" s="16" t="s">
        <v>526</v>
      </c>
      <c r="AD558" s="16">
        <v>311369596</v>
      </c>
      <c r="AE558" s="16">
        <v>1740231448</v>
      </c>
      <c r="AF558" s="16">
        <v>1437513355</v>
      </c>
      <c r="AG558" s="16"/>
      <c r="AH558" s="16"/>
      <c r="AI558" s="16" t="s">
        <v>31</v>
      </c>
      <c r="AJ558" s="16" t="s">
        <v>481</v>
      </c>
      <c r="AK558" s="16" t="s">
        <v>5049</v>
      </c>
      <c r="AL558" s="16">
        <v>320</v>
      </c>
      <c r="AM558" s="16"/>
      <c r="AN558" s="16"/>
      <c r="AO558" s="16">
        <v>112</v>
      </c>
      <c r="AP558" s="16" t="s">
        <v>485</v>
      </c>
      <c r="AQ558" s="16" t="s">
        <v>5050</v>
      </c>
      <c r="AR558" s="3">
        <v>46275</v>
      </c>
      <c r="AS558" s="16" t="s">
        <v>31</v>
      </c>
      <c r="AT558" s="16" t="s">
        <v>5051</v>
      </c>
      <c r="AU558" s="16"/>
      <c r="AV558" s="16" t="s">
        <v>5052</v>
      </c>
      <c r="AW558" s="16"/>
      <c r="AX558" s="16"/>
      <c r="AY558" s="16"/>
      <c r="AZ558" s="16"/>
      <c r="BA558" s="16"/>
      <c r="BB558" s="16"/>
      <c r="BC558" s="16"/>
      <c r="BD558" s="16" t="s">
        <v>31</v>
      </c>
      <c r="BE558" s="16">
        <v>0</v>
      </c>
      <c r="BF558" s="16"/>
      <c r="BG558" s="16" t="s">
        <v>490</v>
      </c>
      <c r="BH558" s="16" t="s">
        <v>491</v>
      </c>
      <c r="BI558" s="16">
        <v>281886293</v>
      </c>
      <c r="BJ558" s="16"/>
      <c r="BK558" s="16"/>
      <c r="BL558" s="16"/>
      <c r="BM558" s="16"/>
      <c r="BN558" s="16"/>
      <c r="BO558" s="16"/>
      <c r="BP558" s="16"/>
      <c r="BQ558" s="16"/>
      <c r="BR558" s="16"/>
      <c r="BS558" s="16"/>
      <c r="BT558" s="16"/>
      <c r="BU558" s="16"/>
      <c r="BV558" s="16"/>
      <c r="BW558" s="16"/>
      <c r="BX558" s="16"/>
      <c r="BY558" s="16"/>
      <c r="BZ558" s="16"/>
      <c r="CA558" s="190">
        <v>46275</v>
      </c>
      <c r="CB558" s="3"/>
      <c r="CC558" s="16"/>
      <c r="CD558" s="16"/>
      <c r="CE558" s="16"/>
      <c r="CF558" s="16"/>
      <c r="CG558" s="16"/>
      <c r="CH558" s="16"/>
      <c r="CI558" s="16" t="s">
        <v>5053</v>
      </c>
    </row>
    <row r="559" spans="1:87" ht="29.25">
      <c r="A559" s="16" t="s">
        <v>5</v>
      </c>
      <c r="B559" s="25" t="s">
        <v>3493</v>
      </c>
      <c r="C559" s="3">
        <v>46276</v>
      </c>
      <c r="D559" s="16" t="s">
        <v>1</v>
      </c>
      <c r="E559" s="16" t="s">
        <v>5054</v>
      </c>
      <c r="F559" s="16" t="s">
        <v>5055</v>
      </c>
      <c r="G559" s="16">
        <v>40</v>
      </c>
      <c r="H559" s="16">
        <v>37</v>
      </c>
      <c r="I559" s="16" t="s">
        <v>460</v>
      </c>
      <c r="J559" s="16" t="s">
        <v>5054</v>
      </c>
      <c r="K559" s="16" t="s">
        <v>461</v>
      </c>
      <c r="L559" s="16" t="s">
        <v>17</v>
      </c>
      <c r="M559" s="16">
        <v>1</v>
      </c>
      <c r="N559" s="16" t="s">
        <v>462</v>
      </c>
      <c r="O559" s="16" t="s">
        <v>606</v>
      </c>
      <c r="P559" s="16" t="s">
        <v>5056</v>
      </c>
      <c r="Q559" s="16" t="s">
        <v>1055</v>
      </c>
      <c r="R559" s="16" t="s">
        <v>1056</v>
      </c>
      <c r="S559" s="16" t="s">
        <v>5057</v>
      </c>
      <c r="T559" s="16" t="s">
        <v>1326</v>
      </c>
      <c r="U559" s="16">
        <v>46274.093055555553</v>
      </c>
      <c r="V559" s="16" t="s">
        <v>469</v>
      </c>
      <c r="W559" s="16" t="s">
        <v>568</v>
      </c>
      <c r="X559" s="16" t="s">
        <v>471</v>
      </c>
      <c r="Y559" s="16" t="s">
        <v>1327</v>
      </c>
      <c r="Z559" s="16" t="s">
        <v>665</v>
      </c>
      <c r="AA559" s="16" t="s">
        <v>1059</v>
      </c>
      <c r="AB559" s="16" t="s">
        <v>5058</v>
      </c>
      <c r="AC559" s="16" t="s">
        <v>572</v>
      </c>
      <c r="AD559" s="16">
        <v>471556346</v>
      </c>
      <c r="AE559" s="16">
        <v>1609274505</v>
      </c>
      <c r="AF559" s="16"/>
      <c r="AG559" s="16"/>
      <c r="AH559" s="16"/>
      <c r="AI559" s="16" t="s">
        <v>67</v>
      </c>
      <c r="AJ559" s="16" t="s">
        <v>481</v>
      </c>
      <c r="AK559" s="16" t="s">
        <v>5059</v>
      </c>
      <c r="AL559" s="16">
        <v>64478.87</v>
      </c>
      <c r="AM559" s="16"/>
      <c r="AN559" s="16"/>
      <c r="AO559" s="16" t="s">
        <v>5060</v>
      </c>
      <c r="AP559" s="16" t="s">
        <v>1063</v>
      </c>
      <c r="AQ559" s="16" t="s">
        <v>5061</v>
      </c>
      <c r="AR559" s="3">
        <v>46274</v>
      </c>
      <c r="AS559" s="16" t="s">
        <v>67</v>
      </c>
      <c r="AT559" s="16" t="s">
        <v>976</v>
      </c>
      <c r="AU559" s="16"/>
      <c r="AV559" s="16" t="s">
        <v>5062</v>
      </c>
      <c r="AW559" s="16"/>
      <c r="AX559" s="16"/>
      <c r="AY559" s="16"/>
      <c r="AZ559" s="16"/>
      <c r="BA559" s="16"/>
      <c r="BB559" s="16" t="s">
        <v>5063</v>
      </c>
      <c r="BC559" s="16"/>
      <c r="BD559" s="16" t="s">
        <v>67</v>
      </c>
      <c r="BE559" s="16">
        <v>37</v>
      </c>
      <c r="BF559" s="16"/>
      <c r="BG559" s="16" t="s">
        <v>1067</v>
      </c>
      <c r="BH559" s="16" t="s">
        <v>491</v>
      </c>
      <c r="BI559" s="16" t="s">
        <v>5064</v>
      </c>
      <c r="BJ559" s="16"/>
      <c r="BK559" s="16"/>
      <c r="BL559" s="16"/>
      <c r="BM559" s="16"/>
      <c r="BN559" s="16"/>
      <c r="BO559" s="16"/>
      <c r="BP559" s="16"/>
      <c r="BQ559" s="16"/>
      <c r="BR559" s="16"/>
      <c r="BS559" s="16"/>
      <c r="BT559" s="16"/>
      <c r="BU559" s="16"/>
      <c r="BV559" s="16"/>
      <c r="BW559" s="16"/>
      <c r="BX559" s="16"/>
      <c r="BY559" s="16"/>
      <c r="BZ559" s="16"/>
      <c r="CA559" s="190">
        <v>46275.166666666701</v>
      </c>
      <c r="CB559" s="3"/>
      <c r="CC559" s="16"/>
      <c r="CD559" s="16"/>
      <c r="CE559" s="16"/>
      <c r="CF559" s="16"/>
      <c r="CG559" s="16"/>
      <c r="CH559" s="16"/>
      <c r="CI559" s="16" t="s">
        <v>5065</v>
      </c>
    </row>
    <row r="560" spans="1:87">
      <c r="A560" s="16"/>
      <c r="B560" s="16"/>
      <c r="C560" s="3">
        <v>46276</v>
      </c>
      <c r="D560" s="16" t="s">
        <v>1</v>
      </c>
      <c r="E560" s="16" t="s">
        <v>5066</v>
      </c>
      <c r="F560" s="16">
        <v>2026218020513</v>
      </c>
      <c r="G560" s="16">
        <v>40</v>
      </c>
      <c r="H560" s="16">
        <v>35</v>
      </c>
      <c r="I560" s="16" t="s">
        <v>460</v>
      </c>
      <c r="J560" s="16" t="s">
        <v>5066</v>
      </c>
      <c r="K560" s="16" t="s">
        <v>3416</v>
      </c>
      <c r="L560" s="16" t="s">
        <v>1760</v>
      </c>
      <c r="M560" s="16">
        <v>2</v>
      </c>
      <c r="N560" s="16" t="s">
        <v>462</v>
      </c>
      <c r="O560" s="16" t="s">
        <v>497</v>
      </c>
      <c r="P560" s="16" t="s">
        <v>5067</v>
      </c>
      <c r="Q560" s="16" t="s">
        <v>465</v>
      </c>
      <c r="R560" s="16" t="s">
        <v>466</v>
      </c>
      <c r="S560" s="16" t="s">
        <v>5068</v>
      </c>
      <c r="T560" s="16" t="s">
        <v>5069</v>
      </c>
      <c r="U560" s="16">
        <v>46273.657638888886</v>
      </c>
      <c r="V560" s="16" t="s">
        <v>469</v>
      </c>
      <c r="W560" s="16" t="s">
        <v>470</v>
      </c>
      <c r="X560" s="16" t="s">
        <v>471</v>
      </c>
      <c r="Y560" s="16" t="s">
        <v>523</v>
      </c>
      <c r="Z560" s="16" t="s">
        <v>1292</v>
      </c>
      <c r="AA560" s="16" t="s">
        <v>474</v>
      </c>
      <c r="AB560" s="16" t="s">
        <v>5070</v>
      </c>
      <c r="AC560" s="16" t="s">
        <v>465</v>
      </c>
      <c r="AD560" s="16">
        <v>270426722</v>
      </c>
      <c r="AE560" s="16">
        <v>1902134372</v>
      </c>
      <c r="AF560" s="16"/>
      <c r="AG560" s="16"/>
      <c r="AH560" s="16" t="s">
        <v>1076</v>
      </c>
      <c r="AI560" s="16" t="s">
        <v>3421</v>
      </c>
      <c r="AJ560" s="16" t="s">
        <v>481</v>
      </c>
      <c r="AK560" s="16" t="s">
        <v>5071</v>
      </c>
      <c r="AL560" s="16">
        <v>60221.31</v>
      </c>
      <c r="AM560" s="16"/>
      <c r="AN560" s="16"/>
      <c r="AO560" s="16">
        <v>609</v>
      </c>
      <c r="AP560" s="16" t="s">
        <v>485</v>
      </c>
      <c r="AQ560" s="16" t="s">
        <v>5072</v>
      </c>
      <c r="AR560" s="3">
        <v>46273</v>
      </c>
      <c r="AS560" s="16" t="s">
        <v>3421</v>
      </c>
      <c r="AT560" s="16" t="s">
        <v>3424</v>
      </c>
      <c r="AU560" s="16"/>
      <c r="AV560" s="16" t="s">
        <v>2075</v>
      </c>
      <c r="AW560" s="16"/>
      <c r="AX560" s="16"/>
      <c r="AY560" s="16"/>
      <c r="AZ560" s="16"/>
      <c r="BA560" s="16"/>
      <c r="BB560" s="16"/>
      <c r="BC560" s="16"/>
      <c r="BD560" s="16" t="s">
        <v>3421</v>
      </c>
      <c r="BE560" s="16">
        <v>35</v>
      </c>
      <c r="BF560" s="16"/>
      <c r="BG560" s="16" t="s">
        <v>490</v>
      </c>
      <c r="BH560" s="16" t="s">
        <v>491</v>
      </c>
      <c r="BI560" s="16">
        <v>387175356</v>
      </c>
      <c r="BJ560" s="16"/>
      <c r="BK560" s="16"/>
      <c r="BL560" s="16"/>
      <c r="BM560" s="16"/>
      <c r="BN560" s="16"/>
      <c r="BO560" s="16"/>
      <c r="BP560" s="16"/>
      <c r="BQ560" s="16"/>
      <c r="BR560" s="16"/>
      <c r="BS560" s="16"/>
      <c r="BT560" s="16"/>
      <c r="BU560" s="16"/>
      <c r="BV560" s="16"/>
      <c r="BW560" s="16"/>
      <c r="BX560" s="16"/>
      <c r="BY560" s="16"/>
      <c r="BZ560" s="16"/>
      <c r="CA560" s="190">
        <v>46275</v>
      </c>
      <c r="CB560" s="3"/>
      <c r="CC560" s="16"/>
      <c r="CD560" s="16"/>
      <c r="CE560" s="16"/>
      <c r="CF560" s="16"/>
      <c r="CG560" s="16"/>
      <c r="CH560" s="16"/>
      <c r="CI560" s="16" t="s">
        <v>5073</v>
      </c>
    </row>
    <row r="561" spans="1:87">
      <c r="A561" s="16"/>
      <c r="B561" s="16"/>
      <c r="C561" s="3">
        <v>46276</v>
      </c>
      <c r="D561" s="16" t="s">
        <v>1</v>
      </c>
      <c r="E561" s="16" t="s">
        <v>5074</v>
      </c>
      <c r="F561" s="16">
        <v>2026219340004</v>
      </c>
      <c r="G561" s="16">
        <v>40</v>
      </c>
      <c r="H561" s="16">
        <v>35</v>
      </c>
      <c r="I561" s="16" t="s">
        <v>460</v>
      </c>
      <c r="J561" s="16" t="s">
        <v>5074</v>
      </c>
      <c r="K561" s="16" t="s">
        <v>4874</v>
      </c>
      <c r="L561" s="16" t="s">
        <v>1760</v>
      </c>
      <c r="M561" s="16">
        <v>3</v>
      </c>
      <c r="N561" s="16" t="s">
        <v>462</v>
      </c>
      <c r="O561" s="16" t="s">
        <v>497</v>
      </c>
      <c r="P561" s="16" t="s">
        <v>5075</v>
      </c>
      <c r="Q561" s="16" t="s">
        <v>465</v>
      </c>
      <c r="R561" s="16" t="s">
        <v>466</v>
      </c>
      <c r="S561" s="16" t="s">
        <v>5076</v>
      </c>
      <c r="T561" s="16" t="s">
        <v>5077</v>
      </c>
      <c r="U561" s="16">
        <v>46272.643055555556</v>
      </c>
      <c r="V561" s="16" t="s">
        <v>469</v>
      </c>
      <c r="W561" s="16" t="s">
        <v>470</v>
      </c>
      <c r="X561" s="16" t="s">
        <v>471</v>
      </c>
      <c r="Y561" s="16" t="s">
        <v>628</v>
      </c>
      <c r="Z561" s="16" t="s">
        <v>665</v>
      </c>
      <c r="AA561" s="16" t="s">
        <v>474</v>
      </c>
      <c r="AB561" s="16" t="s">
        <v>5078</v>
      </c>
      <c r="AC561" s="16" t="s">
        <v>640</v>
      </c>
      <c r="AD561" s="16">
        <v>135562308</v>
      </c>
      <c r="AE561" s="16">
        <v>1285826438</v>
      </c>
      <c r="AF561" s="16">
        <v>1982686960</v>
      </c>
      <c r="AG561" s="16"/>
      <c r="AH561" s="16"/>
      <c r="AI561" s="16" t="s">
        <v>4878</v>
      </c>
      <c r="AJ561" s="16" t="s">
        <v>481</v>
      </c>
      <c r="AK561" s="16" t="s">
        <v>5079</v>
      </c>
      <c r="AL561" s="16">
        <v>77498</v>
      </c>
      <c r="AM561" s="16"/>
      <c r="AN561" s="16"/>
      <c r="AO561" s="16">
        <v>975</v>
      </c>
      <c r="AP561" s="16" t="s">
        <v>485</v>
      </c>
      <c r="AQ561" s="16" t="s">
        <v>5080</v>
      </c>
      <c r="AR561" s="3">
        <v>46272</v>
      </c>
      <c r="AS561" s="16" t="s">
        <v>4878</v>
      </c>
      <c r="AT561" s="16" t="s">
        <v>1038</v>
      </c>
      <c r="AU561" s="16"/>
      <c r="AV561" s="16" t="s">
        <v>5081</v>
      </c>
      <c r="AW561" s="16"/>
      <c r="AX561" s="16"/>
      <c r="AY561" s="16"/>
      <c r="AZ561" s="16"/>
      <c r="BA561" s="16"/>
      <c r="BB561" s="16"/>
      <c r="BC561" s="16"/>
      <c r="BD561" s="16" t="s">
        <v>4878</v>
      </c>
      <c r="BE561" s="16">
        <v>34</v>
      </c>
      <c r="BF561" s="16"/>
      <c r="BG561" s="16"/>
      <c r="BH561" s="16" t="s">
        <v>491</v>
      </c>
      <c r="BI561" s="16">
        <v>127600976</v>
      </c>
      <c r="BJ561" s="16"/>
      <c r="BK561" s="16"/>
      <c r="BL561" s="16"/>
      <c r="BM561" s="16"/>
      <c r="BN561" s="16"/>
      <c r="BO561" s="16"/>
      <c r="BP561" s="16"/>
      <c r="BQ561" s="16"/>
      <c r="BR561" s="16"/>
      <c r="BS561" s="16"/>
      <c r="BT561" s="16"/>
      <c r="BU561" s="16"/>
      <c r="BV561" s="16"/>
      <c r="BW561" s="16"/>
      <c r="BX561" s="16"/>
      <c r="BY561" s="16"/>
      <c r="BZ561" s="16"/>
      <c r="CA561" s="190">
        <v>46275</v>
      </c>
      <c r="CB561" s="3"/>
      <c r="CC561" s="16"/>
      <c r="CD561" s="16"/>
      <c r="CE561" s="16"/>
      <c r="CF561" s="16"/>
      <c r="CG561" s="16"/>
      <c r="CH561" s="16"/>
      <c r="CI561" s="16" t="s">
        <v>5082</v>
      </c>
    </row>
    <row r="562" spans="1:87">
      <c r="A562" s="16" t="s">
        <v>4</v>
      </c>
      <c r="B562" s="16" t="s">
        <v>5083</v>
      </c>
      <c r="C562" s="3">
        <v>46276</v>
      </c>
      <c r="D562" s="16" t="s">
        <v>1</v>
      </c>
      <c r="E562" s="16" t="s">
        <v>5084</v>
      </c>
      <c r="F562" s="16">
        <v>2026215830331</v>
      </c>
      <c r="G562" s="16">
        <v>40</v>
      </c>
      <c r="H562" s="16">
        <v>38</v>
      </c>
      <c r="I562" s="16" t="s">
        <v>460</v>
      </c>
      <c r="J562" s="16" t="s">
        <v>5084</v>
      </c>
      <c r="K562" s="16" t="s">
        <v>1874</v>
      </c>
      <c r="L562" s="16" t="s">
        <v>17</v>
      </c>
      <c r="M562" s="16">
        <v>3</v>
      </c>
      <c r="N562" s="16" t="s">
        <v>462</v>
      </c>
      <c r="O562" s="16" t="s">
        <v>497</v>
      </c>
      <c r="P562" s="16" t="s">
        <v>5085</v>
      </c>
      <c r="Q562" s="16" t="s">
        <v>465</v>
      </c>
      <c r="R562" s="16" t="s">
        <v>466</v>
      </c>
      <c r="S562" s="16" t="s">
        <v>5086</v>
      </c>
      <c r="T562" s="16" t="s">
        <v>5087</v>
      </c>
      <c r="U562" s="16">
        <v>46271.958333333336</v>
      </c>
      <c r="V562" s="16" t="s">
        <v>469</v>
      </c>
      <c r="W562" s="16" t="s">
        <v>470</v>
      </c>
      <c r="X562" s="16" t="s">
        <v>471</v>
      </c>
      <c r="Y562" s="16" t="s">
        <v>523</v>
      </c>
      <c r="Z562" s="16" t="s">
        <v>1292</v>
      </c>
      <c r="AA562" s="16" t="s">
        <v>474</v>
      </c>
      <c r="AB562" s="16" t="s">
        <v>5088</v>
      </c>
      <c r="AC562" s="16" t="s">
        <v>1294</v>
      </c>
      <c r="AD562" s="16">
        <v>610990338</v>
      </c>
      <c r="AE562" s="16">
        <v>1144279597</v>
      </c>
      <c r="AF562" s="16"/>
      <c r="AG562" s="16"/>
      <c r="AH562" s="16" t="s">
        <v>1076</v>
      </c>
      <c r="AI562" s="16" t="s">
        <v>93</v>
      </c>
      <c r="AJ562" s="16" t="s">
        <v>481</v>
      </c>
      <c r="AK562" s="16" t="s">
        <v>5089</v>
      </c>
      <c r="AL562" s="16">
        <v>6971.94</v>
      </c>
      <c r="AM562" s="16"/>
      <c r="AN562" s="16"/>
      <c r="AO562" s="16">
        <v>295</v>
      </c>
      <c r="AP562" s="16" t="s">
        <v>485</v>
      </c>
      <c r="AQ562" s="16" t="s">
        <v>5090</v>
      </c>
      <c r="AR562" s="3">
        <v>46272</v>
      </c>
      <c r="AS562" s="16" t="s">
        <v>93</v>
      </c>
      <c r="AT562" s="16" t="s">
        <v>5091</v>
      </c>
      <c r="AU562" s="16"/>
      <c r="AV562" s="16" t="s">
        <v>5092</v>
      </c>
      <c r="AW562" s="16"/>
      <c r="AX562" s="16"/>
      <c r="AY562" s="16"/>
      <c r="AZ562" s="16"/>
      <c r="BA562" s="16"/>
      <c r="BB562" s="16"/>
      <c r="BC562" s="16"/>
      <c r="BD562" s="16" t="s">
        <v>93</v>
      </c>
      <c r="BE562" s="16">
        <v>38</v>
      </c>
      <c r="BF562" s="16"/>
      <c r="BG562" s="16"/>
      <c r="BH562" s="16" t="s">
        <v>491</v>
      </c>
      <c r="BI562" s="16">
        <v>405027237</v>
      </c>
      <c r="BJ562" s="16"/>
      <c r="BK562" s="16"/>
      <c r="BL562" s="16"/>
      <c r="BM562" s="16"/>
      <c r="BN562" s="16"/>
      <c r="BO562" s="16"/>
      <c r="BP562" s="16"/>
      <c r="BQ562" s="16"/>
      <c r="BR562" s="16"/>
      <c r="BS562" s="16"/>
      <c r="BT562" s="16"/>
      <c r="BU562" s="16"/>
      <c r="BV562" s="16"/>
      <c r="BW562" s="16"/>
      <c r="BX562" s="16"/>
      <c r="BY562" s="16"/>
      <c r="BZ562" s="16"/>
      <c r="CA562" s="190">
        <v>46285.666666666701</v>
      </c>
      <c r="CB562" s="3"/>
      <c r="CC562" s="16"/>
      <c r="CD562" s="16"/>
      <c r="CE562" s="16"/>
      <c r="CF562" s="16"/>
      <c r="CG562" s="16"/>
      <c r="CH562" s="16"/>
      <c r="CI562" s="16" t="s">
        <v>5093</v>
      </c>
    </row>
    <row r="563" spans="1:87">
      <c r="A563" s="16" t="s">
        <v>5</v>
      </c>
      <c r="B563" s="16" t="s">
        <v>5094</v>
      </c>
      <c r="C563" s="3">
        <v>46276</v>
      </c>
      <c r="D563" s="16" t="s">
        <v>1</v>
      </c>
      <c r="E563" s="16" t="s">
        <v>5095</v>
      </c>
      <c r="F563" s="16">
        <v>2026208590108</v>
      </c>
      <c r="G563" s="16">
        <v>40</v>
      </c>
      <c r="H563" s="16">
        <v>45</v>
      </c>
      <c r="I563" s="16" t="s">
        <v>460</v>
      </c>
      <c r="J563" s="16" t="s">
        <v>5095</v>
      </c>
      <c r="K563" s="16" t="s">
        <v>1371</v>
      </c>
      <c r="L563" s="16" t="s">
        <v>17</v>
      </c>
      <c r="M563" s="16">
        <v>3</v>
      </c>
      <c r="N563" s="16" t="s">
        <v>462</v>
      </c>
      <c r="O563" s="16" t="s">
        <v>497</v>
      </c>
      <c r="P563" s="16" t="s">
        <v>5096</v>
      </c>
      <c r="Q563" s="16" t="s">
        <v>465</v>
      </c>
      <c r="R563" s="16" t="s">
        <v>466</v>
      </c>
      <c r="S563" s="16" t="s">
        <v>5097</v>
      </c>
      <c r="T563" s="16" t="s">
        <v>5098</v>
      </c>
      <c r="U563" s="16">
        <v>46272.692361111112</v>
      </c>
      <c r="V563" s="16" t="s">
        <v>469</v>
      </c>
      <c r="W563" s="16" t="s">
        <v>568</v>
      </c>
      <c r="X563" s="16" t="s">
        <v>471</v>
      </c>
      <c r="Y563" s="16" t="s">
        <v>628</v>
      </c>
      <c r="Z563" s="16" t="s">
        <v>524</v>
      </c>
      <c r="AA563" s="16" t="s">
        <v>474</v>
      </c>
      <c r="AB563" s="16" t="s">
        <v>5099</v>
      </c>
      <c r="AC563" s="16" t="s">
        <v>526</v>
      </c>
      <c r="AD563" s="16">
        <v>340936207</v>
      </c>
      <c r="AE563" s="16">
        <v>1144217894</v>
      </c>
      <c r="AF563" s="16">
        <v>1659513695</v>
      </c>
      <c r="AG563" s="16"/>
      <c r="AH563" s="16"/>
      <c r="AI563" s="16" t="s">
        <v>164</v>
      </c>
      <c r="AJ563" s="16" t="s">
        <v>481</v>
      </c>
      <c r="AK563" s="16" t="s">
        <v>5100</v>
      </c>
      <c r="AL563" s="16">
        <v>1304</v>
      </c>
      <c r="AM563" s="16"/>
      <c r="AN563" s="16"/>
      <c r="AO563" s="16">
        <v>922</v>
      </c>
      <c r="AP563" s="16" t="s">
        <v>485</v>
      </c>
      <c r="AQ563" s="16" t="s">
        <v>5101</v>
      </c>
      <c r="AR563" s="3">
        <v>46272</v>
      </c>
      <c r="AS563" s="16" t="s">
        <v>164</v>
      </c>
      <c r="AT563" s="16" t="s">
        <v>4946</v>
      </c>
      <c r="AU563" s="16"/>
      <c r="AV563" s="16" t="s">
        <v>5102</v>
      </c>
      <c r="AW563" s="16"/>
      <c r="AX563" s="16"/>
      <c r="AY563" s="16"/>
      <c r="AZ563" s="16"/>
      <c r="BA563" s="16"/>
      <c r="BB563" s="16"/>
      <c r="BC563" s="16"/>
      <c r="BD563" s="16" t="s">
        <v>164</v>
      </c>
      <c r="BE563" s="16">
        <v>45</v>
      </c>
      <c r="BF563" s="16"/>
      <c r="BG563" s="16"/>
      <c r="BH563" s="16" t="s">
        <v>491</v>
      </c>
      <c r="BI563" s="16">
        <v>268685862</v>
      </c>
      <c r="BJ563" s="16"/>
      <c r="BK563" s="16"/>
      <c r="BL563" s="16"/>
      <c r="BM563" s="16"/>
      <c r="BN563" s="16"/>
      <c r="BO563" s="16"/>
      <c r="BP563" s="16"/>
      <c r="BQ563" s="16"/>
      <c r="BR563" s="16"/>
      <c r="BS563" s="16"/>
      <c r="BT563" s="16"/>
      <c r="BU563" s="16"/>
      <c r="BV563" s="16"/>
      <c r="BW563" s="16"/>
      <c r="BX563" s="16"/>
      <c r="BY563" s="16"/>
      <c r="BZ563" s="16"/>
      <c r="CA563" s="190">
        <v>46280.666666666701</v>
      </c>
      <c r="CB563" s="3"/>
      <c r="CC563" s="16"/>
      <c r="CD563" s="16"/>
      <c r="CE563" s="16"/>
      <c r="CF563" s="16"/>
      <c r="CG563" s="16"/>
      <c r="CH563" s="16"/>
      <c r="CI563" s="16" t="s">
        <v>5103</v>
      </c>
    </row>
    <row r="564" spans="1:87">
      <c r="A564" s="16"/>
      <c r="B564" s="16"/>
      <c r="C564" s="3">
        <v>46276</v>
      </c>
      <c r="D564" s="16" t="s">
        <v>1</v>
      </c>
      <c r="E564" s="16" t="s">
        <v>5104</v>
      </c>
      <c r="F564" s="16">
        <v>2026213120413</v>
      </c>
      <c r="G564" s="16">
        <v>40</v>
      </c>
      <c r="H564" s="16">
        <v>40</v>
      </c>
      <c r="I564" s="16" t="s">
        <v>460</v>
      </c>
      <c r="J564" s="16" t="e">
        <v>#N/A</v>
      </c>
      <c r="K564" s="16" t="s">
        <v>960</v>
      </c>
      <c r="L564" s="16" t="s">
        <v>13</v>
      </c>
      <c r="M564" s="16">
        <v>0</v>
      </c>
      <c r="N564" s="16" t="s">
        <v>462</v>
      </c>
      <c r="O564" s="16" t="s">
        <v>497</v>
      </c>
      <c r="P564" s="16">
        <v>972276412</v>
      </c>
      <c r="Q564" s="16" t="s">
        <v>465</v>
      </c>
      <c r="R564" s="16" t="s">
        <v>466</v>
      </c>
      <c r="S564" s="16" t="s">
        <v>5105</v>
      </c>
      <c r="T564" s="16" t="s">
        <v>5106</v>
      </c>
      <c r="U564" s="16">
        <v>46274.914583333331</v>
      </c>
      <c r="V564" s="16" t="s">
        <v>469</v>
      </c>
      <c r="W564" s="16" t="s">
        <v>470</v>
      </c>
      <c r="X564" s="16" t="s">
        <v>471</v>
      </c>
      <c r="Y564" s="16" t="s">
        <v>523</v>
      </c>
      <c r="Z564" s="16" t="s">
        <v>1338</v>
      </c>
      <c r="AA564" s="16" t="s">
        <v>474</v>
      </c>
      <c r="AB564" s="16" t="s">
        <v>5107</v>
      </c>
      <c r="AC564" s="16" t="s">
        <v>1429</v>
      </c>
      <c r="AD564" s="16">
        <v>60646668</v>
      </c>
      <c r="AE564" s="16">
        <v>1770696643</v>
      </c>
      <c r="AF564" s="16"/>
      <c r="AG564" s="16"/>
      <c r="AH564" s="16"/>
      <c r="AI564" s="16" t="s">
        <v>55</v>
      </c>
      <c r="AJ564" s="16" t="s">
        <v>481</v>
      </c>
      <c r="AK564" s="16" t="s">
        <v>5108</v>
      </c>
      <c r="AL564" s="16">
        <v>31996.06</v>
      </c>
      <c r="AM564" s="16"/>
      <c r="AN564" s="16"/>
      <c r="AO564" s="16">
        <v>972</v>
      </c>
      <c r="AP564" s="16" t="s">
        <v>485</v>
      </c>
      <c r="AQ564" s="16" t="s">
        <v>5109</v>
      </c>
      <c r="AR564" s="3">
        <v>46275</v>
      </c>
      <c r="AS564" s="16" t="s">
        <v>55</v>
      </c>
      <c r="AT564" s="16" t="s">
        <v>5110</v>
      </c>
      <c r="AU564" s="16"/>
      <c r="AV564" s="16" t="s">
        <v>5111</v>
      </c>
      <c r="AW564" s="16"/>
      <c r="AX564" s="16"/>
      <c r="AY564" s="16"/>
      <c r="AZ564" s="16"/>
      <c r="BA564" s="16"/>
      <c r="BB564" s="16"/>
      <c r="BC564" s="16"/>
      <c r="BD564" s="16" t="s">
        <v>55</v>
      </c>
      <c r="BE564" s="16">
        <v>40</v>
      </c>
      <c r="BF564" s="16"/>
      <c r="BG564" s="16" t="s">
        <v>490</v>
      </c>
      <c r="BH564" s="16" t="s">
        <v>491</v>
      </c>
      <c r="BI564" s="16">
        <v>44742332</v>
      </c>
      <c r="BJ564" s="16"/>
      <c r="BK564" s="16"/>
      <c r="BL564" s="16"/>
      <c r="BM564" s="16"/>
      <c r="BN564" s="16"/>
      <c r="BO564" s="16"/>
      <c r="BP564" s="16"/>
      <c r="BQ564" s="16"/>
      <c r="BR564" s="16"/>
      <c r="BS564" s="16"/>
      <c r="BT564" s="16"/>
      <c r="BU564" s="16"/>
      <c r="BV564" s="16"/>
      <c r="BW564" s="16"/>
      <c r="BX564" s="16"/>
      <c r="BY564" s="16"/>
      <c r="BZ564" s="16"/>
      <c r="CA564" s="190">
        <v>46275</v>
      </c>
      <c r="CB564" s="3"/>
      <c r="CC564" s="16"/>
      <c r="CD564" s="16"/>
      <c r="CE564" s="16"/>
      <c r="CF564" s="16"/>
      <c r="CG564" s="16"/>
      <c r="CH564" s="16"/>
      <c r="CI564" s="16" t="s">
        <v>5112</v>
      </c>
    </row>
    <row r="565" spans="1:87">
      <c r="A565" s="16" t="s">
        <v>5</v>
      </c>
      <c r="B565" s="16" t="s">
        <v>5113</v>
      </c>
      <c r="C565" s="3">
        <v>46276</v>
      </c>
      <c r="D565" s="16" t="s">
        <v>1</v>
      </c>
      <c r="E565" s="16" t="s">
        <v>5114</v>
      </c>
      <c r="F565" s="16">
        <v>2026218490456</v>
      </c>
      <c r="G565" s="16">
        <v>40</v>
      </c>
      <c r="H565" s="16">
        <v>35</v>
      </c>
      <c r="I565" s="16" t="s">
        <v>460</v>
      </c>
      <c r="J565" s="16" t="s">
        <v>5114</v>
      </c>
      <c r="K565" s="16" t="s">
        <v>4812</v>
      </c>
      <c r="L565" s="16" t="s">
        <v>16</v>
      </c>
      <c r="M565" s="16">
        <v>34</v>
      </c>
      <c r="N565" s="16" t="s">
        <v>462</v>
      </c>
      <c r="O565" s="16" t="s">
        <v>4717</v>
      </c>
      <c r="P565" s="16"/>
      <c r="Q565" s="16" t="s">
        <v>465</v>
      </c>
      <c r="R565" s="16" t="s">
        <v>466</v>
      </c>
      <c r="S565" s="16" t="s">
        <v>5115</v>
      </c>
      <c r="T565" s="16" t="s">
        <v>5116</v>
      </c>
      <c r="U565" s="16"/>
      <c r="V565" s="16" t="s">
        <v>469</v>
      </c>
      <c r="W565" s="16" t="s">
        <v>568</v>
      </c>
      <c r="X565" s="16" t="s">
        <v>471</v>
      </c>
      <c r="Y565" s="16" t="s">
        <v>628</v>
      </c>
      <c r="Z565" s="16" t="s">
        <v>1292</v>
      </c>
      <c r="AA565" s="16" t="s">
        <v>474</v>
      </c>
      <c r="AB565" s="16" t="s">
        <v>5117</v>
      </c>
      <c r="AC565" s="16" t="s">
        <v>1294</v>
      </c>
      <c r="AD565" s="16">
        <v>863269008</v>
      </c>
      <c r="AE565" s="16">
        <v>1184205643</v>
      </c>
      <c r="AF565" s="16">
        <v>1538420666</v>
      </c>
      <c r="AG565" s="16"/>
      <c r="AH565" s="16" t="s">
        <v>1076</v>
      </c>
      <c r="AI565" s="16" t="s">
        <v>82</v>
      </c>
      <c r="AJ565" s="16" t="s">
        <v>481</v>
      </c>
      <c r="AK565" s="16" t="s">
        <v>5118</v>
      </c>
      <c r="AL565" s="16">
        <v>318</v>
      </c>
      <c r="AM565" s="16"/>
      <c r="AN565" s="16"/>
      <c r="AO565" s="16"/>
      <c r="AP565" s="16" t="s">
        <v>485</v>
      </c>
      <c r="AQ565" s="16" t="s">
        <v>5119</v>
      </c>
      <c r="AR565" s="3">
        <v>46241</v>
      </c>
      <c r="AS565" s="16" t="s">
        <v>2506</v>
      </c>
      <c r="AT565" s="16" t="s">
        <v>1819</v>
      </c>
      <c r="AU565" s="16"/>
      <c r="AV565" s="16" t="s">
        <v>5120</v>
      </c>
      <c r="AW565" s="16"/>
      <c r="AX565" s="16"/>
      <c r="AY565" s="16"/>
      <c r="AZ565" s="16"/>
      <c r="BA565" s="16"/>
      <c r="BB565" s="16"/>
      <c r="BC565" s="16"/>
      <c r="BD565" s="16" t="s">
        <v>82</v>
      </c>
      <c r="BE565" s="16">
        <v>35</v>
      </c>
      <c r="BF565" s="16"/>
      <c r="BG565" s="16"/>
      <c r="BH565" s="16" t="s">
        <v>491</v>
      </c>
      <c r="BI565" s="16">
        <v>667011626</v>
      </c>
      <c r="BJ565" s="16"/>
      <c r="BK565" s="16"/>
      <c r="BL565" s="16"/>
      <c r="BM565" s="16"/>
      <c r="BN565" s="16"/>
      <c r="BO565" s="16"/>
      <c r="BP565" s="16"/>
      <c r="BQ565" s="16"/>
      <c r="BR565" s="16"/>
      <c r="BS565" s="16"/>
      <c r="BT565" s="16"/>
      <c r="BU565" s="16"/>
      <c r="BV565" s="16"/>
      <c r="BW565" s="16"/>
      <c r="BX565" s="16"/>
      <c r="BY565" s="16"/>
      <c r="BZ565" s="16"/>
      <c r="CA565" s="190">
        <v>46286.166666666701</v>
      </c>
      <c r="CB565" s="3"/>
      <c r="CC565" s="16"/>
      <c r="CD565" s="16"/>
      <c r="CE565" s="16"/>
      <c r="CF565" s="16"/>
      <c r="CG565" s="16"/>
      <c r="CH565" s="16"/>
      <c r="CI565" s="16" t="s">
        <v>5121</v>
      </c>
    </row>
    <row r="566" spans="1:87">
      <c r="A566" s="16" t="s">
        <v>5</v>
      </c>
      <c r="B566" s="16" t="s">
        <v>5122</v>
      </c>
      <c r="C566" s="3">
        <v>46276</v>
      </c>
      <c r="D566" s="16" t="s">
        <v>1</v>
      </c>
      <c r="E566" s="16" t="s">
        <v>5123</v>
      </c>
      <c r="F566" s="16">
        <v>2026209130011</v>
      </c>
      <c r="G566" s="16">
        <v>40</v>
      </c>
      <c r="H566" s="16">
        <v>45</v>
      </c>
      <c r="I566" s="16" t="s">
        <v>460</v>
      </c>
      <c r="J566" s="16" t="s">
        <v>5123</v>
      </c>
      <c r="K566" s="16" t="s">
        <v>1053</v>
      </c>
      <c r="L566" s="16" t="s">
        <v>13</v>
      </c>
      <c r="M566" s="16">
        <v>6</v>
      </c>
      <c r="N566" s="16" t="s">
        <v>462</v>
      </c>
      <c r="O566" s="16" t="s">
        <v>606</v>
      </c>
      <c r="P566" s="16">
        <v>837935402</v>
      </c>
      <c r="Q566" s="16" t="s">
        <v>961</v>
      </c>
      <c r="R566" s="16" t="s">
        <v>1193</v>
      </c>
      <c r="S566" s="16" t="s">
        <v>5124</v>
      </c>
      <c r="T566" s="16" t="s">
        <v>664</v>
      </c>
      <c r="U566" s="16">
        <v>46268.847222222219</v>
      </c>
      <c r="V566" s="16" t="s">
        <v>469</v>
      </c>
      <c r="W566" s="16" t="s">
        <v>651</v>
      </c>
      <c r="X566" s="16" t="s">
        <v>652</v>
      </c>
      <c r="Y566" s="16" t="s">
        <v>653</v>
      </c>
      <c r="Z566" s="16" t="s">
        <v>665</v>
      </c>
      <c r="AA566" s="16" t="s">
        <v>474</v>
      </c>
      <c r="AB566" s="16" t="s">
        <v>666</v>
      </c>
      <c r="AC566" s="16" t="s">
        <v>640</v>
      </c>
      <c r="AD566" s="16">
        <v>134010372</v>
      </c>
      <c r="AE566" s="16">
        <v>1699766261</v>
      </c>
      <c r="AF566" s="16">
        <v>1689102154</v>
      </c>
      <c r="AG566" s="16">
        <v>2.54202526118156E+16</v>
      </c>
      <c r="AH566" s="16"/>
      <c r="AI566" s="16" t="s">
        <v>49</v>
      </c>
      <c r="AJ566" s="16" t="s">
        <v>481</v>
      </c>
      <c r="AK566" s="16" t="s">
        <v>5125</v>
      </c>
      <c r="AL566" s="16">
        <v>4973.6000000000004</v>
      </c>
      <c r="AM566" s="16"/>
      <c r="AN566" s="16"/>
      <c r="AO566" s="16">
        <v>837</v>
      </c>
      <c r="AP566" s="16" t="s">
        <v>485</v>
      </c>
      <c r="AQ566" s="16" t="s">
        <v>5126</v>
      </c>
      <c r="AR566" s="3">
        <v>46269</v>
      </c>
      <c r="AS566" s="16" t="s">
        <v>49</v>
      </c>
      <c r="AT566" s="16" t="s">
        <v>719</v>
      </c>
      <c r="AU566" s="16"/>
      <c r="AV566" s="16" t="s">
        <v>5127</v>
      </c>
      <c r="AW566" s="16"/>
      <c r="AX566" s="16"/>
      <c r="AY566" s="16"/>
      <c r="AZ566" s="16"/>
      <c r="BA566" s="16"/>
      <c r="BB566" s="16"/>
      <c r="BC566" s="16"/>
      <c r="BD566" s="16" t="s">
        <v>49</v>
      </c>
      <c r="BE566" s="16">
        <v>44</v>
      </c>
      <c r="BF566" s="16"/>
      <c r="BG566" s="16"/>
      <c r="BH566" s="16" t="s">
        <v>658</v>
      </c>
      <c r="BI566" s="16">
        <v>837935402</v>
      </c>
      <c r="BJ566" s="16"/>
      <c r="BK566" s="16"/>
      <c r="BL566" s="16"/>
      <c r="BM566" s="16"/>
      <c r="BN566" s="16"/>
      <c r="BO566" s="16"/>
      <c r="BP566" s="16"/>
      <c r="BQ566" s="16"/>
      <c r="BR566" s="16"/>
      <c r="BS566" s="16"/>
      <c r="BT566" s="16"/>
      <c r="BU566" s="16"/>
      <c r="BV566" s="16"/>
      <c r="BW566" s="16"/>
      <c r="BX566" s="16"/>
      <c r="BY566" s="16"/>
      <c r="BZ566" s="16"/>
      <c r="CA566" s="190">
        <v>46281.666666666701</v>
      </c>
      <c r="CB566" s="3"/>
      <c r="CC566" s="16"/>
      <c r="CD566" s="16"/>
      <c r="CE566" s="16"/>
      <c r="CF566" s="16"/>
      <c r="CG566" s="16"/>
      <c r="CH566" s="16"/>
      <c r="CI566" s="16" t="s">
        <v>5128</v>
      </c>
    </row>
    <row r="567" spans="1:87">
      <c r="A567" s="16" t="s">
        <v>4</v>
      </c>
      <c r="B567" s="16" t="s">
        <v>4</v>
      </c>
      <c r="C567" s="3">
        <v>46276</v>
      </c>
      <c r="D567" s="16" t="s">
        <v>1</v>
      </c>
      <c r="E567" s="16" t="s">
        <v>5129</v>
      </c>
      <c r="F567" s="16">
        <v>2026218990463</v>
      </c>
      <c r="G567" s="16">
        <v>40</v>
      </c>
      <c r="H567" s="16">
        <v>35</v>
      </c>
      <c r="I567" s="16" t="s">
        <v>460</v>
      </c>
      <c r="J567" s="16" t="s">
        <v>5129</v>
      </c>
      <c r="K567" s="16" t="s">
        <v>4812</v>
      </c>
      <c r="L567" s="16" t="s">
        <v>16</v>
      </c>
      <c r="M567" s="16">
        <v>10</v>
      </c>
      <c r="N567" s="16" t="s">
        <v>462</v>
      </c>
      <c r="O567" s="16" t="s">
        <v>4717</v>
      </c>
      <c r="P567" s="16" t="s">
        <v>5130</v>
      </c>
      <c r="Q567" s="16" t="s">
        <v>465</v>
      </c>
      <c r="R567" s="16" t="s">
        <v>466</v>
      </c>
      <c r="S567" s="16" t="s">
        <v>5131</v>
      </c>
      <c r="T567" s="16" t="s">
        <v>5132</v>
      </c>
      <c r="U567" s="16"/>
      <c r="V567" s="16" t="s">
        <v>469</v>
      </c>
      <c r="W567" s="16" t="s">
        <v>470</v>
      </c>
      <c r="X567" s="16" t="s">
        <v>471</v>
      </c>
      <c r="Y567" s="16" t="s">
        <v>523</v>
      </c>
      <c r="Z567" s="16" t="s">
        <v>731</v>
      </c>
      <c r="AA567" s="16" t="s">
        <v>474</v>
      </c>
      <c r="AB567" s="16" t="s">
        <v>5133</v>
      </c>
      <c r="AC567" s="16" t="s">
        <v>733</v>
      </c>
      <c r="AD567" s="16">
        <v>431343281</v>
      </c>
      <c r="AE567" s="16">
        <v>1598835308</v>
      </c>
      <c r="AF567" s="16"/>
      <c r="AG567" s="16"/>
      <c r="AH567" s="16" t="s">
        <v>1076</v>
      </c>
      <c r="AI567" s="16" t="s">
        <v>82</v>
      </c>
      <c r="AJ567" s="16" t="s">
        <v>481</v>
      </c>
      <c r="AK567" s="16" t="s">
        <v>5134</v>
      </c>
      <c r="AL567" s="16">
        <v>1770</v>
      </c>
      <c r="AM567" s="16"/>
      <c r="AN567" s="16"/>
      <c r="AO567" s="16">
        <v>349</v>
      </c>
      <c r="AP567" s="16" t="s">
        <v>485</v>
      </c>
      <c r="AQ567" s="16" t="s">
        <v>4955</v>
      </c>
      <c r="AR567" s="3">
        <v>46265</v>
      </c>
      <c r="AS567" s="16" t="s">
        <v>1076</v>
      </c>
      <c r="AT567" s="16" t="s">
        <v>1819</v>
      </c>
      <c r="AU567" s="16"/>
      <c r="AV567" s="16" t="s">
        <v>1607</v>
      </c>
      <c r="AW567" s="16"/>
      <c r="AX567" s="16"/>
      <c r="AY567" s="16"/>
      <c r="AZ567" s="16"/>
      <c r="BA567" s="16"/>
      <c r="BB567" s="16"/>
      <c r="BC567" s="16"/>
      <c r="BD567" s="16" t="s">
        <v>82</v>
      </c>
      <c r="BE567" s="16">
        <v>35</v>
      </c>
      <c r="BF567" s="16"/>
      <c r="BG567" s="16" t="s">
        <v>490</v>
      </c>
      <c r="BH567" s="16" t="s">
        <v>491</v>
      </c>
      <c r="BI567" s="16">
        <v>496724595</v>
      </c>
      <c r="BJ567" s="16"/>
      <c r="BK567" s="16"/>
      <c r="BL567" s="16"/>
      <c r="BM567" s="16"/>
      <c r="BN567" s="16"/>
      <c r="BO567" s="16"/>
      <c r="BP567" s="16"/>
      <c r="BQ567" s="16"/>
      <c r="BR567" s="16"/>
      <c r="BS567" s="16"/>
      <c r="BT567" s="16"/>
      <c r="BU567" s="16"/>
      <c r="BV567" s="16"/>
      <c r="BW567" s="16"/>
      <c r="BX567" s="16"/>
      <c r="BY567" s="16"/>
      <c r="BZ567" s="16"/>
      <c r="CA567" s="190">
        <v>46286.166666666701</v>
      </c>
      <c r="CB567" s="3"/>
      <c r="CC567" s="16"/>
      <c r="CD567" s="16"/>
      <c r="CE567" s="16"/>
      <c r="CF567" s="16"/>
      <c r="CG567" s="16"/>
      <c r="CH567" s="16"/>
      <c r="CI567" s="16" t="s">
        <v>5135</v>
      </c>
    </row>
    <row r="568" spans="1:87">
      <c r="A568" s="16"/>
      <c r="B568" s="16"/>
      <c r="C568" s="3">
        <v>46276</v>
      </c>
      <c r="D568" s="16" t="s">
        <v>1</v>
      </c>
      <c r="E568" s="16" t="s">
        <v>5136</v>
      </c>
      <c r="F568" s="16">
        <v>2026218640513</v>
      </c>
      <c r="G568" s="16">
        <v>40</v>
      </c>
      <c r="H568" s="16">
        <v>35</v>
      </c>
      <c r="I568" s="16" t="s">
        <v>460</v>
      </c>
      <c r="J568" s="16" t="s">
        <v>5136</v>
      </c>
      <c r="K568" s="16" t="s">
        <v>4716</v>
      </c>
      <c r="L568" s="16" t="s">
        <v>16</v>
      </c>
      <c r="M568" s="16">
        <v>34</v>
      </c>
      <c r="N568" s="16" t="s">
        <v>462</v>
      </c>
      <c r="O568" s="16" t="s">
        <v>4717</v>
      </c>
      <c r="P568" s="16" t="s">
        <v>5137</v>
      </c>
      <c r="Q568" s="16" t="s">
        <v>465</v>
      </c>
      <c r="R568" s="16" t="s">
        <v>466</v>
      </c>
      <c r="S568" s="16" t="s">
        <v>5138</v>
      </c>
      <c r="T568" s="16" t="s">
        <v>5139</v>
      </c>
      <c r="U568" s="16"/>
      <c r="V568" s="16" t="s">
        <v>469</v>
      </c>
      <c r="W568" s="16" t="s">
        <v>470</v>
      </c>
      <c r="X568" s="16" t="s">
        <v>471</v>
      </c>
      <c r="Y568" s="16" t="s">
        <v>523</v>
      </c>
      <c r="Z568" s="16" t="s">
        <v>638</v>
      </c>
      <c r="AA568" s="16" t="s">
        <v>474</v>
      </c>
      <c r="AB568" s="16" t="s">
        <v>5140</v>
      </c>
      <c r="AC568" s="16" t="s">
        <v>465</v>
      </c>
      <c r="AD568" s="16">
        <v>208643812</v>
      </c>
      <c r="AE568" s="16">
        <v>1760677314</v>
      </c>
      <c r="AF568" s="16">
        <v>1730227661</v>
      </c>
      <c r="AG568" s="16"/>
      <c r="AH568" s="16" t="s">
        <v>1076</v>
      </c>
      <c r="AI568" s="16" t="s">
        <v>206</v>
      </c>
      <c r="AJ568" s="16" t="s">
        <v>481</v>
      </c>
      <c r="AK568" s="16" t="s">
        <v>5141</v>
      </c>
      <c r="AL568" s="16">
        <v>219</v>
      </c>
      <c r="AM568" s="16"/>
      <c r="AN568" s="16"/>
      <c r="AO568" s="16">
        <v>96</v>
      </c>
      <c r="AP568" s="16" t="s">
        <v>485</v>
      </c>
      <c r="AQ568" s="16" t="s">
        <v>5142</v>
      </c>
      <c r="AR568" s="3">
        <v>46241</v>
      </c>
      <c r="AS568" s="16" t="s">
        <v>2506</v>
      </c>
      <c r="AT568" s="16" t="s">
        <v>1819</v>
      </c>
      <c r="AU568" s="16"/>
      <c r="AV568" s="16" t="s">
        <v>5143</v>
      </c>
      <c r="AW568" s="16"/>
      <c r="AX568" s="16"/>
      <c r="AY568" s="16"/>
      <c r="AZ568" s="16"/>
      <c r="BA568" s="16"/>
      <c r="BB568" s="16"/>
      <c r="BC568" s="16"/>
      <c r="BD568" s="16" t="s">
        <v>206</v>
      </c>
      <c r="BE568" s="16">
        <v>35</v>
      </c>
      <c r="BF568" s="16"/>
      <c r="BG568" s="16" t="s">
        <v>490</v>
      </c>
      <c r="BH568" s="16" t="s">
        <v>491</v>
      </c>
      <c r="BI568" s="16">
        <v>315909441</v>
      </c>
      <c r="BJ568" s="16"/>
      <c r="BK568" s="16"/>
      <c r="BL568" s="16"/>
      <c r="BM568" s="16"/>
      <c r="BN568" s="16"/>
      <c r="BO568" s="16"/>
      <c r="BP568" s="16"/>
      <c r="BQ568" s="16"/>
      <c r="BR568" s="16"/>
      <c r="BS568" s="16"/>
      <c r="BT568" s="16"/>
      <c r="BU568" s="16"/>
      <c r="BV568" s="16"/>
      <c r="BW568" s="16"/>
      <c r="BX568" s="16"/>
      <c r="BY568" s="16"/>
      <c r="BZ568" s="16"/>
      <c r="CA568" s="190">
        <v>46275</v>
      </c>
      <c r="CB568" s="3"/>
      <c r="CC568" s="16"/>
      <c r="CD568" s="16"/>
      <c r="CE568" s="16"/>
      <c r="CF568" s="16"/>
      <c r="CG568" s="16"/>
      <c r="CH568" s="16"/>
      <c r="CI568" s="16" t="s">
        <v>5144</v>
      </c>
    </row>
    <row r="569" spans="1:87">
      <c r="A569" s="16"/>
      <c r="B569" s="16"/>
      <c r="C569" s="3">
        <v>46276</v>
      </c>
      <c r="D569" s="16" t="s">
        <v>1</v>
      </c>
      <c r="E569" s="16" t="s">
        <v>5145</v>
      </c>
      <c r="F569" s="16">
        <v>2026222520413</v>
      </c>
      <c r="G569" s="16">
        <v>40</v>
      </c>
      <c r="H569" s="16">
        <v>31</v>
      </c>
      <c r="I569" s="16" t="s">
        <v>460</v>
      </c>
      <c r="J569" s="16" t="s">
        <v>5145</v>
      </c>
      <c r="K569" s="16" t="s">
        <v>540</v>
      </c>
      <c r="L569" s="16" t="s">
        <v>18</v>
      </c>
      <c r="M569" s="16">
        <v>3</v>
      </c>
      <c r="N569" s="16" t="s">
        <v>462</v>
      </c>
      <c r="O569" s="16" t="s">
        <v>606</v>
      </c>
      <c r="P569" s="16" t="s">
        <v>5146</v>
      </c>
      <c r="Q569" s="16" t="s">
        <v>465</v>
      </c>
      <c r="R569" s="16" t="s">
        <v>466</v>
      </c>
      <c r="S569" s="16" t="s">
        <v>5147</v>
      </c>
      <c r="T569" s="16" t="s">
        <v>5148</v>
      </c>
      <c r="U569" s="16">
        <v>46268.813194444447</v>
      </c>
      <c r="V569" s="16" t="s">
        <v>469</v>
      </c>
      <c r="W569" s="16" t="s">
        <v>470</v>
      </c>
      <c r="X569" s="16" t="s">
        <v>471</v>
      </c>
      <c r="Y569" s="16" t="s">
        <v>523</v>
      </c>
      <c r="Z569" s="16" t="s">
        <v>524</v>
      </c>
      <c r="AA569" s="16" t="s">
        <v>474</v>
      </c>
      <c r="AB569" s="16" t="s">
        <v>5149</v>
      </c>
      <c r="AC569" s="16" t="s">
        <v>5150</v>
      </c>
      <c r="AD569" s="16">
        <v>411878730</v>
      </c>
      <c r="AE569" s="16">
        <v>1033153895</v>
      </c>
      <c r="AF569" s="16"/>
      <c r="AG569" s="16"/>
      <c r="AH569" s="16"/>
      <c r="AI569" s="16" t="s">
        <v>31</v>
      </c>
      <c r="AJ569" s="16" t="s">
        <v>481</v>
      </c>
      <c r="AK569" s="16" t="s">
        <v>5151</v>
      </c>
      <c r="AL569" s="16">
        <v>17519.5</v>
      </c>
      <c r="AM569" s="16"/>
      <c r="AN569" s="16"/>
      <c r="AO569" s="16">
        <v>888</v>
      </c>
      <c r="AP569" s="16" t="s">
        <v>485</v>
      </c>
      <c r="AQ569" s="16" t="s">
        <v>5152</v>
      </c>
      <c r="AR569" s="3">
        <v>46272</v>
      </c>
      <c r="AS569" s="16" t="s">
        <v>31</v>
      </c>
      <c r="AT569" s="16" t="s">
        <v>516</v>
      </c>
      <c r="AU569" s="16"/>
      <c r="AV569" s="16" t="s">
        <v>5153</v>
      </c>
      <c r="AW569" s="16"/>
      <c r="AX569" s="16"/>
      <c r="AY569" s="16"/>
      <c r="AZ569" s="16"/>
      <c r="BA569" s="16"/>
      <c r="BB569" s="16"/>
      <c r="BC569" s="16"/>
      <c r="BD569" s="16" t="s">
        <v>31</v>
      </c>
      <c r="BE569" s="16">
        <v>31</v>
      </c>
      <c r="BF569" s="16"/>
      <c r="BG569" s="16"/>
      <c r="BH569" s="16" t="s">
        <v>491</v>
      </c>
      <c r="BI569" s="16">
        <v>477985088</v>
      </c>
      <c r="BJ569" s="16"/>
      <c r="BK569" s="16"/>
      <c r="BL569" s="16"/>
      <c r="BM569" s="16"/>
      <c r="BN569" s="16"/>
      <c r="BO569" s="16"/>
      <c r="BP569" s="16"/>
      <c r="BQ569" s="16"/>
      <c r="BR569" s="16"/>
      <c r="BS569" s="16"/>
      <c r="BT569" s="16"/>
      <c r="BU569" s="16"/>
      <c r="BV569" s="16"/>
      <c r="BW569" s="16"/>
      <c r="BX569" s="16"/>
      <c r="BY569" s="16"/>
      <c r="BZ569" s="16"/>
      <c r="CA569" s="190">
        <v>46275</v>
      </c>
      <c r="CB569" s="3"/>
      <c r="CC569" s="16"/>
      <c r="CD569" s="16"/>
      <c r="CE569" s="16"/>
      <c r="CF569" s="16"/>
      <c r="CG569" s="16"/>
      <c r="CH569" s="16"/>
      <c r="CI569" s="16" t="s">
        <v>5154</v>
      </c>
    </row>
    <row r="570" spans="1:87">
      <c r="A570" s="16"/>
      <c r="B570" s="16"/>
      <c r="C570" s="3">
        <v>46276</v>
      </c>
      <c r="D570" s="16" t="s">
        <v>1</v>
      </c>
      <c r="E570" s="16" t="s">
        <v>5155</v>
      </c>
      <c r="F570" s="16"/>
      <c r="G570" s="16">
        <v>40</v>
      </c>
      <c r="H570" s="16">
        <v>34</v>
      </c>
      <c r="I570" s="16" t="s">
        <v>460</v>
      </c>
      <c r="J570" s="16" t="s">
        <v>5155</v>
      </c>
      <c r="K570" s="16" t="s">
        <v>682</v>
      </c>
      <c r="L570" s="16" t="s">
        <v>18</v>
      </c>
      <c r="M570" s="16">
        <v>1</v>
      </c>
      <c r="N570" s="16" t="s">
        <v>462</v>
      </c>
      <c r="O570" s="16" t="s">
        <v>497</v>
      </c>
      <c r="P570" s="16" t="s">
        <v>5156</v>
      </c>
      <c r="Q570" s="16" t="s">
        <v>1055</v>
      </c>
      <c r="R570" s="16" t="s">
        <v>1350</v>
      </c>
      <c r="S570" s="16" t="s">
        <v>5157</v>
      </c>
      <c r="T570" s="16" t="s">
        <v>5158</v>
      </c>
      <c r="U570" s="16">
        <v>46274.082638888889</v>
      </c>
      <c r="V570" s="16" t="s">
        <v>469</v>
      </c>
      <c r="W570" s="16" t="s">
        <v>470</v>
      </c>
      <c r="X570" s="16" t="s">
        <v>471</v>
      </c>
      <c r="Y570" s="16" t="s">
        <v>628</v>
      </c>
      <c r="Z570" s="16" t="s">
        <v>665</v>
      </c>
      <c r="AA570" s="16" t="s">
        <v>1354</v>
      </c>
      <c r="AB570" s="16" t="s">
        <v>5159</v>
      </c>
      <c r="AC570" s="16" t="s">
        <v>640</v>
      </c>
      <c r="AD570" s="16">
        <v>113483472</v>
      </c>
      <c r="AE570" s="16">
        <v>1659302990</v>
      </c>
      <c r="AF570" s="16">
        <v>1659302990</v>
      </c>
      <c r="AG570" s="16"/>
      <c r="AH570" s="16"/>
      <c r="AI570" s="16" t="s">
        <v>19</v>
      </c>
      <c r="AJ570" s="16" t="s">
        <v>481</v>
      </c>
      <c r="AK570" s="16" t="s">
        <v>5160</v>
      </c>
      <c r="AL570" s="16">
        <v>490</v>
      </c>
      <c r="AM570" s="16"/>
      <c r="AN570" s="16"/>
      <c r="AO570" s="16">
        <v>516</v>
      </c>
      <c r="AP570" s="16" t="s">
        <v>485</v>
      </c>
      <c r="AQ570" s="16" t="s">
        <v>5161</v>
      </c>
      <c r="AR570" s="3">
        <v>46274</v>
      </c>
      <c r="AS570" s="16" t="s">
        <v>19</v>
      </c>
      <c r="AT570" s="16" t="s">
        <v>5162</v>
      </c>
      <c r="AU570" s="16"/>
      <c r="AV570" s="16" t="s">
        <v>5163</v>
      </c>
      <c r="AW570" s="16"/>
      <c r="AX570" s="16"/>
      <c r="AY570" s="16"/>
      <c r="AZ570" s="16"/>
      <c r="BA570" s="16"/>
      <c r="BB570" s="16"/>
      <c r="BC570" s="16"/>
      <c r="BD570" s="16" t="s">
        <v>19</v>
      </c>
      <c r="BE570" s="16">
        <v>34</v>
      </c>
      <c r="BF570" s="16"/>
      <c r="BG570" s="16"/>
      <c r="BH570" s="16" t="s">
        <v>491</v>
      </c>
      <c r="BI570" s="16">
        <v>93848763</v>
      </c>
      <c r="BJ570" s="16"/>
      <c r="BK570" s="16"/>
      <c r="BL570" s="16"/>
      <c r="BM570" s="16"/>
      <c r="BN570" s="16"/>
      <c r="BO570" s="16"/>
      <c r="BP570" s="16"/>
      <c r="BQ570" s="16"/>
      <c r="BR570" s="16"/>
      <c r="BS570" s="16"/>
      <c r="BT570" s="16"/>
      <c r="BU570" s="16"/>
      <c r="BV570" s="16"/>
      <c r="BW570" s="16"/>
      <c r="BX570" s="16"/>
      <c r="BY570" s="16"/>
      <c r="BZ570" s="16"/>
      <c r="CA570" s="190">
        <v>46275</v>
      </c>
      <c r="CB570" s="3"/>
      <c r="CC570" s="16"/>
      <c r="CD570" s="16"/>
      <c r="CE570" s="16"/>
      <c r="CF570" s="16"/>
      <c r="CG570" s="16"/>
      <c r="CH570" s="16"/>
      <c r="CI570" s="16" t="s">
        <v>5164</v>
      </c>
    </row>
    <row r="571" spans="1:87" ht="29.25">
      <c r="A571" s="16" t="s">
        <v>5</v>
      </c>
      <c r="B571" s="25" t="s">
        <v>5165</v>
      </c>
      <c r="C571" s="3">
        <v>46276</v>
      </c>
      <c r="D571" s="16" t="s">
        <v>1</v>
      </c>
      <c r="E571" s="16" t="s">
        <v>5166</v>
      </c>
      <c r="F571" s="16"/>
      <c r="G571" s="16">
        <v>40</v>
      </c>
      <c r="H571" s="16">
        <v>31</v>
      </c>
      <c r="I571" s="16" t="s">
        <v>460</v>
      </c>
      <c r="J571" s="16" t="e">
        <v>#N/A</v>
      </c>
      <c r="K571" s="16" t="s">
        <v>1555</v>
      </c>
      <c r="L571" s="16" t="s">
        <v>17</v>
      </c>
      <c r="M571" s="16">
        <v>0</v>
      </c>
      <c r="N571" s="16" t="s">
        <v>462</v>
      </c>
      <c r="O571" s="16" t="s">
        <v>497</v>
      </c>
      <c r="P571" s="16">
        <v>588222839</v>
      </c>
      <c r="Q571" s="16" t="s">
        <v>1055</v>
      </c>
      <c r="R571" s="16" t="s">
        <v>1350</v>
      </c>
      <c r="S571" s="16" t="s">
        <v>5167</v>
      </c>
      <c r="T571" s="16" t="s">
        <v>664</v>
      </c>
      <c r="U571" s="16">
        <v>46275.049305555556</v>
      </c>
      <c r="V571" s="16" t="s">
        <v>469</v>
      </c>
      <c r="W571" s="16" t="s">
        <v>651</v>
      </c>
      <c r="X571" s="16" t="s">
        <v>652</v>
      </c>
      <c r="Y571" s="16" t="s">
        <v>653</v>
      </c>
      <c r="Z571" s="16" t="s">
        <v>665</v>
      </c>
      <c r="AA571" s="16" t="s">
        <v>474</v>
      </c>
      <c r="AB571" s="16" t="s">
        <v>666</v>
      </c>
      <c r="AC571" s="16" t="s">
        <v>640</v>
      </c>
      <c r="AD571" s="16">
        <v>135598093</v>
      </c>
      <c r="AE571" s="16">
        <v>1477068971</v>
      </c>
      <c r="AF571" s="16">
        <v>1245337336</v>
      </c>
      <c r="AG571" s="16">
        <v>2.542026160217E+16</v>
      </c>
      <c r="AH571" s="16"/>
      <c r="AI571" s="16" t="s">
        <v>32</v>
      </c>
      <c r="AJ571" s="16" t="s">
        <v>481</v>
      </c>
      <c r="AK571" s="16" t="s">
        <v>5168</v>
      </c>
      <c r="AL571" s="16">
        <v>3740</v>
      </c>
      <c r="AM571" s="16"/>
      <c r="AN571" s="16"/>
      <c r="AO571" s="16">
        <v>588</v>
      </c>
      <c r="AP571" s="16" t="s">
        <v>485</v>
      </c>
      <c r="AQ571" s="16" t="s">
        <v>5169</v>
      </c>
      <c r="AR571" s="3">
        <v>46275</v>
      </c>
      <c r="AS571" s="16" t="s">
        <v>32</v>
      </c>
      <c r="AT571" s="16" t="s">
        <v>5170</v>
      </c>
      <c r="AU571" s="16"/>
      <c r="AV571" s="16" t="s">
        <v>5171</v>
      </c>
      <c r="AW571" s="16"/>
      <c r="AX571" s="16"/>
      <c r="AY571" s="16"/>
      <c r="AZ571" s="16"/>
      <c r="BA571" s="16"/>
      <c r="BB571" s="16"/>
      <c r="BC571" s="16"/>
      <c r="BD571" s="16" t="s">
        <v>32</v>
      </c>
      <c r="BE571" s="16">
        <v>31</v>
      </c>
      <c r="BF571" s="16"/>
      <c r="BG571" s="16" t="s">
        <v>490</v>
      </c>
      <c r="BH571" s="16" t="s">
        <v>658</v>
      </c>
      <c r="BI571" s="16">
        <v>588222839</v>
      </c>
      <c r="BJ571" s="16"/>
      <c r="BK571" s="16"/>
      <c r="BL571" s="16"/>
      <c r="BM571" s="16"/>
      <c r="BN571" s="16"/>
      <c r="BO571" s="16"/>
      <c r="BP571" s="16"/>
      <c r="BQ571" s="16"/>
      <c r="BR571" s="16"/>
      <c r="BS571" s="16"/>
      <c r="BT571" s="16"/>
      <c r="BU571" s="16"/>
      <c r="BV571" s="16"/>
      <c r="BW571" s="16"/>
      <c r="BX571" s="16"/>
      <c r="BY571" s="16"/>
      <c r="BZ571" s="16"/>
      <c r="CA571" s="190">
        <v>46285.666666666701</v>
      </c>
      <c r="CB571" s="3"/>
      <c r="CC571" s="16"/>
      <c r="CD571" s="16"/>
      <c r="CE571" s="16"/>
      <c r="CF571" s="16"/>
      <c r="CG571" s="16"/>
      <c r="CH571" s="16"/>
      <c r="CI571" s="16" t="s">
        <v>5172</v>
      </c>
    </row>
    <row r="572" spans="1:87">
      <c r="A572" s="16"/>
      <c r="B572" s="16"/>
      <c r="C572" s="3">
        <v>46276</v>
      </c>
      <c r="D572" s="16" t="s">
        <v>1</v>
      </c>
      <c r="E572" s="16" t="s">
        <v>5173</v>
      </c>
      <c r="F572" s="16">
        <v>2026220990242</v>
      </c>
      <c r="G572" s="16">
        <v>40</v>
      </c>
      <c r="H572" s="16">
        <v>33</v>
      </c>
      <c r="I572" s="16" t="s">
        <v>460</v>
      </c>
      <c r="J572" s="16" t="s">
        <v>5173</v>
      </c>
      <c r="K572" s="16" t="s">
        <v>3617</v>
      </c>
      <c r="L572" s="16" t="s">
        <v>16</v>
      </c>
      <c r="M572" s="16">
        <v>0</v>
      </c>
      <c r="N572" s="16" t="s">
        <v>462</v>
      </c>
      <c r="O572" s="16" t="s">
        <v>562</v>
      </c>
      <c r="P572" s="16">
        <v>809292723</v>
      </c>
      <c r="Q572" s="16" t="s">
        <v>465</v>
      </c>
      <c r="R572" s="16" t="s">
        <v>466</v>
      </c>
      <c r="S572" s="16" t="s">
        <v>5174</v>
      </c>
      <c r="T572" s="16" t="s">
        <v>664</v>
      </c>
      <c r="U572" s="16">
        <v>46275.237500000003</v>
      </c>
      <c r="V572" s="16" t="s">
        <v>469</v>
      </c>
      <c r="W572" s="16" t="s">
        <v>651</v>
      </c>
      <c r="X572" s="16" t="s">
        <v>652</v>
      </c>
      <c r="Y572" s="16" t="s">
        <v>653</v>
      </c>
      <c r="Z572" s="16" t="s">
        <v>665</v>
      </c>
      <c r="AA572" s="16" t="s">
        <v>474</v>
      </c>
      <c r="AB572" s="16" t="s">
        <v>666</v>
      </c>
      <c r="AC572" s="16" t="s">
        <v>640</v>
      </c>
      <c r="AD572" s="16">
        <v>134010372</v>
      </c>
      <c r="AE572" s="16">
        <v>1699766261</v>
      </c>
      <c r="AF572" s="16">
        <v>1740809607</v>
      </c>
      <c r="AG572" s="16">
        <v>2.54202533008119E+16</v>
      </c>
      <c r="AH572" s="16" t="s">
        <v>3619</v>
      </c>
      <c r="AI572" s="16" t="s">
        <v>1076</v>
      </c>
      <c r="AJ572" s="16" t="s">
        <v>481</v>
      </c>
      <c r="AK572" s="16" t="s">
        <v>5175</v>
      </c>
      <c r="AL572" s="16">
        <v>4973.6000000000004</v>
      </c>
      <c r="AM572" s="16"/>
      <c r="AN572" s="16"/>
      <c r="AO572" s="16">
        <v>809</v>
      </c>
      <c r="AP572" s="16" t="s">
        <v>485</v>
      </c>
      <c r="AQ572" s="16" t="s">
        <v>5176</v>
      </c>
      <c r="AR572" s="3">
        <v>46275</v>
      </c>
      <c r="AS572" s="16" t="s">
        <v>30</v>
      </c>
      <c r="AT572" s="16" t="s">
        <v>3622</v>
      </c>
      <c r="AU572" s="16"/>
      <c r="AV572" s="16" t="s">
        <v>5177</v>
      </c>
      <c r="AW572" s="16"/>
      <c r="AX572" s="16"/>
      <c r="AY572" s="16"/>
      <c r="AZ572" s="16"/>
      <c r="BA572" s="16"/>
      <c r="BB572" s="16"/>
      <c r="BC572" s="16"/>
      <c r="BD572" s="16" t="s">
        <v>1076</v>
      </c>
      <c r="BE572" s="16">
        <v>33</v>
      </c>
      <c r="BF572" s="16"/>
      <c r="BG572" s="16"/>
      <c r="BH572" s="16" t="s">
        <v>658</v>
      </c>
      <c r="BI572" s="16">
        <v>809292723</v>
      </c>
      <c r="BJ572" s="16"/>
      <c r="BK572" s="16"/>
      <c r="BL572" s="16"/>
      <c r="BM572" s="16"/>
      <c r="BN572" s="16"/>
      <c r="BO572" s="16"/>
      <c r="BP572" s="16"/>
      <c r="BQ572" s="16"/>
      <c r="BR572" s="16"/>
      <c r="BS572" s="16"/>
      <c r="BT572" s="16"/>
      <c r="BU572" s="16"/>
      <c r="BV572" s="16"/>
      <c r="BW572" s="16"/>
      <c r="BX572" s="16"/>
      <c r="BY572" s="16"/>
      <c r="BZ572" s="16"/>
      <c r="CA572" s="190">
        <v>46275</v>
      </c>
      <c r="CB572" s="3"/>
      <c r="CC572" s="16"/>
      <c r="CD572" s="16"/>
      <c r="CE572" s="16"/>
      <c r="CF572" s="16"/>
      <c r="CG572" s="16"/>
      <c r="CH572" s="16"/>
      <c r="CI572" s="16" t="s">
        <v>5178</v>
      </c>
    </row>
    <row r="573" spans="1:87">
      <c r="A573" s="16"/>
      <c r="B573" s="16"/>
      <c r="C573" s="3">
        <v>46276</v>
      </c>
      <c r="D573" s="16" t="s">
        <v>1</v>
      </c>
      <c r="E573" s="16" t="s">
        <v>5179</v>
      </c>
      <c r="F573" s="16">
        <v>2026244370096</v>
      </c>
      <c r="G573" s="16">
        <v>40</v>
      </c>
      <c r="H573" s="16">
        <v>43</v>
      </c>
      <c r="I573" s="16" t="s">
        <v>460</v>
      </c>
      <c r="J573" s="16" t="s">
        <v>5179</v>
      </c>
      <c r="K573" s="16" t="s">
        <v>895</v>
      </c>
      <c r="L573" s="16" t="s">
        <v>18</v>
      </c>
      <c r="M573" s="16">
        <v>6</v>
      </c>
      <c r="N573" s="16" t="s">
        <v>462</v>
      </c>
      <c r="O573" s="16" t="s">
        <v>606</v>
      </c>
      <c r="P573" s="16" t="s">
        <v>5180</v>
      </c>
      <c r="Q573" s="16" t="s">
        <v>465</v>
      </c>
      <c r="R573" s="16" t="s">
        <v>466</v>
      </c>
      <c r="S573" s="16" t="s">
        <v>5181</v>
      </c>
      <c r="T573" s="16" t="s">
        <v>5182</v>
      </c>
      <c r="U573" s="16">
        <v>46269.162499999999</v>
      </c>
      <c r="V573" s="16" t="s">
        <v>469</v>
      </c>
      <c r="W573" s="16" t="s">
        <v>470</v>
      </c>
      <c r="X573" s="16" t="s">
        <v>471</v>
      </c>
      <c r="Y573" s="16" t="s">
        <v>628</v>
      </c>
      <c r="Z573" s="16" t="s">
        <v>638</v>
      </c>
      <c r="AA573" s="16" t="s">
        <v>474</v>
      </c>
      <c r="AB573" s="16" t="s">
        <v>5183</v>
      </c>
      <c r="AC573" s="16" t="s">
        <v>465</v>
      </c>
      <c r="AD573" s="16">
        <v>356001583</v>
      </c>
      <c r="AE573" s="16">
        <v>1356428429</v>
      </c>
      <c r="AF573" s="16"/>
      <c r="AG573" s="16"/>
      <c r="AH573" s="16"/>
      <c r="AI573" s="16" t="s">
        <v>20</v>
      </c>
      <c r="AJ573" s="16" t="s">
        <v>481</v>
      </c>
      <c r="AK573" s="16" t="s">
        <v>5184</v>
      </c>
      <c r="AL573" s="16">
        <v>60062.99</v>
      </c>
      <c r="AM573" s="16"/>
      <c r="AN573" s="16"/>
      <c r="AO573" s="16">
        <v>445</v>
      </c>
      <c r="AP573" s="16" t="s">
        <v>485</v>
      </c>
      <c r="AQ573" s="16" t="s">
        <v>5185</v>
      </c>
      <c r="AR573" s="3">
        <v>46269</v>
      </c>
      <c r="AS573" s="16" t="s">
        <v>20</v>
      </c>
      <c r="AT573" s="16" t="s">
        <v>5186</v>
      </c>
      <c r="AU573" s="16"/>
      <c r="AV573" s="16" t="s">
        <v>5187</v>
      </c>
      <c r="AW573" s="16"/>
      <c r="AX573" s="16"/>
      <c r="AY573" s="16"/>
      <c r="AZ573" s="16"/>
      <c r="BA573" s="16"/>
      <c r="BB573" s="16"/>
      <c r="BC573" s="16"/>
      <c r="BD573" s="16" t="s">
        <v>20</v>
      </c>
      <c r="BE573" s="16">
        <v>9</v>
      </c>
      <c r="BF573" s="16"/>
      <c r="BG573" s="16" t="s">
        <v>490</v>
      </c>
      <c r="BH573" s="16" t="s">
        <v>491</v>
      </c>
      <c r="BI573" s="16">
        <v>362867779</v>
      </c>
      <c r="BJ573" s="16"/>
      <c r="BK573" s="16"/>
      <c r="BL573" s="16"/>
      <c r="BM573" s="16"/>
      <c r="BN573" s="16"/>
      <c r="BO573" s="16"/>
      <c r="BP573" s="16"/>
      <c r="BQ573" s="16"/>
      <c r="BR573" s="16"/>
      <c r="BS573" s="16"/>
      <c r="BT573" s="16"/>
      <c r="BU573" s="16"/>
      <c r="BV573" s="16"/>
      <c r="BW573" s="16"/>
      <c r="BX573" s="16"/>
      <c r="BY573" s="16"/>
      <c r="BZ573" s="16"/>
      <c r="CA573" s="190">
        <v>46275</v>
      </c>
      <c r="CB573" s="3"/>
      <c r="CC573" s="16"/>
      <c r="CD573" s="16"/>
      <c r="CE573" s="16"/>
      <c r="CF573" s="16"/>
      <c r="CG573" s="16"/>
      <c r="CH573" s="16"/>
      <c r="CI573" s="16" t="s">
        <v>5188</v>
      </c>
    </row>
    <row r="574" spans="1:87">
      <c r="A574" s="16"/>
      <c r="B574" s="16"/>
      <c r="C574" s="3">
        <v>46276</v>
      </c>
      <c r="D574" s="16" t="s">
        <v>1</v>
      </c>
      <c r="E574" s="16" t="s">
        <v>5189</v>
      </c>
      <c r="F574" s="16">
        <v>2026211910123</v>
      </c>
      <c r="G574" s="16">
        <v>40</v>
      </c>
      <c r="H574" s="16">
        <v>42</v>
      </c>
      <c r="I574" s="16" t="s">
        <v>460</v>
      </c>
      <c r="J574" s="16" t="s">
        <v>5189</v>
      </c>
      <c r="K574" s="16" t="s">
        <v>540</v>
      </c>
      <c r="L574" s="16" t="s">
        <v>18</v>
      </c>
      <c r="M574" s="16">
        <v>3</v>
      </c>
      <c r="N574" s="16" t="s">
        <v>462</v>
      </c>
      <c r="O574" s="16" t="s">
        <v>606</v>
      </c>
      <c r="P574" s="16">
        <v>605163335</v>
      </c>
      <c r="Q574" s="16" t="s">
        <v>465</v>
      </c>
      <c r="R574" s="16" t="s">
        <v>466</v>
      </c>
      <c r="S574" s="16" t="s">
        <v>5190</v>
      </c>
      <c r="T574" s="16" t="s">
        <v>650</v>
      </c>
      <c r="U574" s="16">
        <v>46261.347222222219</v>
      </c>
      <c r="V574" s="16" t="s">
        <v>469</v>
      </c>
      <c r="W574" s="16" t="s">
        <v>651</v>
      </c>
      <c r="X574" s="16" t="s">
        <v>652</v>
      </c>
      <c r="Y574" s="16" t="s">
        <v>653</v>
      </c>
      <c r="Z574" s="16" t="s">
        <v>501</v>
      </c>
      <c r="AA574" s="16" t="s">
        <v>474</v>
      </c>
      <c r="AB574" s="16" t="s">
        <v>654</v>
      </c>
      <c r="AC574" s="16" t="s">
        <v>503</v>
      </c>
      <c r="AD574" s="16">
        <v>472220290</v>
      </c>
      <c r="AE574" s="16">
        <v>1275938136</v>
      </c>
      <c r="AF574" s="16">
        <v>1518975317</v>
      </c>
      <c r="AG574" s="16">
        <v>4.25202533711026E+16</v>
      </c>
      <c r="AH574" s="16"/>
      <c r="AI574" s="16" t="s">
        <v>31</v>
      </c>
      <c r="AJ574" s="16" t="s">
        <v>481</v>
      </c>
      <c r="AK574" s="16" t="s">
        <v>5191</v>
      </c>
      <c r="AL574" s="16">
        <v>5000</v>
      </c>
      <c r="AM574" s="16"/>
      <c r="AN574" s="16"/>
      <c r="AO574" s="16">
        <v>605</v>
      </c>
      <c r="AP574" s="16" t="s">
        <v>485</v>
      </c>
      <c r="AQ574" s="16" t="s">
        <v>5192</v>
      </c>
      <c r="AR574" s="3">
        <v>46272</v>
      </c>
      <c r="AS574" s="16" t="s">
        <v>31</v>
      </c>
      <c r="AT574" s="16" t="s">
        <v>3328</v>
      </c>
      <c r="AU574" s="16"/>
      <c r="AV574" s="16" t="s">
        <v>5193</v>
      </c>
      <c r="AW574" s="16"/>
      <c r="AX574" s="16"/>
      <c r="AY574" s="16"/>
      <c r="AZ574" s="16"/>
      <c r="BA574" s="16"/>
      <c r="BB574" s="16"/>
      <c r="BC574" s="16"/>
      <c r="BD574" s="16" t="s">
        <v>31</v>
      </c>
      <c r="BE574" s="16">
        <v>42</v>
      </c>
      <c r="BF574" s="16"/>
      <c r="BG574" s="16"/>
      <c r="BH574" s="16" t="s">
        <v>658</v>
      </c>
      <c r="BI574" s="16">
        <v>605163335</v>
      </c>
      <c r="BJ574" s="16"/>
      <c r="BK574" s="16"/>
      <c r="BL574" s="16"/>
      <c r="BM574" s="16"/>
      <c r="BN574" s="16"/>
      <c r="BO574" s="16"/>
      <c r="BP574" s="16"/>
      <c r="BQ574" s="16"/>
      <c r="BR574" s="16"/>
      <c r="BS574" s="16"/>
      <c r="BT574" s="16"/>
      <c r="BU574" s="16"/>
      <c r="BV574" s="16"/>
      <c r="BW574" s="16"/>
      <c r="BX574" s="16"/>
      <c r="BY574" s="16"/>
      <c r="BZ574" s="16"/>
      <c r="CA574" s="190">
        <v>46275</v>
      </c>
      <c r="CB574" s="3"/>
      <c r="CC574" s="16"/>
      <c r="CD574" s="16"/>
      <c r="CE574" s="16"/>
      <c r="CF574" s="16"/>
      <c r="CG574" s="16"/>
      <c r="CH574" s="16"/>
      <c r="CI574" s="16" t="s">
        <v>5194</v>
      </c>
    </row>
    <row r="575" spans="1:87">
      <c r="A575" s="16"/>
      <c r="B575" s="16"/>
      <c r="C575" s="3">
        <v>46276</v>
      </c>
      <c r="D575" s="16" t="s">
        <v>1</v>
      </c>
      <c r="E575" s="16" t="s">
        <v>5195</v>
      </c>
      <c r="F575" s="16">
        <v>2026215540277</v>
      </c>
      <c r="G575" s="16">
        <v>40</v>
      </c>
      <c r="H575" s="16">
        <v>38</v>
      </c>
      <c r="I575" s="16" t="s">
        <v>460</v>
      </c>
      <c r="J575" s="16" t="s">
        <v>5195</v>
      </c>
      <c r="K575" s="16" t="s">
        <v>983</v>
      </c>
      <c r="L575" s="16" t="s">
        <v>17</v>
      </c>
      <c r="M575" s="16">
        <v>33</v>
      </c>
      <c r="N575" s="16" t="s">
        <v>462</v>
      </c>
      <c r="O575" s="16" t="s">
        <v>4717</v>
      </c>
      <c r="P575" s="16" t="s">
        <v>5196</v>
      </c>
      <c r="Q575" s="16" t="s">
        <v>465</v>
      </c>
      <c r="R575" s="16" t="s">
        <v>466</v>
      </c>
      <c r="S575" s="16" t="s">
        <v>5197</v>
      </c>
      <c r="T575" s="16" t="s">
        <v>5198</v>
      </c>
      <c r="U575" s="16"/>
      <c r="V575" s="16" t="s">
        <v>469</v>
      </c>
      <c r="W575" s="16" t="s">
        <v>470</v>
      </c>
      <c r="X575" s="16" t="s">
        <v>471</v>
      </c>
      <c r="Y575" s="16" t="s">
        <v>523</v>
      </c>
      <c r="Z575" s="16" t="s">
        <v>544</v>
      </c>
      <c r="AA575" s="16" t="s">
        <v>474</v>
      </c>
      <c r="AB575" s="16" t="s">
        <v>5199</v>
      </c>
      <c r="AC575" s="16" t="s">
        <v>546</v>
      </c>
      <c r="AD575" s="16">
        <v>874714839</v>
      </c>
      <c r="AE575" s="16">
        <v>1144096553</v>
      </c>
      <c r="AF575" s="16"/>
      <c r="AG575" s="16"/>
      <c r="AH575" s="16"/>
      <c r="AI575" s="16" t="s">
        <v>34</v>
      </c>
      <c r="AJ575" s="16" t="s">
        <v>481</v>
      </c>
      <c r="AK575" s="16" t="s">
        <v>5200</v>
      </c>
      <c r="AL575" s="16">
        <v>165956.51999999999</v>
      </c>
      <c r="AM575" s="16"/>
      <c r="AN575" s="16"/>
      <c r="AO575" s="16">
        <v>290</v>
      </c>
      <c r="AP575" s="16" t="s">
        <v>485</v>
      </c>
      <c r="AQ575" s="16" t="s">
        <v>5201</v>
      </c>
      <c r="AR575" s="3">
        <v>46242</v>
      </c>
      <c r="AS575" s="16" t="s">
        <v>5202</v>
      </c>
      <c r="AT575" s="16" t="s">
        <v>5203</v>
      </c>
      <c r="AU575" s="16"/>
      <c r="AV575" s="16" t="s">
        <v>4253</v>
      </c>
      <c r="AW575" s="16"/>
      <c r="AX575" s="16"/>
      <c r="AY575" s="16"/>
      <c r="AZ575" s="16"/>
      <c r="BA575" s="16"/>
      <c r="BB575" s="16"/>
      <c r="BC575" s="16"/>
      <c r="BD575" s="16" t="s">
        <v>34</v>
      </c>
      <c r="BE575" s="16">
        <v>38</v>
      </c>
      <c r="BF575" s="16"/>
      <c r="BG575" s="16"/>
      <c r="BH575" s="16" t="s">
        <v>491</v>
      </c>
      <c r="BI575" s="16">
        <v>375809925</v>
      </c>
      <c r="BJ575" s="16"/>
      <c r="BK575" s="16"/>
      <c r="BL575" s="16"/>
      <c r="BM575" s="16"/>
      <c r="BN575" s="16"/>
      <c r="BO575" s="16"/>
      <c r="BP575" s="16"/>
      <c r="BQ575" s="16"/>
      <c r="BR575" s="16"/>
      <c r="BS575" s="16"/>
      <c r="BT575" s="16"/>
      <c r="BU575" s="16"/>
      <c r="BV575" s="16"/>
      <c r="BW575" s="16"/>
      <c r="BX575" s="16"/>
      <c r="BY575" s="16"/>
      <c r="BZ575" s="16"/>
      <c r="CA575" s="190">
        <v>46275</v>
      </c>
      <c r="CB575" s="3"/>
      <c r="CC575" s="16"/>
      <c r="CD575" s="16"/>
      <c r="CE575" s="16"/>
      <c r="CF575" s="16"/>
      <c r="CG575" s="16"/>
      <c r="CH575" s="16"/>
      <c r="CI575" s="16" t="s">
        <v>5204</v>
      </c>
    </row>
    <row r="576" spans="1:87">
      <c r="A576" s="16"/>
      <c r="B576" s="16"/>
      <c r="C576" s="3">
        <v>46276</v>
      </c>
      <c r="D576" s="16" t="s">
        <v>1</v>
      </c>
      <c r="E576" s="16" t="s">
        <v>5205</v>
      </c>
      <c r="F576" s="16">
        <v>2026217510607</v>
      </c>
      <c r="G576" s="16">
        <v>40</v>
      </c>
      <c r="H576" s="16">
        <v>36</v>
      </c>
      <c r="I576" s="16" t="s">
        <v>460</v>
      </c>
      <c r="J576" s="16" t="s">
        <v>5205</v>
      </c>
      <c r="K576" s="16" t="s">
        <v>674</v>
      </c>
      <c r="L576" s="16" t="s">
        <v>16</v>
      </c>
      <c r="M576" s="16">
        <v>0</v>
      </c>
      <c r="N576" s="16" t="s">
        <v>462</v>
      </c>
      <c r="O576" s="16" t="s">
        <v>5206</v>
      </c>
      <c r="P576" s="16" t="s">
        <v>5207</v>
      </c>
      <c r="Q576" s="16" t="s">
        <v>465</v>
      </c>
      <c r="R576" s="16" t="s">
        <v>466</v>
      </c>
      <c r="S576" s="16" t="s">
        <v>5208</v>
      </c>
      <c r="T576" s="16" t="s">
        <v>5209</v>
      </c>
      <c r="U576" s="16"/>
      <c r="V576" s="16" t="s">
        <v>469</v>
      </c>
      <c r="W576" s="16" t="s">
        <v>5210</v>
      </c>
      <c r="X576" s="16" t="s">
        <v>471</v>
      </c>
      <c r="Y576" s="16" t="s">
        <v>5211</v>
      </c>
      <c r="Z576" s="16" t="s">
        <v>5212</v>
      </c>
      <c r="AA576" s="16" t="s">
        <v>474</v>
      </c>
      <c r="AB576" s="16" t="s">
        <v>5213</v>
      </c>
      <c r="AC576" s="16" t="s">
        <v>546</v>
      </c>
      <c r="AD576" s="16">
        <v>453072990</v>
      </c>
      <c r="AE576" s="16">
        <v>1962462226</v>
      </c>
      <c r="AF576" s="16"/>
      <c r="AG576" s="16"/>
      <c r="AH576" s="16"/>
      <c r="AI576" s="16" t="s">
        <v>54</v>
      </c>
      <c r="AJ576" s="16" t="s">
        <v>481</v>
      </c>
      <c r="AK576" s="16" t="s">
        <v>5214</v>
      </c>
      <c r="AL576" s="16">
        <v>64796.89</v>
      </c>
      <c r="AM576" s="16"/>
      <c r="AN576" s="16"/>
      <c r="AO576" s="16">
        <v>527</v>
      </c>
      <c r="AP576" s="16" t="s">
        <v>485</v>
      </c>
      <c r="AQ576" s="16" t="s">
        <v>5215</v>
      </c>
      <c r="AR576" s="3">
        <v>46275</v>
      </c>
      <c r="AS576" s="16" t="s">
        <v>5216</v>
      </c>
      <c r="AT576" s="16" t="s">
        <v>5217</v>
      </c>
      <c r="AU576" s="16"/>
      <c r="AV576" s="16" t="s">
        <v>5218</v>
      </c>
      <c r="AW576" s="16"/>
      <c r="AX576" s="16"/>
      <c r="AY576" s="16"/>
      <c r="AZ576" s="16"/>
      <c r="BA576" s="16"/>
      <c r="BB576" s="16"/>
      <c r="BC576" s="16"/>
      <c r="BD576" s="16" t="s">
        <v>54</v>
      </c>
      <c r="BE576" s="16">
        <v>36</v>
      </c>
      <c r="BF576" s="16"/>
      <c r="BG576" s="16"/>
      <c r="BH576" s="16" t="s">
        <v>491</v>
      </c>
      <c r="BI576" s="16">
        <v>259350855</v>
      </c>
      <c r="BJ576" s="16"/>
      <c r="BK576" s="16"/>
      <c r="BL576" s="16"/>
      <c r="BM576" s="16"/>
      <c r="BN576" s="16"/>
      <c r="BO576" s="16"/>
      <c r="BP576" s="16"/>
      <c r="BQ576" s="16"/>
      <c r="BR576" s="16"/>
      <c r="BS576" s="16"/>
      <c r="BT576" s="16"/>
      <c r="BU576" s="16"/>
      <c r="BV576" s="16"/>
      <c r="BW576" s="16"/>
      <c r="BX576" s="16"/>
      <c r="BY576" s="16"/>
      <c r="BZ576" s="16"/>
      <c r="CA576" s="190">
        <v>46275</v>
      </c>
      <c r="CB576" s="3"/>
      <c r="CC576" s="16"/>
      <c r="CD576" s="16"/>
      <c r="CE576" s="16"/>
      <c r="CF576" s="16"/>
      <c r="CG576" s="16"/>
      <c r="CH576" s="16"/>
      <c r="CI576" s="16" t="s">
        <v>5219</v>
      </c>
    </row>
    <row r="577" spans="1:87">
      <c r="A577" s="16"/>
      <c r="B577" s="16"/>
      <c r="C577" s="3">
        <v>46276</v>
      </c>
      <c r="D577" s="16" t="s">
        <v>1</v>
      </c>
      <c r="E577" s="16" t="s">
        <v>5220</v>
      </c>
      <c r="F577" s="16">
        <v>2026211180081</v>
      </c>
      <c r="G577" s="16">
        <v>40</v>
      </c>
      <c r="H577" s="16">
        <v>42</v>
      </c>
      <c r="I577" s="16" t="s">
        <v>460</v>
      </c>
      <c r="J577" s="16" t="s">
        <v>5220</v>
      </c>
      <c r="K577" s="16" t="s">
        <v>540</v>
      </c>
      <c r="L577" s="16" t="s">
        <v>18</v>
      </c>
      <c r="M577" s="16">
        <v>3</v>
      </c>
      <c r="N577" s="16" t="s">
        <v>462</v>
      </c>
      <c r="O577" s="16" t="s">
        <v>606</v>
      </c>
      <c r="P577" s="16" t="s">
        <v>5221</v>
      </c>
      <c r="Q577" s="16" t="s">
        <v>465</v>
      </c>
      <c r="R577" s="16" t="s">
        <v>466</v>
      </c>
      <c r="S577" s="16" t="s">
        <v>5222</v>
      </c>
      <c r="T577" s="16" t="s">
        <v>5223</v>
      </c>
      <c r="U577" s="16">
        <v>46260.32916666667</v>
      </c>
      <c r="V577" s="16" t="s">
        <v>469</v>
      </c>
      <c r="W577" s="16" t="s">
        <v>470</v>
      </c>
      <c r="X577" s="16" t="s">
        <v>471</v>
      </c>
      <c r="Y577" s="16" t="s">
        <v>472</v>
      </c>
      <c r="Z577" s="16" t="s">
        <v>501</v>
      </c>
      <c r="AA577" s="16" t="s">
        <v>474</v>
      </c>
      <c r="AB577" s="16" t="s">
        <v>5224</v>
      </c>
      <c r="AC577" s="16" t="s">
        <v>503</v>
      </c>
      <c r="AD577" s="16">
        <v>472220290</v>
      </c>
      <c r="AE577" s="16">
        <v>1275938136</v>
      </c>
      <c r="AF577" s="16">
        <v>1518975317</v>
      </c>
      <c r="AG577" s="16"/>
      <c r="AH577" s="16"/>
      <c r="AI577" s="16" t="s">
        <v>31</v>
      </c>
      <c r="AJ577" s="16" t="s">
        <v>481</v>
      </c>
      <c r="AK577" s="16" t="s">
        <v>5225</v>
      </c>
      <c r="AL577" s="16">
        <v>5000</v>
      </c>
      <c r="AM577" s="16"/>
      <c r="AN577" s="16"/>
      <c r="AO577" s="16">
        <v>339</v>
      </c>
      <c r="AP577" s="16" t="s">
        <v>485</v>
      </c>
      <c r="AQ577" s="16" t="s">
        <v>5226</v>
      </c>
      <c r="AR577" s="3">
        <v>46272</v>
      </c>
      <c r="AS577" s="16" t="s">
        <v>31</v>
      </c>
      <c r="AT577" s="16" t="s">
        <v>5227</v>
      </c>
      <c r="AU577" s="16"/>
      <c r="AV577" s="16" t="s">
        <v>5193</v>
      </c>
      <c r="AW577" s="16"/>
      <c r="AX577" s="16"/>
      <c r="AY577" s="16"/>
      <c r="AZ577" s="16"/>
      <c r="BA577" s="16"/>
      <c r="BB577" s="16"/>
      <c r="BC577" s="16"/>
      <c r="BD577" s="16" t="s">
        <v>31</v>
      </c>
      <c r="BE577" s="16">
        <v>42</v>
      </c>
      <c r="BF577" s="16"/>
      <c r="BG577" s="16"/>
      <c r="BH577" s="16" t="s">
        <v>491</v>
      </c>
      <c r="BI577" s="16">
        <v>233153446</v>
      </c>
      <c r="BJ577" s="16"/>
      <c r="BK577" s="16"/>
      <c r="BL577" s="16"/>
      <c r="BM577" s="16"/>
      <c r="BN577" s="16"/>
      <c r="BO577" s="16"/>
      <c r="BP577" s="16"/>
      <c r="BQ577" s="16"/>
      <c r="BR577" s="16"/>
      <c r="BS577" s="16"/>
      <c r="BT577" s="16"/>
      <c r="BU577" s="16"/>
      <c r="BV577" s="16"/>
      <c r="BW577" s="16"/>
      <c r="BX577" s="16"/>
      <c r="BY577" s="16"/>
      <c r="BZ577" s="16"/>
      <c r="CA577" s="190">
        <v>46275</v>
      </c>
      <c r="CB577" s="3"/>
      <c r="CC577" s="16"/>
      <c r="CD577" s="16"/>
      <c r="CE577" s="16"/>
      <c r="CF577" s="16"/>
      <c r="CG577" s="16"/>
      <c r="CH577" s="16"/>
      <c r="CI577" s="16" t="s">
        <v>5228</v>
      </c>
    </row>
    <row r="578" spans="1:87" ht="29.25">
      <c r="A578" s="16" t="s">
        <v>5</v>
      </c>
      <c r="B578" s="25" t="s">
        <v>5229</v>
      </c>
      <c r="C578" s="3">
        <v>46276</v>
      </c>
      <c r="D578" s="16" t="s">
        <v>1</v>
      </c>
      <c r="E578" s="16" t="s">
        <v>5230</v>
      </c>
      <c r="F578" s="16">
        <v>2026220590227</v>
      </c>
      <c r="G578" s="16">
        <v>40</v>
      </c>
      <c r="H578" s="16">
        <v>33</v>
      </c>
      <c r="I578" s="16" t="s">
        <v>460</v>
      </c>
      <c r="J578" s="16" t="s">
        <v>5230</v>
      </c>
      <c r="K578" s="16" t="s">
        <v>5231</v>
      </c>
      <c r="L578" s="16" t="s">
        <v>17</v>
      </c>
      <c r="M578" s="16">
        <v>3</v>
      </c>
      <c r="N578" s="16" t="s">
        <v>462</v>
      </c>
      <c r="O578" s="16" t="s">
        <v>606</v>
      </c>
      <c r="P578" s="16" t="s">
        <v>5232</v>
      </c>
      <c r="Q578" s="16" t="s">
        <v>465</v>
      </c>
      <c r="R578" s="16" t="s">
        <v>466</v>
      </c>
      <c r="S578" s="16" t="s">
        <v>5233</v>
      </c>
      <c r="T578" s="16" t="s">
        <v>5234</v>
      </c>
      <c r="U578" s="16">
        <v>46272.223611111112</v>
      </c>
      <c r="V578" s="16" t="s">
        <v>469</v>
      </c>
      <c r="W578" s="16" t="s">
        <v>470</v>
      </c>
      <c r="X578" s="16" t="s">
        <v>471</v>
      </c>
      <c r="Y578" s="16" t="s">
        <v>472</v>
      </c>
      <c r="Z578" s="16" t="s">
        <v>1338</v>
      </c>
      <c r="AA578" s="16" t="s">
        <v>474</v>
      </c>
      <c r="AB578" s="16" t="s">
        <v>5235</v>
      </c>
      <c r="AC578" s="16" t="s">
        <v>1429</v>
      </c>
      <c r="AD578" s="16">
        <v>60646973</v>
      </c>
      <c r="AE578" s="16">
        <v>1205822236</v>
      </c>
      <c r="AF578" s="16">
        <v>1679740005</v>
      </c>
      <c r="AG578" s="16"/>
      <c r="AH578" s="16"/>
      <c r="AI578" s="16" t="s">
        <v>63</v>
      </c>
      <c r="AJ578" s="16" t="s">
        <v>481</v>
      </c>
      <c r="AK578" s="16" t="s">
        <v>5236</v>
      </c>
      <c r="AL578" s="16">
        <v>7790</v>
      </c>
      <c r="AM578" s="16"/>
      <c r="AN578" s="16"/>
      <c r="AO578" s="16">
        <v>530</v>
      </c>
      <c r="AP578" s="16" t="s">
        <v>485</v>
      </c>
      <c r="AQ578" s="16" t="s">
        <v>5237</v>
      </c>
      <c r="AR578" s="3">
        <v>46272</v>
      </c>
      <c r="AS578" s="16" t="s">
        <v>63</v>
      </c>
      <c r="AT578" s="16" t="s">
        <v>1038</v>
      </c>
      <c r="AU578" s="16"/>
      <c r="AV578" s="16" t="s">
        <v>5238</v>
      </c>
      <c r="AW578" s="16"/>
      <c r="AX578" s="16"/>
      <c r="AY578" s="16"/>
      <c r="AZ578" s="16"/>
      <c r="BA578" s="16"/>
      <c r="BB578" s="16"/>
      <c r="BC578" s="16"/>
      <c r="BD578" s="16" t="s">
        <v>63</v>
      </c>
      <c r="BE578" s="16">
        <v>33</v>
      </c>
      <c r="BF578" s="16"/>
      <c r="BG578" s="16" t="s">
        <v>490</v>
      </c>
      <c r="BH578" s="16" t="s">
        <v>491</v>
      </c>
      <c r="BI578" s="16">
        <v>45740517</v>
      </c>
      <c r="BJ578" s="16"/>
      <c r="BK578" s="16"/>
      <c r="BL578" s="16"/>
      <c r="BM578" s="16"/>
      <c r="BN578" s="16"/>
      <c r="BO578" s="16"/>
      <c r="BP578" s="16"/>
      <c r="BQ578" s="16"/>
      <c r="BR578" s="16"/>
      <c r="BS578" s="16"/>
      <c r="BT578" s="16"/>
      <c r="BU578" s="16"/>
      <c r="BV578" s="16"/>
      <c r="BW578" s="16"/>
      <c r="BX578" s="16"/>
      <c r="BY578" s="16"/>
      <c r="BZ578" s="16"/>
      <c r="CA578" s="190">
        <v>46282.666666666701</v>
      </c>
      <c r="CB578" s="3"/>
      <c r="CC578" s="16"/>
      <c r="CD578" s="16"/>
      <c r="CE578" s="16"/>
      <c r="CF578" s="16"/>
      <c r="CG578" s="16"/>
      <c r="CH578" s="16"/>
      <c r="CI578" s="16" t="s">
        <v>5239</v>
      </c>
    </row>
    <row r="579" spans="1:87">
      <c r="A579" s="16"/>
      <c r="B579" s="16"/>
      <c r="C579" s="3">
        <v>46276</v>
      </c>
      <c r="D579" s="16" t="s">
        <v>1</v>
      </c>
      <c r="E579" s="16" t="s">
        <v>5240</v>
      </c>
      <c r="F579" s="16">
        <v>2026218210548</v>
      </c>
      <c r="G579" s="16">
        <v>40</v>
      </c>
      <c r="H579" s="16">
        <v>35</v>
      </c>
      <c r="I579" s="16" t="s">
        <v>460</v>
      </c>
      <c r="J579" s="16" t="s">
        <v>5240</v>
      </c>
      <c r="K579" s="16" t="s">
        <v>4716</v>
      </c>
      <c r="L579" s="16" t="s">
        <v>16</v>
      </c>
      <c r="M579" s="16">
        <v>34</v>
      </c>
      <c r="N579" s="16" t="s">
        <v>462</v>
      </c>
      <c r="O579" s="16" t="s">
        <v>4717</v>
      </c>
      <c r="P579" s="16" t="s">
        <v>5241</v>
      </c>
      <c r="Q579" s="16" t="s">
        <v>465</v>
      </c>
      <c r="R579" s="16" t="s">
        <v>466</v>
      </c>
      <c r="S579" s="16" t="s">
        <v>5242</v>
      </c>
      <c r="T579" s="16" t="s">
        <v>5243</v>
      </c>
      <c r="U579" s="16"/>
      <c r="V579" s="16" t="s">
        <v>469</v>
      </c>
      <c r="W579" s="16" t="s">
        <v>470</v>
      </c>
      <c r="X579" s="16" t="s">
        <v>471</v>
      </c>
      <c r="Y579" s="16" t="s">
        <v>472</v>
      </c>
      <c r="Z579" s="16" t="s">
        <v>501</v>
      </c>
      <c r="AA579" s="16" t="s">
        <v>474</v>
      </c>
      <c r="AB579" s="16" t="s">
        <v>5244</v>
      </c>
      <c r="AC579" s="16" t="s">
        <v>503</v>
      </c>
      <c r="AD579" s="16">
        <v>621113733</v>
      </c>
      <c r="AE579" s="16">
        <v>1194762294</v>
      </c>
      <c r="AF579" s="16"/>
      <c r="AG579" s="16"/>
      <c r="AH579" s="16" t="s">
        <v>1076</v>
      </c>
      <c r="AI579" s="16" t="s">
        <v>206</v>
      </c>
      <c r="AJ579" s="16" t="s">
        <v>481</v>
      </c>
      <c r="AK579" s="16" t="s">
        <v>5245</v>
      </c>
      <c r="AL579" s="16">
        <v>2321</v>
      </c>
      <c r="AM579" s="16"/>
      <c r="AN579" s="16"/>
      <c r="AO579" s="16">
        <v>66</v>
      </c>
      <c r="AP579" s="16" t="s">
        <v>485</v>
      </c>
      <c r="AQ579" s="16" t="s">
        <v>5246</v>
      </c>
      <c r="AR579" s="3">
        <v>46241</v>
      </c>
      <c r="AS579" s="16" t="s">
        <v>2506</v>
      </c>
      <c r="AT579" s="16" t="s">
        <v>1819</v>
      </c>
      <c r="AU579" s="16"/>
      <c r="AV579" s="16" t="s">
        <v>5247</v>
      </c>
      <c r="AW579" s="16"/>
      <c r="AX579" s="16"/>
      <c r="AY579" s="16"/>
      <c r="AZ579" s="16"/>
      <c r="BA579" s="16"/>
      <c r="BB579" s="16"/>
      <c r="BC579" s="16"/>
      <c r="BD579" s="16" t="s">
        <v>206</v>
      </c>
      <c r="BE579" s="16">
        <v>35</v>
      </c>
      <c r="BF579" s="16"/>
      <c r="BG579" s="16"/>
      <c r="BH579" s="16" t="s">
        <v>491</v>
      </c>
      <c r="BI579" s="16">
        <v>107967577</v>
      </c>
      <c r="BJ579" s="16"/>
      <c r="BK579" s="16"/>
      <c r="BL579" s="16"/>
      <c r="BM579" s="16"/>
      <c r="BN579" s="16"/>
      <c r="BO579" s="16"/>
      <c r="BP579" s="16"/>
      <c r="BQ579" s="16"/>
      <c r="BR579" s="16"/>
      <c r="BS579" s="16"/>
      <c r="BT579" s="16"/>
      <c r="BU579" s="16"/>
      <c r="BV579" s="16"/>
      <c r="BW579" s="16"/>
      <c r="BX579" s="16"/>
      <c r="BY579" s="16"/>
      <c r="BZ579" s="16"/>
      <c r="CA579" s="190">
        <v>46275</v>
      </c>
      <c r="CB579" s="3"/>
      <c r="CC579" s="16"/>
      <c r="CD579" s="16"/>
      <c r="CE579" s="16"/>
      <c r="CF579" s="16"/>
      <c r="CG579" s="16"/>
      <c r="CH579" s="16"/>
      <c r="CI579" s="16" t="s">
        <v>5248</v>
      </c>
    </row>
    <row r="580" spans="1:87">
      <c r="A580" s="16" t="s">
        <v>5</v>
      </c>
      <c r="B580" s="16" t="s">
        <v>4946</v>
      </c>
      <c r="C580" s="3">
        <v>46276</v>
      </c>
      <c r="D580" s="16" t="s">
        <v>1</v>
      </c>
      <c r="E580" s="16" t="s">
        <v>5249</v>
      </c>
      <c r="F580" s="16">
        <v>2026222780472</v>
      </c>
      <c r="G580" s="16">
        <v>40</v>
      </c>
      <c r="H580" s="16">
        <v>31</v>
      </c>
      <c r="I580" s="16" t="s">
        <v>460</v>
      </c>
      <c r="J580" s="16" t="s">
        <v>5249</v>
      </c>
      <c r="K580" s="16" t="s">
        <v>1824</v>
      </c>
      <c r="L580" s="16" t="s">
        <v>17</v>
      </c>
      <c r="M580" s="16">
        <v>2</v>
      </c>
      <c r="N580" s="16" t="s">
        <v>462</v>
      </c>
      <c r="O580" s="16" t="s">
        <v>497</v>
      </c>
      <c r="P580" s="16" t="s">
        <v>5250</v>
      </c>
      <c r="Q580" s="16" t="s">
        <v>465</v>
      </c>
      <c r="R580" s="16" t="s">
        <v>466</v>
      </c>
      <c r="S580" s="16" t="s">
        <v>5251</v>
      </c>
      <c r="T580" s="16" t="s">
        <v>5252</v>
      </c>
      <c r="U580" s="16">
        <v>46273.636805555558</v>
      </c>
      <c r="V580" s="16" t="s">
        <v>469</v>
      </c>
      <c r="W580" s="16" t="s">
        <v>470</v>
      </c>
      <c r="X580" s="16" t="s">
        <v>471</v>
      </c>
      <c r="Y580" s="16" t="s">
        <v>628</v>
      </c>
      <c r="Z580" s="16" t="s">
        <v>524</v>
      </c>
      <c r="AA580" s="16" t="s">
        <v>474</v>
      </c>
      <c r="AB580" s="16" t="s">
        <v>5253</v>
      </c>
      <c r="AC580" s="16" t="s">
        <v>526</v>
      </c>
      <c r="AD580" s="16">
        <v>310833936</v>
      </c>
      <c r="AE580" s="16">
        <v>1548212988</v>
      </c>
      <c r="AF580" s="16"/>
      <c r="AG580" s="16"/>
      <c r="AH580" s="16" t="s">
        <v>1076</v>
      </c>
      <c r="AI580" s="16" t="s">
        <v>247</v>
      </c>
      <c r="AJ580" s="16" t="s">
        <v>481</v>
      </c>
      <c r="AK580" s="16" t="s">
        <v>5254</v>
      </c>
      <c r="AL580" s="16">
        <v>196315.72</v>
      </c>
      <c r="AM580" s="16"/>
      <c r="AN580" s="16"/>
      <c r="AO580" s="16">
        <v>217</v>
      </c>
      <c r="AP580" s="16" t="s">
        <v>485</v>
      </c>
      <c r="AQ580" s="16" t="s">
        <v>5255</v>
      </c>
      <c r="AR580" s="3">
        <v>46273</v>
      </c>
      <c r="AS580" s="16" t="s">
        <v>247</v>
      </c>
      <c r="AT580" s="16" t="s">
        <v>4364</v>
      </c>
      <c r="AU580" s="16"/>
      <c r="AV580" s="16" t="s">
        <v>3648</v>
      </c>
      <c r="AW580" s="16"/>
      <c r="AX580" s="16"/>
      <c r="AY580" s="16"/>
      <c r="AZ580" s="16"/>
      <c r="BA580" s="16"/>
      <c r="BB580" s="16"/>
      <c r="BC580" s="16"/>
      <c r="BD580" s="16" t="s">
        <v>247</v>
      </c>
      <c r="BE580" s="16">
        <v>31</v>
      </c>
      <c r="BF580" s="16"/>
      <c r="BG580" s="16"/>
      <c r="BH580" s="16" t="s">
        <v>491</v>
      </c>
      <c r="BI580" s="16">
        <v>279782809</v>
      </c>
      <c r="BJ580" s="16"/>
      <c r="BK580" s="16"/>
      <c r="BL580" s="16"/>
      <c r="BM580" s="16"/>
      <c r="BN580" s="16"/>
      <c r="BO580" s="16"/>
      <c r="BP580" s="16"/>
      <c r="BQ580" s="16"/>
      <c r="BR580" s="16"/>
      <c r="BS580" s="16"/>
      <c r="BT580" s="16"/>
      <c r="BU580" s="16"/>
      <c r="BV580" s="16"/>
      <c r="BW580" s="16"/>
      <c r="BX580" s="16"/>
      <c r="BY580" s="16"/>
      <c r="BZ580" s="16"/>
      <c r="CA580" s="190">
        <v>46285.666666666701</v>
      </c>
      <c r="CB580" s="3"/>
      <c r="CC580" s="16"/>
      <c r="CD580" s="16"/>
      <c r="CE580" s="16"/>
      <c r="CF580" s="16"/>
      <c r="CG580" s="16"/>
      <c r="CH580" s="16"/>
      <c r="CI580" s="16" t="s">
        <v>5256</v>
      </c>
    </row>
    <row r="581" spans="1:87">
      <c r="A581" s="16" t="s">
        <v>5</v>
      </c>
      <c r="B581" s="16" t="s">
        <v>5257</v>
      </c>
      <c r="C581" s="3">
        <v>46276</v>
      </c>
      <c r="D581" s="16" t="s">
        <v>1</v>
      </c>
      <c r="E581" s="16" t="s">
        <v>5258</v>
      </c>
      <c r="F581" s="16">
        <v>2026202800095</v>
      </c>
      <c r="G581" s="16">
        <v>40</v>
      </c>
      <c r="H581" s="16">
        <v>51</v>
      </c>
      <c r="I581" s="16" t="s">
        <v>559</v>
      </c>
      <c r="J581" s="16" t="s">
        <v>5258</v>
      </c>
      <c r="K581" s="16" t="s">
        <v>1053</v>
      </c>
      <c r="L581" s="16" t="s">
        <v>13</v>
      </c>
      <c r="M581" s="16">
        <v>6</v>
      </c>
      <c r="N581" s="16" t="s">
        <v>462</v>
      </c>
      <c r="O581" s="16" t="s">
        <v>606</v>
      </c>
      <c r="P581" s="16">
        <v>850749966</v>
      </c>
      <c r="Q581" s="16" t="s">
        <v>465</v>
      </c>
      <c r="R581" s="16" t="s">
        <v>466</v>
      </c>
      <c r="S581" s="16" t="s">
        <v>5259</v>
      </c>
      <c r="T581" s="16">
        <v>173323</v>
      </c>
      <c r="U581" s="16">
        <v>46268.852083333331</v>
      </c>
      <c r="V581" s="16" t="s">
        <v>469</v>
      </c>
      <c r="W581" s="16" t="s">
        <v>651</v>
      </c>
      <c r="X581" s="16" t="s">
        <v>652</v>
      </c>
      <c r="Y581" s="16" t="s">
        <v>653</v>
      </c>
      <c r="Z581" s="16" t="s">
        <v>590</v>
      </c>
      <c r="AA581" s="16" t="s">
        <v>474</v>
      </c>
      <c r="AB581" s="16" t="s">
        <v>2303</v>
      </c>
      <c r="AC581" s="16" t="s">
        <v>592</v>
      </c>
      <c r="AD581" s="16">
        <v>840166760</v>
      </c>
      <c r="AE581" s="16">
        <v>1336245828</v>
      </c>
      <c r="AF581" s="16"/>
      <c r="AG581" s="16">
        <v>5120253372139900</v>
      </c>
      <c r="AH581" s="16"/>
      <c r="AI581" s="16" t="s">
        <v>49</v>
      </c>
      <c r="AJ581" s="16" t="s">
        <v>481</v>
      </c>
      <c r="AK581" s="16" t="s">
        <v>5260</v>
      </c>
      <c r="AL581" s="16">
        <v>21411.52</v>
      </c>
      <c r="AM581" s="16"/>
      <c r="AN581" s="16"/>
      <c r="AO581" s="16">
        <v>850</v>
      </c>
      <c r="AP581" s="16" t="s">
        <v>485</v>
      </c>
      <c r="AQ581" s="16" t="s">
        <v>5261</v>
      </c>
      <c r="AR581" s="3">
        <v>46269</v>
      </c>
      <c r="AS581" s="16" t="s">
        <v>49</v>
      </c>
      <c r="AT581" s="16" t="s">
        <v>719</v>
      </c>
      <c r="AU581" s="16"/>
      <c r="AV581" s="16" t="s">
        <v>2307</v>
      </c>
      <c r="AW581" s="16"/>
      <c r="AX581" s="16"/>
      <c r="AY581" s="16"/>
      <c r="AZ581" s="16"/>
      <c r="BA581" s="16"/>
      <c r="BB581" s="16"/>
      <c r="BC581" s="16"/>
      <c r="BD581" s="16" t="s">
        <v>49</v>
      </c>
      <c r="BE581" s="16">
        <v>51</v>
      </c>
      <c r="BF581" s="16"/>
      <c r="BG581" s="16"/>
      <c r="BH581" s="16" t="s">
        <v>658</v>
      </c>
      <c r="BI581" s="16">
        <v>850749966</v>
      </c>
      <c r="BJ581" s="16"/>
      <c r="BK581" s="16"/>
      <c r="BL581" s="16"/>
      <c r="BM581" s="16"/>
      <c r="BN581" s="16"/>
      <c r="BO581" s="16"/>
      <c r="BP581" s="16"/>
      <c r="BQ581" s="16"/>
      <c r="BR581" s="16"/>
      <c r="BS581" s="16"/>
      <c r="BT581" s="16"/>
      <c r="BU581" s="16"/>
      <c r="BV581" s="16"/>
      <c r="BW581" s="16"/>
      <c r="BX581" s="16"/>
      <c r="BY581" s="16"/>
      <c r="BZ581" s="16"/>
      <c r="CA581" s="190">
        <v>46281.666666666701</v>
      </c>
      <c r="CB581" s="3"/>
      <c r="CC581" s="16"/>
      <c r="CD581" s="16"/>
      <c r="CE581" s="16"/>
      <c r="CF581" s="16"/>
      <c r="CG581" s="16"/>
      <c r="CH581" s="16"/>
      <c r="CI581" s="16" t="s">
        <v>5262</v>
      </c>
    </row>
    <row r="582" spans="1:87">
      <c r="A582" s="16"/>
      <c r="B582" s="16"/>
      <c r="C582" s="3">
        <v>46276</v>
      </c>
      <c r="D582" s="16" t="s">
        <v>1</v>
      </c>
      <c r="E582" s="16" t="s">
        <v>5263</v>
      </c>
      <c r="F582" s="16">
        <v>2026199260287</v>
      </c>
      <c r="G582" s="16">
        <v>40</v>
      </c>
      <c r="H582" s="16">
        <v>54</v>
      </c>
      <c r="I582" s="16" t="s">
        <v>559</v>
      </c>
      <c r="J582" s="16" t="s">
        <v>5263</v>
      </c>
      <c r="K582" s="16" t="s">
        <v>1083</v>
      </c>
      <c r="L582" s="16" t="s">
        <v>17</v>
      </c>
      <c r="M582" s="16">
        <v>1</v>
      </c>
      <c r="N582" s="16" t="s">
        <v>462</v>
      </c>
      <c r="O582" s="16" t="s">
        <v>606</v>
      </c>
      <c r="P582" s="16">
        <v>800095529</v>
      </c>
      <c r="Q582" s="16" t="s">
        <v>465</v>
      </c>
      <c r="R582" s="16" t="s">
        <v>466</v>
      </c>
      <c r="S582" s="16" t="s">
        <v>5264</v>
      </c>
      <c r="T582" s="16">
        <v>173323</v>
      </c>
      <c r="U582" s="16">
        <v>46274.604166666664</v>
      </c>
      <c r="V582" s="16" t="s">
        <v>469</v>
      </c>
      <c r="W582" s="16" t="s">
        <v>651</v>
      </c>
      <c r="X582" s="16" t="s">
        <v>652</v>
      </c>
      <c r="Y582" s="16" t="s">
        <v>653</v>
      </c>
      <c r="Z582" s="16" t="s">
        <v>590</v>
      </c>
      <c r="AA582" s="16" t="s">
        <v>474</v>
      </c>
      <c r="AB582" s="16" t="s">
        <v>2303</v>
      </c>
      <c r="AC582" s="16" t="s">
        <v>592</v>
      </c>
      <c r="AD582" s="16">
        <v>840446259</v>
      </c>
      <c r="AE582" s="16">
        <v>1386058188</v>
      </c>
      <c r="AF582" s="16">
        <v>1740244342</v>
      </c>
      <c r="AG582" s="16">
        <v>5120252250478600</v>
      </c>
      <c r="AH582" s="16"/>
      <c r="AI582" s="16" t="s">
        <v>48</v>
      </c>
      <c r="AJ582" s="16" t="s">
        <v>481</v>
      </c>
      <c r="AK582" s="16" t="s">
        <v>5265</v>
      </c>
      <c r="AL582" s="16">
        <v>15729</v>
      </c>
      <c r="AM582" s="16"/>
      <c r="AN582" s="16"/>
      <c r="AO582" s="16">
        <v>800</v>
      </c>
      <c r="AP582" s="16" t="s">
        <v>485</v>
      </c>
      <c r="AQ582" s="16" t="s">
        <v>5266</v>
      </c>
      <c r="AR582" s="3">
        <v>46274</v>
      </c>
      <c r="AS582" s="16" t="s">
        <v>48</v>
      </c>
      <c r="AT582" s="16" t="s">
        <v>719</v>
      </c>
      <c r="AU582" s="16"/>
      <c r="AV582" s="16" t="s">
        <v>5267</v>
      </c>
      <c r="AW582" s="16"/>
      <c r="AX582" s="16"/>
      <c r="AY582" s="16"/>
      <c r="AZ582" s="16"/>
      <c r="BA582" s="16"/>
      <c r="BB582" s="16"/>
      <c r="BC582" s="16"/>
      <c r="BD582" s="16" t="s">
        <v>48</v>
      </c>
      <c r="BE582" s="16">
        <v>54</v>
      </c>
      <c r="BF582" s="16"/>
      <c r="BG582" s="16"/>
      <c r="BH582" s="16" t="s">
        <v>658</v>
      </c>
      <c r="BI582" s="16">
        <v>800095529</v>
      </c>
      <c r="BJ582" s="16"/>
      <c r="BK582" s="16"/>
      <c r="BL582" s="16"/>
      <c r="BM582" s="16"/>
      <c r="BN582" s="16"/>
      <c r="BO582" s="16"/>
      <c r="BP582" s="16"/>
      <c r="BQ582" s="16"/>
      <c r="BR582" s="16"/>
      <c r="BS582" s="16"/>
      <c r="BT582" s="16"/>
      <c r="BU582" s="16"/>
      <c r="BV582" s="16"/>
      <c r="BW582" s="16"/>
      <c r="BX582" s="16"/>
      <c r="BY582" s="16"/>
      <c r="BZ582" s="16"/>
      <c r="CA582" s="190">
        <v>46275</v>
      </c>
      <c r="CB582" s="3"/>
      <c r="CC582" s="16"/>
      <c r="CD582" s="16"/>
      <c r="CE582" s="16"/>
      <c r="CF582" s="16"/>
      <c r="CG582" s="16"/>
      <c r="CH582" s="16"/>
      <c r="CI582" s="16" t="s">
        <v>5268</v>
      </c>
    </row>
    <row r="583" spans="1:87" ht="29.25">
      <c r="A583" s="16" t="s">
        <v>5</v>
      </c>
      <c r="B583" s="25" t="s">
        <v>5269</v>
      </c>
      <c r="C583" s="3">
        <v>46276</v>
      </c>
      <c r="D583" s="16" t="s">
        <v>1</v>
      </c>
      <c r="E583" s="16" t="s">
        <v>5270</v>
      </c>
      <c r="F583" s="16">
        <v>2026195810083</v>
      </c>
      <c r="G583" s="16">
        <v>40</v>
      </c>
      <c r="H583" s="16">
        <v>58</v>
      </c>
      <c r="I583" s="16" t="s">
        <v>559</v>
      </c>
      <c r="J583" s="16" t="s">
        <v>5270</v>
      </c>
      <c r="K583" s="16" t="s">
        <v>5271</v>
      </c>
      <c r="L583" s="16" t="s">
        <v>13</v>
      </c>
      <c r="M583" s="16">
        <v>0</v>
      </c>
      <c r="N583" s="16" t="s">
        <v>462</v>
      </c>
      <c r="O583" s="16" t="s">
        <v>497</v>
      </c>
      <c r="P583" s="16">
        <v>971971373</v>
      </c>
      <c r="Q583" s="16" t="s">
        <v>465</v>
      </c>
      <c r="R583" s="16" t="s">
        <v>466</v>
      </c>
      <c r="S583" s="16" t="s">
        <v>5272</v>
      </c>
      <c r="T583" s="16">
        <v>1097</v>
      </c>
      <c r="U583" s="16">
        <v>46274.708333333336</v>
      </c>
      <c r="V583" s="16" t="s">
        <v>469</v>
      </c>
      <c r="W583" s="16" t="s">
        <v>470</v>
      </c>
      <c r="X583" s="16" t="s">
        <v>471</v>
      </c>
      <c r="Y583" s="16" t="s">
        <v>628</v>
      </c>
      <c r="Z583" s="16" t="s">
        <v>1338</v>
      </c>
      <c r="AA583" s="16" t="s">
        <v>474</v>
      </c>
      <c r="AB583" s="16" t="s">
        <v>5273</v>
      </c>
      <c r="AC583" s="16" t="s">
        <v>1429</v>
      </c>
      <c r="AD583" s="16">
        <v>61411029</v>
      </c>
      <c r="AE583" s="16">
        <v>1023124625</v>
      </c>
      <c r="AF583" s="16">
        <v>1437253051</v>
      </c>
      <c r="AG583" s="16"/>
      <c r="AH583" s="16" t="s">
        <v>1076</v>
      </c>
      <c r="AI583" s="16" t="s">
        <v>5274</v>
      </c>
      <c r="AJ583" s="16" t="s">
        <v>481</v>
      </c>
      <c r="AK583" s="16" t="s">
        <v>5275</v>
      </c>
      <c r="AL583" s="16">
        <v>25998.6</v>
      </c>
      <c r="AM583" s="16"/>
      <c r="AN583" s="16"/>
      <c r="AO583" s="16">
        <v>971</v>
      </c>
      <c r="AP583" s="16" t="s">
        <v>485</v>
      </c>
      <c r="AQ583" s="16" t="s">
        <v>5276</v>
      </c>
      <c r="AR583" s="3">
        <v>46275</v>
      </c>
      <c r="AS583" s="16" t="s">
        <v>5274</v>
      </c>
      <c r="AT583" s="16" t="s">
        <v>5277</v>
      </c>
      <c r="AU583" s="16"/>
      <c r="AV583" s="16" t="s">
        <v>5278</v>
      </c>
      <c r="AW583" s="16"/>
      <c r="AX583" s="16"/>
      <c r="AY583" s="16"/>
      <c r="AZ583" s="16"/>
      <c r="BA583" s="16"/>
      <c r="BB583" s="16"/>
      <c r="BC583" s="16"/>
      <c r="BD583" s="16" t="s">
        <v>5274</v>
      </c>
      <c r="BE583" s="16">
        <v>58</v>
      </c>
      <c r="BF583" s="16"/>
      <c r="BG583" s="16" t="s">
        <v>490</v>
      </c>
      <c r="BH583" s="16" t="s">
        <v>491</v>
      </c>
      <c r="BI583" s="16">
        <v>47568809</v>
      </c>
      <c r="BJ583" s="16"/>
      <c r="BK583" s="16"/>
      <c r="BL583" s="16"/>
      <c r="BM583" s="16"/>
      <c r="BN583" s="16"/>
      <c r="BO583" s="16"/>
      <c r="BP583" s="16"/>
      <c r="BQ583" s="16"/>
      <c r="BR583" s="16"/>
      <c r="BS583" s="16"/>
      <c r="BT583" s="16"/>
      <c r="BU583" s="16"/>
      <c r="BV583" s="16"/>
      <c r="BW583" s="16"/>
      <c r="BX583" s="16"/>
      <c r="BY583" s="16"/>
      <c r="BZ583" s="16"/>
      <c r="CA583" s="190">
        <v>46280.666666666701</v>
      </c>
      <c r="CB583" s="3"/>
      <c r="CC583" s="16"/>
      <c r="CD583" s="16"/>
      <c r="CE583" s="16"/>
      <c r="CF583" s="16"/>
      <c r="CG583" s="16"/>
      <c r="CH583" s="16"/>
      <c r="CI583" s="16" t="s">
        <v>5279</v>
      </c>
    </row>
    <row r="584" spans="1:87" ht="29.25">
      <c r="A584" s="16" t="s">
        <v>5</v>
      </c>
      <c r="B584" s="25" t="s">
        <v>5280</v>
      </c>
      <c r="C584" s="3">
        <v>46276</v>
      </c>
      <c r="D584" s="16" t="s">
        <v>1</v>
      </c>
      <c r="E584" s="16" t="s">
        <v>5281</v>
      </c>
      <c r="F584" s="16">
        <v>2026200790273</v>
      </c>
      <c r="G584" s="16">
        <v>40</v>
      </c>
      <c r="H584" s="16">
        <v>53</v>
      </c>
      <c r="I584" s="16" t="s">
        <v>559</v>
      </c>
      <c r="J584" s="16" t="s">
        <v>5281</v>
      </c>
      <c r="K584" s="16" t="s">
        <v>461</v>
      </c>
      <c r="L584" s="16" t="s">
        <v>17</v>
      </c>
      <c r="M584" s="16">
        <v>6</v>
      </c>
      <c r="N584" s="16" t="s">
        <v>462</v>
      </c>
      <c r="O584" s="16" t="s">
        <v>606</v>
      </c>
      <c r="P584" s="16">
        <v>821890757</v>
      </c>
      <c r="Q584" s="16" t="s">
        <v>465</v>
      </c>
      <c r="R584" s="16" t="s">
        <v>466</v>
      </c>
      <c r="S584" s="16" t="s">
        <v>5282</v>
      </c>
      <c r="T584" s="16">
        <v>173326</v>
      </c>
      <c r="U584" s="16">
        <v>46268.884027777778</v>
      </c>
      <c r="V584" s="16" t="s">
        <v>469</v>
      </c>
      <c r="W584" s="16" t="s">
        <v>651</v>
      </c>
      <c r="X584" s="16" t="s">
        <v>652</v>
      </c>
      <c r="Y584" s="16" t="s">
        <v>653</v>
      </c>
      <c r="Z584" s="16" t="s">
        <v>473</v>
      </c>
      <c r="AA584" s="16" t="s">
        <v>474</v>
      </c>
      <c r="AB584" s="16" t="s">
        <v>2129</v>
      </c>
      <c r="AC584" s="16" t="s">
        <v>476</v>
      </c>
      <c r="AD584" s="16">
        <v>391128616</v>
      </c>
      <c r="AE584" s="16">
        <v>1053358846</v>
      </c>
      <c r="AF584" s="16">
        <v>1508209354</v>
      </c>
      <c r="AG584" s="16">
        <v>4.5820252051646E+16</v>
      </c>
      <c r="AH584" s="16"/>
      <c r="AI584" s="16" t="s">
        <v>67</v>
      </c>
      <c r="AJ584" s="16" t="s">
        <v>481</v>
      </c>
      <c r="AK584" s="16" t="s">
        <v>5283</v>
      </c>
      <c r="AL584" s="16">
        <v>13805</v>
      </c>
      <c r="AM584" s="16"/>
      <c r="AN584" s="16"/>
      <c r="AO584" s="16">
        <v>821</v>
      </c>
      <c r="AP584" s="16" t="s">
        <v>485</v>
      </c>
      <c r="AQ584" s="16" t="s">
        <v>5284</v>
      </c>
      <c r="AR584" s="3">
        <v>46269</v>
      </c>
      <c r="AS584" s="16" t="s">
        <v>67</v>
      </c>
      <c r="AT584" s="16" t="s">
        <v>719</v>
      </c>
      <c r="AU584" s="16"/>
      <c r="AV584" s="16" t="s">
        <v>5285</v>
      </c>
      <c r="AW584" s="16"/>
      <c r="AX584" s="16"/>
      <c r="AY584" s="16"/>
      <c r="AZ584" s="16"/>
      <c r="BA584" s="16"/>
      <c r="BB584" s="16"/>
      <c r="BC584" s="16"/>
      <c r="BD584" s="16" t="s">
        <v>67</v>
      </c>
      <c r="BE584" s="16">
        <v>53</v>
      </c>
      <c r="BF584" s="16"/>
      <c r="BG584" s="16"/>
      <c r="BH584" s="16" t="s">
        <v>658</v>
      </c>
      <c r="BI584" s="16">
        <v>821890757</v>
      </c>
      <c r="BJ584" s="16"/>
      <c r="BK584" s="16"/>
      <c r="BL584" s="16"/>
      <c r="BM584" s="16"/>
      <c r="BN584" s="16"/>
      <c r="BO584" s="16"/>
      <c r="BP584" s="16"/>
      <c r="BQ584" s="16"/>
      <c r="BR584" s="16"/>
      <c r="BS584" s="16"/>
      <c r="BT584" s="16"/>
      <c r="BU584" s="16"/>
      <c r="BV584" s="16"/>
      <c r="BW584" s="16"/>
      <c r="BX584" s="16"/>
      <c r="BY584" s="16"/>
      <c r="BZ584" s="16"/>
      <c r="CA584" s="190">
        <v>46275.166666666701</v>
      </c>
      <c r="CB584" s="3"/>
      <c r="CC584" s="16"/>
      <c r="CD584" s="16"/>
      <c r="CE584" s="16"/>
      <c r="CF584" s="16"/>
      <c r="CG584" s="16"/>
      <c r="CH584" s="16"/>
      <c r="CI584" s="16" t="s">
        <v>5286</v>
      </c>
    </row>
    <row r="585" spans="1:87">
      <c r="A585" s="16" t="s">
        <v>5</v>
      </c>
      <c r="B585" s="16" t="s">
        <v>5287</v>
      </c>
      <c r="C585" s="3">
        <v>46276</v>
      </c>
      <c r="D585" s="16" t="s">
        <v>1</v>
      </c>
      <c r="E585" s="16" t="s">
        <v>5288</v>
      </c>
      <c r="F585" s="16"/>
      <c r="G585" s="16">
        <v>40</v>
      </c>
      <c r="H585" s="16">
        <v>50</v>
      </c>
      <c r="I585" s="16" t="s">
        <v>559</v>
      </c>
      <c r="J585" s="16" t="s">
        <v>5288</v>
      </c>
      <c r="K585" s="16" t="s">
        <v>1053</v>
      </c>
      <c r="L585" s="16" t="s">
        <v>13</v>
      </c>
      <c r="M585" s="16">
        <v>6</v>
      </c>
      <c r="N585" s="16" t="s">
        <v>462</v>
      </c>
      <c r="O585" s="16" t="s">
        <v>606</v>
      </c>
      <c r="P585" s="16">
        <v>136194153</v>
      </c>
      <c r="Q585" s="16" t="s">
        <v>1055</v>
      </c>
      <c r="R585" s="16" t="s">
        <v>1350</v>
      </c>
      <c r="S585" s="16" t="s">
        <v>5289</v>
      </c>
      <c r="T585" s="16">
        <v>173326</v>
      </c>
      <c r="U585" s="16">
        <v>46268.851388888892</v>
      </c>
      <c r="V585" s="16" t="s">
        <v>469</v>
      </c>
      <c r="W585" s="16" t="s">
        <v>651</v>
      </c>
      <c r="X585" s="16" t="s">
        <v>652</v>
      </c>
      <c r="Y585" s="16" t="s">
        <v>653</v>
      </c>
      <c r="Z585" s="16" t="s">
        <v>473</v>
      </c>
      <c r="AA585" s="16" t="s">
        <v>1354</v>
      </c>
      <c r="AB585" s="16" t="s">
        <v>2129</v>
      </c>
      <c r="AC585" s="16" t="s">
        <v>476</v>
      </c>
      <c r="AD585" s="16">
        <v>390813418</v>
      </c>
      <c r="AE585" s="16">
        <v>1235588831</v>
      </c>
      <c r="AF585" s="16">
        <v>1497124267</v>
      </c>
      <c r="AG585" s="16">
        <v>4.5820251200407504E+16</v>
      </c>
      <c r="AH585" s="16"/>
      <c r="AI585" s="16" t="s">
        <v>49</v>
      </c>
      <c r="AJ585" s="16" t="s">
        <v>481</v>
      </c>
      <c r="AK585" s="16" t="s">
        <v>5290</v>
      </c>
      <c r="AL585" s="16">
        <v>14513</v>
      </c>
      <c r="AM585" s="16"/>
      <c r="AN585" s="16"/>
      <c r="AO585" s="16">
        <v>136</v>
      </c>
      <c r="AP585" s="16" t="s">
        <v>485</v>
      </c>
      <c r="AQ585" s="16" t="s">
        <v>5291</v>
      </c>
      <c r="AR585" s="3">
        <v>46269</v>
      </c>
      <c r="AS585" s="16" t="s">
        <v>49</v>
      </c>
      <c r="AT585" s="16" t="s">
        <v>719</v>
      </c>
      <c r="AU585" s="16"/>
      <c r="AV585" s="16" t="s">
        <v>5292</v>
      </c>
      <c r="AW585" s="16"/>
      <c r="AX585" s="16"/>
      <c r="AY585" s="16"/>
      <c r="AZ585" s="16"/>
      <c r="BA585" s="16"/>
      <c r="BB585" s="16"/>
      <c r="BC585" s="16"/>
      <c r="BD585" s="16" t="s">
        <v>49</v>
      </c>
      <c r="BE585" s="16">
        <v>50</v>
      </c>
      <c r="BF585" s="16"/>
      <c r="BG585" s="16"/>
      <c r="BH585" s="16" t="s">
        <v>658</v>
      </c>
      <c r="BI585" s="16">
        <v>136194153</v>
      </c>
      <c r="BJ585" s="16"/>
      <c r="BK585" s="16"/>
      <c r="BL585" s="16"/>
      <c r="BM585" s="16"/>
      <c r="BN585" s="16"/>
      <c r="BO585" s="16"/>
      <c r="BP585" s="16"/>
      <c r="BQ585" s="16"/>
      <c r="BR585" s="16"/>
      <c r="BS585" s="16"/>
      <c r="BT585" s="16"/>
      <c r="BU585" s="16"/>
      <c r="BV585" s="16"/>
      <c r="BW585" s="16"/>
      <c r="BX585" s="16"/>
      <c r="BY585" s="16"/>
      <c r="BZ585" s="16"/>
      <c r="CA585" s="190">
        <v>46281.666666666701</v>
      </c>
      <c r="CB585" s="3"/>
      <c r="CC585" s="16"/>
      <c r="CD585" s="16"/>
      <c r="CE585" s="16"/>
      <c r="CF585" s="16"/>
      <c r="CG585" s="16"/>
      <c r="CH585" s="16"/>
      <c r="CI585" s="16" t="s">
        <v>5293</v>
      </c>
    </row>
    <row r="586" spans="1:87">
      <c r="A586" s="16" t="s">
        <v>5</v>
      </c>
      <c r="B586" s="16" t="s">
        <v>719</v>
      </c>
      <c r="C586" s="3">
        <v>46276</v>
      </c>
      <c r="D586" s="16" t="s">
        <v>1</v>
      </c>
      <c r="E586" s="16" t="s">
        <v>5294</v>
      </c>
      <c r="F586" s="16">
        <v>2026196440325</v>
      </c>
      <c r="G586" s="16">
        <v>40</v>
      </c>
      <c r="H586" s="16">
        <v>57</v>
      </c>
      <c r="I586" s="16" t="s">
        <v>559</v>
      </c>
      <c r="J586" s="16" t="s">
        <v>5294</v>
      </c>
      <c r="K586" s="16" t="s">
        <v>461</v>
      </c>
      <c r="L586" s="16" t="s">
        <v>17</v>
      </c>
      <c r="M586" s="16">
        <v>6</v>
      </c>
      <c r="N586" s="16" t="s">
        <v>462</v>
      </c>
      <c r="O586" s="16" t="s">
        <v>606</v>
      </c>
      <c r="P586" s="16">
        <v>218172160</v>
      </c>
      <c r="Q586" s="16" t="s">
        <v>465</v>
      </c>
      <c r="R586" s="16" t="s">
        <v>466</v>
      </c>
      <c r="S586" s="16" t="s">
        <v>5295</v>
      </c>
      <c r="T586" s="16">
        <v>173326</v>
      </c>
      <c r="U586" s="16">
        <v>46268.883333333331</v>
      </c>
      <c r="V586" s="16" t="s">
        <v>469</v>
      </c>
      <c r="W586" s="16" t="s">
        <v>651</v>
      </c>
      <c r="X586" s="16" t="s">
        <v>652</v>
      </c>
      <c r="Y586" s="16" t="s">
        <v>653</v>
      </c>
      <c r="Z586" s="16" t="s">
        <v>473</v>
      </c>
      <c r="AA586" s="16" t="s">
        <v>474</v>
      </c>
      <c r="AB586" s="16" t="s">
        <v>684</v>
      </c>
      <c r="AC586" s="16" t="s">
        <v>476</v>
      </c>
      <c r="AD586" s="16">
        <v>391130341</v>
      </c>
      <c r="AE586" s="16">
        <v>1902850696</v>
      </c>
      <c r="AF586" s="16">
        <v>1568793479</v>
      </c>
      <c r="AG586" s="16">
        <v>4.58202528619966E+16</v>
      </c>
      <c r="AH586" s="16"/>
      <c r="AI586" s="16" t="s">
        <v>67</v>
      </c>
      <c r="AJ586" s="16" t="s">
        <v>481</v>
      </c>
      <c r="AK586" s="16" t="s">
        <v>5296</v>
      </c>
      <c r="AL586" s="16">
        <v>14611</v>
      </c>
      <c r="AM586" s="16"/>
      <c r="AN586" s="16"/>
      <c r="AO586" s="16">
        <v>218</v>
      </c>
      <c r="AP586" s="16" t="s">
        <v>485</v>
      </c>
      <c r="AQ586" s="16" t="s">
        <v>5297</v>
      </c>
      <c r="AR586" s="3">
        <v>46269</v>
      </c>
      <c r="AS586" s="16" t="s">
        <v>67</v>
      </c>
      <c r="AT586" s="16" t="s">
        <v>719</v>
      </c>
      <c r="AU586" s="16"/>
      <c r="AV586" s="16" t="s">
        <v>1312</v>
      </c>
      <c r="AW586" s="16"/>
      <c r="AX586" s="16"/>
      <c r="AY586" s="16"/>
      <c r="AZ586" s="16"/>
      <c r="BA586" s="16"/>
      <c r="BB586" s="16"/>
      <c r="BC586" s="16"/>
      <c r="BD586" s="16" t="s">
        <v>67</v>
      </c>
      <c r="BE586" s="16">
        <v>57</v>
      </c>
      <c r="BF586" s="16"/>
      <c r="BG586" s="16"/>
      <c r="BH586" s="16" t="s">
        <v>658</v>
      </c>
      <c r="BI586" s="16">
        <v>218172160</v>
      </c>
      <c r="BJ586" s="16"/>
      <c r="BK586" s="16"/>
      <c r="BL586" s="16"/>
      <c r="BM586" s="16"/>
      <c r="BN586" s="16"/>
      <c r="BO586" s="16"/>
      <c r="BP586" s="16"/>
      <c r="BQ586" s="16"/>
      <c r="BR586" s="16"/>
      <c r="BS586" s="16"/>
      <c r="BT586" s="16"/>
      <c r="BU586" s="16"/>
      <c r="BV586" s="16"/>
      <c r="BW586" s="16"/>
      <c r="BX586" s="16"/>
      <c r="BY586" s="16"/>
      <c r="BZ586" s="16"/>
      <c r="CA586" s="190">
        <v>46275.166666666701</v>
      </c>
      <c r="CB586" s="3"/>
      <c r="CC586" s="16"/>
      <c r="CD586" s="16"/>
      <c r="CE586" s="16"/>
      <c r="CF586" s="16"/>
      <c r="CG586" s="16"/>
      <c r="CH586" s="16"/>
      <c r="CI586" s="16" t="s">
        <v>5298</v>
      </c>
    </row>
    <row r="587" spans="1:87">
      <c r="A587" s="16"/>
      <c r="B587" s="16"/>
      <c r="C587" s="3">
        <v>46276</v>
      </c>
      <c r="D587" s="16" t="s">
        <v>1</v>
      </c>
      <c r="E587" s="16" t="s">
        <v>5299</v>
      </c>
      <c r="F587" s="16">
        <v>2026203950295</v>
      </c>
      <c r="G587" s="16">
        <v>40</v>
      </c>
      <c r="H587" s="16">
        <v>50</v>
      </c>
      <c r="I587" s="16" t="s">
        <v>559</v>
      </c>
      <c r="J587" s="16" t="s">
        <v>5299</v>
      </c>
      <c r="K587" s="16" t="s">
        <v>983</v>
      </c>
      <c r="L587" s="16" t="s">
        <v>17</v>
      </c>
      <c r="M587" s="16">
        <v>48</v>
      </c>
      <c r="N587" s="16" t="s">
        <v>462</v>
      </c>
      <c r="O587" s="16" t="s">
        <v>4717</v>
      </c>
      <c r="P587" s="16">
        <v>113592723</v>
      </c>
      <c r="Q587" s="16" t="s">
        <v>465</v>
      </c>
      <c r="R587" s="16" t="s">
        <v>466</v>
      </c>
      <c r="S587" s="16" t="s">
        <v>5300</v>
      </c>
      <c r="T587" s="16">
        <v>173328</v>
      </c>
      <c r="U587" s="16"/>
      <c r="V587" s="16" t="s">
        <v>469</v>
      </c>
      <c r="W587" s="16" t="s">
        <v>651</v>
      </c>
      <c r="X587" s="16" t="s">
        <v>652</v>
      </c>
      <c r="Y587" s="16" t="s">
        <v>653</v>
      </c>
      <c r="Z587" s="16" t="s">
        <v>638</v>
      </c>
      <c r="AA587" s="16" t="s">
        <v>474</v>
      </c>
      <c r="AB587" s="16" t="s">
        <v>743</v>
      </c>
      <c r="AC587" s="16" t="s">
        <v>465</v>
      </c>
      <c r="AD587" s="16">
        <v>200602959</v>
      </c>
      <c r="AE587" s="16">
        <v>1821326240</v>
      </c>
      <c r="AF587" s="16">
        <v>1649278235</v>
      </c>
      <c r="AG587" s="16">
        <v>1.31202503702319E+16</v>
      </c>
      <c r="AH587" s="16"/>
      <c r="AI587" s="16" t="s">
        <v>34</v>
      </c>
      <c r="AJ587" s="16" t="s">
        <v>481</v>
      </c>
      <c r="AK587" s="16" t="s">
        <v>5301</v>
      </c>
      <c r="AL587" s="16">
        <v>60635</v>
      </c>
      <c r="AM587" s="16"/>
      <c r="AN587" s="16"/>
      <c r="AO587" s="16">
        <v>113</v>
      </c>
      <c r="AP587" s="16" t="s">
        <v>485</v>
      </c>
      <c r="AQ587" s="16" t="s">
        <v>5302</v>
      </c>
      <c r="AR587" s="3">
        <v>46227</v>
      </c>
      <c r="AS587" s="16" t="s">
        <v>983</v>
      </c>
      <c r="AT587" s="16" t="s">
        <v>5303</v>
      </c>
      <c r="AU587" s="16"/>
      <c r="AV587" s="16" t="s">
        <v>5304</v>
      </c>
      <c r="AW587" s="16"/>
      <c r="AX587" s="16"/>
      <c r="AY587" s="16"/>
      <c r="AZ587" s="16"/>
      <c r="BA587" s="16"/>
      <c r="BB587" s="16"/>
      <c r="BC587" s="16"/>
      <c r="BD587" s="16" t="s">
        <v>34</v>
      </c>
      <c r="BE587" s="16">
        <v>50</v>
      </c>
      <c r="BF587" s="16"/>
      <c r="BG587" s="16" t="s">
        <v>490</v>
      </c>
      <c r="BH587" s="16" t="s">
        <v>658</v>
      </c>
      <c r="BI587" s="16">
        <v>113592723</v>
      </c>
      <c r="BJ587" s="16"/>
      <c r="BK587" s="16"/>
      <c r="BL587" s="16"/>
      <c r="BM587" s="16"/>
      <c r="BN587" s="16"/>
      <c r="BO587" s="16"/>
      <c r="BP587" s="16"/>
      <c r="BQ587" s="16"/>
      <c r="BR587" s="16"/>
      <c r="BS587" s="16"/>
      <c r="BT587" s="16"/>
      <c r="BU587" s="16"/>
      <c r="BV587" s="16"/>
      <c r="BW587" s="16"/>
      <c r="BX587" s="16"/>
      <c r="BY587" s="16"/>
      <c r="BZ587" s="16"/>
      <c r="CA587" s="190">
        <v>46275</v>
      </c>
      <c r="CB587" s="3"/>
      <c r="CC587" s="16"/>
      <c r="CD587" s="16"/>
      <c r="CE587" s="16"/>
      <c r="CF587" s="16"/>
      <c r="CG587" s="16"/>
      <c r="CH587" s="16"/>
      <c r="CI587" s="16" t="s">
        <v>5305</v>
      </c>
    </row>
    <row r="588" spans="1:87">
      <c r="A588" s="16"/>
      <c r="B588" s="16"/>
      <c r="C588" s="3">
        <v>46276</v>
      </c>
      <c r="D588" s="16" t="s">
        <v>1</v>
      </c>
      <c r="E588" s="16" t="s">
        <v>5306</v>
      </c>
      <c r="F588" s="16">
        <v>2026196120084</v>
      </c>
      <c r="G588" s="16">
        <v>40</v>
      </c>
      <c r="H588" s="16">
        <v>57</v>
      </c>
      <c r="I588" s="16" t="s">
        <v>559</v>
      </c>
      <c r="J588" s="16" t="s">
        <v>5306</v>
      </c>
      <c r="K588" s="16" t="s">
        <v>960</v>
      </c>
      <c r="L588" s="16" t="s">
        <v>13</v>
      </c>
      <c r="M588" s="16">
        <v>6</v>
      </c>
      <c r="N588" s="16" t="s">
        <v>462</v>
      </c>
      <c r="O588" s="16" t="s">
        <v>606</v>
      </c>
      <c r="P588" s="16" t="s">
        <v>5307</v>
      </c>
      <c r="Q588" s="16" t="s">
        <v>465</v>
      </c>
      <c r="R588" s="16" t="s">
        <v>466</v>
      </c>
      <c r="S588" s="16" t="s">
        <v>5308</v>
      </c>
      <c r="T588" s="16">
        <v>174532</v>
      </c>
      <c r="U588" s="16">
        <v>46268.988888888889</v>
      </c>
      <c r="V588" s="16" t="s">
        <v>469</v>
      </c>
      <c r="W588" s="16" t="s">
        <v>568</v>
      </c>
      <c r="X588" s="16" t="s">
        <v>471</v>
      </c>
      <c r="Y588" s="16" t="s">
        <v>1724</v>
      </c>
      <c r="Z588" s="16" t="s">
        <v>544</v>
      </c>
      <c r="AA588" s="16" t="s">
        <v>474</v>
      </c>
      <c r="AB588" s="16" t="s">
        <v>5309</v>
      </c>
      <c r="AC588" s="16" t="s">
        <v>476</v>
      </c>
      <c r="AD588" s="16">
        <v>391130341</v>
      </c>
      <c r="AE588" s="16">
        <v>1902850696</v>
      </c>
      <c r="AF588" s="16">
        <v>1942900873</v>
      </c>
      <c r="AG588" s="16"/>
      <c r="AH588" s="16" t="s">
        <v>1076</v>
      </c>
      <c r="AI588" s="16" t="s">
        <v>55</v>
      </c>
      <c r="AJ588" s="16" t="s">
        <v>481</v>
      </c>
      <c r="AK588" s="16" t="s">
        <v>5310</v>
      </c>
      <c r="AL588" s="16">
        <v>16489</v>
      </c>
      <c r="AM588" s="16"/>
      <c r="AN588" s="16"/>
      <c r="AO588" s="16">
        <v>860</v>
      </c>
      <c r="AP588" s="16" t="s">
        <v>485</v>
      </c>
      <c r="AQ588" s="16" t="s">
        <v>5311</v>
      </c>
      <c r="AR588" s="3">
        <v>46269</v>
      </c>
      <c r="AS588" s="16" t="s">
        <v>55</v>
      </c>
      <c r="AT588" s="16" t="s">
        <v>719</v>
      </c>
      <c r="AU588" s="16"/>
      <c r="AV588" s="16" t="s">
        <v>5312</v>
      </c>
      <c r="AW588" s="16"/>
      <c r="AX588" s="16"/>
      <c r="AY588" s="16"/>
      <c r="AZ588" s="16"/>
      <c r="BA588" s="16"/>
      <c r="BB588" s="16"/>
      <c r="BC588" s="16"/>
      <c r="BD588" s="16" t="s">
        <v>55</v>
      </c>
      <c r="BE588" s="16">
        <v>57</v>
      </c>
      <c r="BF588" s="16"/>
      <c r="BG588" s="16"/>
      <c r="BH588" s="16" t="s">
        <v>491</v>
      </c>
      <c r="BI588" s="16">
        <v>398887117</v>
      </c>
      <c r="BJ588" s="16"/>
      <c r="BK588" s="16"/>
      <c r="BL588" s="16"/>
      <c r="BM588" s="16"/>
      <c r="BN588" s="16"/>
      <c r="BO588" s="16"/>
      <c r="BP588" s="16"/>
      <c r="BQ588" s="16"/>
      <c r="BR588" s="16"/>
      <c r="BS588" s="16"/>
      <c r="BT588" s="16"/>
      <c r="BU588" s="16"/>
      <c r="BV588" s="16"/>
      <c r="BW588" s="16"/>
      <c r="BX588" s="16"/>
      <c r="BY588" s="16"/>
      <c r="BZ588" s="16"/>
      <c r="CA588" s="190">
        <v>46275</v>
      </c>
      <c r="CB588" s="3"/>
      <c r="CC588" s="16"/>
      <c r="CD588" s="16"/>
      <c r="CE588" s="16"/>
      <c r="CF588" s="16"/>
      <c r="CG588" s="16"/>
      <c r="CH588" s="16"/>
      <c r="CI588" s="16" t="s">
        <v>5313</v>
      </c>
    </row>
    <row r="589" spans="1:87">
      <c r="A589" s="16" t="s">
        <v>5</v>
      </c>
      <c r="B589" s="16" t="s">
        <v>5094</v>
      </c>
      <c r="C589" s="3">
        <v>46276</v>
      </c>
      <c r="D589" s="16" t="s">
        <v>1</v>
      </c>
      <c r="E589" s="16" t="s">
        <v>5314</v>
      </c>
      <c r="F589" s="16">
        <v>2026206890117</v>
      </c>
      <c r="G589" s="16">
        <v>40</v>
      </c>
      <c r="H589" s="16">
        <v>47</v>
      </c>
      <c r="I589" s="16" t="s">
        <v>559</v>
      </c>
      <c r="J589" s="16" t="s">
        <v>5314</v>
      </c>
      <c r="K589" s="16" t="s">
        <v>1371</v>
      </c>
      <c r="L589" s="16" t="s">
        <v>17</v>
      </c>
      <c r="M589" s="16">
        <v>3</v>
      </c>
      <c r="N589" s="16" t="s">
        <v>462</v>
      </c>
      <c r="O589" s="16" t="s">
        <v>497</v>
      </c>
      <c r="P589" s="16" t="s">
        <v>5315</v>
      </c>
      <c r="Q589" s="16" t="s">
        <v>465</v>
      </c>
      <c r="R589" s="16" t="s">
        <v>466</v>
      </c>
      <c r="S589" s="16" t="s">
        <v>5316</v>
      </c>
      <c r="T589" s="16">
        <v>300601</v>
      </c>
      <c r="U589" s="16">
        <v>46272.692361111112</v>
      </c>
      <c r="V589" s="16" t="s">
        <v>469</v>
      </c>
      <c r="W589" s="16" t="s">
        <v>470</v>
      </c>
      <c r="X589" s="16" t="s">
        <v>471</v>
      </c>
      <c r="Y589" s="16" t="s">
        <v>628</v>
      </c>
      <c r="Z589" s="16" t="s">
        <v>665</v>
      </c>
      <c r="AA589" s="16" t="s">
        <v>474</v>
      </c>
      <c r="AB589" s="16" t="s">
        <v>5317</v>
      </c>
      <c r="AC589" s="16" t="s">
        <v>640</v>
      </c>
      <c r="AD589" s="16">
        <v>611661781</v>
      </c>
      <c r="AE589" s="16">
        <v>1770823551</v>
      </c>
      <c r="AF589" s="16">
        <v>1700046133</v>
      </c>
      <c r="AG589" s="16"/>
      <c r="AH589" s="16"/>
      <c r="AI589" s="16" t="s">
        <v>164</v>
      </c>
      <c r="AJ589" s="16" t="s">
        <v>481</v>
      </c>
      <c r="AK589" s="16" t="s">
        <v>5318</v>
      </c>
      <c r="AL589" s="16">
        <v>10000</v>
      </c>
      <c r="AM589" s="16"/>
      <c r="AN589" s="16"/>
      <c r="AO589" s="16">
        <v>729</v>
      </c>
      <c r="AP589" s="16" t="s">
        <v>485</v>
      </c>
      <c r="AQ589" s="16" t="s">
        <v>5319</v>
      </c>
      <c r="AR589" s="3">
        <v>46272</v>
      </c>
      <c r="AS589" s="16" t="s">
        <v>164</v>
      </c>
      <c r="AT589" s="16" t="s">
        <v>4946</v>
      </c>
      <c r="AU589" s="16"/>
      <c r="AV589" s="16" t="s">
        <v>5320</v>
      </c>
      <c r="AW589" s="16"/>
      <c r="AX589" s="16"/>
      <c r="AY589" s="16"/>
      <c r="AZ589" s="16"/>
      <c r="BA589" s="16"/>
      <c r="BB589" s="16"/>
      <c r="BC589" s="16"/>
      <c r="BD589" s="16" t="s">
        <v>164</v>
      </c>
      <c r="BE589" s="16">
        <v>47</v>
      </c>
      <c r="BF589" s="16"/>
      <c r="BG589" s="16"/>
      <c r="BH589" s="16" t="s">
        <v>491</v>
      </c>
      <c r="BI589" s="16">
        <v>118683416</v>
      </c>
      <c r="BJ589" s="16"/>
      <c r="BK589" s="16"/>
      <c r="BL589" s="16"/>
      <c r="BM589" s="16"/>
      <c r="BN589" s="16"/>
      <c r="BO589" s="16"/>
      <c r="BP589" s="16"/>
      <c r="BQ589" s="16"/>
      <c r="BR589" s="16"/>
      <c r="BS589" s="16"/>
      <c r="BT589" s="16"/>
      <c r="BU589" s="16"/>
      <c r="BV589" s="16"/>
      <c r="BW589" s="16"/>
      <c r="BX589" s="16"/>
      <c r="BY589" s="16"/>
      <c r="BZ589" s="16"/>
      <c r="CA589" s="190">
        <v>46280.666666666701</v>
      </c>
      <c r="CB589" s="3"/>
      <c r="CC589" s="16"/>
      <c r="CD589" s="16"/>
      <c r="CE589" s="16"/>
      <c r="CF589" s="16"/>
      <c r="CG589" s="16"/>
      <c r="CH589" s="16"/>
      <c r="CI589" s="16" t="s">
        <v>5321</v>
      </c>
    </row>
    <row r="590" spans="1:87">
      <c r="A590" s="16" t="s">
        <v>5</v>
      </c>
      <c r="B590" s="16" t="s">
        <v>5322</v>
      </c>
      <c r="C590" s="3">
        <v>46276</v>
      </c>
      <c r="D590" s="16" t="s">
        <v>1</v>
      </c>
      <c r="E590" s="16" t="s">
        <v>5323</v>
      </c>
      <c r="F590" s="16"/>
      <c r="G590" s="16">
        <v>40</v>
      </c>
      <c r="H590" s="16">
        <v>57</v>
      </c>
      <c r="I590" s="16" t="s">
        <v>559</v>
      </c>
      <c r="J590" s="16" t="s">
        <v>5323</v>
      </c>
      <c r="K590" s="16" t="s">
        <v>2369</v>
      </c>
      <c r="L590" s="16" t="s">
        <v>18</v>
      </c>
      <c r="M590" s="16">
        <v>1</v>
      </c>
      <c r="N590" s="16" t="s">
        <v>462</v>
      </c>
      <c r="O590" s="16" t="s">
        <v>562</v>
      </c>
      <c r="P590" s="16" t="s">
        <v>5324</v>
      </c>
      <c r="Q590" s="16" t="s">
        <v>1055</v>
      </c>
      <c r="R590" s="16" t="s">
        <v>1350</v>
      </c>
      <c r="S590" s="16" t="s">
        <v>5325</v>
      </c>
      <c r="T590" s="16">
        <v>281909</v>
      </c>
      <c r="U590" s="16">
        <v>46274.675000000003</v>
      </c>
      <c r="V590" s="16" t="s">
        <v>5326</v>
      </c>
      <c r="W590" s="16" t="s">
        <v>568</v>
      </c>
      <c r="X590" s="16" t="s">
        <v>471</v>
      </c>
      <c r="Y590" s="16" t="s">
        <v>569</v>
      </c>
      <c r="Z590" s="16" t="s">
        <v>570</v>
      </c>
      <c r="AA590" s="16" t="s">
        <v>1354</v>
      </c>
      <c r="AB590" s="16" t="s">
        <v>5327</v>
      </c>
      <c r="AC590" s="16" t="s">
        <v>572</v>
      </c>
      <c r="AD590" s="16">
        <v>940562680</v>
      </c>
      <c r="AE590" s="16">
        <v>1689035628</v>
      </c>
      <c r="AF590" s="16"/>
      <c r="AG590" s="16"/>
      <c r="AH590" s="16" t="s">
        <v>1076</v>
      </c>
      <c r="AI590" s="16" t="s">
        <v>225</v>
      </c>
      <c r="AJ590" s="16" t="s">
        <v>481</v>
      </c>
      <c r="AK590" s="16" t="s">
        <v>5328</v>
      </c>
      <c r="AL590" s="16">
        <v>64054.53</v>
      </c>
      <c r="AM590" s="16"/>
      <c r="AN590" s="16"/>
      <c r="AO590" s="16">
        <v>293</v>
      </c>
      <c r="AP590" s="16" t="s">
        <v>1063</v>
      </c>
      <c r="AQ590" s="16" t="s">
        <v>5329</v>
      </c>
      <c r="AR590" s="3">
        <v>46274</v>
      </c>
      <c r="AS590" s="16" t="s">
        <v>225</v>
      </c>
      <c r="AT590" s="16" t="s">
        <v>3823</v>
      </c>
      <c r="AU590" s="16"/>
      <c r="AV590" s="16" t="s">
        <v>5330</v>
      </c>
      <c r="AW590" s="16"/>
      <c r="AX590" s="16"/>
      <c r="AY590" s="16"/>
      <c r="AZ590" s="16"/>
      <c r="BA590" s="16"/>
      <c r="BB590" s="16"/>
      <c r="BC590" s="16"/>
      <c r="BD590" s="16" t="s">
        <v>225</v>
      </c>
      <c r="BE590" s="16">
        <v>57</v>
      </c>
      <c r="BF590" s="16" t="s">
        <v>5331</v>
      </c>
      <c r="BG590" s="16"/>
      <c r="BH590" s="16" t="s">
        <v>491</v>
      </c>
      <c r="BI590" s="16">
        <v>515981560</v>
      </c>
      <c r="BJ590" s="16"/>
      <c r="BK590" s="16"/>
      <c r="BL590" s="16"/>
      <c r="BM590" s="16"/>
      <c r="BN590" s="16"/>
      <c r="BO590" s="16"/>
      <c r="BP590" s="16"/>
      <c r="BQ590" s="16"/>
      <c r="BR590" s="16"/>
      <c r="BS590" s="16"/>
      <c r="BT590" s="16"/>
      <c r="BU590" s="16"/>
      <c r="BV590" s="16"/>
      <c r="BW590" s="16"/>
      <c r="BX590" s="16"/>
      <c r="BY590" s="16"/>
      <c r="BZ590" s="16"/>
      <c r="CA590" s="190">
        <v>46281.666666666701</v>
      </c>
      <c r="CB590" s="3"/>
      <c r="CC590" s="16"/>
      <c r="CD590" s="16"/>
      <c r="CE590" s="16"/>
      <c r="CF590" s="16"/>
      <c r="CG590" s="16"/>
      <c r="CH590" s="16"/>
      <c r="CI590" s="16" t="s">
        <v>5332</v>
      </c>
    </row>
    <row r="591" spans="1:87">
      <c r="A591" s="16"/>
      <c r="B591" s="16"/>
      <c r="C591" s="3">
        <v>46276</v>
      </c>
      <c r="D591" s="16" t="s">
        <v>1</v>
      </c>
      <c r="E591" s="16" t="s">
        <v>5333</v>
      </c>
      <c r="F591" s="16">
        <v>2026203240359</v>
      </c>
      <c r="G591" s="16">
        <v>40</v>
      </c>
      <c r="H591" s="16">
        <v>50</v>
      </c>
      <c r="I591" s="16" t="s">
        <v>559</v>
      </c>
      <c r="J591" s="16" t="s">
        <v>5333</v>
      </c>
      <c r="K591" s="16" t="s">
        <v>983</v>
      </c>
      <c r="L591" s="16" t="s">
        <v>17</v>
      </c>
      <c r="M591" s="16">
        <v>48</v>
      </c>
      <c r="N591" s="16" t="s">
        <v>462</v>
      </c>
      <c r="O591" s="16" t="s">
        <v>4717</v>
      </c>
      <c r="P591" s="16" t="s">
        <v>5334</v>
      </c>
      <c r="Q591" s="16" t="s">
        <v>465</v>
      </c>
      <c r="R591" s="16" t="s">
        <v>466</v>
      </c>
      <c r="S591" s="16" t="s">
        <v>5335</v>
      </c>
      <c r="T591" s="16" t="s">
        <v>5336</v>
      </c>
      <c r="U591" s="16"/>
      <c r="V591" s="16" t="s">
        <v>469</v>
      </c>
      <c r="W591" s="16" t="s">
        <v>470</v>
      </c>
      <c r="X591" s="16" t="s">
        <v>471</v>
      </c>
      <c r="Y591" s="16" t="s">
        <v>523</v>
      </c>
      <c r="Z591" s="16" t="s">
        <v>590</v>
      </c>
      <c r="AA591" s="16" t="s">
        <v>474</v>
      </c>
      <c r="AB591" s="16" t="s">
        <v>5337</v>
      </c>
      <c r="AC591" s="16" t="s">
        <v>592</v>
      </c>
      <c r="AD591" s="16">
        <v>840593455</v>
      </c>
      <c r="AE591" s="16">
        <v>1770579385</v>
      </c>
      <c r="AF591" s="16">
        <v>1861440729</v>
      </c>
      <c r="AG591" s="16"/>
      <c r="AH591" s="16"/>
      <c r="AI591" s="16" t="s">
        <v>34</v>
      </c>
      <c r="AJ591" s="16" t="s">
        <v>481</v>
      </c>
      <c r="AK591" s="16" t="s">
        <v>5338</v>
      </c>
      <c r="AL591" s="16">
        <v>8349</v>
      </c>
      <c r="AM591" s="16"/>
      <c r="AN591" s="16"/>
      <c r="AO591" s="16">
        <v>378</v>
      </c>
      <c r="AP591" s="16" t="s">
        <v>485</v>
      </c>
      <c r="AQ591" s="16" t="s">
        <v>5339</v>
      </c>
      <c r="AR591" s="3">
        <v>46227</v>
      </c>
      <c r="AS591" s="16" t="s">
        <v>983</v>
      </c>
      <c r="AT591" s="16" t="s">
        <v>5340</v>
      </c>
      <c r="AU591" s="16"/>
      <c r="AV591" s="16" t="s">
        <v>5341</v>
      </c>
      <c r="AW591" s="16"/>
      <c r="AX591" s="16"/>
      <c r="AY591" s="16"/>
      <c r="AZ591" s="16"/>
      <c r="BA591" s="16"/>
      <c r="BB591" s="16"/>
      <c r="BC591" s="16"/>
      <c r="BD591" s="16" t="s">
        <v>34</v>
      </c>
      <c r="BE591" s="16">
        <v>50</v>
      </c>
      <c r="BF591" s="16"/>
      <c r="BG591" s="16"/>
      <c r="BH591" s="16" t="s">
        <v>491</v>
      </c>
      <c r="BI591" s="16">
        <v>524478988</v>
      </c>
      <c r="BJ591" s="16"/>
      <c r="BK591" s="16"/>
      <c r="BL591" s="16"/>
      <c r="BM591" s="16"/>
      <c r="BN591" s="16"/>
      <c r="BO591" s="16"/>
      <c r="BP591" s="16"/>
      <c r="BQ591" s="16"/>
      <c r="BR591" s="16"/>
      <c r="BS591" s="16"/>
      <c r="BT591" s="16"/>
      <c r="BU591" s="16"/>
      <c r="BV591" s="16"/>
      <c r="BW591" s="16"/>
      <c r="BX591" s="16"/>
      <c r="BY591" s="16"/>
      <c r="BZ591" s="16"/>
      <c r="CA591" s="190">
        <v>46275</v>
      </c>
      <c r="CB591" s="3"/>
      <c r="CC591" s="16"/>
      <c r="CD591" s="16"/>
      <c r="CE591" s="16"/>
      <c r="CF591" s="16"/>
      <c r="CG591" s="16"/>
      <c r="CH591" s="16"/>
      <c r="CI591" s="16" t="s">
        <v>5342</v>
      </c>
    </row>
    <row r="592" spans="1:87">
      <c r="A592" s="16"/>
      <c r="B592" s="16"/>
      <c r="C592" s="3">
        <v>46276</v>
      </c>
      <c r="D592" s="16" t="s">
        <v>1</v>
      </c>
      <c r="E592" s="16" t="s">
        <v>5343</v>
      </c>
      <c r="F592" s="16">
        <v>2026196380130</v>
      </c>
      <c r="G592" s="16">
        <v>40</v>
      </c>
      <c r="H592" s="16">
        <v>57</v>
      </c>
      <c r="I592" s="16" t="s">
        <v>559</v>
      </c>
      <c r="J592" s="16" t="s">
        <v>5343</v>
      </c>
      <c r="K592" s="16" t="s">
        <v>540</v>
      </c>
      <c r="L592" s="16" t="s">
        <v>18</v>
      </c>
      <c r="M592" s="16">
        <v>1</v>
      </c>
      <c r="N592" s="16" t="s">
        <v>462</v>
      </c>
      <c r="O592" s="16" t="s">
        <v>497</v>
      </c>
      <c r="P592" s="16" t="s">
        <v>5344</v>
      </c>
      <c r="Q592" s="16" t="s">
        <v>564</v>
      </c>
      <c r="R592" s="16" t="s">
        <v>466</v>
      </c>
      <c r="S592" s="16" t="s">
        <v>5345</v>
      </c>
      <c r="T592" s="16" t="s">
        <v>5346</v>
      </c>
      <c r="U592" s="16">
        <v>46274.326388888891</v>
      </c>
      <c r="V592" s="16" t="s">
        <v>469</v>
      </c>
      <c r="W592" s="16" t="s">
        <v>568</v>
      </c>
      <c r="X592" s="16" t="s">
        <v>471</v>
      </c>
      <c r="Y592" s="16" t="s">
        <v>1724</v>
      </c>
      <c r="Z592" s="16" t="s">
        <v>570</v>
      </c>
      <c r="AA592" s="16" t="s">
        <v>474</v>
      </c>
      <c r="AB592" s="16" t="s">
        <v>5347</v>
      </c>
      <c r="AC592" s="16" t="s">
        <v>572</v>
      </c>
      <c r="AD592" s="16">
        <v>822772623</v>
      </c>
      <c r="AE592" s="16">
        <v>1528587250</v>
      </c>
      <c r="AF592" s="16">
        <v>1972199446</v>
      </c>
      <c r="AG592" s="16"/>
      <c r="AH592" s="16" t="s">
        <v>1076</v>
      </c>
      <c r="AI592" s="16" t="s">
        <v>31</v>
      </c>
      <c r="AJ592" s="16" t="s">
        <v>481</v>
      </c>
      <c r="AK592" s="16" t="s">
        <v>5348</v>
      </c>
      <c r="AL592" s="16">
        <v>1030</v>
      </c>
      <c r="AM592" s="16"/>
      <c r="AN592" s="16"/>
      <c r="AO592" s="16">
        <v>998</v>
      </c>
      <c r="AP592" s="16" t="s">
        <v>485</v>
      </c>
      <c r="AQ592" s="16" t="s">
        <v>5349</v>
      </c>
      <c r="AR592" s="3">
        <v>46274</v>
      </c>
      <c r="AS592" s="16" t="s">
        <v>31</v>
      </c>
      <c r="AT592" s="16" t="s">
        <v>5051</v>
      </c>
      <c r="AU592" s="16"/>
      <c r="AV592" s="16" t="s">
        <v>5350</v>
      </c>
      <c r="AW592" s="16"/>
      <c r="AX592" s="16"/>
      <c r="AY592" s="16"/>
      <c r="AZ592" s="16"/>
      <c r="BA592" s="16"/>
      <c r="BB592" s="16"/>
      <c r="BC592" s="16"/>
      <c r="BD592" s="16" t="s">
        <v>31</v>
      </c>
      <c r="BE592" s="16">
        <v>57</v>
      </c>
      <c r="BF592" s="16"/>
      <c r="BG592" s="16"/>
      <c r="BH592" s="16" t="s">
        <v>491</v>
      </c>
      <c r="BI592" s="16">
        <v>621121457</v>
      </c>
      <c r="BJ592" s="16"/>
      <c r="BK592" s="16"/>
      <c r="BL592" s="16"/>
      <c r="BM592" s="16"/>
      <c r="BN592" s="16"/>
      <c r="BO592" s="16"/>
      <c r="BP592" s="16"/>
      <c r="BQ592" s="16"/>
      <c r="BR592" s="16"/>
      <c r="BS592" s="16"/>
      <c r="BT592" s="16"/>
      <c r="BU592" s="16"/>
      <c r="BV592" s="16"/>
      <c r="BW592" s="16"/>
      <c r="BX592" s="16"/>
      <c r="BY592" s="16"/>
      <c r="BZ592" s="16"/>
      <c r="CA592" s="190">
        <v>46275</v>
      </c>
      <c r="CB592" s="3"/>
      <c r="CC592" s="16"/>
      <c r="CD592" s="16"/>
      <c r="CE592" s="16"/>
      <c r="CF592" s="16"/>
      <c r="CG592" s="16"/>
      <c r="CH592" s="16"/>
      <c r="CI592" s="16" t="s">
        <v>5351</v>
      </c>
    </row>
    <row r="593" spans="1:87">
      <c r="A593" s="16" t="s">
        <v>5</v>
      </c>
      <c r="B593" s="16" t="s">
        <v>2833</v>
      </c>
      <c r="C593" s="3">
        <v>46276</v>
      </c>
      <c r="D593" s="16" t="s">
        <v>1</v>
      </c>
      <c r="E593" s="16" t="s">
        <v>5352</v>
      </c>
      <c r="F593" s="16">
        <v>2026199060165</v>
      </c>
      <c r="G593" s="16">
        <v>40</v>
      </c>
      <c r="H593" s="16">
        <v>56</v>
      </c>
      <c r="I593" s="16" t="s">
        <v>559</v>
      </c>
      <c r="J593" s="16" t="s">
        <v>5352</v>
      </c>
      <c r="K593" s="16" t="s">
        <v>2369</v>
      </c>
      <c r="L593" s="16" t="s">
        <v>18</v>
      </c>
      <c r="M593" s="16">
        <v>2</v>
      </c>
      <c r="N593" s="16" t="s">
        <v>462</v>
      </c>
      <c r="O593" s="16" t="s">
        <v>606</v>
      </c>
      <c r="P593" s="16" t="s">
        <v>5353</v>
      </c>
      <c r="Q593" s="16" t="s">
        <v>465</v>
      </c>
      <c r="R593" s="16" t="s">
        <v>466</v>
      </c>
      <c r="S593" s="16" t="s">
        <v>5354</v>
      </c>
      <c r="T593" s="16">
        <v>980925</v>
      </c>
      <c r="U593" s="16">
        <v>46246.120138888888</v>
      </c>
      <c r="V593" s="16" t="s">
        <v>469</v>
      </c>
      <c r="W593" s="16" t="s">
        <v>470</v>
      </c>
      <c r="X593" s="16" t="s">
        <v>471</v>
      </c>
      <c r="Y593" s="16" t="s">
        <v>523</v>
      </c>
      <c r="Z593" s="16" t="s">
        <v>665</v>
      </c>
      <c r="AA593" s="16" t="s">
        <v>474</v>
      </c>
      <c r="AB593" s="16" t="s">
        <v>2802</v>
      </c>
      <c r="AC593" s="16" t="s">
        <v>640</v>
      </c>
      <c r="AD593" s="16">
        <v>264709927</v>
      </c>
      <c r="AE593" s="16">
        <v>1912131392</v>
      </c>
      <c r="AF593" s="16">
        <v>1558548719</v>
      </c>
      <c r="AG593" s="16"/>
      <c r="AH593" s="16" t="s">
        <v>1076</v>
      </c>
      <c r="AI593" s="16" t="s">
        <v>225</v>
      </c>
      <c r="AJ593" s="16" t="s">
        <v>481</v>
      </c>
      <c r="AK593" s="16" t="s">
        <v>5355</v>
      </c>
      <c r="AL593" s="16">
        <v>13772</v>
      </c>
      <c r="AM593" s="16"/>
      <c r="AN593" s="16"/>
      <c r="AO593" s="16">
        <v>236</v>
      </c>
      <c r="AP593" s="16" t="s">
        <v>485</v>
      </c>
      <c r="AQ593" s="16" t="s">
        <v>5356</v>
      </c>
      <c r="AR593" s="3">
        <v>46273</v>
      </c>
      <c r="AS593" s="16" t="s">
        <v>225</v>
      </c>
      <c r="AT593" s="16" t="s">
        <v>719</v>
      </c>
      <c r="AU593" s="16"/>
      <c r="AV593" s="16" t="s">
        <v>5357</v>
      </c>
      <c r="AW593" s="16"/>
      <c r="AX593" s="16"/>
      <c r="AY593" s="16"/>
      <c r="AZ593" s="16"/>
      <c r="BA593" s="16"/>
      <c r="BB593" s="16"/>
      <c r="BC593" s="16"/>
      <c r="BD593" s="16" t="s">
        <v>225</v>
      </c>
      <c r="BE593" s="16">
        <v>54</v>
      </c>
      <c r="BF593" s="16"/>
      <c r="BG593" s="16"/>
      <c r="BH593" s="16" t="s">
        <v>491</v>
      </c>
      <c r="BI593" s="16">
        <v>55780933</v>
      </c>
      <c r="BJ593" s="16"/>
      <c r="BK593" s="16"/>
      <c r="BL593" s="16"/>
      <c r="BM593" s="16"/>
      <c r="BN593" s="16"/>
      <c r="BO593" s="16"/>
      <c r="BP593" s="16"/>
      <c r="BQ593" s="16"/>
      <c r="BR593" s="16"/>
      <c r="BS593" s="16"/>
      <c r="BT593" s="16"/>
      <c r="BU593" s="16"/>
      <c r="BV593" s="16"/>
      <c r="BW593" s="16"/>
      <c r="BX593" s="16"/>
      <c r="BY593" s="16"/>
      <c r="BZ593" s="16"/>
      <c r="CA593" s="190">
        <v>46281.666666666701</v>
      </c>
      <c r="CB593" s="3"/>
      <c r="CC593" s="16"/>
      <c r="CD593" s="16"/>
      <c r="CE593" s="16"/>
      <c r="CF593" s="16"/>
      <c r="CG593" s="16"/>
      <c r="CH593" s="16"/>
      <c r="CI593" s="16" t="s">
        <v>5358</v>
      </c>
    </row>
    <row r="594" spans="1:87">
      <c r="A594" s="16" t="s">
        <v>5</v>
      </c>
      <c r="B594" s="16" t="s">
        <v>5359</v>
      </c>
      <c r="C594" s="3">
        <v>46276</v>
      </c>
      <c r="D594" s="16" t="s">
        <v>1</v>
      </c>
      <c r="E594" s="16" t="s">
        <v>5360</v>
      </c>
      <c r="F594" s="16">
        <v>2026196290327</v>
      </c>
      <c r="G594" s="16">
        <v>40</v>
      </c>
      <c r="H594" s="16">
        <v>57</v>
      </c>
      <c r="I594" s="16" t="s">
        <v>559</v>
      </c>
      <c r="J594" s="16" t="s">
        <v>5360</v>
      </c>
      <c r="K594" s="16" t="s">
        <v>496</v>
      </c>
      <c r="L594" s="16" t="s">
        <v>17</v>
      </c>
      <c r="M594" s="16">
        <v>2</v>
      </c>
      <c r="N594" s="16" t="s">
        <v>462</v>
      </c>
      <c r="O594" s="16" t="s">
        <v>497</v>
      </c>
      <c r="P594" s="16">
        <v>823172586</v>
      </c>
      <c r="Q594" s="16" t="s">
        <v>465</v>
      </c>
      <c r="R594" s="16" t="s">
        <v>466</v>
      </c>
      <c r="S594" s="16" t="s">
        <v>5361</v>
      </c>
      <c r="T594" s="16" t="s">
        <v>928</v>
      </c>
      <c r="U594" s="16">
        <v>46272.729166666664</v>
      </c>
      <c r="V594" s="16" t="s">
        <v>469</v>
      </c>
      <c r="W594" s="16" t="s">
        <v>651</v>
      </c>
      <c r="X594" s="16" t="s">
        <v>652</v>
      </c>
      <c r="Y594" s="16" t="s">
        <v>653</v>
      </c>
      <c r="Z594" s="16" t="s">
        <v>544</v>
      </c>
      <c r="AA594" s="16" t="s">
        <v>474</v>
      </c>
      <c r="AB594" s="16" t="s">
        <v>929</v>
      </c>
      <c r="AC594" s="16" t="s">
        <v>526</v>
      </c>
      <c r="AD594" s="16">
        <v>310537486</v>
      </c>
      <c r="AE594" s="16">
        <v>1508835828</v>
      </c>
      <c r="AF594" s="16"/>
      <c r="AG594" s="16">
        <v>1.02202601539933E+16</v>
      </c>
      <c r="AH594" s="16"/>
      <c r="AI594" s="16" t="s">
        <v>91</v>
      </c>
      <c r="AJ594" s="16" t="s">
        <v>481</v>
      </c>
      <c r="AK594" s="16" t="s">
        <v>5362</v>
      </c>
      <c r="AL594" s="16">
        <v>2585.0100000000002</v>
      </c>
      <c r="AM594" s="16"/>
      <c r="AN594" s="16"/>
      <c r="AO594" s="16">
        <v>823</v>
      </c>
      <c r="AP594" s="16" t="s">
        <v>485</v>
      </c>
      <c r="AQ594" s="16" t="s">
        <v>5363</v>
      </c>
      <c r="AR594" s="3">
        <v>46273</v>
      </c>
      <c r="AS594" s="16" t="s">
        <v>91</v>
      </c>
      <c r="AT594" s="16" t="s">
        <v>5364</v>
      </c>
      <c r="AU594" s="16"/>
      <c r="AV594" s="16" t="s">
        <v>5365</v>
      </c>
      <c r="AW594" s="16"/>
      <c r="AX594" s="16"/>
      <c r="AY594" s="16"/>
      <c r="AZ594" s="16"/>
      <c r="BA594" s="16"/>
      <c r="BB594" s="16"/>
      <c r="BC594" s="16"/>
      <c r="BD594" s="16" t="s">
        <v>91</v>
      </c>
      <c r="BE594" s="16">
        <v>57</v>
      </c>
      <c r="BF594" s="16"/>
      <c r="BG594" s="16" t="s">
        <v>490</v>
      </c>
      <c r="BH594" s="16" t="s">
        <v>658</v>
      </c>
      <c r="BI594" s="16">
        <v>823172586</v>
      </c>
      <c r="BJ594" s="16"/>
      <c r="BK594" s="16"/>
      <c r="BL594" s="16"/>
      <c r="BM594" s="16"/>
      <c r="BN594" s="16"/>
      <c r="BO594" s="16"/>
      <c r="BP594" s="16"/>
      <c r="BQ594" s="16"/>
      <c r="BR594" s="16"/>
      <c r="BS594" s="16"/>
      <c r="BT594" s="16"/>
      <c r="BU594" s="16"/>
      <c r="BV594" s="16"/>
      <c r="BW594" s="16"/>
      <c r="BX594" s="16"/>
      <c r="BY594" s="16"/>
      <c r="BZ594" s="16"/>
      <c r="CA594" s="190">
        <v>46281.666666666701</v>
      </c>
      <c r="CB594" s="3"/>
      <c r="CC594" s="16"/>
      <c r="CD594" s="16"/>
      <c r="CE594" s="16"/>
      <c r="CF594" s="16"/>
      <c r="CG594" s="16"/>
      <c r="CH594" s="16"/>
      <c r="CI594" s="16" t="s">
        <v>5366</v>
      </c>
    </row>
    <row r="595" spans="1:87">
      <c r="A595" s="16"/>
      <c r="B595" s="16"/>
      <c r="C595" s="3">
        <v>46276</v>
      </c>
      <c r="D595" s="16" t="s">
        <v>1</v>
      </c>
      <c r="E595" s="16" t="s">
        <v>5367</v>
      </c>
      <c r="F595" s="16">
        <v>2026205600446</v>
      </c>
      <c r="G595" s="16">
        <v>40</v>
      </c>
      <c r="H595" s="16">
        <v>48</v>
      </c>
      <c r="I595" s="16" t="s">
        <v>559</v>
      </c>
      <c r="J595" s="16" t="s">
        <v>5367</v>
      </c>
      <c r="K595" s="16" t="s">
        <v>960</v>
      </c>
      <c r="L595" s="16" t="s">
        <v>13</v>
      </c>
      <c r="M595" s="16">
        <v>6</v>
      </c>
      <c r="N595" s="16" t="s">
        <v>462</v>
      </c>
      <c r="O595" s="16" t="s">
        <v>606</v>
      </c>
      <c r="P595" s="16" t="s">
        <v>5368</v>
      </c>
      <c r="Q595" s="16" t="s">
        <v>465</v>
      </c>
      <c r="R595" s="16" t="s">
        <v>466</v>
      </c>
      <c r="S595" s="16" t="s">
        <v>5369</v>
      </c>
      <c r="T595" s="16" t="s">
        <v>465</v>
      </c>
      <c r="U595" s="16">
        <v>46268.989583333336</v>
      </c>
      <c r="V595" s="16" t="s">
        <v>469</v>
      </c>
      <c r="W595" s="16" t="s">
        <v>470</v>
      </c>
      <c r="X595" s="16" t="s">
        <v>471</v>
      </c>
      <c r="Y595" s="16" t="s">
        <v>472</v>
      </c>
      <c r="Z595" s="16" t="s">
        <v>473</v>
      </c>
      <c r="AA595" s="16" t="s">
        <v>474</v>
      </c>
      <c r="AB595" s="16" t="s">
        <v>2701</v>
      </c>
      <c r="AC595" s="16" t="s">
        <v>476</v>
      </c>
      <c r="AD595" s="16">
        <v>391228742</v>
      </c>
      <c r="AE595" s="16">
        <v>1295776649</v>
      </c>
      <c r="AF595" s="16">
        <v>1437146099</v>
      </c>
      <c r="AG595" s="16"/>
      <c r="AH595" s="16"/>
      <c r="AI595" s="16" t="s">
        <v>55</v>
      </c>
      <c r="AJ595" s="16" t="s">
        <v>481</v>
      </c>
      <c r="AK595" s="16" t="s">
        <v>5370</v>
      </c>
      <c r="AL595" s="16">
        <v>4280</v>
      </c>
      <c r="AM595" s="16"/>
      <c r="AN595" s="16"/>
      <c r="AO595" s="16">
        <v>296</v>
      </c>
      <c r="AP595" s="16" t="s">
        <v>485</v>
      </c>
      <c r="AQ595" s="16" t="s">
        <v>5371</v>
      </c>
      <c r="AR595" s="3">
        <v>46269</v>
      </c>
      <c r="AS595" s="16" t="s">
        <v>55</v>
      </c>
      <c r="AT595" s="16" t="s">
        <v>719</v>
      </c>
      <c r="AU595" s="16"/>
      <c r="AV595" s="16" t="s">
        <v>5372</v>
      </c>
      <c r="AW595" s="16"/>
      <c r="AX595" s="16"/>
      <c r="AY595" s="16"/>
      <c r="AZ595" s="16"/>
      <c r="BA595" s="16"/>
      <c r="BB595" s="16"/>
      <c r="BC595" s="16"/>
      <c r="BD595" s="16" t="s">
        <v>55</v>
      </c>
      <c r="BE595" s="16">
        <v>48</v>
      </c>
      <c r="BF595" s="16"/>
      <c r="BG595" s="16"/>
      <c r="BH595" s="16" t="s">
        <v>491</v>
      </c>
      <c r="BI595" s="16">
        <v>393924886</v>
      </c>
      <c r="BJ595" s="16"/>
      <c r="BK595" s="16"/>
      <c r="BL595" s="16"/>
      <c r="BM595" s="16"/>
      <c r="BN595" s="16"/>
      <c r="BO595" s="16"/>
      <c r="BP595" s="16"/>
      <c r="BQ595" s="16"/>
      <c r="BR595" s="16"/>
      <c r="BS595" s="16"/>
      <c r="BT595" s="16"/>
      <c r="BU595" s="16"/>
      <c r="BV595" s="16"/>
      <c r="BW595" s="16"/>
      <c r="BX595" s="16"/>
      <c r="BY595" s="16"/>
      <c r="BZ595" s="16"/>
      <c r="CA595" s="190">
        <v>46275</v>
      </c>
      <c r="CB595" s="3"/>
      <c r="CC595" s="16"/>
      <c r="CD595" s="16"/>
      <c r="CE595" s="16"/>
      <c r="CF595" s="16"/>
      <c r="CG595" s="16"/>
      <c r="CH595" s="16"/>
      <c r="CI595" s="16" t="s">
        <v>5373</v>
      </c>
    </row>
    <row r="596" spans="1:87">
      <c r="A596" s="16" t="s">
        <v>5</v>
      </c>
      <c r="B596" s="16" t="s">
        <v>719</v>
      </c>
      <c r="C596" s="3">
        <v>46276</v>
      </c>
      <c r="D596" s="16" t="s">
        <v>1</v>
      </c>
      <c r="E596" s="16" t="s">
        <v>5374</v>
      </c>
      <c r="F596" s="16">
        <v>2026205480286</v>
      </c>
      <c r="G596" s="16">
        <v>40</v>
      </c>
      <c r="H596" s="16">
        <v>49</v>
      </c>
      <c r="I596" s="16" t="s">
        <v>559</v>
      </c>
      <c r="J596" s="16" t="s">
        <v>5374</v>
      </c>
      <c r="K596" s="16" t="s">
        <v>461</v>
      </c>
      <c r="L596" s="16" t="s">
        <v>17</v>
      </c>
      <c r="M596" s="16">
        <v>6</v>
      </c>
      <c r="N596" s="16" t="s">
        <v>462</v>
      </c>
      <c r="O596" s="16" t="s">
        <v>606</v>
      </c>
      <c r="P596" s="16" t="s">
        <v>5375</v>
      </c>
      <c r="Q596" s="16" t="s">
        <v>465</v>
      </c>
      <c r="R596" s="16" t="s">
        <v>466</v>
      </c>
      <c r="S596" s="16" t="s">
        <v>5376</v>
      </c>
      <c r="T596" s="16" t="s">
        <v>465</v>
      </c>
      <c r="U596" s="16">
        <v>46268.885416666664</v>
      </c>
      <c r="V596" s="16" t="s">
        <v>469</v>
      </c>
      <c r="W596" s="16" t="s">
        <v>470</v>
      </c>
      <c r="X596" s="16" t="s">
        <v>471</v>
      </c>
      <c r="Y596" s="16" t="s">
        <v>472</v>
      </c>
      <c r="Z596" s="16" t="s">
        <v>1338</v>
      </c>
      <c r="AA596" s="16" t="s">
        <v>474</v>
      </c>
      <c r="AB596" s="16" t="s">
        <v>5377</v>
      </c>
      <c r="AC596" s="16" t="s">
        <v>1429</v>
      </c>
      <c r="AD596" s="16">
        <v>60646973</v>
      </c>
      <c r="AE596" s="16">
        <v>1205822236</v>
      </c>
      <c r="AF596" s="16">
        <v>1588830566</v>
      </c>
      <c r="AG596" s="16"/>
      <c r="AH596" s="16"/>
      <c r="AI596" s="16" t="s">
        <v>67</v>
      </c>
      <c r="AJ596" s="16" t="s">
        <v>481</v>
      </c>
      <c r="AK596" s="16" t="s">
        <v>5378</v>
      </c>
      <c r="AL596" s="16">
        <v>76765</v>
      </c>
      <c r="AM596" s="16"/>
      <c r="AN596" s="16"/>
      <c r="AO596" s="16">
        <v>948</v>
      </c>
      <c r="AP596" s="16" t="s">
        <v>485</v>
      </c>
      <c r="AQ596" s="16" t="s">
        <v>5379</v>
      </c>
      <c r="AR596" s="3">
        <v>46269</v>
      </c>
      <c r="AS596" s="16" t="s">
        <v>67</v>
      </c>
      <c r="AT596" s="16" t="s">
        <v>719</v>
      </c>
      <c r="AU596" s="16"/>
      <c r="AV596" s="16" t="s">
        <v>5380</v>
      </c>
      <c r="AW596" s="16"/>
      <c r="AX596" s="16"/>
      <c r="AY596" s="16"/>
      <c r="AZ596" s="16"/>
      <c r="BA596" s="16"/>
      <c r="BB596" s="16"/>
      <c r="BC596" s="16"/>
      <c r="BD596" s="16" t="s">
        <v>67</v>
      </c>
      <c r="BE596" s="16">
        <v>48</v>
      </c>
      <c r="BF596" s="16"/>
      <c r="BG596" s="16"/>
      <c r="BH596" s="16" t="s">
        <v>491</v>
      </c>
      <c r="BI596" s="16">
        <v>48684404</v>
      </c>
      <c r="BJ596" s="16"/>
      <c r="BK596" s="16"/>
      <c r="BL596" s="16"/>
      <c r="BM596" s="16"/>
      <c r="BN596" s="16"/>
      <c r="BO596" s="16"/>
      <c r="BP596" s="16"/>
      <c r="BQ596" s="16"/>
      <c r="BR596" s="16"/>
      <c r="BS596" s="16"/>
      <c r="BT596" s="16"/>
      <c r="BU596" s="16"/>
      <c r="BV596" s="16"/>
      <c r="BW596" s="16"/>
      <c r="BX596" s="16"/>
      <c r="BY596" s="16"/>
      <c r="BZ596" s="16"/>
      <c r="CA596" s="190">
        <v>46275.166666666701</v>
      </c>
      <c r="CB596" s="3"/>
      <c r="CC596" s="16"/>
      <c r="CD596" s="16"/>
      <c r="CE596" s="16"/>
      <c r="CF596" s="16"/>
      <c r="CG596" s="16"/>
      <c r="CH596" s="16"/>
      <c r="CI596" s="16" t="s">
        <v>5381</v>
      </c>
    </row>
    <row r="597" spans="1:87">
      <c r="A597" s="16" t="s">
        <v>4</v>
      </c>
      <c r="B597" s="16" t="s">
        <v>4</v>
      </c>
      <c r="C597" s="3">
        <v>46276</v>
      </c>
      <c r="D597" s="16" t="s">
        <v>1</v>
      </c>
      <c r="E597" s="16" t="s">
        <v>5382</v>
      </c>
      <c r="F597" s="16" t="s">
        <v>5383</v>
      </c>
      <c r="G597" s="16">
        <v>40</v>
      </c>
      <c r="H597" s="16">
        <v>51</v>
      </c>
      <c r="I597" s="16" t="s">
        <v>559</v>
      </c>
      <c r="J597" s="16" t="s">
        <v>5382</v>
      </c>
      <c r="K597" s="16" t="s">
        <v>5384</v>
      </c>
      <c r="L597" s="16" t="s">
        <v>18</v>
      </c>
      <c r="M597" s="16">
        <v>6</v>
      </c>
      <c r="N597" s="16" t="s">
        <v>462</v>
      </c>
      <c r="O597" s="16" t="s">
        <v>606</v>
      </c>
      <c r="P597" s="16" t="s">
        <v>5385</v>
      </c>
      <c r="Q597" s="16" t="s">
        <v>1055</v>
      </c>
      <c r="R597" s="16" t="s">
        <v>1056</v>
      </c>
      <c r="S597" s="16" t="s">
        <v>5386</v>
      </c>
      <c r="T597" s="16" t="s">
        <v>5387</v>
      </c>
      <c r="U597" s="16">
        <v>46268.939583333333</v>
      </c>
      <c r="V597" s="16" t="s">
        <v>469</v>
      </c>
      <c r="W597" s="16" t="s">
        <v>568</v>
      </c>
      <c r="X597" s="16" t="s">
        <v>471</v>
      </c>
      <c r="Y597" s="16" t="s">
        <v>569</v>
      </c>
      <c r="Z597" s="16" t="s">
        <v>524</v>
      </c>
      <c r="AA597" s="16" t="s">
        <v>1059</v>
      </c>
      <c r="AB597" s="16" t="s">
        <v>5388</v>
      </c>
      <c r="AC597" s="16" t="s">
        <v>640</v>
      </c>
      <c r="AD597" s="16">
        <v>135562308</v>
      </c>
      <c r="AE597" s="16">
        <v>1285826438</v>
      </c>
      <c r="AF597" s="16">
        <v>1902867393</v>
      </c>
      <c r="AG597" s="16"/>
      <c r="AH597" s="16"/>
      <c r="AI597" s="16" t="s">
        <v>5389</v>
      </c>
      <c r="AJ597" s="16" t="s">
        <v>481</v>
      </c>
      <c r="AK597" s="16" t="s">
        <v>5390</v>
      </c>
      <c r="AL597" s="16">
        <v>158913</v>
      </c>
      <c r="AM597" s="16"/>
      <c r="AN597" s="16"/>
      <c r="AO597" s="16" t="s">
        <v>5391</v>
      </c>
      <c r="AP597" s="16" t="s">
        <v>485</v>
      </c>
      <c r="AQ597" s="16" t="s">
        <v>5392</v>
      </c>
      <c r="AR597" s="3">
        <v>46269</v>
      </c>
      <c r="AS597" s="16" t="s">
        <v>5389</v>
      </c>
      <c r="AT597" s="16" t="s">
        <v>5393</v>
      </c>
      <c r="AU597" s="16"/>
      <c r="AV597" s="16" t="s">
        <v>1120</v>
      </c>
      <c r="AW597" s="16"/>
      <c r="AX597" s="16"/>
      <c r="AY597" s="16"/>
      <c r="AZ597" s="16"/>
      <c r="BA597" s="16"/>
      <c r="BB597" s="16" t="s">
        <v>5394</v>
      </c>
      <c r="BC597" s="16"/>
      <c r="BD597" s="16" t="s">
        <v>5389</v>
      </c>
      <c r="BE597" s="16">
        <v>48</v>
      </c>
      <c r="BF597" s="16" t="s">
        <v>5395</v>
      </c>
      <c r="BG597" s="16" t="s">
        <v>1067</v>
      </c>
      <c r="BH597" s="16" t="s">
        <v>491</v>
      </c>
      <c r="BI597" s="16" t="s">
        <v>5396</v>
      </c>
      <c r="BJ597" s="16"/>
      <c r="BK597" s="16"/>
      <c r="BL597" s="16"/>
      <c r="BM597" s="16"/>
      <c r="BN597" s="16"/>
      <c r="BO597" s="16"/>
      <c r="BP597" s="16"/>
      <c r="BQ597" s="16"/>
      <c r="BR597" s="16"/>
      <c r="BS597" s="16"/>
      <c r="BT597" s="16"/>
      <c r="BU597" s="16"/>
      <c r="BV597" s="16"/>
      <c r="BW597" s="16"/>
      <c r="BX597" s="16"/>
      <c r="BY597" s="16"/>
      <c r="BZ597" s="16"/>
      <c r="CA597" s="190">
        <v>46285.666666666701</v>
      </c>
      <c r="CB597" s="3"/>
      <c r="CC597" s="16"/>
      <c r="CD597" s="16"/>
      <c r="CE597" s="16"/>
      <c r="CF597" s="16"/>
      <c r="CG597" s="16"/>
      <c r="CH597" s="16"/>
      <c r="CI597" s="16" t="s">
        <v>5397</v>
      </c>
    </row>
    <row r="598" spans="1:87">
      <c r="A598" s="16"/>
      <c r="B598" s="16"/>
      <c r="C598" s="3">
        <v>46276</v>
      </c>
      <c r="D598" s="16" t="s">
        <v>1</v>
      </c>
      <c r="E598" s="16" t="s">
        <v>5398</v>
      </c>
      <c r="F598" s="16">
        <v>2026202690587</v>
      </c>
      <c r="G598" s="16">
        <v>40</v>
      </c>
      <c r="H598" s="16">
        <v>51</v>
      </c>
      <c r="I598" s="16" t="s">
        <v>559</v>
      </c>
      <c r="J598" s="16" t="e">
        <v>#N/A</v>
      </c>
      <c r="K598" s="16" t="s">
        <v>625</v>
      </c>
      <c r="L598" s="16" t="s">
        <v>17</v>
      </c>
      <c r="M598" s="16">
        <v>0</v>
      </c>
      <c r="N598" s="16" t="s">
        <v>462</v>
      </c>
      <c r="O598" s="16" t="s">
        <v>4717</v>
      </c>
      <c r="P598" s="16" t="s">
        <v>5399</v>
      </c>
      <c r="Q598" s="16" t="s">
        <v>465</v>
      </c>
      <c r="R598" s="16" t="s">
        <v>466</v>
      </c>
      <c r="S598" s="16" t="s">
        <v>5400</v>
      </c>
      <c r="T598" s="16" t="s">
        <v>5401</v>
      </c>
      <c r="U598" s="16"/>
      <c r="V598" s="16" t="s">
        <v>469</v>
      </c>
      <c r="W598" s="16" t="s">
        <v>470</v>
      </c>
      <c r="X598" s="16" t="s">
        <v>471</v>
      </c>
      <c r="Y598" s="16" t="s">
        <v>472</v>
      </c>
      <c r="Z598" s="16" t="s">
        <v>590</v>
      </c>
      <c r="AA598" s="16" t="s">
        <v>474</v>
      </c>
      <c r="AB598" s="16" t="s">
        <v>5402</v>
      </c>
      <c r="AC598" s="16" t="s">
        <v>1932</v>
      </c>
      <c r="AD598" s="16">
        <v>621600397</v>
      </c>
      <c r="AE598" s="16">
        <v>1104870187</v>
      </c>
      <c r="AF598" s="16"/>
      <c r="AG598" s="16"/>
      <c r="AH598" s="16"/>
      <c r="AI598" s="16" t="s">
        <v>70</v>
      </c>
      <c r="AJ598" s="16" t="s">
        <v>481</v>
      </c>
      <c r="AK598" s="16" t="s">
        <v>5403</v>
      </c>
      <c r="AL598" s="16">
        <v>41530</v>
      </c>
      <c r="AM598" s="16"/>
      <c r="AN598" s="16"/>
      <c r="AO598" s="16">
        <v>690</v>
      </c>
      <c r="AP598" s="16" t="s">
        <v>485</v>
      </c>
      <c r="AQ598" s="16" t="s">
        <v>5404</v>
      </c>
      <c r="AR598" s="3">
        <v>46275</v>
      </c>
      <c r="AS598" s="16" t="s">
        <v>5405</v>
      </c>
      <c r="AT598" s="16" t="s">
        <v>5406</v>
      </c>
      <c r="AU598" s="16"/>
      <c r="AV598" s="16" t="s">
        <v>5407</v>
      </c>
      <c r="AW598" s="16"/>
      <c r="AX598" s="16"/>
      <c r="AY598" s="16"/>
      <c r="AZ598" s="16"/>
      <c r="BA598" s="16"/>
      <c r="BB598" s="16"/>
      <c r="BC598" s="16"/>
      <c r="BD598" s="16" t="s">
        <v>5408</v>
      </c>
      <c r="BE598" s="16">
        <v>51</v>
      </c>
      <c r="BF598" s="16"/>
      <c r="BG598" s="16"/>
      <c r="BH598" s="16" t="s">
        <v>491</v>
      </c>
      <c r="BI598" s="16">
        <v>235110368</v>
      </c>
      <c r="BJ598" s="16"/>
      <c r="BK598" s="16"/>
      <c r="BL598" s="16"/>
      <c r="BM598" s="16"/>
      <c r="BN598" s="16"/>
      <c r="BO598" s="16"/>
      <c r="BP598" s="16"/>
      <c r="BQ598" s="16"/>
      <c r="BR598" s="16"/>
      <c r="BS598" s="16"/>
      <c r="BT598" s="16"/>
      <c r="BU598" s="16"/>
      <c r="BV598" s="16"/>
      <c r="BW598" s="16"/>
      <c r="BX598" s="16"/>
      <c r="BY598" s="16"/>
      <c r="BZ598" s="16"/>
      <c r="CA598" s="190">
        <v>46275</v>
      </c>
      <c r="CB598" s="3"/>
      <c r="CC598" s="16"/>
      <c r="CD598" s="16"/>
      <c r="CE598" s="16"/>
      <c r="CF598" s="16"/>
      <c r="CG598" s="16"/>
      <c r="CH598" s="16"/>
      <c r="CI598" s="16" t="s">
        <v>5409</v>
      </c>
    </row>
    <row r="599" spans="1:87" ht="29.25">
      <c r="A599" s="16" t="s">
        <v>5</v>
      </c>
      <c r="B599" s="25" t="s">
        <v>5269</v>
      </c>
      <c r="C599" s="3">
        <v>46276</v>
      </c>
      <c r="D599" s="16" t="s">
        <v>1</v>
      </c>
      <c r="E599" s="16" t="s">
        <v>5410</v>
      </c>
      <c r="F599" s="16">
        <v>2026198470071</v>
      </c>
      <c r="G599" s="16">
        <v>40</v>
      </c>
      <c r="H599" s="16">
        <v>55</v>
      </c>
      <c r="I599" s="16" t="s">
        <v>559</v>
      </c>
      <c r="J599" s="16" t="s">
        <v>5410</v>
      </c>
      <c r="K599" s="16" t="s">
        <v>5009</v>
      </c>
      <c r="L599" s="16" t="s">
        <v>18</v>
      </c>
      <c r="M599" s="16">
        <v>3</v>
      </c>
      <c r="N599" s="16" t="s">
        <v>462</v>
      </c>
      <c r="O599" s="16" t="s">
        <v>497</v>
      </c>
      <c r="P599" s="16" t="s">
        <v>5411</v>
      </c>
      <c r="Q599" s="16" t="s">
        <v>564</v>
      </c>
      <c r="R599" s="16" t="s">
        <v>466</v>
      </c>
      <c r="S599" s="16" t="s">
        <v>5412</v>
      </c>
      <c r="T599" s="16" t="s">
        <v>5413</v>
      </c>
      <c r="U599" s="16">
        <v>46272.664583333331</v>
      </c>
      <c r="V599" s="16" t="s">
        <v>469</v>
      </c>
      <c r="W599" s="16" t="s">
        <v>568</v>
      </c>
      <c r="X599" s="16" t="s">
        <v>471</v>
      </c>
      <c r="Y599" s="16" t="s">
        <v>569</v>
      </c>
      <c r="Z599" s="16" t="s">
        <v>570</v>
      </c>
      <c r="AA599" s="16" t="s">
        <v>474</v>
      </c>
      <c r="AB599" s="16" t="s">
        <v>5414</v>
      </c>
      <c r="AC599" s="16" t="s">
        <v>572</v>
      </c>
      <c r="AD599" s="16">
        <v>951643359</v>
      </c>
      <c r="AE599" s="16">
        <v>1558575746</v>
      </c>
      <c r="AF599" s="16"/>
      <c r="AG599" s="16"/>
      <c r="AH599" s="16"/>
      <c r="AI599" s="16" t="s">
        <v>5014</v>
      </c>
      <c r="AJ599" s="16" t="s">
        <v>481</v>
      </c>
      <c r="AK599" s="16" t="s">
        <v>5415</v>
      </c>
      <c r="AL599" s="16">
        <v>3310.25</v>
      </c>
      <c r="AM599" s="16"/>
      <c r="AN599" s="16"/>
      <c r="AO599" s="16" t="s">
        <v>5416</v>
      </c>
      <c r="AP599" s="16" t="s">
        <v>485</v>
      </c>
      <c r="AQ599" s="16" t="s">
        <v>5417</v>
      </c>
      <c r="AR599" s="3">
        <v>46272</v>
      </c>
      <c r="AS599" s="16" t="s">
        <v>5014</v>
      </c>
      <c r="AT599" s="16" t="s">
        <v>2572</v>
      </c>
      <c r="AU599" s="16"/>
      <c r="AV599" s="16" t="s">
        <v>5418</v>
      </c>
      <c r="AW599" s="16"/>
      <c r="AX599" s="16"/>
      <c r="AY599" s="16"/>
      <c r="AZ599" s="16"/>
      <c r="BA599" s="16"/>
      <c r="BB599" s="16"/>
      <c r="BC599" s="16"/>
      <c r="BD599" s="16" t="s">
        <v>5014</v>
      </c>
      <c r="BE599" s="16">
        <v>55</v>
      </c>
      <c r="BF599" s="16"/>
      <c r="BG599" s="16" t="s">
        <v>490</v>
      </c>
      <c r="BH599" s="16" t="s">
        <v>491</v>
      </c>
      <c r="BI599" s="16">
        <v>611762621</v>
      </c>
      <c r="BJ599" s="16"/>
      <c r="BK599" s="16"/>
      <c r="BL599" s="16" t="s">
        <v>5419</v>
      </c>
      <c r="BM599" s="16"/>
      <c r="BN599" s="16"/>
      <c r="BO599" s="16"/>
      <c r="BP599" s="16"/>
      <c r="BQ599" s="16"/>
      <c r="BR599" s="16"/>
      <c r="BS599" s="16"/>
      <c r="BT599" s="16"/>
      <c r="BU599" s="16"/>
      <c r="BV599" s="16"/>
      <c r="BW599" s="16"/>
      <c r="BX599" s="16"/>
      <c r="BY599" s="16"/>
      <c r="BZ599" s="16"/>
      <c r="CA599" s="190">
        <v>46280.666666666701</v>
      </c>
      <c r="CB599" s="3"/>
      <c r="CC599" s="16"/>
      <c r="CD599" s="16"/>
      <c r="CE599" s="16"/>
      <c r="CF599" s="16"/>
      <c r="CG599" s="16"/>
      <c r="CH599" s="16"/>
      <c r="CI599" s="16" t="s">
        <v>5420</v>
      </c>
    </row>
    <row r="600" spans="1:87" ht="29.25">
      <c r="A600" s="16" t="s">
        <v>5</v>
      </c>
      <c r="B600" s="25" t="s">
        <v>5280</v>
      </c>
      <c r="C600" s="3">
        <v>46276</v>
      </c>
      <c r="D600" s="16" t="s">
        <v>1</v>
      </c>
      <c r="E600" s="16" t="s">
        <v>5421</v>
      </c>
      <c r="F600" s="16">
        <v>2026201450321</v>
      </c>
      <c r="G600" s="16">
        <v>40</v>
      </c>
      <c r="H600" s="16">
        <v>52</v>
      </c>
      <c r="I600" s="16" t="s">
        <v>559</v>
      </c>
      <c r="J600" s="16" t="s">
        <v>5421</v>
      </c>
      <c r="K600" s="16" t="s">
        <v>461</v>
      </c>
      <c r="L600" s="16" t="s">
        <v>17</v>
      </c>
      <c r="M600" s="16">
        <v>6</v>
      </c>
      <c r="N600" s="16" t="s">
        <v>462</v>
      </c>
      <c r="O600" s="16" t="s">
        <v>606</v>
      </c>
      <c r="P600" s="16">
        <v>704001900</v>
      </c>
      <c r="Q600" s="16" t="s">
        <v>465</v>
      </c>
      <c r="R600" s="16" t="s">
        <v>466</v>
      </c>
      <c r="S600" s="16" t="s">
        <v>5422</v>
      </c>
      <c r="T600" s="16" t="s">
        <v>664</v>
      </c>
      <c r="U600" s="16">
        <v>46268.884722222225</v>
      </c>
      <c r="V600" s="16" t="s">
        <v>469</v>
      </c>
      <c r="W600" s="16" t="s">
        <v>651</v>
      </c>
      <c r="X600" s="16" t="s">
        <v>652</v>
      </c>
      <c r="Y600" s="16" t="s">
        <v>653</v>
      </c>
      <c r="Z600" s="16" t="s">
        <v>665</v>
      </c>
      <c r="AA600" s="16" t="s">
        <v>474</v>
      </c>
      <c r="AB600" s="16" t="s">
        <v>666</v>
      </c>
      <c r="AC600" s="16" t="s">
        <v>640</v>
      </c>
      <c r="AD600" s="16">
        <v>135598093</v>
      </c>
      <c r="AE600" s="16">
        <v>1508266347</v>
      </c>
      <c r="AF600" s="16">
        <v>1649625633</v>
      </c>
      <c r="AG600" s="16">
        <v>2.54202503001308E+16</v>
      </c>
      <c r="AH600" s="16"/>
      <c r="AI600" s="16" t="s">
        <v>67</v>
      </c>
      <c r="AJ600" s="16" t="s">
        <v>481</v>
      </c>
      <c r="AK600" s="16" t="s">
        <v>5423</v>
      </c>
      <c r="AL600" s="16">
        <v>135771</v>
      </c>
      <c r="AM600" s="16"/>
      <c r="AN600" s="16"/>
      <c r="AO600" s="16">
        <v>704</v>
      </c>
      <c r="AP600" s="16" t="s">
        <v>485</v>
      </c>
      <c r="AQ600" s="16" t="s">
        <v>5424</v>
      </c>
      <c r="AR600" s="3">
        <v>46269</v>
      </c>
      <c r="AS600" s="16" t="s">
        <v>67</v>
      </c>
      <c r="AT600" s="16" t="s">
        <v>719</v>
      </c>
      <c r="AU600" s="16"/>
      <c r="AV600" s="16" t="s">
        <v>5425</v>
      </c>
      <c r="AW600" s="16"/>
      <c r="AX600" s="16"/>
      <c r="AY600" s="16"/>
      <c r="AZ600" s="16"/>
      <c r="BA600" s="16"/>
      <c r="BB600" s="16"/>
      <c r="BC600" s="16"/>
      <c r="BD600" s="16" t="s">
        <v>67</v>
      </c>
      <c r="BE600" s="16">
        <v>52</v>
      </c>
      <c r="BF600" s="16"/>
      <c r="BG600" s="16"/>
      <c r="BH600" s="16" t="s">
        <v>658</v>
      </c>
      <c r="BI600" s="16">
        <v>704001900</v>
      </c>
      <c r="BJ600" s="16"/>
      <c r="BK600" s="16"/>
      <c r="BL600" s="16"/>
      <c r="BM600" s="16"/>
      <c r="BN600" s="16"/>
      <c r="BO600" s="16"/>
      <c r="BP600" s="16"/>
      <c r="BQ600" s="16"/>
      <c r="BR600" s="16"/>
      <c r="BS600" s="16"/>
      <c r="BT600" s="16"/>
      <c r="BU600" s="16"/>
      <c r="BV600" s="16"/>
      <c r="BW600" s="16"/>
      <c r="BX600" s="16"/>
      <c r="BY600" s="16"/>
      <c r="BZ600" s="16"/>
      <c r="CA600" s="190">
        <v>46275.166666666701</v>
      </c>
      <c r="CB600" s="3"/>
      <c r="CC600" s="16"/>
      <c r="CD600" s="16"/>
      <c r="CE600" s="16"/>
      <c r="CF600" s="16"/>
      <c r="CG600" s="16"/>
      <c r="CH600" s="16"/>
      <c r="CI600" s="16" t="s">
        <v>5426</v>
      </c>
    </row>
    <row r="601" spans="1:87" ht="29.25">
      <c r="A601" s="16" t="s">
        <v>5</v>
      </c>
      <c r="B601" s="25" t="s">
        <v>5280</v>
      </c>
      <c r="C601" s="3">
        <v>46276</v>
      </c>
      <c r="D601" s="16" t="s">
        <v>1</v>
      </c>
      <c r="E601" s="16" t="s">
        <v>5427</v>
      </c>
      <c r="F601" s="16">
        <v>2026206120112</v>
      </c>
      <c r="G601" s="16">
        <v>40</v>
      </c>
      <c r="H601" s="16">
        <v>47</v>
      </c>
      <c r="I601" s="16" t="s">
        <v>559</v>
      </c>
      <c r="J601" s="16" t="s">
        <v>5427</v>
      </c>
      <c r="K601" s="16" t="s">
        <v>461</v>
      </c>
      <c r="L601" s="16" t="s">
        <v>17</v>
      </c>
      <c r="M601" s="16">
        <v>6</v>
      </c>
      <c r="N601" s="16" t="s">
        <v>462</v>
      </c>
      <c r="O601" s="16" t="s">
        <v>606</v>
      </c>
      <c r="P601" s="16">
        <v>193530410</v>
      </c>
      <c r="Q601" s="16" t="s">
        <v>465</v>
      </c>
      <c r="R601" s="16" t="s">
        <v>466</v>
      </c>
      <c r="S601" s="16" t="s">
        <v>5428</v>
      </c>
      <c r="T601" s="16" t="s">
        <v>664</v>
      </c>
      <c r="U601" s="16">
        <v>46268.885416666664</v>
      </c>
      <c r="V601" s="16" t="s">
        <v>469</v>
      </c>
      <c r="W601" s="16" t="s">
        <v>651</v>
      </c>
      <c r="X601" s="16" t="s">
        <v>652</v>
      </c>
      <c r="Y601" s="16" t="s">
        <v>653</v>
      </c>
      <c r="Z601" s="16" t="s">
        <v>665</v>
      </c>
      <c r="AA601" s="16" t="s">
        <v>474</v>
      </c>
      <c r="AB601" s="16" t="s">
        <v>1124</v>
      </c>
      <c r="AC601" s="16" t="s">
        <v>640</v>
      </c>
      <c r="AD601" s="16">
        <v>992663798</v>
      </c>
      <c r="AE601" s="16">
        <v>1063260446</v>
      </c>
      <c r="AF601" s="16">
        <v>1114619582</v>
      </c>
      <c r="AG601" s="16">
        <v>2.54202523037865E+16</v>
      </c>
      <c r="AH601" s="16"/>
      <c r="AI601" s="16" t="s">
        <v>67</v>
      </c>
      <c r="AJ601" s="16" t="s">
        <v>481</v>
      </c>
      <c r="AK601" s="16" t="s">
        <v>5429</v>
      </c>
      <c r="AL601" s="16">
        <v>13175.5</v>
      </c>
      <c r="AM601" s="16"/>
      <c r="AN601" s="16"/>
      <c r="AO601" s="16">
        <v>193</v>
      </c>
      <c r="AP601" s="16" t="s">
        <v>485</v>
      </c>
      <c r="AQ601" s="16" t="s">
        <v>5430</v>
      </c>
      <c r="AR601" s="3">
        <v>46269</v>
      </c>
      <c r="AS601" s="16" t="s">
        <v>67</v>
      </c>
      <c r="AT601" s="16" t="s">
        <v>719</v>
      </c>
      <c r="AU601" s="16"/>
      <c r="AV601" s="16" t="s">
        <v>670</v>
      </c>
      <c r="AW601" s="16"/>
      <c r="AX601" s="16"/>
      <c r="AY601" s="16"/>
      <c r="AZ601" s="16"/>
      <c r="BA601" s="16"/>
      <c r="BB601" s="16"/>
      <c r="BC601" s="16"/>
      <c r="BD601" s="16" t="s">
        <v>67</v>
      </c>
      <c r="BE601" s="16">
        <v>47</v>
      </c>
      <c r="BF601" s="16"/>
      <c r="BG601" s="16"/>
      <c r="BH601" s="16" t="s">
        <v>658</v>
      </c>
      <c r="BI601" s="16">
        <v>193530410</v>
      </c>
      <c r="BJ601" s="16"/>
      <c r="BK601" s="16"/>
      <c r="BL601" s="16"/>
      <c r="BM601" s="16"/>
      <c r="BN601" s="16"/>
      <c r="BO601" s="16"/>
      <c r="BP601" s="16"/>
      <c r="BQ601" s="16"/>
      <c r="BR601" s="16"/>
      <c r="BS601" s="16"/>
      <c r="BT601" s="16"/>
      <c r="BU601" s="16"/>
      <c r="BV601" s="16"/>
      <c r="BW601" s="16"/>
      <c r="BX601" s="16"/>
      <c r="BY601" s="16"/>
      <c r="BZ601" s="16"/>
      <c r="CA601" s="190">
        <v>46275.166666666701</v>
      </c>
      <c r="CB601" s="3"/>
      <c r="CC601" s="16"/>
      <c r="CD601" s="16"/>
      <c r="CE601" s="16"/>
      <c r="CF601" s="16"/>
      <c r="CG601" s="16"/>
      <c r="CH601" s="16"/>
      <c r="CI601" s="16" t="s">
        <v>5431</v>
      </c>
    </row>
    <row r="602" spans="1:87">
      <c r="A602" s="16" t="s">
        <v>5</v>
      </c>
      <c r="B602" s="16" t="s">
        <v>5432</v>
      </c>
      <c r="C602" s="3">
        <v>46276</v>
      </c>
      <c r="D602" s="16" t="s">
        <v>1</v>
      </c>
      <c r="E602" s="16" t="s">
        <v>5433</v>
      </c>
      <c r="F602" s="16">
        <v>2026201020467</v>
      </c>
      <c r="G602" s="16">
        <v>40</v>
      </c>
      <c r="H602" s="16">
        <v>52</v>
      </c>
      <c r="I602" s="16" t="s">
        <v>559</v>
      </c>
      <c r="J602" s="16" t="s">
        <v>5433</v>
      </c>
      <c r="K602" s="16" t="s">
        <v>1371</v>
      </c>
      <c r="L602" s="16" t="s">
        <v>17</v>
      </c>
      <c r="M602" s="16">
        <v>3</v>
      </c>
      <c r="N602" s="16" t="s">
        <v>462</v>
      </c>
      <c r="O602" s="16" t="s">
        <v>497</v>
      </c>
      <c r="P602" s="16">
        <v>810225185</v>
      </c>
      <c r="Q602" s="16" t="s">
        <v>465</v>
      </c>
      <c r="R602" s="16" t="s">
        <v>466</v>
      </c>
      <c r="S602" s="16" t="s">
        <v>5434</v>
      </c>
      <c r="T602" s="16" t="s">
        <v>650</v>
      </c>
      <c r="U602" s="16">
        <v>46272.692361111112</v>
      </c>
      <c r="V602" s="16" t="s">
        <v>469</v>
      </c>
      <c r="W602" s="16" t="s">
        <v>651</v>
      </c>
      <c r="X602" s="16" t="s">
        <v>652</v>
      </c>
      <c r="Y602" s="16" t="s">
        <v>653</v>
      </c>
      <c r="Z602" s="16" t="s">
        <v>501</v>
      </c>
      <c r="AA602" s="16" t="s">
        <v>474</v>
      </c>
      <c r="AB602" s="16" t="s">
        <v>5435</v>
      </c>
      <c r="AC602" s="16" t="s">
        <v>503</v>
      </c>
      <c r="AD602" s="16">
        <v>880817761</v>
      </c>
      <c r="AE602" s="16">
        <v>1417604000</v>
      </c>
      <c r="AF602" s="16">
        <v>1720048630</v>
      </c>
      <c r="AG602" s="16">
        <v>4.2520261250410496E+16</v>
      </c>
      <c r="AH602" s="16"/>
      <c r="AI602" s="16" t="s">
        <v>164</v>
      </c>
      <c r="AJ602" s="16" t="s">
        <v>481</v>
      </c>
      <c r="AK602" s="16" t="s">
        <v>5436</v>
      </c>
      <c r="AL602" s="16">
        <v>308</v>
      </c>
      <c r="AM602" s="16"/>
      <c r="AN602" s="16"/>
      <c r="AO602" s="16">
        <v>810</v>
      </c>
      <c r="AP602" s="16" t="s">
        <v>485</v>
      </c>
      <c r="AQ602" s="16" t="s">
        <v>5437</v>
      </c>
      <c r="AR602" s="3">
        <v>46272</v>
      </c>
      <c r="AS602" s="16" t="s">
        <v>164</v>
      </c>
      <c r="AT602" s="16" t="s">
        <v>1861</v>
      </c>
      <c r="AU602" s="16"/>
      <c r="AV602" s="16" t="s">
        <v>5438</v>
      </c>
      <c r="AW602" s="16"/>
      <c r="AX602" s="16"/>
      <c r="AY602" s="16"/>
      <c r="AZ602" s="16"/>
      <c r="BA602" s="16"/>
      <c r="BB602" s="16"/>
      <c r="BC602" s="16"/>
      <c r="BD602" s="16" t="s">
        <v>164</v>
      </c>
      <c r="BE602" s="16">
        <v>52</v>
      </c>
      <c r="BF602" s="16"/>
      <c r="BG602" s="16" t="s">
        <v>490</v>
      </c>
      <c r="BH602" s="16" t="s">
        <v>658</v>
      </c>
      <c r="BI602" s="16">
        <v>810225185</v>
      </c>
      <c r="BJ602" s="16"/>
      <c r="BK602" s="16"/>
      <c r="BL602" s="16"/>
      <c r="BM602" s="16"/>
      <c r="BN602" s="16"/>
      <c r="BO602" s="16"/>
      <c r="BP602" s="16"/>
      <c r="BQ602" s="16"/>
      <c r="BR602" s="16"/>
      <c r="BS602" s="16"/>
      <c r="BT602" s="16"/>
      <c r="BU602" s="16"/>
      <c r="BV602" s="16"/>
      <c r="BW602" s="16"/>
      <c r="BX602" s="16"/>
      <c r="BY602" s="16"/>
      <c r="BZ602" s="16"/>
      <c r="CA602" s="190">
        <v>46280.666666666701</v>
      </c>
      <c r="CB602" s="3"/>
      <c r="CC602" s="16"/>
      <c r="CD602" s="16"/>
      <c r="CE602" s="16"/>
      <c r="CF602" s="16"/>
      <c r="CG602" s="16"/>
      <c r="CH602" s="16"/>
      <c r="CI602" s="16" t="s">
        <v>5439</v>
      </c>
    </row>
    <row r="603" spans="1:87">
      <c r="A603" s="16" t="s">
        <v>4</v>
      </c>
      <c r="B603" s="16" t="s">
        <v>4488</v>
      </c>
      <c r="C603" s="3">
        <v>46276</v>
      </c>
      <c r="D603" s="16" t="s">
        <v>1</v>
      </c>
      <c r="E603" s="16" t="s">
        <v>5440</v>
      </c>
      <c r="F603" s="16">
        <v>2026198670296</v>
      </c>
      <c r="G603" s="16">
        <v>40</v>
      </c>
      <c r="H603" s="16">
        <v>55</v>
      </c>
      <c r="I603" s="16" t="s">
        <v>559</v>
      </c>
      <c r="J603" s="16" t="s">
        <v>5440</v>
      </c>
      <c r="K603" s="16" t="s">
        <v>1824</v>
      </c>
      <c r="L603" s="16" t="s">
        <v>17</v>
      </c>
      <c r="M603" s="16">
        <v>1</v>
      </c>
      <c r="N603" s="16" t="s">
        <v>462</v>
      </c>
      <c r="O603" s="16" t="s">
        <v>606</v>
      </c>
      <c r="P603" s="16" t="s">
        <v>5441</v>
      </c>
      <c r="Q603" s="16" t="s">
        <v>465</v>
      </c>
      <c r="R603" s="16" t="s">
        <v>466</v>
      </c>
      <c r="S603" s="16" t="s">
        <v>5442</v>
      </c>
      <c r="T603" s="16" t="s">
        <v>3314</v>
      </c>
      <c r="U603" s="16">
        <v>46267.724999999999</v>
      </c>
      <c r="V603" s="16" t="s">
        <v>469</v>
      </c>
      <c r="W603" s="16" t="s">
        <v>470</v>
      </c>
      <c r="X603" s="16" t="s">
        <v>471</v>
      </c>
      <c r="Y603" s="16" t="s">
        <v>628</v>
      </c>
      <c r="Z603" s="16" t="s">
        <v>473</v>
      </c>
      <c r="AA603" s="16" t="s">
        <v>474</v>
      </c>
      <c r="AB603" s="16" t="s">
        <v>3315</v>
      </c>
      <c r="AC603" s="16" t="s">
        <v>476</v>
      </c>
      <c r="AD603" s="16">
        <v>271287533</v>
      </c>
      <c r="AE603" s="16">
        <v>1184955981</v>
      </c>
      <c r="AF603" s="16">
        <v>1497705370</v>
      </c>
      <c r="AG603" s="16"/>
      <c r="AH603" s="16" t="s">
        <v>1076</v>
      </c>
      <c r="AI603" s="16" t="s">
        <v>247</v>
      </c>
      <c r="AJ603" s="16" t="s">
        <v>481</v>
      </c>
      <c r="AK603" s="16" t="s">
        <v>5443</v>
      </c>
      <c r="AL603" s="16">
        <v>143496.25</v>
      </c>
      <c r="AM603" s="16"/>
      <c r="AN603" s="16"/>
      <c r="AO603" s="16">
        <v>800</v>
      </c>
      <c r="AP603" s="16" t="s">
        <v>485</v>
      </c>
      <c r="AQ603" s="16" t="s">
        <v>5444</v>
      </c>
      <c r="AR603" s="3">
        <v>46274</v>
      </c>
      <c r="AS603" s="16" t="s">
        <v>2506</v>
      </c>
      <c r="AT603" s="16" t="s">
        <v>1551</v>
      </c>
      <c r="AU603" s="16"/>
      <c r="AV603" s="16" t="s">
        <v>5445</v>
      </c>
      <c r="AW603" s="16"/>
      <c r="AX603" s="16"/>
      <c r="AY603" s="16"/>
      <c r="AZ603" s="16"/>
      <c r="BA603" s="16"/>
      <c r="BB603" s="16"/>
      <c r="BC603" s="16"/>
      <c r="BD603" s="16" t="s">
        <v>247</v>
      </c>
      <c r="BE603" s="16">
        <v>55</v>
      </c>
      <c r="BF603" s="16"/>
      <c r="BG603" s="16"/>
      <c r="BH603" s="16" t="s">
        <v>491</v>
      </c>
      <c r="BI603" s="16">
        <v>388723573</v>
      </c>
      <c r="BJ603" s="16"/>
      <c r="BK603" s="16"/>
      <c r="BL603" s="16"/>
      <c r="BM603" s="16"/>
      <c r="BN603" s="16"/>
      <c r="BO603" s="16"/>
      <c r="BP603" s="16"/>
      <c r="BQ603" s="16"/>
      <c r="BR603" s="16"/>
      <c r="BS603" s="16"/>
      <c r="BT603" s="16"/>
      <c r="BU603" s="16"/>
      <c r="BV603" s="16"/>
      <c r="BW603" s="16"/>
      <c r="BX603" s="16"/>
      <c r="BY603" s="16"/>
      <c r="BZ603" s="16"/>
      <c r="CA603" s="190">
        <v>46285.666666666701</v>
      </c>
      <c r="CB603" s="3"/>
      <c r="CC603" s="16"/>
      <c r="CD603" s="16"/>
      <c r="CE603" s="16"/>
      <c r="CF603" s="16"/>
      <c r="CG603" s="16"/>
      <c r="CH603" s="16"/>
      <c r="CI603" s="16" t="s">
        <v>5446</v>
      </c>
    </row>
    <row r="604" spans="1:87" ht="29.25">
      <c r="A604" s="16" t="s">
        <v>5</v>
      </c>
      <c r="B604" s="25" t="s">
        <v>5447</v>
      </c>
      <c r="C604" s="3">
        <v>46276</v>
      </c>
      <c r="D604" s="16" t="s">
        <v>1</v>
      </c>
      <c r="E604" s="16" t="s">
        <v>5448</v>
      </c>
      <c r="F604" s="16">
        <v>2026204810220</v>
      </c>
      <c r="G604" s="16">
        <v>40</v>
      </c>
      <c r="H604" s="16">
        <v>50</v>
      </c>
      <c r="I604" s="16" t="s">
        <v>559</v>
      </c>
      <c r="J604" s="16" t="s">
        <v>5448</v>
      </c>
      <c r="K604" s="16" t="s">
        <v>1348</v>
      </c>
      <c r="L604" s="16" t="s">
        <v>17</v>
      </c>
      <c r="M604" s="16">
        <v>3</v>
      </c>
      <c r="N604" s="16" t="s">
        <v>462</v>
      </c>
      <c r="O604" s="16" t="s">
        <v>5449</v>
      </c>
      <c r="P604" s="16" t="s">
        <v>5450</v>
      </c>
      <c r="Q604" s="16" t="s">
        <v>465</v>
      </c>
      <c r="R604" s="16" t="s">
        <v>466</v>
      </c>
      <c r="S604" s="16" t="s">
        <v>5451</v>
      </c>
      <c r="T604" s="16" t="s">
        <v>3457</v>
      </c>
      <c r="U604" s="16">
        <v>46272.64166666667</v>
      </c>
      <c r="V604" s="16" t="s">
        <v>469</v>
      </c>
      <c r="W604" s="16" t="s">
        <v>568</v>
      </c>
      <c r="X604" s="16" t="s">
        <v>471</v>
      </c>
      <c r="Y604" s="16" t="s">
        <v>3458</v>
      </c>
      <c r="Z604" s="16" t="s">
        <v>638</v>
      </c>
      <c r="AA604" s="16" t="s">
        <v>474</v>
      </c>
      <c r="AB604" s="16" t="s">
        <v>5452</v>
      </c>
      <c r="AC604" s="16" t="s">
        <v>465</v>
      </c>
      <c r="AD604" s="16">
        <v>351118234</v>
      </c>
      <c r="AE604" s="16">
        <v>1174555692</v>
      </c>
      <c r="AF604" s="16"/>
      <c r="AG604" s="16"/>
      <c r="AH604" s="16" t="s">
        <v>1076</v>
      </c>
      <c r="AI604" s="16" t="s">
        <v>267</v>
      </c>
      <c r="AJ604" s="16" t="s">
        <v>481</v>
      </c>
      <c r="AK604" s="16" t="s">
        <v>5453</v>
      </c>
      <c r="AL604" s="16">
        <v>76744.39</v>
      </c>
      <c r="AM604" s="16"/>
      <c r="AN604" s="16"/>
      <c r="AO604" s="16" t="s">
        <v>2352</v>
      </c>
      <c r="AP604" s="16" t="s">
        <v>485</v>
      </c>
      <c r="AQ604" s="16" t="s">
        <v>5454</v>
      </c>
      <c r="AR604" s="3">
        <v>46272</v>
      </c>
      <c r="AS604" s="16" t="s">
        <v>267</v>
      </c>
      <c r="AT604" s="16" t="s">
        <v>2622</v>
      </c>
      <c r="AU604" s="16"/>
      <c r="AV604" s="16" t="s">
        <v>5455</v>
      </c>
      <c r="AW604" s="16"/>
      <c r="AX604" s="16"/>
      <c r="AY604" s="16"/>
      <c r="AZ604" s="16"/>
      <c r="BA604" s="16"/>
      <c r="BB604" s="16"/>
      <c r="BC604" s="16"/>
      <c r="BD604" s="16" t="s">
        <v>267</v>
      </c>
      <c r="BE604" s="16">
        <v>49</v>
      </c>
      <c r="BF604" s="16"/>
      <c r="BG604" s="16"/>
      <c r="BH604" s="16" t="s">
        <v>491</v>
      </c>
      <c r="BI604" s="16">
        <v>310728688</v>
      </c>
      <c r="BJ604" s="16"/>
      <c r="BK604" s="16"/>
      <c r="BL604" s="16"/>
      <c r="BM604" s="16"/>
      <c r="BN604" s="16"/>
      <c r="BO604" s="16"/>
      <c r="BP604" s="16"/>
      <c r="BQ604" s="16"/>
      <c r="BR604" s="16"/>
      <c r="BS604" s="16"/>
      <c r="BT604" s="16"/>
      <c r="BU604" s="16"/>
      <c r="BV604" s="16"/>
      <c r="BW604" s="16"/>
      <c r="BX604" s="16"/>
      <c r="BY604" s="16"/>
      <c r="BZ604" s="16"/>
      <c r="CA604" s="190">
        <v>46285.666666666701</v>
      </c>
      <c r="CB604" s="3"/>
      <c r="CC604" s="16"/>
      <c r="CD604" s="16"/>
      <c r="CE604" s="16"/>
      <c r="CF604" s="16"/>
      <c r="CG604" s="16"/>
      <c r="CH604" s="16"/>
      <c r="CI604" s="16" t="s">
        <v>5456</v>
      </c>
    </row>
    <row r="605" spans="1:87">
      <c r="A605" s="16" t="s">
        <v>4</v>
      </c>
      <c r="B605" s="16" t="s">
        <v>5457</v>
      </c>
      <c r="C605" s="3">
        <v>46276</v>
      </c>
      <c r="D605" s="16" t="s">
        <v>1</v>
      </c>
      <c r="E605" s="16" t="s">
        <v>197</v>
      </c>
      <c r="F605" s="16"/>
      <c r="G605" s="16">
        <v>50</v>
      </c>
      <c r="H605" s="16">
        <v>64</v>
      </c>
      <c r="I605" s="16" t="s">
        <v>3018</v>
      </c>
      <c r="J605" s="16" t="s">
        <v>197</v>
      </c>
      <c r="K605" s="16" t="s">
        <v>585</v>
      </c>
      <c r="L605" s="16" t="s">
        <v>17</v>
      </c>
      <c r="M605" s="16">
        <v>3</v>
      </c>
      <c r="N605" s="16" t="s">
        <v>462</v>
      </c>
      <c r="O605" s="16" t="s">
        <v>497</v>
      </c>
      <c r="P605" s="16">
        <v>112585617</v>
      </c>
      <c r="Q605" s="16" t="s">
        <v>1055</v>
      </c>
      <c r="R605" s="16" t="s">
        <v>1350</v>
      </c>
      <c r="S605" s="16" t="s">
        <v>5458</v>
      </c>
      <c r="T605" s="16" t="s">
        <v>928</v>
      </c>
      <c r="U605" s="16">
        <v>46272.628472222219</v>
      </c>
      <c r="V605" s="16" t="s">
        <v>469</v>
      </c>
      <c r="W605" s="16" t="s">
        <v>651</v>
      </c>
      <c r="X605" s="16" t="s">
        <v>652</v>
      </c>
      <c r="Y605" s="16" t="s">
        <v>653</v>
      </c>
      <c r="Z605" s="16" t="s">
        <v>544</v>
      </c>
      <c r="AA605" s="16" t="s">
        <v>474</v>
      </c>
      <c r="AB605" s="16" t="s">
        <v>929</v>
      </c>
      <c r="AC605" s="16" t="s">
        <v>546</v>
      </c>
      <c r="AD605" s="16">
        <v>580566256</v>
      </c>
      <c r="AE605" s="16">
        <v>1588640692</v>
      </c>
      <c r="AF605" s="16"/>
      <c r="AG605" s="16">
        <v>1.02202609203818E+16</v>
      </c>
      <c r="AH605" s="16" t="s">
        <v>1076</v>
      </c>
      <c r="AI605" s="16" t="s">
        <v>22</v>
      </c>
      <c r="AJ605" s="16" t="s">
        <v>481</v>
      </c>
      <c r="AK605" s="16" t="s">
        <v>5459</v>
      </c>
      <c r="AL605" s="16">
        <v>16177.59</v>
      </c>
      <c r="AM605" s="16"/>
      <c r="AN605" s="16"/>
      <c r="AO605" s="16">
        <v>112</v>
      </c>
      <c r="AP605" s="16" t="s">
        <v>485</v>
      </c>
      <c r="AQ605" s="16" t="s">
        <v>5460</v>
      </c>
      <c r="AR605" s="3">
        <v>46272</v>
      </c>
      <c r="AS605" s="16" t="s">
        <v>22</v>
      </c>
      <c r="AT605" s="16" t="s">
        <v>5461</v>
      </c>
      <c r="AU605" s="16"/>
      <c r="AV605" s="16" t="s">
        <v>2757</v>
      </c>
      <c r="AW605" s="16"/>
      <c r="AX605" s="16"/>
      <c r="AY605" s="16"/>
      <c r="AZ605" s="16"/>
      <c r="BA605" s="16"/>
      <c r="BB605" s="16"/>
      <c r="BC605" s="16"/>
      <c r="BD605" s="16" t="s">
        <v>22</v>
      </c>
      <c r="BE605" s="16">
        <v>64</v>
      </c>
      <c r="BF605" s="16"/>
      <c r="BG605" s="16"/>
      <c r="BH605" s="16" t="s">
        <v>658</v>
      </c>
      <c r="BI605" s="16">
        <v>112585617</v>
      </c>
      <c r="BJ605" s="16"/>
      <c r="BK605" s="16"/>
      <c r="BL605" s="16"/>
      <c r="BM605" s="16"/>
      <c r="BN605" s="16"/>
      <c r="BO605" s="16"/>
      <c r="BP605" s="16"/>
      <c r="BQ605" s="16"/>
      <c r="BR605" s="16"/>
      <c r="BS605" s="16"/>
      <c r="BT605" s="16"/>
      <c r="BU605" s="16"/>
      <c r="BV605" s="16"/>
      <c r="BW605" s="16"/>
      <c r="BX605" s="16"/>
      <c r="BY605" s="16"/>
      <c r="BZ605" s="16"/>
      <c r="CA605" s="190">
        <v>46285.166666666701</v>
      </c>
      <c r="CB605" s="3"/>
      <c r="CC605" s="16"/>
      <c r="CD605" s="16"/>
      <c r="CE605" s="16"/>
      <c r="CF605" s="16"/>
      <c r="CG605" s="16"/>
      <c r="CH605" s="16"/>
      <c r="CI605" s="16" t="s">
        <v>5462</v>
      </c>
    </row>
    <row r="606" spans="1:87" ht="29.25">
      <c r="A606" s="16" t="s">
        <v>5</v>
      </c>
      <c r="B606" s="25" t="s">
        <v>5463</v>
      </c>
      <c r="C606" s="3">
        <v>46276</v>
      </c>
      <c r="D606" s="16" t="s">
        <v>1</v>
      </c>
      <c r="E606" s="16" t="s">
        <v>5464</v>
      </c>
      <c r="F606" s="16">
        <v>2026191450351</v>
      </c>
      <c r="G606" s="16">
        <v>50</v>
      </c>
      <c r="H606" s="16">
        <v>62</v>
      </c>
      <c r="I606" s="16" t="s">
        <v>3018</v>
      </c>
      <c r="J606" s="16" t="s">
        <v>5464</v>
      </c>
      <c r="K606" s="16" t="s">
        <v>2369</v>
      </c>
      <c r="L606" s="16" t="s">
        <v>18</v>
      </c>
      <c r="M606" s="16">
        <v>2</v>
      </c>
      <c r="N606" s="16" t="s">
        <v>462</v>
      </c>
      <c r="O606" s="16" t="s">
        <v>562</v>
      </c>
      <c r="P606" s="16" t="s">
        <v>5465</v>
      </c>
      <c r="Q606" s="16" t="s">
        <v>465</v>
      </c>
      <c r="R606" s="16" t="s">
        <v>466</v>
      </c>
      <c r="S606" s="16" t="s">
        <v>5466</v>
      </c>
      <c r="T606" s="16" t="s">
        <v>465</v>
      </c>
      <c r="U606" s="16">
        <v>46240.78125</v>
      </c>
      <c r="V606" s="16" t="s">
        <v>469</v>
      </c>
      <c r="W606" s="16" t="s">
        <v>470</v>
      </c>
      <c r="X606" s="16" t="s">
        <v>471</v>
      </c>
      <c r="Y606" s="16" t="s">
        <v>472</v>
      </c>
      <c r="Z606" s="16" t="s">
        <v>473</v>
      </c>
      <c r="AA606" s="16" t="s">
        <v>474</v>
      </c>
      <c r="AB606" s="16" t="s">
        <v>1596</v>
      </c>
      <c r="AC606" s="16" t="s">
        <v>476</v>
      </c>
      <c r="AD606" s="16">
        <v>396005532</v>
      </c>
      <c r="AE606" s="16">
        <v>1487783361</v>
      </c>
      <c r="AF606" s="16"/>
      <c r="AG606" s="16"/>
      <c r="AH606" s="16" t="s">
        <v>1076</v>
      </c>
      <c r="AI606" s="16" t="s">
        <v>225</v>
      </c>
      <c r="AJ606" s="16" t="s">
        <v>481</v>
      </c>
      <c r="AK606" s="16" t="s">
        <v>5467</v>
      </c>
      <c r="AL606" s="16">
        <v>1186.45</v>
      </c>
      <c r="AM606" s="16"/>
      <c r="AN606" s="16"/>
      <c r="AO606" s="16">
        <v>833</v>
      </c>
      <c r="AP606" s="16" t="s">
        <v>485</v>
      </c>
      <c r="AQ606" s="16" t="s">
        <v>5468</v>
      </c>
      <c r="AR606" s="3">
        <v>46273</v>
      </c>
      <c r="AS606" s="16" t="s">
        <v>225</v>
      </c>
      <c r="AT606" s="16" t="s">
        <v>5469</v>
      </c>
      <c r="AU606" s="16"/>
      <c r="AV606" s="16"/>
      <c r="AW606" s="16"/>
      <c r="AX606" s="16"/>
      <c r="AY606" s="16"/>
      <c r="AZ606" s="16"/>
      <c r="BA606" s="16"/>
      <c r="BB606" s="16"/>
      <c r="BC606" s="16"/>
      <c r="BD606" s="16" t="s">
        <v>225</v>
      </c>
      <c r="BE606" s="16">
        <v>62</v>
      </c>
      <c r="BF606" s="16"/>
      <c r="BG606" s="16" t="s">
        <v>490</v>
      </c>
      <c r="BH606" s="16" t="s">
        <v>491</v>
      </c>
      <c r="BI606" s="16">
        <v>337565600</v>
      </c>
      <c r="BJ606" s="16"/>
      <c r="BK606" s="16"/>
      <c r="BL606" s="16"/>
      <c r="BM606" s="16"/>
      <c r="BN606" s="16"/>
      <c r="BO606" s="16"/>
      <c r="BP606" s="16"/>
      <c r="BQ606" s="16"/>
      <c r="BR606" s="16"/>
      <c r="BS606" s="16"/>
      <c r="BT606" s="16"/>
      <c r="BU606" s="16"/>
      <c r="BV606" s="16"/>
      <c r="BW606" s="16"/>
      <c r="BX606" s="16"/>
      <c r="BY606" s="16"/>
      <c r="BZ606" s="16"/>
      <c r="CA606" s="190">
        <v>46281.666666666701</v>
      </c>
      <c r="CB606" s="3"/>
      <c r="CC606" s="16"/>
      <c r="CD606" s="16"/>
      <c r="CE606" s="16"/>
      <c r="CF606" s="16"/>
      <c r="CG606" s="16"/>
      <c r="CH606" s="16"/>
      <c r="CI606" s="16" t="s">
        <v>5470</v>
      </c>
    </row>
    <row r="607" spans="1:87">
      <c r="A607" s="16"/>
      <c r="B607" s="16"/>
      <c r="C607" s="3">
        <v>46276</v>
      </c>
      <c r="D607" s="16" t="s">
        <v>1</v>
      </c>
      <c r="E607" s="16" t="s">
        <v>5471</v>
      </c>
      <c r="F607" s="16">
        <v>2026168140295</v>
      </c>
      <c r="G607" s="16">
        <v>50</v>
      </c>
      <c r="H607" s="16">
        <v>85</v>
      </c>
      <c r="I607" s="16" t="s">
        <v>3018</v>
      </c>
      <c r="J607" s="16" t="s">
        <v>5471</v>
      </c>
      <c r="K607" s="16" t="s">
        <v>895</v>
      </c>
      <c r="L607" s="16" t="s">
        <v>18</v>
      </c>
      <c r="M607" s="16">
        <v>2</v>
      </c>
      <c r="N607" s="16" t="s">
        <v>462</v>
      </c>
      <c r="O607" s="16" t="s">
        <v>497</v>
      </c>
      <c r="P607" s="16">
        <v>801092622</v>
      </c>
      <c r="Q607" s="16" t="s">
        <v>465</v>
      </c>
      <c r="R607" s="16" t="s">
        <v>466</v>
      </c>
      <c r="S607" s="16" t="s">
        <v>5472</v>
      </c>
      <c r="T607" s="16" t="s">
        <v>664</v>
      </c>
      <c r="U607" s="16">
        <v>46272.984722222223</v>
      </c>
      <c r="V607" s="16" t="s">
        <v>469</v>
      </c>
      <c r="W607" s="16" t="s">
        <v>651</v>
      </c>
      <c r="X607" s="16" t="s">
        <v>652</v>
      </c>
      <c r="Y607" s="16" t="s">
        <v>653</v>
      </c>
      <c r="Z607" s="16" t="s">
        <v>665</v>
      </c>
      <c r="AA607" s="16" t="s">
        <v>474</v>
      </c>
      <c r="AB607" s="16" t="s">
        <v>666</v>
      </c>
      <c r="AC607" s="16" t="s">
        <v>640</v>
      </c>
      <c r="AD607" s="16">
        <v>61043480</v>
      </c>
      <c r="AE607" s="16">
        <v>1033318720</v>
      </c>
      <c r="AF607" s="16">
        <v>1114240835</v>
      </c>
      <c r="AG607" s="16">
        <v>2.54202433710842E+16</v>
      </c>
      <c r="AH607" s="16" t="s">
        <v>1076</v>
      </c>
      <c r="AI607" s="16" t="s">
        <v>20</v>
      </c>
      <c r="AJ607" s="16" t="s">
        <v>481</v>
      </c>
      <c r="AK607" s="16" t="s">
        <v>5473</v>
      </c>
      <c r="AL607" s="16">
        <v>43972</v>
      </c>
      <c r="AM607" s="16"/>
      <c r="AN607" s="16"/>
      <c r="AO607" s="16">
        <v>801</v>
      </c>
      <c r="AP607" s="16" t="s">
        <v>485</v>
      </c>
      <c r="AQ607" s="16" t="s">
        <v>5474</v>
      </c>
      <c r="AR607" s="3">
        <v>46273</v>
      </c>
      <c r="AS607" s="16" t="s">
        <v>20</v>
      </c>
      <c r="AT607" s="16" t="s">
        <v>5475</v>
      </c>
      <c r="AU607" s="16"/>
      <c r="AV607" s="16" t="s">
        <v>5476</v>
      </c>
      <c r="AW607" s="16"/>
      <c r="AX607" s="16"/>
      <c r="AY607" s="16"/>
      <c r="AZ607" s="16"/>
      <c r="BA607" s="16"/>
      <c r="BB607" s="16"/>
      <c r="BC607" s="16"/>
      <c r="BD607" s="16" t="s">
        <v>20</v>
      </c>
      <c r="BE607" s="16">
        <v>85</v>
      </c>
      <c r="BF607" s="16"/>
      <c r="BG607" s="16"/>
      <c r="BH607" s="16" t="s">
        <v>658</v>
      </c>
      <c r="BI607" s="16">
        <v>801092622</v>
      </c>
      <c r="BJ607" s="16"/>
      <c r="BK607" s="16"/>
      <c r="BL607" s="16"/>
      <c r="BM607" s="16"/>
      <c r="BN607" s="16"/>
      <c r="BO607" s="16"/>
      <c r="BP607" s="16"/>
      <c r="BQ607" s="16"/>
      <c r="BR607" s="16"/>
      <c r="BS607" s="16"/>
      <c r="BT607" s="16"/>
      <c r="BU607" s="16"/>
      <c r="BV607" s="16"/>
      <c r="BW607" s="16"/>
      <c r="BX607" s="16"/>
      <c r="BY607" s="16"/>
      <c r="BZ607" s="16"/>
      <c r="CA607" s="190">
        <v>46275</v>
      </c>
      <c r="CB607" s="3"/>
      <c r="CC607" s="16"/>
      <c r="CD607" s="16"/>
      <c r="CE607" s="16"/>
      <c r="CF607" s="16"/>
      <c r="CG607" s="16"/>
      <c r="CH607" s="16"/>
      <c r="CI607" s="16" t="s">
        <v>5477</v>
      </c>
    </row>
    <row r="608" spans="1:87">
      <c r="A608" s="16" t="s">
        <v>4</v>
      </c>
      <c r="B608" s="16" t="s">
        <v>3568</v>
      </c>
      <c r="C608" s="3">
        <v>46276</v>
      </c>
      <c r="D608" s="16" t="s">
        <v>1</v>
      </c>
      <c r="E608" s="16" t="s">
        <v>5478</v>
      </c>
      <c r="F608" s="16">
        <v>2026188080115</v>
      </c>
      <c r="G608" s="16">
        <v>50</v>
      </c>
      <c r="H608" s="16">
        <v>65</v>
      </c>
      <c r="I608" s="16" t="s">
        <v>3018</v>
      </c>
      <c r="J608" s="16" t="s">
        <v>5478</v>
      </c>
      <c r="K608" s="16" t="s">
        <v>1874</v>
      </c>
      <c r="L608" s="16" t="s">
        <v>17</v>
      </c>
      <c r="M608" s="16">
        <v>2</v>
      </c>
      <c r="N608" s="16" t="s">
        <v>462</v>
      </c>
      <c r="O608" s="16" t="s">
        <v>606</v>
      </c>
      <c r="P608" s="16" t="s">
        <v>5479</v>
      </c>
      <c r="Q608" s="16" t="s">
        <v>465</v>
      </c>
      <c r="R608" s="16" t="s">
        <v>466</v>
      </c>
      <c r="S608" s="16" t="s">
        <v>5480</v>
      </c>
      <c r="T608" s="16" t="s">
        <v>664</v>
      </c>
      <c r="U608" s="16">
        <v>46272.727083333331</v>
      </c>
      <c r="V608" s="16" t="s">
        <v>469</v>
      </c>
      <c r="W608" s="16" t="s">
        <v>651</v>
      </c>
      <c r="X608" s="16" t="s">
        <v>652</v>
      </c>
      <c r="Y608" s="16" t="s">
        <v>653</v>
      </c>
      <c r="Z608" s="16" t="s">
        <v>665</v>
      </c>
      <c r="AA608" s="16" t="s">
        <v>474</v>
      </c>
      <c r="AB608" s="16" t="s">
        <v>666</v>
      </c>
      <c r="AC608" s="16" t="s">
        <v>640</v>
      </c>
      <c r="AD608" s="16">
        <v>135598093</v>
      </c>
      <c r="AE608" s="16">
        <v>1508266347</v>
      </c>
      <c r="AF608" s="16">
        <v>1235792615</v>
      </c>
      <c r="AG608" s="16">
        <v>2.54202521419353E+16</v>
      </c>
      <c r="AH608" s="16" t="s">
        <v>1076</v>
      </c>
      <c r="AI608" s="16" t="s">
        <v>93</v>
      </c>
      <c r="AJ608" s="16" t="s">
        <v>481</v>
      </c>
      <c r="AK608" s="16" t="s">
        <v>5481</v>
      </c>
      <c r="AL608" s="16">
        <v>58920</v>
      </c>
      <c r="AM608" s="16"/>
      <c r="AN608" s="16"/>
      <c r="AO608" s="16" t="s">
        <v>1133</v>
      </c>
      <c r="AP608" s="16" t="s">
        <v>485</v>
      </c>
      <c r="AQ608" s="16" t="s">
        <v>5482</v>
      </c>
      <c r="AR608" s="3">
        <v>46273</v>
      </c>
      <c r="AS608" s="16" t="s">
        <v>93</v>
      </c>
      <c r="AT608" s="16" t="s">
        <v>5483</v>
      </c>
      <c r="AU608" s="16"/>
      <c r="AV608" s="16" t="s">
        <v>2542</v>
      </c>
      <c r="AW608" s="16"/>
      <c r="AX608" s="16"/>
      <c r="AY608" s="16"/>
      <c r="AZ608" s="16"/>
      <c r="BA608" s="16"/>
      <c r="BB608" s="16"/>
      <c r="BC608" s="16"/>
      <c r="BD608" s="16" t="s">
        <v>93</v>
      </c>
      <c r="BE608" s="16">
        <v>65</v>
      </c>
      <c r="BF608" s="16"/>
      <c r="BG608" s="16"/>
      <c r="BH608" s="16" t="s">
        <v>658</v>
      </c>
      <c r="BI608" s="16" t="s">
        <v>5479</v>
      </c>
      <c r="BJ608" s="16"/>
      <c r="BK608" s="16"/>
      <c r="BL608" s="16"/>
      <c r="BM608" s="16"/>
      <c r="BN608" s="16"/>
      <c r="BO608" s="16"/>
      <c r="BP608" s="16"/>
      <c r="BQ608" s="16"/>
      <c r="BR608" s="16"/>
      <c r="BS608" s="16"/>
      <c r="BT608" s="16"/>
      <c r="BU608" s="16"/>
      <c r="BV608" s="16"/>
      <c r="BW608" s="16"/>
      <c r="BX608" s="16"/>
      <c r="BY608" s="16"/>
      <c r="BZ608" s="16"/>
      <c r="CA608" s="190">
        <v>46285.666666666701</v>
      </c>
      <c r="CB608" s="3"/>
      <c r="CC608" s="16"/>
      <c r="CD608" s="16"/>
      <c r="CE608" s="16"/>
      <c r="CF608" s="16"/>
      <c r="CG608" s="16"/>
      <c r="CH608" s="16"/>
      <c r="CI608" s="16" t="s">
        <v>5484</v>
      </c>
    </row>
    <row r="609" spans="1:87">
      <c r="A609" s="16"/>
      <c r="B609" s="16"/>
      <c r="C609" s="3">
        <v>46276</v>
      </c>
      <c r="D609" s="16" t="s">
        <v>1</v>
      </c>
      <c r="E609" s="16" t="s">
        <v>5485</v>
      </c>
      <c r="F609" s="16">
        <v>2026187510641</v>
      </c>
      <c r="G609" s="16">
        <v>50</v>
      </c>
      <c r="H609" s="16">
        <v>66</v>
      </c>
      <c r="I609" s="16" t="s">
        <v>3018</v>
      </c>
      <c r="J609" s="16" t="s">
        <v>5485</v>
      </c>
      <c r="K609" s="16" t="s">
        <v>540</v>
      </c>
      <c r="L609" s="16" t="s">
        <v>18</v>
      </c>
      <c r="M609" s="16">
        <v>0</v>
      </c>
      <c r="N609" s="16" t="s">
        <v>462</v>
      </c>
      <c r="O609" s="16" t="s">
        <v>606</v>
      </c>
      <c r="P609" s="16">
        <v>846648252</v>
      </c>
      <c r="Q609" s="16" t="s">
        <v>465</v>
      </c>
      <c r="R609" s="16" t="s">
        <v>1193</v>
      </c>
      <c r="S609" s="16" t="s">
        <v>5486</v>
      </c>
      <c r="T609" s="16" t="s">
        <v>664</v>
      </c>
      <c r="U609" s="16">
        <v>46274.955555555556</v>
      </c>
      <c r="V609" s="16" t="s">
        <v>469</v>
      </c>
      <c r="W609" s="16" t="s">
        <v>651</v>
      </c>
      <c r="X609" s="16" t="s">
        <v>652</v>
      </c>
      <c r="Y609" s="16" t="s">
        <v>653</v>
      </c>
      <c r="Z609" s="16" t="s">
        <v>665</v>
      </c>
      <c r="AA609" s="16" t="s">
        <v>474</v>
      </c>
      <c r="AB609" s="16" t="s">
        <v>666</v>
      </c>
      <c r="AC609" s="16" t="s">
        <v>640</v>
      </c>
      <c r="AD609" s="16">
        <v>135562308</v>
      </c>
      <c r="AE609" s="16">
        <v>1285826438</v>
      </c>
      <c r="AF609" s="16">
        <v>1275893331</v>
      </c>
      <c r="AG609" s="16">
        <v>2.5420250912216E+16</v>
      </c>
      <c r="AH609" s="16"/>
      <c r="AI609" s="16" t="s">
        <v>31</v>
      </c>
      <c r="AJ609" s="16" t="s">
        <v>481</v>
      </c>
      <c r="AK609" s="16" t="s">
        <v>5487</v>
      </c>
      <c r="AL609" s="16">
        <v>98788</v>
      </c>
      <c r="AM609" s="16"/>
      <c r="AN609" s="16"/>
      <c r="AO609" s="16">
        <v>846</v>
      </c>
      <c r="AP609" s="16" t="s">
        <v>485</v>
      </c>
      <c r="AQ609" s="16" t="s">
        <v>5488</v>
      </c>
      <c r="AR609" s="3">
        <v>46275</v>
      </c>
      <c r="AS609" s="16" t="s">
        <v>31</v>
      </c>
      <c r="AT609" s="16" t="s">
        <v>5489</v>
      </c>
      <c r="AU609" s="16"/>
      <c r="AV609" s="16" t="s">
        <v>5490</v>
      </c>
      <c r="AW609" s="16"/>
      <c r="AX609" s="16"/>
      <c r="AY609" s="16"/>
      <c r="AZ609" s="16"/>
      <c r="BA609" s="16"/>
      <c r="BB609" s="16"/>
      <c r="BC609" s="16"/>
      <c r="BD609" s="16" t="s">
        <v>31</v>
      </c>
      <c r="BE609" s="16">
        <v>66</v>
      </c>
      <c r="BF609" s="16"/>
      <c r="BG609" s="16" t="s">
        <v>490</v>
      </c>
      <c r="BH609" s="16" t="s">
        <v>658</v>
      </c>
      <c r="BI609" s="16">
        <v>846648252</v>
      </c>
      <c r="BJ609" s="16"/>
      <c r="BK609" s="16"/>
      <c r="BL609" s="16"/>
      <c r="BM609" s="16"/>
      <c r="BN609" s="16"/>
      <c r="BO609" s="16"/>
      <c r="BP609" s="16"/>
      <c r="BQ609" s="16"/>
      <c r="BR609" s="16"/>
      <c r="BS609" s="16"/>
      <c r="BT609" s="16"/>
      <c r="BU609" s="16"/>
      <c r="BV609" s="16"/>
      <c r="BW609" s="16"/>
      <c r="BX609" s="16"/>
      <c r="BY609" s="16"/>
      <c r="BZ609" s="16"/>
      <c r="CA609" s="190">
        <v>46275</v>
      </c>
      <c r="CB609" s="3"/>
      <c r="CC609" s="16"/>
      <c r="CD609" s="16"/>
      <c r="CE609" s="16"/>
      <c r="CF609" s="16"/>
      <c r="CG609" s="16"/>
      <c r="CH609" s="16"/>
      <c r="CI609" s="16" t="s">
        <v>5491</v>
      </c>
    </row>
    <row r="610" spans="1:87" ht="29.25">
      <c r="A610" s="16" t="s">
        <v>5</v>
      </c>
      <c r="B610" s="25" t="s">
        <v>3544</v>
      </c>
      <c r="C610" s="3">
        <v>46276</v>
      </c>
      <c r="D610" s="16" t="s">
        <v>1</v>
      </c>
      <c r="E610" s="16" t="s">
        <v>5492</v>
      </c>
      <c r="F610" s="16">
        <v>2026177970401</v>
      </c>
      <c r="G610" s="16">
        <v>50</v>
      </c>
      <c r="H610" s="16">
        <v>76</v>
      </c>
      <c r="I610" s="16" t="s">
        <v>3018</v>
      </c>
      <c r="J610" s="16" t="s">
        <v>5492</v>
      </c>
      <c r="K610" s="16" t="s">
        <v>1555</v>
      </c>
      <c r="L610" s="16" t="s">
        <v>17</v>
      </c>
      <c r="M610" s="16">
        <v>2</v>
      </c>
      <c r="N610" s="16" t="s">
        <v>462</v>
      </c>
      <c r="O610" s="16" t="s">
        <v>497</v>
      </c>
      <c r="P610" s="16">
        <v>836185309</v>
      </c>
      <c r="Q610" s="16" t="s">
        <v>465</v>
      </c>
      <c r="R610" s="16" t="s">
        <v>466</v>
      </c>
      <c r="S610" s="16" t="s">
        <v>5493</v>
      </c>
      <c r="T610" s="16">
        <v>173326</v>
      </c>
      <c r="U610" s="16">
        <v>46273.125694444447</v>
      </c>
      <c r="V610" s="16" t="s">
        <v>469</v>
      </c>
      <c r="W610" s="16" t="s">
        <v>651</v>
      </c>
      <c r="X610" s="16" t="s">
        <v>652</v>
      </c>
      <c r="Y610" s="16" t="s">
        <v>653</v>
      </c>
      <c r="Z610" s="16" t="s">
        <v>473</v>
      </c>
      <c r="AA610" s="16" t="s">
        <v>474</v>
      </c>
      <c r="AB610" s="16" t="s">
        <v>2129</v>
      </c>
      <c r="AC610" s="16" t="s">
        <v>476</v>
      </c>
      <c r="AD610" s="16">
        <v>991440599</v>
      </c>
      <c r="AE610" s="16">
        <v>1447017983</v>
      </c>
      <c r="AF610" s="16">
        <v>1649582727</v>
      </c>
      <c r="AG610" s="16">
        <v>4.58202611801506E+16</v>
      </c>
      <c r="AH610" s="16"/>
      <c r="AI610" s="16" t="s">
        <v>32</v>
      </c>
      <c r="AJ610" s="16" t="s">
        <v>481</v>
      </c>
      <c r="AK610" s="16" t="s">
        <v>5494</v>
      </c>
      <c r="AL610" s="16">
        <v>4840</v>
      </c>
      <c r="AM610" s="16"/>
      <c r="AN610" s="16"/>
      <c r="AO610" s="16">
        <v>836</v>
      </c>
      <c r="AP610" s="16" t="s">
        <v>485</v>
      </c>
      <c r="AQ610" s="16" t="s">
        <v>5495</v>
      </c>
      <c r="AR610" s="3">
        <v>46273</v>
      </c>
      <c r="AS610" s="16" t="s">
        <v>32</v>
      </c>
      <c r="AT610" s="16" t="s">
        <v>3823</v>
      </c>
      <c r="AU610" s="16"/>
      <c r="AV610" s="16" t="s">
        <v>5496</v>
      </c>
      <c r="AW610" s="16"/>
      <c r="AX610" s="16"/>
      <c r="AY610" s="16"/>
      <c r="AZ610" s="16"/>
      <c r="BA610" s="16"/>
      <c r="BB610" s="16"/>
      <c r="BC610" s="16"/>
      <c r="BD610" s="16" t="s">
        <v>32</v>
      </c>
      <c r="BE610" s="16">
        <v>76</v>
      </c>
      <c r="BF610" s="16"/>
      <c r="BG610" s="16"/>
      <c r="BH610" s="16" t="s">
        <v>658</v>
      </c>
      <c r="BI610" s="16">
        <v>836185309</v>
      </c>
      <c r="BJ610" s="16"/>
      <c r="BK610" s="16"/>
      <c r="BL610" s="16"/>
      <c r="BM610" s="16"/>
      <c r="BN610" s="16"/>
      <c r="BO610" s="16"/>
      <c r="BP610" s="16"/>
      <c r="BQ610" s="16"/>
      <c r="BR610" s="16"/>
      <c r="BS610" s="16"/>
      <c r="BT610" s="16"/>
      <c r="BU610" s="16"/>
      <c r="BV610" s="16"/>
      <c r="BW610" s="16"/>
      <c r="BX610" s="16"/>
      <c r="BY610" s="16"/>
      <c r="BZ610" s="16"/>
      <c r="CA610" s="190">
        <v>46285.666666666701</v>
      </c>
      <c r="CB610" s="3"/>
      <c r="CC610" s="16"/>
      <c r="CD610" s="16"/>
      <c r="CE610" s="16"/>
      <c r="CF610" s="16"/>
      <c r="CG610" s="16"/>
      <c r="CH610" s="16"/>
      <c r="CI610" s="16" t="s">
        <v>5497</v>
      </c>
    </row>
    <row r="611" spans="1:87">
      <c r="A611" s="16" t="s">
        <v>5</v>
      </c>
      <c r="B611" s="16" t="s">
        <v>5498</v>
      </c>
      <c r="C611" s="3">
        <v>46276</v>
      </c>
      <c r="D611" s="16" t="s">
        <v>1</v>
      </c>
      <c r="E611" s="16" t="s">
        <v>5499</v>
      </c>
      <c r="F611" s="16"/>
      <c r="G611" s="16">
        <v>50</v>
      </c>
      <c r="H611" s="16">
        <v>64</v>
      </c>
      <c r="I611" s="16" t="s">
        <v>3018</v>
      </c>
      <c r="J611" s="16" t="s">
        <v>5499</v>
      </c>
      <c r="K611" s="16" t="s">
        <v>1053</v>
      </c>
      <c r="L611" s="16" t="s">
        <v>13</v>
      </c>
      <c r="M611" s="16">
        <v>6</v>
      </c>
      <c r="N611" s="16" t="s">
        <v>462</v>
      </c>
      <c r="O611" s="16" t="s">
        <v>606</v>
      </c>
      <c r="P611" s="16" t="s">
        <v>5500</v>
      </c>
      <c r="Q611" s="16" t="s">
        <v>465</v>
      </c>
      <c r="R611" s="16" t="s">
        <v>1056</v>
      </c>
      <c r="S611" s="16" t="s">
        <v>5501</v>
      </c>
      <c r="T611" s="16">
        <v>213035</v>
      </c>
      <c r="U611" s="16">
        <v>46268.850694444445</v>
      </c>
      <c r="V611" s="16" t="s">
        <v>469</v>
      </c>
      <c r="W611" s="16" t="s">
        <v>568</v>
      </c>
      <c r="X611" s="16" t="s">
        <v>471</v>
      </c>
      <c r="Y611" s="16" t="s">
        <v>5502</v>
      </c>
      <c r="Z611" s="16" t="s">
        <v>638</v>
      </c>
      <c r="AA611" s="16" t="s">
        <v>474</v>
      </c>
      <c r="AB611" s="16" t="s">
        <v>5503</v>
      </c>
      <c r="AC611" s="16" t="s">
        <v>476</v>
      </c>
      <c r="AD611" s="16">
        <v>390813418</v>
      </c>
      <c r="AE611" s="16">
        <v>1235588831</v>
      </c>
      <c r="AF611" s="16">
        <v>1417586108</v>
      </c>
      <c r="AG611" s="16"/>
      <c r="AH611" s="16" t="s">
        <v>1076</v>
      </c>
      <c r="AI611" s="16" t="s">
        <v>49</v>
      </c>
      <c r="AJ611" s="16" t="s">
        <v>481</v>
      </c>
      <c r="AK611" s="16" t="s">
        <v>5504</v>
      </c>
      <c r="AL611" s="16">
        <v>25962</v>
      </c>
      <c r="AM611" s="16"/>
      <c r="AN611" s="16"/>
      <c r="AO611" s="16">
        <v>21</v>
      </c>
      <c r="AP611" s="16" t="s">
        <v>485</v>
      </c>
      <c r="AQ611" s="16" t="s">
        <v>5505</v>
      </c>
      <c r="AR611" s="3">
        <v>46269</v>
      </c>
      <c r="AS611" s="16" t="s">
        <v>49</v>
      </c>
      <c r="AT611" s="16" t="s">
        <v>719</v>
      </c>
      <c r="AU611" s="16"/>
      <c r="AV611" s="16" t="s">
        <v>5506</v>
      </c>
      <c r="AW611" s="16"/>
      <c r="AX611" s="16"/>
      <c r="AY611" s="16"/>
      <c r="AZ611" s="16"/>
      <c r="BA611" s="16"/>
      <c r="BB611" s="16"/>
      <c r="BC611" s="16"/>
      <c r="BD611" s="16" t="s">
        <v>49</v>
      </c>
      <c r="BE611" s="16">
        <v>64</v>
      </c>
      <c r="BF611" s="16"/>
      <c r="BG611" s="16" t="s">
        <v>490</v>
      </c>
      <c r="BH611" s="16" t="s">
        <v>491</v>
      </c>
      <c r="BI611" s="16">
        <v>390880208</v>
      </c>
      <c r="BJ611" s="16"/>
      <c r="BK611" s="16"/>
      <c r="BL611" s="16"/>
      <c r="BM611" s="16"/>
      <c r="BN611" s="16"/>
      <c r="BO611" s="16"/>
      <c r="BP611" s="16"/>
      <c r="BQ611" s="16"/>
      <c r="BR611" s="16"/>
      <c r="BS611" s="16"/>
      <c r="BT611" s="16"/>
      <c r="BU611" s="16"/>
      <c r="BV611" s="16"/>
      <c r="BW611" s="16"/>
      <c r="BX611" s="16"/>
      <c r="BY611" s="16"/>
      <c r="BZ611" s="16"/>
      <c r="CA611" s="190">
        <v>46281.666666666701</v>
      </c>
      <c r="CB611" s="3"/>
      <c r="CC611" s="16"/>
      <c r="CD611" s="16"/>
      <c r="CE611" s="16"/>
      <c r="CF611" s="16"/>
      <c r="CG611" s="16"/>
      <c r="CH611" s="16"/>
      <c r="CI611" s="16" t="s">
        <v>5507</v>
      </c>
    </row>
    <row r="612" spans="1:87">
      <c r="A612" s="16"/>
      <c r="B612" s="16"/>
      <c r="C612" s="3">
        <v>46276</v>
      </c>
      <c r="D612" s="16" t="s">
        <v>1</v>
      </c>
      <c r="E612" s="16" t="s">
        <v>5508</v>
      </c>
      <c r="F612" s="16">
        <v>2026175750338</v>
      </c>
      <c r="G612" s="16">
        <v>50</v>
      </c>
      <c r="H612" s="16">
        <v>78</v>
      </c>
      <c r="I612" s="16" t="s">
        <v>3018</v>
      </c>
      <c r="J612" s="16" t="e">
        <v>#N/A</v>
      </c>
      <c r="K612" s="16" t="s">
        <v>540</v>
      </c>
      <c r="L612" s="16" t="s">
        <v>18</v>
      </c>
      <c r="M612" s="16">
        <v>0</v>
      </c>
      <c r="N612" s="16" t="s">
        <v>462</v>
      </c>
      <c r="O612" s="16" t="s">
        <v>497</v>
      </c>
      <c r="P612" s="16"/>
      <c r="Q612" s="16" t="s">
        <v>465</v>
      </c>
      <c r="R612" s="16" t="s">
        <v>466</v>
      </c>
      <c r="S612" s="16" t="s">
        <v>5509</v>
      </c>
      <c r="T612" s="16">
        <v>212096</v>
      </c>
      <c r="U612" s="16">
        <v>46275.246527777781</v>
      </c>
      <c r="V612" s="16" t="s">
        <v>469</v>
      </c>
      <c r="W612" s="16" t="s">
        <v>568</v>
      </c>
      <c r="X612" s="16" t="s">
        <v>471</v>
      </c>
      <c r="Y612" s="16" t="s">
        <v>5510</v>
      </c>
      <c r="Z612" s="16" t="s">
        <v>524</v>
      </c>
      <c r="AA612" s="16" t="s">
        <v>474</v>
      </c>
      <c r="AB612" s="16" t="s">
        <v>5511</v>
      </c>
      <c r="AC612" s="16" t="s">
        <v>1294</v>
      </c>
      <c r="AD612" s="16">
        <v>831917247</v>
      </c>
      <c r="AE612" s="16">
        <v>1902373772</v>
      </c>
      <c r="AF612" s="16">
        <v>1245321314</v>
      </c>
      <c r="AG612" s="16"/>
      <c r="AH612" s="16" t="s">
        <v>1076</v>
      </c>
      <c r="AI612" s="16" t="s">
        <v>31</v>
      </c>
      <c r="AJ612" s="16" t="s">
        <v>481</v>
      </c>
      <c r="AK612" s="16" t="s">
        <v>5512</v>
      </c>
      <c r="AL612" s="16">
        <v>1540</v>
      </c>
      <c r="AM612" s="16"/>
      <c r="AN612" s="16"/>
      <c r="AO612" s="16"/>
      <c r="AP612" s="16" t="s">
        <v>485</v>
      </c>
      <c r="AQ612" s="16" t="s">
        <v>5513</v>
      </c>
      <c r="AR612" s="3">
        <v>46275</v>
      </c>
      <c r="AS612" s="16" t="s">
        <v>31</v>
      </c>
      <c r="AT612" s="16" t="s">
        <v>5051</v>
      </c>
      <c r="AU612" s="16"/>
      <c r="AV612" s="16" t="s">
        <v>5514</v>
      </c>
      <c r="AW612" s="16"/>
      <c r="AX612" s="16"/>
      <c r="AY612" s="16"/>
      <c r="AZ612" s="16"/>
      <c r="BA612" s="16"/>
      <c r="BB612" s="16"/>
      <c r="BC612" s="16"/>
      <c r="BD612" s="16" t="s">
        <v>31</v>
      </c>
      <c r="BE612" s="16">
        <v>78</v>
      </c>
      <c r="BF612" s="16"/>
      <c r="BG612" s="16" t="s">
        <v>490</v>
      </c>
      <c r="BH612" s="16" t="s">
        <v>491</v>
      </c>
      <c r="BI612" s="16">
        <v>316789674</v>
      </c>
      <c r="BJ612" s="16"/>
      <c r="BK612" s="16"/>
      <c r="BL612" s="16"/>
      <c r="BM612" s="16"/>
      <c r="BN612" s="16"/>
      <c r="BO612" s="16"/>
      <c r="BP612" s="16"/>
      <c r="BQ612" s="16"/>
      <c r="BR612" s="16"/>
      <c r="BS612" s="16"/>
      <c r="BT612" s="16"/>
      <c r="BU612" s="16"/>
      <c r="BV612" s="16"/>
      <c r="BW612" s="16"/>
      <c r="BX612" s="16"/>
      <c r="BY612" s="16"/>
      <c r="BZ612" s="16"/>
      <c r="CA612" s="190">
        <v>46275</v>
      </c>
      <c r="CB612" s="3"/>
      <c r="CC612" s="16"/>
      <c r="CD612" s="16"/>
      <c r="CE612" s="16"/>
      <c r="CF612" s="16"/>
      <c r="CG612" s="16"/>
      <c r="CH612" s="16"/>
      <c r="CI612" s="16" t="s">
        <v>5515</v>
      </c>
    </row>
    <row r="613" spans="1:87">
      <c r="A613" s="16" t="s">
        <v>5</v>
      </c>
      <c r="B613" s="16" t="s">
        <v>719</v>
      </c>
      <c r="C613" s="3">
        <v>46276</v>
      </c>
      <c r="D613" s="16" t="s">
        <v>1</v>
      </c>
      <c r="E613" s="16" t="s">
        <v>5516</v>
      </c>
      <c r="F613" s="16">
        <v>2026191180358</v>
      </c>
      <c r="G613" s="16">
        <v>50</v>
      </c>
      <c r="H613" s="16">
        <v>62</v>
      </c>
      <c r="I613" s="16" t="s">
        <v>3018</v>
      </c>
      <c r="J613" s="16" t="s">
        <v>5516</v>
      </c>
      <c r="K613" s="16" t="s">
        <v>2369</v>
      </c>
      <c r="L613" s="16" t="s">
        <v>18</v>
      </c>
      <c r="M613" s="16">
        <v>6</v>
      </c>
      <c r="N613" s="16" t="s">
        <v>462</v>
      </c>
      <c r="O613" s="16" t="s">
        <v>606</v>
      </c>
      <c r="P613" s="16" t="s">
        <v>5517</v>
      </c>
      <c r="Q613" s="16" t="s">
        <v>465</v>
      </c>
      <c r="R613" s="16" t="s">
        <v>466</v>
      </c>
      <c r="S613" s="16" t="s">
        <v>5518</v>
      </c>
      <c r="T613" s="16">
        <v>174649</v>
      </c>
      <c r="U613" s="16">
        <v>46240.876388888886</v>
      </c>
      <c r="V613" s="16" t="s">
        <v>469</v>
      </c>
      <c r="W613" s="16" t="s">
        <v>568</v>
      </c>
      <c r="X613" s="16" t="s">
        <v>471</v>
      </c>
      <c r="Y613" s="16" t="s">
        <v>1724</v>
      </c>
      <c r="Z613" s="16" t="s">
        <v>544</v>
      </c>
      <c r="AA613" s="16" t="s">
        <v>474</v>
      </c>
      <c r="AB613" s="16" t="s">
        <v>5519</v>
      </c>
      <c r="AC613" s="16" t="s">
        <v>546</v>
      </c>
      <c r="AD613" s="16">
        <v>582179986</v>
      </c>
      <c r="AE613" s="16">
        <v>1437186111</v>
      </c>
      <c r="AF613" s="16"/>
      <c r="AG613" s="16"/>
      <c r="AH613" s="16" t="s">
        <v>1076</v>
      </c>
      <c r="AI613" s="16" t="s">
        <v>225</v>
      </c>
      <c r="AJ613" s="16" t="s">
        <v>481</v>
      </c>
      <c r="AK613" s="16" t="s">
        <v>5520</v>
      </c>
      <c r="AL613" s="16">
        <v>19326.96</v>
      </c>
      <c r="AM613" s="16"/>
      <c r="AN613" s="16"/>
      <c r="AO613" s="16">
        <v>522</v>
      </c>
      <c r="AP613" s="16" t="s">
        <v>485</v>
      </c>
      <c r="AQ613" s="16" t="s">
        <v>5521</v>
      </c>
      <c r="AR613" s="3">
        <v>46269</v>
      </c>
      <c r="AS613" s="16" t="s">
        <v>225</v>
      </c>
      <c r="AT613" s="16" t="s">
        <v>5522</v>
      </c>
      <c r="AU613" s="16"/>
      <c r="AV613" s="16" t="s">
        <v>5523</v>
      </c>
      <c r="AW613" s="16"/>
      <c r="AX613" s="16"/>
      <c r="AY613" s="16"/>
      <c r="AZ613" s="16"/>
      <c r="BA613" s="16"/>
      <c r="BB613" s="16"/>
      <c r="BC613" s="16"/>
      <c r="BD613" s="16" t="s">
        <v>225</v>
      </c>
      <c r="BE613" s="16">
        <v>62</v>
      </c>
      <c r="BF613" s="16"/>
      <c r="BG613" s="16"/>
      <c r="BH613" s="16" t="s">
        <v>491</v>
      </c>
      <c r="BI613" s="16">
        <v>255279759</v>
      </c>
      <c r="BJ613" s="16"/>
      <c r="BK613" s="16"/>
      <c r="BL613" s="16"/>
      <c r="BM613" s="16"/>
      <c r="BN613" s="16"/>
      <c r="BO613" s="16"/>
      <c r="BP613" s="16"/>
      <c r="BQ613" s="16"/>
      <c r="BR613" s="16"/>
      <c r="BS613" s="16"/>
      <c r="BT613" s="16"/>
      <c r="BU613" s="16"/>
      <c r="BV613" s="16"/>
      <c r="BW613" s="16"/>
      <c r="BX613" s="16"/>
      <c r="BY613" s="16"/>
      <c r="BZ613" s="16"/>
      <c r="CA613" s="190">
        <v>46281.666666666701</v>
      </c>
      <c r="CB613" s="3"/>
      <c r="CC613" s="16"/>
      <c r="CD613" s="16"/>
      <c r="CE613" s="16"/>
      <c r="CF613" s="16"/>
      <c r="CG613" s="16"/>
      <c r="CH613" s="16"/>
      <c r="CI613" s="16" t="s">
        <v>5524</v>
      </c>
    </row>
    <row r="614" spans="1:87">
      <c r="A614" s="16"/>
      <c r="B614" s="16"/>
      <c r="C614" s="3">
        <v>46276</v>
      </c>
      <c r="D614" s="16" t="s">
        <v>1</v>
      </c>
      <c r="E614" s="16" t="s">
        <v>5525</v>
      </c>
      <c r="F614" s="16">
        <v>2026251280122</v>
      </c>
      <c r="G614" s="16">
        <v>50</v>
      </c>
      <c r="H614" s="16">
        <v>71</v>
      </c>
      <c r="I614" s="16" t="s">
        <v>3018</v>
      </c>
      <c r="J614" s="16" t="s">
        <v>5525</v>
      </c>
      <c r="K614" s="16" t="s">
        <v>540</v>
      </c>
      <c r="L614" s="16" t="s">
        <v>18</v>
      </c>
      <c r="M614" s="16">
        <v>2</v>
      </c>
      <c r="N614" s="16" t="s">
        <v>462</v>
      </c>
      <c r="O614" s="16" t="s">
        <v>497</v>
      </c>
      <c r="P614" s="16" t="s">
        <v>5526</v>
      </c>
      <c r="Q614" s="16" t="s">
        <v>465</v>
      </c>
      <c r="R614" s="16" t="s">
        <v>466</v>
      </c>
      <c r="S614" s="16" t="s">
        <v>5527</v>
      </c>
      <c r="T614" s="16">
        <v>270089</v>
      </c>
      <c r="U614" s="16">
        <v>46273.326388888891</v>
      </c>
      <c r="V614" s="16" t="s">
        <v>469</v>
      </c>
      <c r="W614" s="16" t="s">
        <v>568</v>
      </c>
      <c r="X614" s="16" t="s">
        <v>471</v>
      </c>
      <c r="Y614" s="16" t="s">
        <v>5528</v>
      </c>
      <c r="Z614" s="16" t="s">
        <v>638</v>
      </c>
      <c r="AA614" s="16" t="s">
        <v>474</v>
      </c>
      <c r="AB614" s="16" t="s">
        <v>5529</v>
      </c>
      <c r="AC614" s="16" t="s">
        <v>640</v>
      </c>
      <c r="AD614" s="16">
        <v>204762421</v>
      </c>
      <c r="AE614" s="16">
        <v>1396944799</v>
      </c>
      <c r="AF614" s="16">
        <v>1588661755</v>
      </c>
      <c r="AG614" s="16"/>
      <c r="AH614" s="16"/>
      <c r="AI614" s="16" t="s">
        <v>31</v>
      </c>
      <c r="AJ614" s="16" t="s">
        <v>481</v>
      </c>
      <c r="AK614" s="16" t="s">
        <v>5530</v>
      </c>
      <c r="AL614" s="16">
        <v>392</v>
      </c>
      <c r="AM614" s="16"/>
      <c r="AN614" s="16"/>
      <c r="AO614" s="16" t="s">
        <v>4808</v>
      </c>
      <c r="AP614" s="16" t="s">
        <v>485</v>
      </c>
      <c r="AQ614" s="16" t="s">
        <v>5531</v>
      </c>
      <c r="AR614" s="3">
        <v>46273</v>
      </c>
      <c r="AS614" s="16" t="s">
        <v>540</v>
      </c>
      <c r="AT614" s="16" t="s">
        <v>5532</v>
      </c>
      <c r="AU614" s="16"/>
      <c r="AV614" s="16" t="s">
        <v>5533</v>
      </c>
      <c r="AW614" s="16"/>
      <c r="AX614" s="16"/>
      <c r="AY614" s="16"/>
      <c r="AZ614" s="16"/>
      <c r="BA614" s="16"/>
      <c r="BB614" s="16"/>
      <c r="BC614" s="16"/>
      <c r="BD614" s="16" t="s">
        <v>31</v>
      </c>
      <c r="BE614" s="16">
        <v>2</v>
      </c>
      <c r="BF614" s="16"/>
      <c r="BG614" s="16" t="s">
        <v>490</v>
      </c>
      <c r="BH614" s="16" t="s">
        <v>491</v>
      </c>
      <c r="BI614" s="16">
        <v>117646500</v>
      </c>
      <c r="BJ614" s="16"/>
      <c r="BK614" s="16"/>
      <c r="BL614" s="16" t="s">
        <v>5534</v>
      </c>
      <c r="BM614" s="16"/>
      <c r="BN614" s="16"/>
      <c r="BO614" s="16"/>
      <c r="BP614" s="16"/>
      <c r="BQ614" s="16"/>
      <c r="BR614" s="16"/>
      <c r="BS614" s="16"/>
      <c r="BT614" s="16"/>
      <c r="BU614" s="16"/>
      <c r="BV614" s="16"/>
      <c r="BW614" s="16"/>
      <c r="BX614" s="16"/>
      <c r="BY614" s="16"/>
      <c r="BZ614" s="16"/>
      <c r="CA614" s="190">
        <v>46275</v>
      </c>
      <c r="CB614" s="3"/>
      <c r="CC614" s="16"/>
      <c r="CD614" s="16"/>
      <c r="CE614" s="16"/>
      <c r="CF614" s="16"/>
      <c r="CG614" s="16"/>
      <c r="CH614" s="16"/>
      <c r="CI614" s="16" t="s">
        <v>5535</v>
      </c>
    </row>
    <row r="615" spans="1:87">
      <c r="A615" s="16"/>
      <c r="B615" s="16"/>
      <c r="C615" s="3">
        <v>46276</v>
      </c>
      <c r="D615" s="16" t="s">
        <v>1</v>
      </c>
      <c r="E615" s="16" t="s">
        <v>5536</v>
      </c>
      <c r="F615" s="16">
        <v>2026142150117</v>
      </c>
      <c r="G615" s="16">
        <v>60</v>
      </c>
      <c r="H615" s="16">
        <v>111</v>
      </c>
      <c r="I615" s="16" t="s">
        <v>3266</v>
      </c>
      <c r="J615" s="16" t="s">
        <v>5536</v>
      </c>
      <c r="K615" s="16" t="s">
        <v>540</v>
      </c>
      <c r="L615" s="16" t="s">
        <v>18</v>
      </c>
      <c r="M615" s="16">
        <v>3</v>
      </c>
      <c r="N615" s="16" t="s">
        <v>462</v>
      </c>
      <c r="O615" s="16" t="s">
        <v>606</v>
      </c>
      <c r="P615" s="16">
        <v>833310178</v>
      </c>
      <c r="Q615" s="16" t="s">
        <v>465</v>
      </c>
      <c r="R615" s="16" t="s">
        <v>466</v>
      </c>
      <c r="S615" s="16" t="s">
        <v>5537</v>
      </c>
      <c r="T615" s="16">
        <v>173325</v>
      </c>
      <c r="U615" s="16">
        <v>46262.330555555556</v>
      </c>
      <c r="V615" s="16" t="s">
        <v>469</v>
      </c>
      <c r="W615" s="16" t="s">
        <v>651</v>
      </c>
      <c r="X615" s="16" t="s">
        <v>652</v>
      </c>
      <c r="Y615" s="16" t="s">
        <v>653</v>
      </c>
      <c r="Z615" s="16" t="s">
        <v>731</v>
      </c>
      <c r="AA615" s="16" t="s">
        <v>474</v>
      </c>
      <c r="AB615" s="16" t="s">
        <v>883</v>
      </c>
      <c r="AC615" s="16" t="s">
        <v>733</v>
      </c>
      <c r="AD615" s="16">
        <v>472219204</v>
      </c>
      <c r="AE615" s="16">
        <v>1962808733</v>
      </c>
      <c r="AF615" s="16"/>
      <c r="AG615" s="16">
        <v>7.4820250631482896E+16</v>
      </c>
      <c r="AH615" s="16"/>
      <c r="AI615" s="16" t="s">
        <v>31</v>
      </c>
      <c r="AJ615" s="16" t="s">
        <v>481</v>
      </c>
      <c r="AK615" s="16" t="s">
        <v>5538</v>
      </c>
      <c r="AL615" s="16">
        <v>22156.37</v>
      </c>
      <c r="AM615" s="16"/>
      <c r="AN615" s="16"/>
      <c r="AO615" s="16">
        <v>833</v>
      </c>
      <c r="AP615" s="16" t="s">
        <v>485</v>
      </c>
      <c r="AQ615" s="16" t="s">
        <v>5539</v>
      </c>
      <c r="AR615" s="3">
        <v>46272</v>
      </c>
      <c r="AS615" s="16" t="s">
        <v>31</v>
      </c>
      <c r="AT615" s="16" t="s">
        <v>5540</v>
      </c>
      <c r="AU615" s="16"/>
      <c r="AV615" s="16" t="s">
        <v>5541</v>
      </c>
      <c r="AW615" s="16"/>
      <c r="AX615" s="16"/>
      <c r="AY615" s="16"/>
      <c r="AZ615" s="16"/>
      <c r="BA615" s="16"/>
      <c r="BB615" s="16"/>
      <c r="BC615" s="16"/>
      <c r="BD615" s="16" t="s">
        <v>31</v>
      </c>
      <c r="BE615" s="16">
        <v>111</v>
      </c>
      <c r="BF615" s="16"/>
      <c r="BG615" s="16"/>
      <c r="BH615" s="16" t="s">
        <v>658</v>
      </c>
      <c r="BI615" s="16">
        <v>833310178</v>
      </c>
      <c r="BJ615" s="16"/>
      <c r="BK615" s="16"/>
      <c r="BL615" s="16"/>
      <c r="BM615" s="16"/>
      <c r="BN615" s="16"/>
      <c r="BO615" s="16"/>
      <c r="BP615" s="16"/>
      <c r="BQ615" s="16"/>
      <c r="BR615" s="16"/>
      <c r="BS615" s="16"/>
      <c r="BT615" s="16"/>
      <c r="BU615" s="16"/>
      <c r="BV615" s="16"/>
      <c r="BW615" s="16"/>
      <c r="BX615" s="16"/>
      <c r="BY615" s="16"/>
      <c r="BZ615" s="16"/>
      <c r="CA615" s="190">
        <v>46275</v>
      </c>
      <c r="CB615" s="3"/>
      <c r="CC615" s="16"/>
      <c r="CD615" s="16"/>
      <c r="CE615" s="16"/>
      <c r="CF615" s="16"/>
      <c r="CG615" s="16"/>
      <c r="CH615" s="16"/>
      <c r="CI615" s="16" t="s">
        <v>5542</v>
      </c>
    </row>
    <row r="616" spans="1:87">
      <c r="A616" s="16"/>
      <c r="B616" s="16"/>
      <c r="C616" s="3">
        <v>46281</v>
      </c>
      <c r="D616" s="16" t="s">
        <v>1</v>
      </c>
      <c r="E616" s="16" t="s">
        <v>5543</v>
      </c>
      <c r="F616" s="16">
        <v>2026224710479</v>
      </c>
      <c r="G616" s="16">
        <v>40</v>
      </c>
      <c r="H616" s="16">
        <v>34</v>
      </c>
      <c r="I616" s="16" t="s">
        <v>460</v>
      </c>
      <c r="J616" s="16" t="s">
        <v>5543</v>
      </c>
      <c r="K616" s="16" t="s">
        <v>3617</v>
      </c>
      <c r="L616" s="16" t="s">
        <v>16</v>
      </c>
      <c r="M616" s="16">
        <v>5</v>
      </c>
      <c r="N616" s="16" t="s">
        <v>462</v>
      </c>
      <c r="O616" s="16" t="s">
        <v>606</v>
      </c>
      <c r="P616" s="16">
        <v>971952164</v>
      </c>
      <c r="Q616" s="16" t="s">
        <v>465</v>
      </c>
      <c r="R616" s="16" t="s">
        <v>466</v>
      </c>
      <c r="S616" s="16" t="s">
        <v>5544</v>
      </c>
      <c r="T616" s="16">
        <v>801033</v>
      </c>
      <c r="U616" s="16">
        <v>46275.241666666669</v>
      </c>
      <c r="V616" s="16" t="s">
        <v>469</v>
      </c>
      <c r="W616" s="16" t="s">
        <v>470</v>
      </c>
      <c r="X616" s="16" t="s">
        <v>471</v>
      </c>
      <c r="Y616" s="16" t="s">
        <v>628</v>
      </c>
      <c r="Z616" s="16" t="s">
        <v>1338</v>
      </c>
      <c r="AA616" s="16" t="s">
        <v>474</v>
      </c>
      <c r="AB616" s="16" t="s">
        <v>5545</v>
      </c>
      <c r="AC616" s="16" t="s">
        <v>1429</v>
      </c>
      <c r="AD616" s="16">
        <v>820880104</v>
      </c>
      <c r="AE616" s="16">
        <v>1396267126</v>
      </c>
      <c r="AF616" s="16">
        <v>1578013074</v>
      </c>
      <c r="AG616" s="16"/>
      <c r="AH616" s="16" t="s">
        <v>3619</v>
      </c>
      <c r="AI616" s="16" t="s">
        <v>1076</v>
      </c>
      <c r="AJ616" s="16" t="s">
        <v>481</v>
      </c>
      <c r="AK616" s="16" t="s">
        <v>5546</v>
      </c>
      <c r="AL616" s="16">
        <v>335</v>
      </c>
      <c r="AM616" s="16"/>
      <c r="AN616" s="16"/>
      <c r="AO616" s="16">
        <v>971</v>
      </c>
      <c r="AP616" s="16" t="s">
        <v>485</v>
      </c>
      <c r="AQ616" s="16" t="s">
        <v>5547</v>
      </c>
      <c r="AR616" s="3">
        <v>46275</v>
      </c>
      <c r="AS616" s="16" t="s">
        <v>3619</v>
      </c>
      <c r="AT616" s="16" t="s">
        <v>3622</v>
      </c>
      <c r="AU616" s="16"/>
      <c r="AV616" s="16" t="s">
        <v>2330</v>
      </c>
      <c r="AW616" s="16"/>
      <c r="AX616" s="16"/>
      <c r="AY616" s="16"/>
      <c r="AZ616" s="16"/>
      <c r="BA616" s="16"/>
      <c r="BB616" s="16"/>
      <c r="BC616" s="16"/>
      <c r="BD616" s="16" t="s">
        <v>1076</v>
      </c>
      <c r="BE616" s="16">
        <v>34</v>
      </c>
      <c r="BF616" s="16"/>
      <c r="BG616" s="16"/>
      <c r="BH616" s="16" t="s">
        <v>491</v>
      </c>
      <c r="BI616" s="16">
        <v>42542977</v>
      </c>
      <c r="BJ616" s="16"/>
      <c r="BK616" s="16"/>
      <c r="BL616" s="16"/>
      <c r="BM616" s="16"/>
      <c r="BN616" s="16"/>
      <c r="BO616" s="16"/>
      <c r="BP616" s="16"/>
      <c r="BQ616" s="16"/>
      <c r="BR616" s="16"/>
      <c r="BS616" s="16"/>
      <c r="BT616" s="16"/>
      <c r="BU616" s="16"/>
      <c r="BV616" s="16"/>
      <c r="BW616" s="16"/>
      <c r="BX616" s="16"/>
      <c r="BY616" s="16"/>
      <c r="BZ616" s="16"/>
      <c r="CA616" s="190">
        <v>46280</v>
      </c>
      <c r="CB616" s="3"/>
      <c r="CC616" s="16"/>
      <c r="CD616" s="16"/>
      <c r="CE616" s="16"/>
      <c r="CF616" s="16"/>
      <c r="CG616" s="16"/>
      <c r="CH616" s="16"/>
      <c r="CI616" s="16" t="s">
        <v>5548</v>
      </c>
    </row>
    <row r="617" spans="1:87">
      <c r="A617" s="16"/>
      <c r="B617" s="16"/>
      <c r="C617" s="3">
        <v>46281</v>
      </c>
      <c r="D617" s="16" t="s">
        <v>1</v>
      </c>
      <c r="E617" s="16" t="s">
        <v>5549</v>
      </c>
      <c r="F617" s="16" t="s">
        <v>5550</v>
      </c>
      <c r="G617" s="16">
        <v>40</v>
      </c>
      <c r="H617" s="16">
        <v>35</v>
      </c>
      <c r="I617" s="16" t="s">
        <v>460</v>
      </c>
      <c r="J617" s="16" t="s">
        <v>5549</v>
      </c>
      <c r="K617" s="16" t="s">
        <v>4716</v>
      </c>
      <c r="L617" s="16" t="s">
        <v>16</v>
      </c>
      <c r="M617" s="16">
        <v>32</v>
      </c>
      <c r="N617" s="16" t="s">
        <v>462</v>
      </c>
      <c r="O617" s="16" t="s">
        <v>4717</v>
      </c>
      <c r="P617" s="16" t="s">
        <v>5551</v>
      </c>
      <c r="Q617" s="16" t="s">
        <v>1055</v>
      </c>
      <c r="R617" s="16" t="s">
        <v>1056</v>
      </c>
      <c r="S617" s="16" t="s">
        <v>5552</v>
      </c>
      <c r="T617" s="16" t="s">
        <v>5553</v>
      </c>
      <c r="U617" s="16"/>
      <c r="V617" s="16" t="s">
        <v>469</v>
      </c>
      <c r="W617" s="16" t="s">
        <v>470</v>
      </c>
      <c r="X617" s="16" t="s">
        <v>471</v>
      </c>
      <c r="Y617" s="16" t="s">
        <v>523</v>
      </c>
      <c r="Z617" s="16" t="s">
        <v>544</v>
      </c>
      <c r="AA617" s="16" t="s">
        <v>1059</v>
      </c>
      <c r="AB617" s="16" t="s">
        <v>5554</v>
      </c>
      <c r="AC617" s="16" t="s">
        <v>546</v>
      </c>
      <c r="AD617" s="16">
        <v>580566256</v>
      </c>
      <c r="AE617" s="16">
        <v>1588640692</v>
      </c>
      <c r="AF617" s="16"/>
      <c r="AG617" s="16"/>
      <c r="AH617" s="16" t="s">
        <v>1076</v>
      </c>
      <c r="AI617" s="16" t="s">
        <v>206</v>
      </c>
      <c r="AJ617" s="16" t="s">
        <v>481</v>
      </c>
      <c r="AK617" s="16" t="s">
        <v>5555</v>
      </c>
      <c r="AL617" s="16">
        <v>223601.88</v>
      </c>
      <c r="AM617" s="16"/>
      <c r="AN617" s="16"/>
      <c r="AO617" s="16" t="s">
        <v>5556</v>
      </c>
      <c r="AP617" s="16" t="s">
        <v>1063</v>
      </c>
      <c r="AQ617" s="16" t="s">
        <v>5557</v>
      </c>
      <c r="AR617" s="3">
        <v>46248</v>
      </c>
      <c r="AS617" s="16" t="s">
        <v>5202</v>
      </c>
      <c r="AT617" s="16" t="s">
        <v>1819</v>
      </c>
      <c r="AU617" s="16"/>
      <c r="AV617" s="16" t="s">
        <v>2757</v>
      </c>
      <c r="AW617" s="16"/>
      <c r="AX617" s="16"/>
      <c r="AY617" s="16"/>
      <c r="AZ617" s="16"/>
      <c r="BA617" s="16"/>
      <c r="BB617" s="16" t="s">
        <v>5558</v>
      </c>
      <c r="BC617" s="16"/>
      <c r="BD617" s="16" t="s">
        <v>206</v>
      </c>
      <c r="BE617" s="16">
        <v>34</v>
      </c>
      <c r="BF617" s="16"/>
      <c r="BG617" s="16" t="s">
        <v>1067</v>
      </c>
      <c r="BH617" s="16" t="s">
        <v>491</v>
      </c>
      <c r="BI617" s="16">
        <v>197686621</v>
      </c>
      <c r="BJ617" s="16"/>
      <c r="BK617" s="16"/>
      <c r="BL617" s="16"/>
      <c r="BM617" s="16"/>
      <c r="BN617" s="16"/>
      <c r="BO617" s="16"/>
      <c r="BP617" s="16"/>
      <c r="BQ617" s="16"/>
      <c r="BR617" s="16"/>
      <c r="BS617" s="16"/>
      <c r="BT617" s="16"/>
      <c r="BU617" s="16"/>
      <c r="BV617" s="16"/>
      <c r="BW617" s="16"/>
      <c r="BX617" s="16"/>
      <c r="BY617" s="16"/>
      <c r="BZ617" s="16"/>
      <c r="CA617" s="190">
        <v>46280</v>
      </c>
      <c r="CB617" s="3"/>
      <c r="CC617" s="16"/>
      <c r="CD617" s="16"/>
      <c r="CE617" s="16"/>
      <c r="CF617" s="16"/>
      <c r="CG617" s="16"/>
      <c r="CH617" s="16"/>
      <c r="CI617" s="16" t="s">
        <v>5559</v>
      </c>
    </row>
    <row r="618" spans="1:87">
      <c r="A618" s="16"/>
      <c r="B618" s="16"/>
      <c r="C618" s="3">
        <v>46281</v>
      </c>
      <c r="D618" s="16" t="s">
        <v>1</v>
      </c>
      <c r="E618" s="16" t="s">
        <v>5560</v>
      </c>
      <c r="F618" s="16">
        <v>2026227910299</v>
      </c>
      <c r="G618" s="16">
        <v>40</v>
      </c>
      <c r="H618" s="16">
        <v>31</v>
      </c>
      <c r="I618" s="16" t="s">
        <v>460</v>
      </c>
      <c r="J618" s="16" t="s">
        <v>5560</v>
      </c>
      <c r="K618" s="16" t="s">
        <v>1813</v>
      </c>
      <c r="L618" s="16" t="s">
        <v>16</v>
      </c>
      <c r="M618" s="16">
        <v>4</v>
      </c>
      <c r="N618" s="16" t="s">
        <v>462</v>
      </c>
      <c r="O618" s="16" t="s">
        <v>497</v>
      </c>
      <c r="P618" s="16" t="s">
        <v>5561</v>
      </c>
      <c r="Q618" s="16" t="s">
        <v>465</v>
      </c>
      <c r="R618" s="16" t="s">
        <v>466</v>
      </c>
      <c r="S618" s="16" t="s">
        <v>5562</v>
      </c>
      <c r="T618" s="16" t="s">
        <v>5563</v>
      </c>
      <c r="U618" s="16">
        <v>46275.995138888888</v>
      </c>
      <c r="V618" s="16" t="s">
        <v>469</v>
      </c>
      <c r="W618" s="16" t="s">
        <v>568</v>
      </c>
      <c r="X618" s="16" t="s">
        <v>471</v>
      </c>
      <c r="Y618" s="16" t="s">
        <v>5564</v>
      </c>
      <c r="Z618" s="16" t="s">
        <v>524</v>
      </c>
      <c r="AA618" s="16" t="s">
        <v>474</v>
      </c>
      <c r="AB618" s="16" t="s">
        <v>5565</v>
      </c>
      <c r="AC618" s="16" t="s">
        <v>733</v>
      </c>
      <c r="AD618" s="16">
        <v>436003859</v>
      </c>
      <c r="AE618" s="16">
        <v>1699769901</v>
      </c>
      <c r="AF618" s="16"/>
      <c r="AG618" s="16"/>
      <c r="AH618" s="16" t="s">
        <v>1076</v>
      </c>
      <c r="AI618" s="16" t="s">
        <v>142</v>
      </c>
      <c r="AJ618" s="16" t="s">
        <v>481</v>
      </c>
      <c r="AK618" s="16" t="s">
        <v>5566</v>
      </c>
      <c r="AL618" s="16">
        <v>540</v>
      </c>
      <c r="AM618" s="16"/>
      <c r="AN618" s="16"/>
      <c r="AO618" s="16">
        <v>752</v>
      </c>
      <c r="AP618" s="16" t="s">
        <v>485</v>
      </c>
      <c r="AQ618" s="16" t="s">
        <v>5567</v>
      </c>
      <c r="AR618" s="3">
        <v>46276</v>
      </c>
      <c r="AS618" s="16" t="s">
        <v>1076</v>
      </c>
      <c r="AT618" s="16" t="s">
        <v>5568</v>
      </c>
      <c r="AU618" s="16"/>
      <c r="AV618" s="16" t="s">
        <v>2714</v>
      </c>
      <c r="AW618" s="16"/>
      <c r="AX618" s="16"/>
      <c r="AY618" s="16"/>
      <c r="AZ618" s="16"/>
      <c r="BA618" s="16"/>
      <c r="BB618" s="16"/>
      <c r="BC618" s="16"/>
      <c r="BD618" s="16" t="s">
        <v>142</v>
      </c>
      <c r="BE618" s="16">
        <v>11</v>
      </c>
      <c r="BF618" s="16" t="s">
        <v>5569</v>
      </c>
      <c r="BG618" s="16" t="s">
        <v>490</v>
      </c>
      <c r="BH618" s="16" t="s">
        <v>491</v>
      </c>
      <c r="BI618" s="16" t="s">
        <v>5561</v>
      </c>
      <c r="BJ618" s="16"/>
      <c r="BK618" s="16"/>
      <c r="BL618" s="16"/>
      <c r="BM618" s="16"/>
      <c r="BN618" s="16"/>
      <c r="BO618" s="16"/>
      <c r="BP618" s="16"/>
      <c r="BQ618" s="16"/>
      <c r="BR618" s="16"/>
      <c r="BS618" s="16"/>
      <c r="BT618" s="16"/>
      <c r="BU618" s="16"/>
      <c r="BV618" s="16"/>
      <c r="BW618" s="16"/>
      <c r="BX618" s="16"/>
      <c r="BY618" s="16"/>
      <c r="BZ618" s="16"/>
      <c r="CA618" s="190">
        <v>46280</v>
      </c>
      <c r="CB618" s="3"/>
      <c r="CC618" s="16"/>
      <c r="CD618" s="16"/>
      <c r="CE618" s="16"/>
      <c r="CF618" s="16"/>
      <c r="CG618" s="16"/>
      <c r="CH618" s="16"/>
      <c r="CI618" s="16" t="s">
        <v>5570</v>
      </c>
    </row>
    <row r="619" spans="1:87">
      <c r="A619" s="16"/>
      <c r="B619" s="16"/>
      <c r="C619" s="3">
        <v>46281</v>
      </c>
      <c r="D619" s="16" t="s">
        <v>1</v>
      </c>
      <c r="E619" s="16" t="s">
        <v>5571</v>
      </c>
      <c r="F619" s="16" t="s">
        <v>5572</v>
      </c>
      <c r="G619" s="16">
        <v>40</v>
      </c>
      <c r="H619" s="16">
        <v>34</v>
      </c>
      <c r="I619" s="16" t="s">
        <v>460</v>
      </c>
      <c r="J619" s="16" t="s">
        <v>5571</v>
      </c>
      <c r="K619" s="16" t="s">
        <v>741</v>
      </c>
      <c r="L619" s="16" t="s">
        <v>13</v>
      </c>
      <c r="M619" s="16">
        <v>1</v>
      </c>
      <c r="N619" s="16" t="s">
        <v>462</v>
      </c>
      <c r="O619" s="16" t="s">
        <v>497</v>
      </c>
      <c r="P619" s="16" t="s">
        <v>5573</v>
      </c>
      <c r="Q619" s="16" t="s">
        <v>1055</v>
      </c>
      <c r="R619" s="16" t="s">
        <v>1056</v>
      </c>
      <c r="S619" s="16" t="s">
        <v>5574</v>
      </c>
      <c r="T619" s="16" t="s">
        <v>5575</v>
      </c>
      <c r="U619" s="16">
        <v>46278.884027777778</v>
      </c>
      <c r="V619" s="16" t="s">
        <v>469</v>
      </c>
      <c r="W619" s="16" t="s">
        <v>470</v>
      </c>
      <c r="X619" s="16" t="s">
        <v>471</v>
      </c>
      <c r="Y619" s="16" t="s">
        <v>523</v>
      </c>
      <c r="Z619" s="16" t="s">
        <v>473</v>
      </c>
      <c r="AA619" s="16" t="s">
        <v>1059</v>
      </c>
      <c r="AB619" s="16" t="s">
        <v>5576</v>
      </c>
      <c r="AC619" s="16" t="s">
        <v>476</v>
      </c>
      <c r="AD619" s="16">
        <v>390808443</v>
      </c>
      <c r="AE619" s="16">
        <v>1538112230</v>
      </c>
      <c r="AF619" s="16"/>
      <c r="AG619" s="16"/>
      <c r="AH619" s="16"/>
      <c r="AI619" s="16" t="s">
        <v>290</v>
      </c>
      <c r="AJ619" s="16" t="s">
        <v>481</v>
      </c>
      <c r="AK619" s="16" t="s">
        <v>5577</v>
      </c>
      <c r="AL619" s="16">
        <v>23156.91</v>
      </c>
      <c r="AM619" s="16"/>
      <c r="AN619" s="16"/>
      <c r="AO619" s="16" t="s">
        <v>5578</v>
      </c>
      <c r="AP619" s="16" t="s">
        <v>1063</v>
      </c>
      <c r="AQ619" s="16" t="s">
        <v>5579</v>
      </c>
      <c r="AR619" s="3">
        <v>46279</v>
      </c>
      <c r="AS619" s="16" t="s">
        <v>290</v>
      </c>
      <c r="AT619" s="16" t="s">
        <v>4946</v>
      </c>
      <c r="AU619" s="16"/>
      <c r="AV619" s="16" t="s">
        <v>5580</v>
      </c>
      <c r="AW619" s="16"/>
      <c r="AX619" s="16"/>
      <c r="AY619" s="16"/>
      <c r="AZ619" s="16"/>
      <c r="BA619" s="16"/>
      <c r="BB619" s="16" t="s">
        <v>5581</v>
      </c>
      <c r="BC619" s="16"/>
      <c r="BD619" s="16" t="s">
        <v>290</v>
      </c>
      <c r="BE619" s="16">
        <v>34</v>
      </c>
      <c r="BF619" s="16"/>
      <c r="BG619" s="16" t="s">
        <v>1067</v>
      </c>
      <c r="BH619" s="16" t="s">
        <v>491</v>
      </c>
      <c r="BI619" s="16">
        <v>383626087</v>
      </c>
      <c r="BJ619" s="16"/>
      <c r="BK619" s="16"/>
      <c r="BL619" s="16"/>
      <c r="BM619" s="16"/>
      <c r="BN619" s="16"/>
      <c r="BO619" s="16"/>
      <c r="BP619" s="16"/>
      <c r="BQ619" s="16"/>
      <c r="BR619" s="16"/>
      <c r="BS619" s="16"/>
      <c r="BT619" s="16"/>
      <c r="BU619" s="16"/>
      <c r="BV619" s="16"/>
      <c r="BW619" s="16"/>
      <c r="BX619" s="16"/>
      <c r="BY619" s="16"/>
      <c r="BZ619" s="16"/>
      <c r="CA619" s="190">
        <v>46280</v>
      </c>
      <c r="CB619" s="3"/>
      <c r="CC619" s="16"/>
      <c r="CD619" s="16"/>
      <c r="CE619" s="16"/>
      <c r="CF619" s="16"/>
      <c r="CG619" s="16"/>
      <c r="CH619" s="16"/>
      <c r="CI619" s="16" t="s">
        <v>5582</v>
      </c>
    </row>
    <row r="620" spans="1:87">
      <c r="A620" s="16"/>
      <c r="B620" s="16"/>
      <c r="C620" s="3">
        <v>46281</v>
      </c>
      <c r="D620" s="16" t="s">
        <v>1</v>
      </c>
      <c r="E620" s="16" t="s">
        <v>5583</v>
      </c>
      <c r="F620" s="16"/>
      <c r="G620" s="16">
        <v>40</v>
      </c>
      <c r="H620" s="16">
        <v>34</v>
      </c>
      <c r="I620" s="16" t="s">
        <v>460</v>
      </c>
      <c r="J620" s="16" t="s">
        <v>5583</v>
      </c>
      <c r="K620" s="16" t="s">
        <v>3969</v>
      </c>
      <c r="L620" s="16" t="s">
        <v>1760</v>
      </c>
      <c r="M620" s="16">
        <v>2</v>
      </c>
      <c r="N620" s="16" t="s">
        <v>462</v>
      </c>
      <c r="O620" s="16" t="s">
        <v>497</v>
      </c>
      <c r="P620" s="16" t="s">
        <v>5584</v>
      </c>
      <c r="Q620" s="16" t="s">
        <v>1055</v>
      </c>
      <c r="R620" s="16" t="s">
        <v>1350</v>
      </c>
      <c r="S620" s="16" t="s">
        <v>5585</v>
      </c>
      <c r="T620" s="16" t="s">
        <v>5586</v>
      </c>
      <c r="U620" s="16">
        <v>46278.677083333336</v>
      </c>
      <c r="V620" s="16" t="s">
        <v>469</v>
      </c>
      <c r="W620" s="16" t="s">
        <v>568</v>
      </c>
      <c r="X620" s="16" t="s">
        <v>471</v>
      </c>
      <c r="Y620" s="16" t="s">
        <v>628</v>
      </c>
      <c r="Z620" s="16" t="s">
        <v>473</v>
      </c>
      <c r="AA620" s="16" t="s">
        <v>1354</v>
      </c>
      <c r="AB620" s="16" t="s">
        <v>5587</v>
      </c>
      <c r="AC620" s="16" t="s">
        <v>476</v>
      </c>
      <c r="AD620" s="16">
        <v>390884478</v>
      </c>
      <c r="AE620" s="16">
        <v>1033172390</v>
      </c>
      <c r="AF620" s="16">
        <v>1518046499</v>
      </c>
      <c r="AG620" s="16"/>
      <c r="AH620" s="16"/>
      <c r="AI620" s="16" t="s">
        <v>3972</v>
      </c>
      <c r="AJ620" s="16" t="s">
        <v>481</v>
      </c>
      <c r="AK620" s="16" t="s">
        <v>5588</v>
      </c>
      <c r="AL620" s="16">
        <v>3574.7</v>
      </c>
      <c r="AM620" s="16"/>
      <c r="AN620" s="16"/>
      <c r="AO620" s="16">
        <v>355</v>
      </c>
      <c r="AP620" s="16" t="s">
        <v>1063</v>
      </c>
      <c r="AQ620" s="16" t="s">
        <v>5589</v>
      </c>
      <c r="AR620" s="3">
        <v>46278</v>
      </c>
      <c r="AS620" s="16" t="s">
        <v>3972</v>
      </c>
      <c r="AT620" s="16" t="s">
        <v>5590</v>
      </c>
      <c r="AU620" s="16"/>
      <c r="AV620" s="16" t="s">
        <v>5591</v>
      </c>
      <c r="AW620" s="16"/>
      <c r="AX620" s="16"/>
      <c r="AY620" s="16"/>
      <c r="AZ620" s="16"/>
      <c r="BA620" s="16"/>
      <c r="BB620" s="16"/>
      <c r="BC620" s="16"/>
      <c r="BD620" s="16" t="s">
        <v>3972</v>
      </c>
      <c r="BE620" s="16">
        <v>34</v>
      </c>
      <c r="BF620" s="16"/>
      <c r="BG620" s="16"/>
      <c r="BH620" s="16" t="s">
        <v>491</v>
      </c>
      <c r="BI620" s="16">
        <v>395902162</v>
      </c>
      <c r="BJ620" s="16"/>
      <c r="BK620" s="16"/>
      <c r="BL620" s="16"/>
      <c r="BM620" s="16"/>
      <c r="BN620" s="16"/>
      <c r="BO620" s="16"/>
      <c r="BP620" s="16"/>
      <c r="BQ620" s="16"/>
      <c r="BR620" s="16"/>
      <c r="BS620" s="16"/>
      <c r="BT620" s="16"/>
      <c r="BU620" s="16"/>
      <c r="BV620" s="16"/>
      <c r="BW620" s="16"/>
      <c r="BX620" s="16"/>
      <c r="BY620" s="16"/>
      <c r="BZ620" s="16"/>
      <c r="CA620" s="190">
        <v>46280</v>
      </c>
      <c r="CB620" s="3"/>
      <c r="CC620" s="16"/>
      <c r="CD620" s="16"/>
      <c r="CE620" s="16"/>
      <c r="CF620" s="16"/>
      <c r="CG620" s="16"/>
      <c r="CH620" s="16"/>
      <c r="CI620" s="16" t="s">
        <v>5592</v>
      </c>
    </row>
    <row r="621" spans="1:87">
      <c r="A621" s="16" t="s">
        <v>4</v>
      </c>
      <c r="B621" s="25" t="s">
        <v>5593</v>
      </c>
      <c r="C621" s="3">
        <v>46281</v>
      </c>
      <c r="D621" s="16" t="s">
        <v>1</v>
      </c>
      <c r="E621" s="16" t="s">
        <v>5594</v>
      </c>
      <c r="F621" s="16"/>
      <c r="G621" s="16">
        <v>40</v>
      </c>
      <c r="H621" s="16">
        <v>34</v>
      </c>
      <c r="I621" s="16" t="s">
        <v>460</v>
      </c>
      <c r="J621" s="16" t="s">
        <v>5594</v>
      </c>
      <c r="K621" s="16" t="s">
        <v>1348</v>
      </c>
      <c r="L621" s="16" t="s">
        <v>17</v>
      </c>
      <c r="M621" s="16">
        <v>7</v>
      </c>
      <c r="N621" s="16" t="s">
        <v>462</v>
      </c>
      <c r="O621" s="16" t="s">
        <v>606</v>
      </c>
      <c r="P621" s="16">
        <v>390806315</v>
      </c>
      <c r="Q621" s="16" t="s">
        <v>465</v>
      </c>
      <c r="R621" s="16" t="s">
        <v>1193</v>
      </c>
      <c r="S621" s="16" t="s">
        <v>5595</v>
      </c>
      <c r="T621" s="16" t="s">
        <v>1463</v>
      </c>
      <c r="U621" s="16">
        <v>46267.831944444442</v>
      </c>
      <c r="V621" s="16" t="s">
        <v>469</v>
      </c>
      <c r="W621" s="16" t="s">
        <v>470</v>
      </c>
      <c r="X621" s="16" t="s">
        <v>471</v>
      </c>
      <c r="Y621" s="16" t="s">
        <v>472</v>
      </c>
      <c r="Z621" s="16" t="s">
        <v>473</v>
      </c>
      <c r="AA621" s="16" t="s">
        <v>474</v>
      </c>
      <c r="AB621" s="16" t="s">
        <v>2701</v>
      </c>
      <c r="AC621" s="16" t="s">
        <v>476</v>
      </c>
      <c r="AD621" s="16">
        <v>390806315</v>
      </c>
      <c r="AE621" s="16">
        <v>1871656082</v>
      </c>
      <c r="AF621" s="16"/>
      <c r="AG621" s="16"/>
      <c r="AH621" s="16"/>
      <c r="AI621" s="16" t="s">
        <v>267</v>
      </c>
      <c r="AJ621" s="16" t="s">
        <v>481</v>
      </c>
      <c r="AK621" s="16" t="s">
        <v>5596</v>
      </c>
      <c r="AL621" s="16">
        <v>130115.83</v>
      </c>
      <c r="AM621" s="16"/>
      <c r="AN621" s="16"/>
      <c r="AO621" s="16">
        <v>390</v>
      </c>
      <c r="AP621" s="16" t="s">
        <v>485</v>
      </c>
      <c r="AQ621" s="16" t="s">
        <v>5597</v>
      </c>
      <c r="AR621" s="3">
        <v>46273</v>
      </c>
      <c r="AS621" s="16" t="s">
        <v>267</v>
      </c>
      <c r="AT621" s="16" t="s">
        <v>5598</v>
      </c>
      <c r="AU621" s="16"/>
      <c r="AV621" s="16" t="s">
        <v>5599</v>
      </c>
      <c r="AW621" s="16"/>
      <c r="AX621" s="16"/>
      <c r="AY621" s="16"/>
      <c r="AZ621" s="16"/>
      <c r="BA621" s="16"/>
      <c r="BB621" s="16"/>
      <c r="BC621" s="16"/>
      <c r="BD621" s="16" t="s">
        <v>267</v>
      </c>
      <c r="BE621" s="16">
        <v>34</v>
      </c>
      <c r="BF621" s="16"/>
      <c r="BG621" s="16" t="s">
        <v>490</v>
      </c>
      <c r="BH621" s="16" t="s">
        <v>491</v>
      </c>
      <c r="BI621" s="16">
        <v>398026148</v>
      </c>
      <c r="BJ621" s="16"/>
      <c r="BK621" s="16"/>
      <c r="BL621" s="16"/>
      <c r="BM621" s="16"/>
      <c r="BN621" s="16"/>
      <c r="BO621" s="16"/>
      <c r="BP621" s="16"/>
      <c r="BQ621" s="16"/>
      <c r="BR621" s="16"/>
      <c r="BS621" s="16"/>
      <c r="BT621" s="16"/>
      <c r="BU621" s="16"/>
      <c r="BV621" s="16"/>
      <c r="BW621" s="16"/>
      <c r="BX621" s="16"/>
      <c r="BY621" s="16"/>
      <c r="BZ621" s="16"/>
      <c r="CA621" s="190">
        <v>46285.666666666701</v>
      </c>
      <c r="CB621" s="3"/>
      <c r="CC621" s="16"/>
      <c r="CD621" s="16"/>
      <c r="CE621" s="16"/>
      <c r="CF621" s="16"/>
      <c r="CG621" s="16"/>
      <c r="CH621" s="16"/>
      <c r="CI621" s="16" t="s">
        <v>5600</v>
      </c>
    </row>
    <row r="622" spans="1:87">
      <c r="A622" s="16" t="s">
        <v>5</v>
      </c>
      <c r="B622" s="16" t="s">
        <v>1038</v>
      </c>
      <c r="C622" s="3">
        <v>46281</v>
      </c>
      <c r="D622" s="16" t="s">
        <v>1</v>
      </c>
      <c r="E622" s="16" t="s">
        <v>5601</v>
      </c>
      <c r="F622" s="16">
        <v>2026224330174</v>
      </c>
      <c r="G622" s="16">
        <v>40</v>
      </c>
      <c r="H622" s="16">
        <v>34</v>
      </c>
      <c r="I622" s="16" t="s">
        <v>460</v>
      </c>
      <c r="J622" s="16" t="s">
        <v>5601</v>
      </c>
      <c r="K622" s="16" t="s">
        <v>5231</v>
      </c>
      <c r="L622" s="16" t="s">
        <v>17</v>
      </c>
      <c r="M622" s="16">
        <v>11</v>
      </c>
      <c r="N622" s="16" t="s">
        <v>462</v>
      </c>
      <c r="O622" s="16" t="s">
        <v>606</v>
      </c>
      <c r="P622" s="16" t="s">
        <v>5602</v>
      </c>
      <c r="Q622" s="16" t="s">
        <v>465</v>
      </c>
      <c r="R622" s="16" t="s">
        <v>466</v>
      </c>
      <c r="S622" s="16" t="s">
        <v>5603</v>
      </c>
      <c r="T622" s="16">
        <v>377650</v>
      </c>
      <c r="U622" s="16">
        <v>46268.768055555556</v>
      </c>
      <c r="V622" s="16" t="s">
        <v>469</v>
      </c>
      <c r="W622" s="16" t="s">
        <v>1752</v>
      </c>
      <c r="X622" s="16" t="s">
        <v>471</v>
      </c>
      <c r="Y622" s="16" t="s">
        <v>628</v>
      </c>
      <c r="Z622" s="16" t="s">
        <v>665</v>
      </c>
      <c r="AA622" s="16" t="s">
        <v>474</v>
      </c>
      <c r="AB622" s="16" t="s">
        <v>3784</v>
      </c>
      <c r="AC622" s="16" t="s">
        <v>640</v>
      </c>
      <c r="AD622" s="16">
        <v>113613997</v>
      </c>
      <c r="AE622" s="16">
        <v>1386779296</v>
      </c>
      <c r="AF622" s="16">
        <v>1386779296</v>
      </c>
      <c r="AG622" s="16"/>
      <c r="AH622" s="16"/>
      <c r="AI622" s="16" t="s">
        <v>63</v>
      </c>
      <c r="AJ622" s="16" t="s">
        <v>481</v>
      </c>
      <c r="AK622" s="16" t="s">
        <v>5604</v>
      </c>
      <c r="AL622" s="16">
        <v>611</v>
      </c>
      <c r="AM622" s="16"/>
      <c r="AN622" s="16"/>
      <c r="AO622" s="16">
        <v>589</v>
      </c>
      <c r="AP622" s="16" t="s">
        <v>485</v>
      </c>
      <c r="AQ622" s="16" t="s">
        <v>5605</v>
      </c>
      <c r="AR622" s="3">
        <v>46269</v>
      </c>
      <c r="AS622" s="16" t="s">
        <v>63</v>
      </c>
      <c r="AT622" s="16" t="s">
        <v>5606</v>
      </c>
      <c r="AU622" s="16"/>
      <c r="AV622" s="16" t="s">
        <v>3743</v>
      </c>
      <c r="AW622" s="16"/>
      <c r="AX622" s="16"/>
      <c r="AY622" s="16"/>
      <c r="AZ622" s="16"/>
      <c r="BA622" s="16"/>
      <c r="BB622" s="16"/>
      <c r="BC622" s="16"/>
      <c r="BD622" s="16" t="s">
        <v>63</v>
      </c>
      <c r="BE622" s="16">
        <v>34</v>
      </c>
      <c r="BF622" s="16"/>
      <c r="BG622" s="16"/>
      <c r="BH622" s="16" t="s">
        <v>491</v>
      </c>
      <c r="BI622" s="16">
        <v>102426101</v>
      </c>
      <c r="BJ622" s="16"/>
      <c r="BK622" s="16"/>
      <c r="BL622" s="16"/>
      <c r="BM622" s="16"/>
      <c r="BN622" s="16"/>
      <c r="BO622" s="16"/>
      <c r="BP622" s="16"/>
      <c r="BQ622" s="16"/>
      <c r="BR622" s="16"/>
      <c r="BS622" s="16"/>
      <c r="BT622" s="16"/>
      <c r="BU622" s="16"/>
      <c r="BV622" s="16"/>
      <c r="BW622" s="16"/>
      <c r="BX622" s="16"/>
      <c r="BY622" s="16"/>
      <c r="BZ622" s="16"/>
      <c r="CA622" s="190">
        <v>46282.666666666701</v>
      </c>
      <c r="CB622" s="3"/>
      <c r="CC622" s="16"/>
      <c r="CD622" s="16"/>
      <c r="CE622" s="16"/>
      <c r="CF622" s="16"/>
      <c r="CG622" s="16"/>
      <c r="CH622" s="16"/>
      <c r="CI622" s="16" t="s">
        <v>5607</v>
      </c>
    </row>
    <row r="623" spans="1:87">
      <c r="A623" s="16"/>
      <c r="B623" s="16"/>
      <c r="C623" s="3">
        <v>46281</v>
      </c>
      <c r="D623" s="16" t="s">
        <v>1</v>
      </c>
      <c r="E623" s="16" t="s">
        <v>5608</v>
      </c>
      <c r="F623" s="16">
        <v>2026223150186</v>
      </c>
      <c r="G623" s="16">
        <v>40</v>
      </c>
      <c r="H623" s="16">
        <v>35</v>
      </c>
      <c r="I623" s="16" t="s">
        <v>460</v>
      </c>
      <c r="J623" s="16" t="s">
        <v>5608</v>
      </c>
      <c r="K623" s="16" t="s">
        <v>4716</v>
      </c>
      <c r="L623" s="16" t="s">
        <v>16</v>
      </c>
      <c r="M623" s="16">
        <v>34</v>
      </c>
      <c r="N623" s="16" t="s">
        <v>462</v>
      </c>
      <c r="O623" s="16" t="s">
        <v>4717</v>
      </c>
      <c r="P623" s="16" t="s">
        <v>5609</v>
      </c>
      <c r="Q623" s="16" t="s">
        <v>465</v>
      </c>
      <c r="R623" s="16" t="s">
        <v>466</v>
      </c>
      <c r="S623" s="16" t="s">
        <v>5610</v>
      </c>
      <c r="T623" s="16" t="s">
        <v>465</v>
      </c>
      <c r="U623" s="16"/>
      <c r="V623" s="16" t="s">
        <v>469</v>
      </c>
      <c r="W623" s="16" t="s">
        <v>589</v>
      </c>
      <c r="X623" s="16" t="s">
        <v>471</v>
      </c>
      <c r="Y623" s="16" t="s">
        <v>472</v>
      </c>
      <c r="Z623" s="16" t="s">
        <v>590</v>
      </c>
      <c r="AA623" s="16" t="s">
        <v>474</v>
      </c>
      <c r="AB623" s="16" t="s">
        <v>4605</v>
      </c>
      <c r="AC623" s="16" t="s">
        <v>592</v>
      </c>
      <c r="AD623" s="16">
        <v>841262971</v>
      </c>
      <c r="AE623" s="16">
        <v>1760492714</v>
      </c>
      <c r="AF623" s="16"/>
      <c r="AG623" s="16"/>
      <c r="AH623" s="16" t="s">
        <v>1076</v>
      </c>
      <c r="AI623" s="16" t="s">
        <v>206</v>
      </c>
      <c r="AJ623" s="16" t="s">
        <v>481</v>
      </c>
      <c r="AK623" s="16" t="s">
        <v>5611</v>
      </c>
      <c r="AL623" s="16">
        <v>31935.06</v>
      </c>
      <c r="AM623" s="16"/>
      <c r="AN623" s="16"/>
      <c r="AO623" s="16">
        <v>144</v>
      </c>
      <c r="AP623" s="16" t="s">
        <v>485</v>
      </c>
      <c r="AQ623" s="16" t="s">
        <v>5612</v>
      </c>
      <c r="AR623" s="3">
        <v>46246</v>
      </c>
      <c r="AS623" s="16" t="s">
        <v>2506</v>
      </c>
      <c r="AT623" s="16" t="s">
        <v>1819</v>
      </c>
      <c r="AU623" s="16"/>
      <c r="AV623" s="16" t="s">
        <v>5613</v>
      </c>
      <c r="AW623" s="16"/>
      <c r="AX623" s="16"/>
      <c r="AY623" s="16"/>
      <c r="AZ623" s="16"/>
      <c r="BA623" s="16"/>
      <c r="BB623" s="16"/>
      <c r="BC623" s="16"/>
      <c r="BD623" s="16" t="s">
        <v>206</v>
      </c>
      <c r="BE623" s="16">
        <v>34</v>
      </c>
      <c r="BF623" s="16"/>
      <c r="BG623" s="16" t="s">
        <v>490</v>
      </c>
      <c r="BH623" s="16" t="s">
        <v>491</v>
      </c>
      <c r="BI623" s="16">
        <v>522254235</v>
      </c>
      <c r="BJ623" s="16"/>
      <c r="BK623" s="16"/>
      <c r="BL623" s="16"/>
      <c r="BM623" s="16"/>
      <c r="BN623" s="16"/>
      <c r="BO623" s="16"/>
      <c r="BP623" s="16"/>
      <c r="BQ623" s="16"/>
      <c r="BR623" s="16"/>
      <c r="BS623" s="16"/>
      <c r="BT623" s="16"/>
      <c r="BU623" s="16"/>
      <c r="BV623" s="16"/>
      <c r="BW623" s="16"/>
      <c r="BX623" s="16"/>
      <c r="BY623" s="16"/>
      <c r="BZ623" s="16"/>
      <c r="CA623" s="190">
        <v>46280</v>
      </c>
      <c r="CB623" s="3"/>
      <c r="CC623" s="16"/>
      <c r="CD623" s="16"/>
      <c r="CE623" s="16"/>
      <c r="CF623" s="16"/>
      <c r="CG623" s="16"/>
      <c r="CH623" s="16"/>
      <c r="CI623" s="16" t="s">
        <v>5614</v>
      </c>
    </row>
    <row r="624" spans="1:87">
      <c r="A624" s="16" t="s">
        <v>5</v>
      </c>
      <c r="B624" s="16" t="s">
        <v>1038</v>
      </c>
      <c r="C624" s="3">
        <v>46281</v>
      </c>
      <c r="D624" s="16" t="s">
        <v>1</v>
      </c>
      <c r="E624" s="16" t="s">
        <v>5615</v>
      </c>
      <c r="F624" s="16">
        <v>2026224350391</v>
      </c>
      <c r="G624" s="16">
        <v>40</v>
      </c>
      <c r="H624" s="16">
        <v>34</v>
      </c>
      <c r="I624" s="16" t="s">
        <v>460</v>
      </c>
      <c r="J624" s="16" t="s">
        <v>5615</v>
      </c>
      <c r="K624" s="16" t="s">
        <v>5231</v>
      </c>
      <c r="L624" s="16" t="s">
        <v>17</v>
      </c>
      <c r="M624" s="16">
        <v>11</v>
      </c>
      <c r="N624" s="16" t="s">
        <v>462</v>
      </c>
      <c r="O624" s="16" t="s">
        <v>606</v>
      </c>
      <c r="P624" s="16">
        <v>909134110</v>
      </c>
      <c r="Q624" s="16" t="s">
        <v>465</v>
      </c>
      <c r="R624" s="16" t="s">
        <v>466</v>
      </c>
      <c r="S624" s="16" t="s">
        <v>5616</v>
      </c>
      <c r="T624" s="16" t="s">
        <v>928</v>
      </c>
      <c r="U624" s="16">
        <v>46268.768055555556</v>
      </c>
      <c r="V624" s="16" t="s">
        <v>469</v>
      </c>
      <c r="W624" s="16" t="s">
        <v>651</v>
      </c>
      <c r="X624" s="16" t="s">
        <v>652</v>
      </c>
      <c r="Y624" s="16" t="s">
        <v>653</v>
      </c>
      <c r="Z624" s="16" t="s">
        <v>544</v>
      </c>
      <c r="AA624" s="16" t="s">
        <v>474</v>
      </c>
      <c r="AB624" s="16" t="s">
        <v>929</v>
      </c>
      <c r="AC624" s="16" t="s">
        <v>546</v>
      </c>
      <c r="AD624" s="16">
        <v>581973570</v>
      </c>
      <c r="AE624" s="16">
        <v>1154377166</v>
      </c>
      <c r="AF624" s="16"/>
      <c r="AG624" s="16">
        <v>1.02202435434488E+16</v>
      </c>
      <c r="AH624" s="16"/>
      <c r="AI624" s="16" t="s">
        <v>63</v>
      </c>
      <c r="AJ624" s="16" t="s">
        <v>481</v>
      </c>
      <c r="AK624" s="16" t="s">
        <v>5617</v>
      </c>
      <c r="AL624" s="16">
        <v>6425.8</v>
      </c>
      <c r="AM624" s="16"/>
      <c r="AN624" s="16"/>
      <c r="AO624" s="16">
        <v>909</v>
      </c>
      <c r="AP624" s="16" t="s">
        <v>485</v>
      </c>
      <c r="AQ624" s="16" t="s">
        <v>5618</v>
      </c>
      <c r="AR624" s="3">
        <v>46269</v>
      </c>
      <c r="AS624" s="16" t="s">
        <v>63</v>
      </c>
      <c r="AT624" s="16" t="s">
        <v>5606</v>
      </c>
      <c r="AU624" s="16"/>
      <c r="AV624" s="16" t="s">
        <v>3695</v>
      </c>
      <c r="AW624" s="16"/>
      <c r="AX624" s="16"/>
      <c r="AY624" s="16"/>
      <c r="AZ624" s="16"/>
      <c r="BA624" s="16"/>
      <c r="BB624" s="16"/>
      <c r="BC624" s="16"/>
      <c r="BD624" s="16" t="s">
        <v>63</v>
      </c>
      <c r="BE624" s="16">
        <v>34</v>
      </c>
      <c r="BF624" s="16"/>
      <c r="BG624" s="16" t="s">
        <v>490</v>
      </c>
      <c r="BH624" s="16" t="s">
        <v>658</v>
      </c>
      <c r="BI624" s="16">
        <v>909134110</v>
      </c>
      <c r="BJ624" s="16"/>
      <c r="BK624" s="16"/>
      <c r="BL624" s="16"/>
      <c r="BM624" s="16"/>
      <c r="BN624" s="16"/>
      <c r="BO624" s="16"/>
      <c r="BP624" s="16"/>
      <c r="BQ624" s="16"/>
      <c r="BR624" s="16"/>
      <c r="BS624" s="16"/>
      <c r="BT624" s="16"/>
      <c r="BU624" s="16"/>
      <c r="BV624" s="16"/>
      <c r="BW624" s="16"/>
      <c r="BX624" s="16"/>
      <c r="BY624" s="16"/>
      <c r="BZ624" s="16"/>
      <c r="CA624" s="190">
        <v>46282.666666666701</v>
      </c>
      <c r="CB624" s="3"/>
      <c r="CC624" s="16"/>
      <c r="CD624" s="16"/>
      <c r="CE624" s="16"/>
      <c r="CF624" s="16"/>
      <c r="CG624" s="16"/>
      <c r="CH624" s="16"/>
      <c r="CI624" s="16" t="s">
        <v>5619</v>
      </c>
    </row>
    <row r="625" spans="1:87">
      <c r="A625" s="16"/>
      <c r="B625" s="16"/>
      <c r="C625" s="3">
        <v>46281</v>
      </c>
      <c r="D625" s="16" t="s">
        <v>1</v>
      </c>
      <c r="E625" s="16" t="s">
        <v>5620</v>
      </c>
      <c r="F625" s="16">
        <v>2026258450079</v>
      </c>
      <c r="G625" s="16">
        <v>40</v>
      </c>
      <c r="H625" s="16">
        <v>34</v>
      </c>
      <c r="I625" s="16" t="s">
        <v>460</v>
      </c>
      <c r="J625" s="16" t="e">
        <v>#N/A</v>
      </c>
      <c r="K625" s="16" t="s">
        <v>674</v>
      </c>
      <c r="L625" s="16" t="s">
        <v>16</v>
      </c>
      <c r="M625" s="16">
        <v>0</v>
      </c>
      <c r="N625" s="16" t="s">
        <v>462</v>
      </c>
      <c r="O625" s="16" t="s">
        <v>606</v>
      </c>
      <c r="P625" s="16" t="s">
        <v>5621</v>
      </c>
      <c r="Q625" s="16" t="s">
        <v>465</v>
      </c>
      <c r="R625" s="16" t="s">
        <v>466</v>
      </c>
      <c r="S625" s="16" t="s">
        <v>5622</v>
      </c>
      <c r="T625" s="16" t="s">
        <v>465</v>
      </c>
      <c r="U625" s="16">
        <v>46280.177083333336</v>
      </c>
      <c r="V625" s="16" t="s">
        <v>469</v>
      </c>
      <c r="W625" s="16" t="s">
        <v>589</v>
      </c>
      <c r="X625" s="16" t="s">
        <v>471</v>
      </c>
      <c r="Y625" s="16" t="s">
        <v>472</v>
      </c>
      <c r="Z625" s="16" t="s">
        <v>544</v>
      </c>
      <c r="AA625" s="16" t="s">
        <v>474</v>
      </c>
      <c r="AB625" s="16" t="s">
        <v>5623</v>
      </c>
      <c r="AC625" s="16" t="s">
        <v>546</v>
      </c>
      <c r="AD625" s="16">
        <v>581954432</v>
      </c>
      <c r="AE625" s="16">
        <v>1225050396</v>
      </c>
      <c r="AF625" s="16"/>
      <c r="AG625" s="16"/>
      <c r="AH625" s="16"/>
      <c r="AI625" s="16" t="s">
        <v>54</v>
      </c>
      <c r="AJ625" s="16" t="s">
        <v>481</v>
      </c>
      <c r="AK625" s="16" t="s">
        <v>5624</v>
      </c>
      <c r="AL625" s="16">
        <v>191505.5</v>
      </c>
      <c r="AM625" s="16"/>
      <c r="AN625" s="16"/>
      <c r="AO625" s="16">
        <v>133</v>
      </c>
      <c r="AP625" s="16" t="s">
        <v>485</v>
      </c>
      <c r="AQ625" s="16" t="s">
        <v>5625</v>
      </c>
      <c r="AR625" s="3">
        <v>46280</v>
      </c>
      <c r="AS625" s="16" t="s">
        <v>674</v>
      </c>
      <c r="AT625" s="16" t="s">
        <v>606</v>
      </c>
      <c r="AU625" s="16"/>
      <c r="AV625" s="16" t="s">
        <v>554</v>
      </c>
      <c r="AW625" s="16"/>
      <c r="AX625" s="16"/>
      <c r="AY625" s="16"/>
      <c r="AZ625" s="16"/>
      <c r="BA625" s="16"/>
      <c r="BB625" s="16"/>
      <c r="BC625" s="16"/>
      <c r="BD625" s="16" t="s">
        <v>54</v>
      </c>
      <c r="BE625" s="16">
        <v>0</v>
      </c>
      <c r="BF625" s="16"/>
      <c r="BG625" s="16" t="s">
        <v>490</v>
      </c>
      <c r="BH625" s="16" t="s">
        <v>491</v>
      </c>
      <c r="BI625" s="16">
        <v>267531885</v>
      </c>
      <c r="BJ625" s="16"/>
      <c r="BK625" s="16"/>
      <c r="BL625" s="16"/>
      <c r="BM625" s="16"/>
      <c r="BN625" s="16"/>
      <c r="BO625" s="16"/>
      <c r="BP625" s="16"/>
      <c r="BQ625" s="16"/>
      <c r="BR625" s="16"/>
      <c r="BS625" s="16"/>
      <c r="BT625" s="16"/>
      <c r="BU625" s="16"/>
      <c r="BV625" s="16"/>
      <c r="BW625" s="16"/>
      <c r="BX625" s="16"/>
      <c r="BY625" s="16"/>
      <c r="BZ625" s="16"/>
      <c r="CA625" s="190">
        <v>46280</v>
      </c>
      <c r="CB625" s="3"/>
      <c r="CC625" s="16"/>
      <c r="CD625" s="16"/>
      <c r="CE625" s="16"/>
      <c r="CF625" s="16"/>
      <c r="CG625" s="16"/>
      <c r="CH625" s="16"/>
      <c r="CI625" s="16" t="s">
        <v>5626</v>
      </c>
    </row>
    <row r="626" spans="1:87">
      <c r="A626" s="16"/>
      <c r="B626" s="16"/>
      <c r="C626" s="3">
        <v>46281</v>
      </c>
      <c r="D626" s="16" t="s">
        <v>1</v>
      </c>
      <c r="E626" s="16" t="s">
        <v>5627</v>
      </c>
      <c r="F626" s="16">
        <v>2026224040377</v>
      </c>
      <c r="G626" s="16">
        <v>40</v>
      </c>
      <c r="H626" s="16">
        <v>34</v>
      </c>
      <c r="I626" s="16" t="s">
        <v>460</v>
      </c>
      <c r="J626" s="16" t="s">
        <v>5627</v>
      </c>
      <c r="K626" s="16" t="s">
        <v>540</v>
      </c>
      <c r="L626" s="16" t="s">
        <v>18</v>
      </c>
      <c r="M626" s="16">
        <v>1</v>
      </c>
      <c r="N626" s="16" t="s">
        <v>462</v>
      </c>
      <c r="O626" s="16" t="s">
        <v>562</v>
      </c>
      <c r="P626" s="16" t="s">
        <v>5628</v>
      </c>
      <c r="Q626" s="16" t="s">
        <v>465</v>
      </c>
      <c r="R626" s="16" t="s">
        <v>466</v>
      </c>
      <c r="S626" s="16" t="s">
        <v>5629</v>
      </c>
      <c r="T626" s="16">
        <v>213071</v>
      </c>
      <c r="U626" s="16">
        <v>46274.955555555556</v>
      </c>
      <c r="V626" s="16" t="s">
        <v>469</v>
      </c>
      <c r="W626" s="16" t="s">
        <v>568</v>
      </c>
      <c r="X626" s="16" t="s">
        <v>471</v>
      </c>
      <c r="Y626" s="16" t="s">
        <v>1724</v>
      </c>
      <c r="Z626" s="16" t="s">
        <v>638</v>
      </c>
      <c r="AA626" s="16" t="s">
        <v>474</v>
      </c>
      <c r="AB626" s="16" t="s">
        <v>5630</v>
      </c>
      <c r="AC626" s="16" t="s">
        <v>546</v>
      </c>
      <c r="AD626" s="16">
        <v>334900298</v>
      </c>
      <c r="AE626" s="16">
        <v>1881583730</v>
      </c>
      <c r="AF626" s="16">
        <v>1912235888</v>
      </c>
      <c r="AG626" s="16"/>
      <c r="AH626" s="16"/>
      <c r="AI626" s="16" t="s">
        <v>31</v>
      </c>
      <c r="AJ626" s="16" t="s">
        <v>481</v>
      </c>
      <c r="AK626" s="16" t="s">
        <v>5631</v>
      </c>
      <c r="AL626" s="16">
        <v>14462.5</v>
      </c>
      <c r="AM626" s="16"/>
      <c r="AN626" s="16"/>
      <c r="AO626" s="16">
        <v>722</v>
      </c>
      <c r="AP626" s="16" t="s">
        <v>485</v>
      </c>
      <c r="AQ626" s="16" t="s">
        <v>5632</v>
      </c>
      <c r="AR626" s="3">
        <v>46279</v>
      </c>
      <c r="AS626" s="16" t="s">
        <v>31</v>
      </c>
      <c r="AT626" s="16" t="s">
        <v>4364</v>
      </c>
      <c r="AU626" s="16"/>
      <c r="AV626" s="16" t="s">
        <v>5633</v>
      </c>
      <c r="AW626" s="16"/>
      <c r="AX626" s="16"/>
      <c r="AY626" s="16"/>
      <c r="AZ626" s="16"/>
      <c r="BA626" s="16"/>
      <c r="BB626" s="16"/>
      <c r="BC626" s="16"/>
      <c r="BD626" s="16" t="s">
        <v>31</v>
      </c>
      <c r="BE626" s="16">
        <v>34</v>
      </c>
      <c r="BF626" s="16"/>
      <c r="BG626" s="16"/>
      <c r="BH626" s="16" t="s">
        <v>491</v>
      </c>
      <c r="BI626" s="16">
        <v>256210080</v>
      </c>
      <c r="BJ626" s="16"/>
      <c r="BK626" s="16"/>
      <c r="BL626" s="16"/>
      <c r="BM626" s="16"/>
      <c r="BN626" s="16"/>
      <c r="BO626" s="16"/>
      <c r="BP626" s="16"/>
      <c r="BQ626" s="16"/>
      <c r="BR626" s="16"/>
      <c r="BS626" s="16"/>
      <c r="BT626" s="16"/>
      <c r="BU626" s="16"/>
      <c r="BV626" s="16"/>
      <c r="BW626" s="16"/>
      <c r="BX626" s="16"/>
      <c r="BY626" s="16"/>
      <c r="BZ626" s="16"/>
      <c r="CA626" s="190">
        <v>46280</v>
      </c>
      <c r="CB626" s="3"/>
      <c r="CC626" s="16"/>
      <c r="CD626" s="16"/>
      <c r="CE626" s="16"/>
      <c r="CF626" s="16"/>
      <c r="CG626" s="16"/>
      <c r="CH626" s="16"/>
      <c r="CI626" s="16" t="s">
        <v>5634</v>
      </c>
    </row>
    <row r="627" spans="1:87">
      <c r="A627" s="16"/>
      <c r="B627" s="16"/>
      <c r="C627" s="3">
        <v>46281</v>
      </c>
      <c r="D627" s="16" t="s">
        <v>1</v>
      </c>
      <c r="E627" s="16" t="s">
        <v>5635</v>
      </c>
      <c r="F627" s="16" t="s">
        <v>5636</v>
      </c>
      <c r="G627" s="16">
        <v>40</v>
      </c>
      <c r="H627" s="16">
        <v>34</v>
      </c>
      <c r="I627" s="16" t="s">
        <v>460</v>
      </c>
      <c r="J627" s="16" t="s">
        <v>5635</v>
      </c>
      <c r="K627" s="16" t="s">
        <v>540</v>
      </c>
      <c r="L627" s="16" t="s">
        <v>18</v>
      </c>
      <c r="M627" s="16">
        <v>5</v>
      </c>
      <c r="N627" s="16" t="s">
        <v>462</v>
      </c>
      <c r="O627" s="16" t="s">
        <v>562</v>
      </c>
      <c r="P627" s="16" t="s">
        <v>5637</v>
      </c>
      <c r="Q627" s="16" t="s">
        <v>1055</v>
      </c>
      <c r="R627" s="16" t="s">
        <v>1056</v>
      </c>
      <c r="S627" s="16" t="s">
        <v>5638</v>
      </c>
      <c r="T627" s="16">
        <v>278914</v>
      </c>
      <c r="U627" s="16">
        <v>46272.386805555558</v>
      </c>
      <c r="V627" s="16" t="s">
        <v>469</v>
      </c>
      <c r="W627" s="16" t="s">
        <v>568</v>
      </c>
      <c r="X627" s="16" t="s">
        <v>471</v>
      </c>
      <c r="Y627" s="16" t="s">
        <v>628</v>
      </c>
      <c r="Z627" s="16" t="s">
        <v>570</v>
      </c>
      <c r="AA627" s="16" t="s">
        <v>1059</v>
      </c>
      <c r="AB627" s="16" t="s">
        <v>5639</v>
      </c>
      <c r="AC627" s="16" t="s">
        <v>572</v>
      </c>
      <c r="AD627" s="16">
        <v>951945832</v>
      </c>
      <c r="AE627" s="16">
        <v>1578529285</v>
      </c>
      <c r="AF627" s="16"/>
      <c r="AG627" s="16"/>
      <c r="AH627" s="16"/>
      <c r="AI627" s="16" t="s">
        <v>31</v>
      </c>
      <c r="AJ627" s="16" t="s">
        <v>481</v>
      </c>
      <c r="AK627" s="16" t="s">
        <v>5640</v>
      </c>
      <c r="AL627" s="16">
        <v>56939.74</v>
      </c>
      <c r="AM627" s="16"/>
      <c r="AN627" s="16"/>
      <c r="AO627" s="16" t="s">
        <v>5641</v>
      </c>
      <c r="AP627" s="16" t="s">
        <v>1063</v>
      </c>
      <c r="AQ627" s="16" t="s">
        <v>5642</v>
      </c>
      <c r="AR627" s="3">
        <v>46275</v>
      </c>
      <c r="AS627" s="16" t="s">
        <v>31</v>
      </c>
      <c r="AT627" s="16" t="s">
        <v>5643</v>
      </c>
      <c r="AU627" s="16"/>
      <c r="AV627" s="16" t="s">
        <v>5644</v>
      </c>
      <c r="AW627" s="16"/>
      <c r="AX627" s="16"/>
      <c r="AY627" s="16"/>
      <c r="AZ627" s="16"/>
      <c r="BA627" s="16"/>
      <c r="BB627" s="16" t="s">
        <v>5645</v>
      </c>
      <c r="BC627" s="16"/>
      <c r="BD627" s="16" t="s">
        <v>31</v>
      </c>
      <c r="BE627" s="16">
        <v>34</v>
      </c>
      <c r="BF627" s="16"/>
      <c r="BG627" s="16" t="s">
        <v>1067</v>
      </c>
      <c r="BH627" s="16" t="s">
        <v>491</v>
      </c>
      <c r="BI627" s="16">
        <v>626828044</v>
      </c>
      <c r="BJ627" s="16"/>
      <c r="BK627" s="16"/>
      <c r="BL627" s="16"/>
      <c r="BM627" s="16"/>
      <c r="BN627" s="16"/>
      <c r="BO627" s="16"/>
      <c r="BP627" s="16"/>
      <c r="BQ627" s="16"/>
      <c r="BR627" s="16"/>
      <c r="BS627" s="16"/>
      <c r="BT627" s="16"/>
      <c r="BU627" s="16"/>
      <c r="BV627" s="16"/>
      <c r="BW627" s="16"/>
      <c r="BX627" s="16"/>
      <c r="BY627" s="16"/>
      <c r="BZ627" s="16"/>
      <c r="CA627" s="190">
        <v>46280</v>
      </c>
      <c r="CB627" s="3"/>
      <c r="CC627" s="16"/>
      <c r="CD627" s="16"/>
      <c r="CE627" s="16"/>
      <c r="CF627" s="16"/>
      <c r="CG627" s="16"/>
      <c r="CH627" s="16"/>
      <c r="CI627" s="16" t="s">
        <v>5646</v>
      </c>
    </row>
    <row r="628" spans="1:87">
      <c r="A628" s="16"/>
      <c r="B628" s="16"/>
      <c r="C628" s="3">
        <v>46281</v>
      </c>
      <c r="D628" s="16" t="s">
        <v>1</v>
      </c>
      <c r="E628" s="16" t="s">
        <v>5647</v>
      </c>
      <c r="F628" s="16">
        <v>2026252730364</v>
      </c>
      <c r="G628" s="16">
        <v>40</v>
      </c>
      <c r="H628" s="16">
        <v>35</v>
      </c>
      <c r="I628" s="16" t="s">
        <v>460</v>
      </c>
      <c r="J628" s="16" t="s">
        <v>5647</v>
      </c>
      <c r="K628" s="16" t="s">
        <v>741</v>
      </c>
      <c r="L628" s="16" t="s">
        <v>13</v>
      </c>
      <c r="M628" s="16">
        <v>4</v>
      </c>
      <c r="N628" s="16" t="s">
        <v>462</v>
      </c>
      <c r="O628" s="16" t="s">
        <v>606</v>
      </c>
      <c r="P628" s="16" t="s">
        <v>5648</v>
      </c>
      <c r="Q628" s="16" t="s">
        <v>465</v>
      </c>
      <c r="R628" s="16" t="s">
        <v>466</v>
      </c>
      <c r="S628" s="16" t="s">
        <v>5649</v>
      </c>
      <c r="T628" s="16" t="s">
        <v>5650</v>
      </c>
      <c r="U628" s="16">
        <v>46275.790277777778</v>
      </c>
      <c r="V628" s="16" t="s">
        <v>469</v>
      </c>
      <c r="W628" s="16" t="s">
        <v>470</v>
      </c>
      <c r="X628" s="16" t="s">
        <v>471</v>
      </c>
      <c r="Y628" s="16" t="s">
        <v>523</v>
      </c>
      <c r="Z628" s="16" t="s">
        <v>731</v>
      </c>
      <c r="AA628" s="16" t="s">
        <v>474</v>
      </c>
      <c r="AB628" s="16" t="s">
        <v>5651</v>
      </c>
      <c r="AC628" s="16" t="s">
        <v>733</v>
      </c>
      <c r="AD628" s="16">
        <v>431343281</v>
      </c>
      <c r="AE628" s="16">
        <v>1871665380</v>
      </c>
      <c r="AF628" s="16"/>
      <c r="AG628" s="16"/>
      <c r="AH628" s="16"/>
      <c r="AI628" s="16" t="s">
        <v>290</v>
      </c>
      <c r="AJ628" s="16" t="s">
        <v>481</v>
      </c>
      <c r="AK628" s="16" t="s">
        <v>5652</v>
      </c>
      <c r="AL628" s="16">
        <v>18986.18</v>
      </c>
      <c r="AM628" s="16"/>
      <c r="AN628" s="16"/>
      <c r="AO628" s="16">
        <v>567</v>
      </c>
      <c r="AP628" s="16" t="s">
        <v>485</v>
      </c>
      <c r="AQ628" s="16" t="s">
        <v>5653</v>
      </c>
      <c r="AR628" s="3">
        <v>46276</v>
      </c>
      <c r="AS628" s="16" t="s">
        <v>290</v>
      </c>
      <c r="AT628" s="16" t="s">
        <v>516</v>
      </c>
      <c r="AU628" s="16"/>
      <c r="AV628" s="16" t="s">
        <v>4695</v>
      </c>
      <c r="AW628" s="16"/>
      <c r="AX628" s="16"/>
      <c r="AY628" s="16"/>
      <c r="AZ628" s="16"/>
      <c r="BA628" s="16"/>
      <c r="BB628" s="16"/>
      <c r="BC628" s="16"/>
      <c r="BD628" s="16" t="s">
        <v>290</v>
      </c>
      <c r="BE628" s="16">
        <v>6</v>
      </c>
      <c r="BF628" s="16"/>
      <c r="BG628" s="16" t="s">
        <v>490</v>
      </c>
      <c r="BH628" s="16" t="s">
        <v>491</v>
      </c>
      <c r="BI628" s="16">
        <v>497681815</v>
      </c>
      <c r="BJ628" s="16"/>
      <c r="BK628" s="16"/>
      <c r="BL628" s="16"/>
      <c r="BM628" s="16"/>
      <c r="BN628" s="16"/>
      <c r="BO628" s="16"/>
      <c r="BP628" s="16"/>
      <c r="BQ628" s="16"/>
      <c r="BR628" s="16"/>
      <c r="BS628" s="16"/>
      <c r="BT628" s="16"/>
      <c r="BU628" s="16"/>
      <c r="BV628" s="16"/>
      <c r="BW628" s="16"/>
      <c r="BX628" s="16"/>
      <c r="BY628" s="16"/>
      <c r="BZ628" s="16"/>
      <c r="CA628" s="190">
        <v>46280</v>
      </c>
      <c r="CB628" s="3"/>
      <c r="CC628" s="16"/>
      <c r="CD628" s="16"/>
      <c r="CE628" s="16"/>
      <c r="CF628" s="16"/>
      <c r="CG628" s="16"/>
      <c r="CH628" s="16"/>
      <c r="CI628" s="16" t="s">
        <v>5654</v>
      </c>
    </row>
    <row r="629" spans="1:87">
      <c r="A629" s="16" t="s">
        <v>4</v>
      </c>
      <c r="B629" s="16" t="s">
        <v>4</v>
      </c>
      <c r="C629" s="3">
        <v>46281</v>
      </c>
      <c r="D629" s="16" t="s">
        <v>1</v>
      </c>
      <c r="E629" s="16" t="s">
        <v>5655</v>
      </c>
      <c r="F629" s="16">
        <v>2026224600352</v>
      </c>
      <c r="G629" s="16">
        <v>40</v>
      </c>
      <c r="H629" s="16">
        <v>34</v>
      </c>
      <c r="I629" s="16" t="s">
        <v>460</v>
      </c>
      <c r="J629" s="16" t="s">
        <v>5655</v>
      </c>
      <c r="K629" s="16" t="s">
        <v>1555</v>
      </c>
      <c r="L629" s="16" t="s">
        <v>17</v>
      </c>
      <c r="M629" s="16">
        <v>7</v>
      </c>
      <c r="N629" s="16" t="s">
        <v>462</v>
      </c>
      <c r="O629" s="16" t="s">
        <v>497</v>
      </c>
      <c r="P629" s="16" t="s">
        <v>5656</v>
      </c>
      <c r="Q629" s="16" t="s">
        <v>465</v>
      </c>
      <c r="R629" s="16" t="s">
        <v>466</v>
      </c>
      <c r="S629" s="16" t="s">
        <v>5657</v>
      </c>
      <c r="T629" s="16" t="s">
        <v>5658</v>
      </c>
      <c r="U629" s="16">
        <v>46273.637499999997</v>
      </c>
      <c r="V629" s="16" t="s">
        <v>469</v>
      </c>
      <c r="W629" s="16" t="s">
        <v>568</v>
      </c>
      <c r="X629" s="16" t="s">
        <v>471</v>
      </c>
      <c r="Y629" s="16" t="s">
        <v>628</v>
      </c>
      <c r="Z629" s="16" t="s">
        <v>590</v>
      </c>
      <c r="AA629" s="16" t="s">
        <v>474</v>
      </c>
      <c r="AB629" s="16" t="s">
        <v>5659</v>
      </c>
      <c r="AC629" s="16" t="s">
        <v>592</v>
      </c>
      <c r="AD629" s="16">
        <v>331107194</v>
      </c>
      <c r="AE629" s="16">
        <v>1366559122</v>
      </c>
      <c r="AF629" s="16"/>
      <c r="AG629" s="16"/>
      <c r="AH629" s="16"/>
      <c r="AI629" s="16" t="s">
        <v>32</v>
      </c>
      <c r="AJ629" s="16" t="s">
        <v>481</v>
      </c>
      <c r="AK629" s="16" t="s">
        <v>5660</v>
      </c>
      <c r="AL629" s="16">
        <v>30036</v>
      </c>
      <c r="AM629" s="16"/>
      <c r="AN629" s="16"/>
      <c r="AO629" s="16">
        <v>681</v>
      </c>
      <c r="AP629" s="16" t="s">
        <v>485</v>
      </c>
      <c r="AQ629" s="16" t="s">
        <v>5661</v>
      </c>
      <c r="AR629" s="3">
        <v>46273</v>
      </c>
      <c r="AS629" s="16" t="s">
        <v>32</v>
      </c>
      <c r="AT629" s="16" t="s">
        <v>4364</v>
      </c>
      <c r="AU629" s="16"/>
      <c r="AV629" s="16" t="s">
        <v>5662</v>
      </c>
      <c r="AW629" s="16"/>
      <c r="AX629" s="16"/>
      <c r="AY629" s="16"/>
      <c r="AZ629" s="16"/>
      <c r="BA629" s="16"/>
      <c r="BB629" s="16"/>
      <c r="BC629" s="16"/>
      <c r="BD629" s="16" t="s">
        <v>32</v>
      </c>
      <c r="BE629" s="16">
        <v>34</v>
      </c>
      <c r="BF629" s="16"/>
      <c r="BG629" s="16"/>
      <c r="BH629" s="16" t="s">
        <v>491</v>
      </c>
      <c r="BI629" s="16">
        <v>609340160</v>
      </c>
      <c r="BJ629" s="16"/>
      <c r="BK629" s="16"/>
      <c r="BL629" s="16"/>
      <c r="BM629" s="16"/>
      <c r="BN629" s="16"/>
      <c r="BO629" s="16"/>
      <c r="BP629" s="16"/>
      <c r="BQ629" s="16"/>
      <c r="BR629" s="16"/>
      <c r="BS629" s="16"/>
      <c r="BT629" s="16"/>
      <c r="BU629" s="16"/>
      <c r="BV629" s="16"/>
      <c r="BW629" s="16"/>
      <c r="BX629" s="16"/>
      <c r="BY629" s="16"/>
      <c r="BZ629" s="16"/>
      <c r="CA629" s="190">
        <v>46285.666666666701</v>
      </c>
      <c r="CB629" s="3"/>
      <c r="CC629" s="16"/>
      <c r="CD629" s="16"/>
      <c r="CE629" s="16"/>
      <c r="CF629" s="16"/>
      <c r="CG629" s="16"/>
      <c r="CH629" s="16"/>
      <c r="CI629" s="16" t="s">
        <v>5663</v>
      </c>
    </row>
    <row r="630" spans="1:87">
      <c r="A630" s="16" t="s">
        <v>5</v>
      </c>
      <c r="B630" s="16"/>
      <c r="C630" s="3">
        <v>46281</v>
      </c>
      <c r="D630" s="16" t="s">
        <v>1</v>
      </c>
      <c r="E630" s="16" t="s">
        <v>5664</v>
      </c>
      <c r="F630" s="16"/>
      <c r="G630" s="16">
        <v>40</v>
      </c>
      <c r="H630" s="16">
        <v>34</v>
      </c>
      <c r="I630" s="16" t="s">
        <v>460</v>
      </c>
      <c r="J630" s="16" t="s">
        <v>5664</v>
      </c>
      <c r="K630" s="16" t="s">
        <v>1252</v>
      </c>
      <c r="L630" s="16" t="s">
        <v>17</v>
      </c>
      <c r="M630" s="16">
        <v>8</v>
      </c>
      <c r="N630" s="16" t="s">
        <v>462</v>
      </c>
      <c r="O630" s="16" t="s">
        <v>606</v>
      </c>
      <c r="P630" s="16" t="s">
        <v>5665</v>
      </c>
      <c r="Q630" s="16" t="s">
        <v>1055</v>
      </c>
      <c r="R630" s="16" t="s">
        <v>1350</v>
      </c>
      <c r="S630" s="16" t="s">
        <v>5666</v>
      </c>
      <c r="T630" s="16" t="s">
        <v>3457</v>
      </c>
      <c r="U630" s="16">
        <v>46272.650694444441</v>
      </c>
      <c r="V630" s="16" t="s">
        <v>469</v>
      </c>
      <c r="W630" s="16" t="s">
        <v>568</v>
      </c>
      <c r="X630" s="16" t="s">
        <v>471</v>
      </c>
      <c r="Y630" s="16" t="s">
        <v>3458</v>
      </c>
      <c r="Z630" s="16" t="s">
        <v>638</v>
      </c>
      <c r="AA630" s="16" t="s">
        <v>1354</v>
      </c>
      <c r="AB630" s="16" t="s">
        <v>5667</v>
      </c>
      <c r="AC630" s="16" t="s">
        <v>465</v>
      </c>
      <c r="AD630" s="16">
        <v>272039417</v>
      </c>
      <c r="AE630" s="16">
        <v>1144513375</v>
      </c>
      <c r="AF630" s="16">
        <v>1811916224</v>
      </c>
      <c r="AG630" s="16"/>
      <c r="AH630" s="16"/>
      <c r="AI630" s="16" t="s">
        <v>154</v>
      </c>
      <c r="AJ630" s="16" t="s">
        <v>481</v>
      </c>
      <c r="AK630" s="16" t="s">
        <v>5668</v>
      </c>
      <c r="AL630" s="16">
        <v>8704</v>
      </c>
      <c r="AM630" s="16"/>
      <c r="AN630" s="16"/>
      <c r="AO630" s="16" t="s">
        <v>2352</v>
      </c>
      <c r="AP630" s="16" t="s">
        <v>1063</v>
      </c>
      <c r="AQ630" s="16" t="s">
        <v>5669</v>
      </c>
      <c r="AR630" s="3">
        <v>46272</v>
      </c>
      <c r="AS630" s="16" t="s">
        <v>154</v>
      </c>
      <c r="AT630" s="16" t="s">
        <v>516</v>
      </c>
      <c r="AU630" s="16"/>
      <c r="AV630" s="16" t="s">
        <v>5670</v>
      </c>
      <c r="AW630" s="16"/>
      <c r="AX630" s="16"/>
      <c r="AY630" s="16"/>
      <c r="AZ630" s="16"/>
      <c r="BA630" s="16"/>
      <c r="BB630" s="16"/>
      <c r="BC630" s="16"/>
      <c r="BD630" s="16" t="s">
        <v>154</v>
      </c>
      <c r="BE630" s="16">
        <v>34</v>
      </c>
      <c r="BF630" s="16"/>
      <c r="BG630" s="16"/>
      <c r="BH630" s="16" t="s">
        <v>491</v>
      </c>
      <c r="BI630" s="16">
        <v>316847266</v>
      </c>
      <c r="BJ630" s="16"/>
      <c r="BK630" s="16"/>
      <c r="BL630" s="16"/>
      <c r="BM630" s="16"/>
      <c r="BN630" s="16"/>
      <c r="BO630" s="16"/>
      <c r="BP630" s="16"/>
      <c r="BQ630" s="16"/>
      <c r="BR630" s="16"/>
      <c r="BS630" s="16"/>
      <c r="BT630" s="16"/>
      <c r="BU630" s="16"/>
      <c r="BV630" s="16"/>
      <c r="BW630" s="16"/>
      <c r="BX630" s="16"/>
      <c r="BY630" s="16"/>
      <c r="BZ630" s="16"/>
      <c r="CA630" s="190" t="s">
        <v>514</v>
      </c>
      <c r="CB630" s="3"/>
      <c r="CC630" s="16"/>
      <c r="CD630" s="16"/>
      <c r="CE630" s="16"/>
      <c r="CF630" s="16"/>
      <c r="CG630" s="16"/>
      <c r="CH630" s="16"/>
      <c r="CI630" s="16" t="s">
        <v>5671</v>
      </c>
    </row>
    <row r="631" spans="1:87">
      <c r="A631" s="16" t="s">
        <v>5</v>
      </c>
      <c r="B631" s="16" t="s">
        <v>516</v>
      </c>
      <c r="C631" s="3">
        <v>46281</v>
      </c>
      <c r="D631" s="16" t="s">
        <v>1</v>
      </c>
      <c r="E631" s="16" t="s">
        <v>5672</v>
      </c>
      <c r="F631" s="16"/>
      <c r="G631" s="16">
        <v>40</v>
      </c>
      <c r="H631" s="16">
        <v>34</v>
      </c>
      <c r="I631" s="16" t="s">
        <v>460</v>
      </c>
      <c r="J631" s="16" t="s">
        <v>5672</v>
      </c>
      <c r="K631" s="16" t="s">
        <v>1436</v>
      </c>
      <c r="L631" s="16" t="s">
        <v>18</v>
      </c>
      <c r="M631" s="16">
        <v>7</v>
      </c>
      <c r="N631" s="16" t="s">
        <v>462</v>
      </c>
      <c r="O631" s="16" t="s">
        <v>606</v>
      </c>
      <c r="P631" s="16">
        <v>813142108</v>
      </c>
      <c r="Q631" s="16" t="s">
        <v>1055</v>
      </c>
      <c r="R631" s="16" t="s">
        <v>1350</v>
      </c>
      <c r="S631" s="16" t="s">
        <v>5673</v>
      </c>
      <c r="T631" s="16">
        <v>173328</v>
      </c>
      <c r="U631" s="16">
        <v>46272.908333333333</v>
      </c>
      <c r="V631" s="16" t="s">
        <v>469</v>
      </c>
      <c r="W631" s="16" t="s">
        <v>651</v>
      </c>
      <c r="X631" s="16" t="s">
        <v>652</v>
      </c>
      <c r="Y631" s="16" t="s">
        <v>653</v>
      </c>
      <c r="Z631" s="16" t="s">
        <v>638</v>
      </c>
      <c r="AA631" s="16" t="s">
        <v>2201</v>
      </c>
      <c r="AB631" s="16" t="s">
        <v>743</v>
      </c>
      <c r="AC631" s="16" t="s">
        <v>465</v>
      </c>
      <c r="AD631" s="16">
        <v>351913875</v>
      </c>
      <c r="AE631" s="16">
        <v>1013953983</v>
      </c>
      <c r="AF631" s="16">
        <v>1568024768</v>
      </c>
      <c r="AG631" s="16">
        <v>1.31202525935411E+16</v>
      </c>
      <c r="AH631" s="16" t="s">
        <v>1076</v>
      </c>
      <c r="AI631" s="16" t="s">
        <v>238</v>
      </c>
      <c r="AJ631" s="16" t="s">
        <v>481</v>
      </c>
      <c r="AK631" s="16" t="s">
        <v>5674</v>
      </c>
      <c r="AL631" s="16">
        <v>4131</v>
      </c>
      <c r="AM631" s="16"/>
      <c r="AN631" s="16"/>
      <c r="AO631" s="16">
        <v>813</v>
      </c>
      <c r="AP631" s="16" t="s">
        <v>485</v>
      </c>
      <c r="AQ631" s="16" t="s">
        <v>5675</v>
      </c>
      <c r="AR631" s="3">
        <v>46273</v>
      </c>
      <c r="AS631" s="16" t="s">
        <v>238</v>
      </c>
      <c r="AT631" s="16" t="s">
        <v>516</v>
      </c>
      <c r="AU631" s="16"/>
      <c r="AV631" s="16" t="s">
        <v>5676</v>
      </c>
      <c r="AW631" s="16"/>
      <c r="AX631" s="16"/>
      <c r="AY631" s="16"/>
      <c r="AZ631" s="16"/>
      <c r="BA631" s="16"/>
      <c r="BB631" s="16"/>
      <c r="BC631" s="16"/>
      <c r="BD631" s="16" t="s">
        <v>238</v>
      </c>
      <c r="BE631" s="16">
        <v>34</v>
      </c>
      <c r="BF631" s="16"/>
      <c r="BG631" s="16"/>
      <c r="BH631" s="16" t="s">
        <v>658</v>
      </c>
      <c r="BI631" s="16">
        <v>813142108</v>
      </c>
      <c r="BJ631" s="16"/>
      <c r="BK631" s="16"/>
      <c r="BL631" s="16"/>
      <c r="BM631" s="16"/>
      <c r="BN631" s="16"/>
      <c r="BO631" s="16"/>
      <c r="BP631" s="16"/>
      <c r="BQ631" s="16"/>
      <c r="BR631" s="16"/>
      <c r="BS631" s="16"/>
      <c r="BT631" s="16"/>
      <c r="BU631" s="16"/>
      <c r="BV631" s="16"/>
      <c r="BW631" s="16"/>
      <c r="BX631" s="16"/>
      <c r="BY631" s="16"/>
      <c r="BZ631" s="16"/>
      <c r="CA631" s="190">
        <v>46281.666666666701</v>
      </c>
      <c r="CB631" s="3"/>
      <c r="CC631" s="16"/>
      <c r="CD631" s="16"/>
      <c r="CE631" s="16"/>
      <c r="CF631" s="16"/>
      <c r="CG631" s="16"/>
      <c r="CH631" s="16"/>
      <c r="CI631" s="16" t="s">
        <v>5677</v>
      </c>
    </row>
    <row r="632" spans="1:87">
      <c r="A632" s="16"/>
      <c r="B632" s="16"/>
      <c r="C632" s="3">
        <v>46281</v>
      </c>
      <c r="D632" s="16" t="s">
        <v>1</v>
      </c>
      <c r="E632" s="16" t="s">
        <v>5678</v>
      </c>
      <c r="F632" s="16">
        <v>2026223860758</v>
      </c>
      <c r="G632" s="16">
        <v>40</v>
      </c>
      <c r="H632" s="16">
        <v>35</v>
      </c>
      <c r="I632" s="16" t="s">
        <v>460</v>
      </c>
      <c r="J632" s="16" t="s">
        <v>5678</v>
      </c>
      <c r="K632" s="16" t="s">
        <v>4716</v>
      </c>
      <c r="L632" s="16" t="s">
        <v>16</v>
      </c>
      <c r="M632" s="16">
        <v>14</v>
      </c>
      <c r="N632" s="16" t="s">
        <v>462</v>
      </c>
      <c r="O632" s="16" t="s">
        <v>4717</v>
      </c>
      <c r="P632" s="16" t="s">
        <v>5679</v>
      </c>
      <c r="Q632" s="16" t="s">
        <v>465</v>
      </c>
      <c r="R632" s="16" t="s">
        <v>466</v>
      </c>
      <c r="S632" s="16" t="s">
        <v>5680</v>
      </c>
      <c r="T632" s="16" t="s">
        <v>5681</v>
      </c>
      <c r="U632" s="16"/>
      <c r="V632" s="16" t="s">
        <v>469</v>
      </c>
      <c r="W632" s="16" t="s">
        <v>470</v>
      </c>
      <c r="X632" s="16" t="s">
        <v>471</v>
      </c>
      <c r="Y632" s="16" t="s">
        <v>523</v>
      </c>
      <c r="Z632" s="16" t="s">
        <v>544</v>
      </c>
      <c r="AA632" s="16" t="s">
        <v>474</v>
      </c>
      <c r="AB632" s="16" t="s">
        <v>5682</v>
      </c>
      <c r="AC632" s="16" t="s">
        <v>546</v>
      </c>
      <c r="AD632" s="16">
        <v>581954432</v>
      </c>
      <c r="AE632" s="16">
        <v>1952340994</v>
      </c>
      <c r="AF632" s="16"/>
      <c r="AG632" s="16"/>
      <c r="AH632" s="16" t="s">
        <v>1076</v>
      </c>
      <c r="AI632" s="16" t="s">
        <v>206</v>
      </c>
      <c r="AJ632" s="16" t="s">
        <v>481</v>
      </c>
      <c r="AK632" s="16" t="s">
        <v>5683</v>
      </c>
      <c r="AL632" s="16">
        <v>46129</v>
      </c>
      <c r="AM632" s="16"/>
      <c r="AN632" s="16"/>
      <c r="AO632" s="16">
        <v>806</v>
      </c>
      <c r="AP632" s="16" t="s">
        <v>485</v>
      </c>
      <c r="AQ632" s="16" t="s">
        <v>5684</v>
      </c>
      <c r="AR632" s="3">
        <v>46266</v>
      </c>
      <c r="AS632" s="16" t="s">
        <v>5685</v>
      </c>
      <c r="AT632" s="16" t="s">
        <v>1819</v>
      </c>
      <c r="AU632" s="16"/>
      <c r="AV632" s="16" t="s">
        <v>5686</v>
      </c>
      <c r="AW632" s="16"/>
      <c r="AX632" s="16"/>
      <c r="AY632" s="16"/>
      <c r="AZ632" s="16"/>
      <c r="BA632" s="16"/>
      <c r="BB632" s="16"/>
      <c r="BC632" s="16"/>
      <c r="BD632" s="16" t="s">
        <v>206</v>
      </c>
      <c r="BE632" s="16">
        <v>34</v>
      </c>
      <c r="BF632" s="16"/>
      <c r="BG632" s="16" t="s">
        <v>490</v>
      </c>
      <c r="BH632" s="16" t="s">
        <v>491</v>
      </c>
      <c r="BI632" s="16">
        <v>258851726</v>
      </c>
      <c r="BJ632" s="16"/>
      <c r="BK632" s="16"/>
      <c r="BL632" s="16"/>
      <c r="BM632" s="16"/>
      <c r="BN632" s="16"/>
      <c r="BO632" s="16"/>
      <c r="BP632" s="16"/>
      <c r="BQ632" s="16"/>
      <c r="BR632" s="16"/>
      <c r="BS632" s="16"/>
      <c r="BT632" s="16"/>
      <c r="BU632" s="16"/>
      <c r="BV632" s="16"/>
      <c r="BW632" s="16"/>
      <c r="BX632" s="16"/>
      <c r="BY632" s="16"/>
      <c r="BZ632" s="16"/>
      <c r="CA632" s="190">
        <v>46280</v>
      </c>
      <c r="CB632" s="3"/>
      <c r="CC632" s="16"/>
      <c r="CD632" s="16"/>
      <c r="CE632" s="16"/>
      <c r="CF632" s="16"/>
      <c r="CG632" s="16"/>
      <c r="CH632" s="16"/>
      <c r="CI632" s="16" t="s">
        <v>5687</v>
      </c>
    </row>
    <row r="633" spans="1:87">
      <c r="A633" s="16"/>
      <c r="B633" s="16"/>
      <c r="C633" s="3">
        <v>46281</v>
      </c>
      <c r="D633" s="16" t="s">
        <v>1</v>
      </c>
      <c r="E633" s="16" t="s">
        <v>5688</v>
      </c>
      <c r="F633" s="16">
        <v>2026224820272</v>
      </c>
      <c r="G633" s="16">
        <v>40</v>
      </c>
      <c r="H633" s="16">
        <v>34</v>
      </c>
      <c r="I633" s="16" t="s">
        <v>460</v>
      </c>
      <c r="J633" s="16" t="s">
        <v>5688</v>
      </c>
      <c r="K633" s="16" t="s">
        <v>1512</v>
      </c>
      <c r="L633" s="16" t="s">
        <v>17</v>
      </c>
      <c r="M633" s="16">
        <v>1</v>
      </c>
      <c r="N633" s="16" t="s">
        <v>462</v>
      </c>
      <c r="O633" s="16" t="s">
        <v>497</v>
      </c>
      <c r="P633" s="16" t="s">
        <v>5689</v>
      </c>
      <c r="Q633" s="16" t="s">
        <v>465</v>
      </c>
      <c r="R633" s="16" t="s">
        <v>466</v>
      </c>
      <c r="S633" s="16" t="s">
        <v>5690</v>
      </c>
      <c r="T633" s="16">
        <v>212012</v>
      </c>
      <c r="U633" s="16">
        <v>46278.756249999999</v>
      </c>
      <c r="V633" s="16" t="s">
        <v>469</v>
      </c>
      <c r="W633" s="16" t="s">
        <v>568</v>
      </c>
      <c r="X633" s="16" t="s">
        <v>471</v>
      </c>
      <c r="Y633" s="16" t="s">
        <v>1724</v>
      </c>
      <c r="Z633" s="16" t="s">
        <v>524</v>
      </c>
      <c r="AA633" s="16" t="s">
        <v>474</v>
      </c>
      <c r="AB633" s="16" t="s">
        <v>5691</v>
      </c>
      <c r="AC633" s="16" t="s">
        <v>526</v>
      </c>
      <c r="AD633" s="16">
        <v>340714612</v>
      </c>
      <c r="AE633" s="16">
        <v>1841299039</v>
      </c>
      <c r="AF633" s="16"/>
      <c r="AG633" s="16"/>
      <c r="AH633" s="16"/>
      <c r="AI633" s="16" t="s">
        <v>149</v>
      </c>
      <c r="AJ633" s="16" t="s">
        <v>481</v>
      </c>
      <c r="AK633" s="16" t="s">
        <v>5692</v>
      </c>
      <c r="AL633" s="16">
        <v>165899.98000000001</v>
      </c>
      <c r="AM633" s="16"/>
      <c r="AN633" s="16"/>
      <c r="AO633" s="16">
        <v>503</v>
      </c>
      <c r="AP633" s="16" t="s">
        <v>485</v>
      </c>
      <c r="AQ633" s="16" t="s">
        <v>5693</v>
      </c>
      <c r="AR633" s="3">
        <v>46279</v>
      </c>
      <c r="AS633" s="16" t="s">
        <v>149</v>
      </c>
      <c r="AT633" s="16" t="s">
        <v>4364</v>
      </c>
      <c r="AU633" s="16"/>
      <c r="AV633" s="16" t="s">
        <v>4062</v>
      </c>
      <c r="AW633" s="16"/>
      <c r="AX633" s="16"/>
      <c r="AY633" s="16"/>
      <c r="AZ633" s="16"/>
      <c r="BA633" s="16"/>
      <c r="BB633" s="16"/>
      <c r="BC633" s="16"/>
      <c r="BD633" s="16" t="s">
        <v>149</v>
      </c>
      <c r="BE633" s="16">
        <v>34</v>
      </c>
      <c r="BF633" s="16"/>
      <c r="BG633" s="16"/>
      <c r="BH633" s="16" t="s">
        <v>491</v>
      </c>
      <c r="BI633" s="16">
        <v>269806168</v>
      </c>
      <c r="BJ633" s="16"/>
      <c r="BK633" s="16"/>
      <c r="BL633" s="16"/>
      <c r="BM633" s="16"/>
      <c r="BN633" s="16"/>
      <c r="BO633" s="16"/>
      <c r="BP633" s="16"/>
      <c r="BQ633" s="16"/>
      <c r="BR633" s="16"/>
      <c r="BS633" s="16"/>
      <c r="BT633" s="16"/>
      <c r="BU633" s="16"/>
      <c r="BV633" s="16"/>
      <c r="BW633" s="16"/>
      <c r="BX633" s="16"/>
      <c r="BY633" s="16"/>
      <c r="BZ633" s="16"/>
      <c r="CA633" s="190">
        <v>46280</v>
      </c>
      <c r="CB633" s="3"/>
      <c r="CC633" s="16"/>
      <c r="CD633" s="16"/>
      <c r="CE633" s="16"/>
      <c r="CF633" s="16"/>
      <c r="CG633" s="16"/>
      <c r="CH633" s="16"/>
      <c r="CI633" s="16" t="s">
        <v>5694</v>
      </c>
    </row>
    <row r="634" spans="1:87" ht="29.25">
      <c r="A634" s="16" t="s">
        <v>5</v>
      </c>
      <c r="B634" s="25" t="s">
        <v>5695</v>
      </c>
      <c r="C634" s="3">
        <v>46281</v>
      </c>
      <c r="D634" s="16" t="s">
        <v>1</v>
      </c>
      <c r="E634" s="16" t="s">
        <v>5696</v>
      </c>
      <c r="F634" s="16">
        <v>2026226920372</v>
      </c>
      <c r="G634" s="16">
        <v>40</v>
      </c>
      <c r="H634" s="16">
        <v>32</v>
      </c>
      <c r="I634" s="16" t="s">
        <v>460</v>
      </c>
      <c r="J634" s="16" t="s">
        <v>5696</v>
      </c>
      <c r="K634" s="192" t="s">
        <v>3947</v>
      </c>
      <c r="L634" s="16" t="s">
        <v>1760</v>
      </c>
      <c r="M634" s="16">
        <v>7</v>
      </c>
      <c r="N634" s="16" t="s">
        <v>462</v>
      </c>
      <c r="O634" s="16" t="s">
        <v>606</v>
      </c>
      <c r="P634" s="16">
        <v>826513393</v>
      </c>
      <c r="Q634" s="16" t="s">
        <v>465</v>
      </c>
      <c r="R634" s="16" t="s">
        <v>466</v>
      </c>
      <c r="S634" s="16" t="s">
        <v>5697</v>
      </c>
      <c r="T634" s="16">
        <v>173323</v>
      </c>
      <c r="U634" s="16">
        <v>46272.884722222225</v>
      </c>
      <c r="V634" s="16" t="s">
        <v>469</v>
      </c>
      <c r="W634" s="16" t="s">
        <v>651</v>
      </c>
      <c r="X634" s="16" t="s">
        <v>652</v>
      </c>
      <c r="Y634" s="16" t="s">
        <v>653</v>
      </c>
      <c r="Z634" s="16" t="s">
        <v>590</v>
      </c>
      <c r="AA634" s="16" t="s">
        <v>474</v>
      </c>
      <c r="AB634" s="16" t="s">
        <v>2303</v>
      </c>
      <c r="AC634" s="16" t="s">
        <v>592</v>
      </c>
      <c r="AD634" s="16">
        <v>841415470</v>
      </c>
      <c r="AE634" s="16">
        <v>1952327835</v>
      </c>
      <c r="AF634" s="16">
        <v>1598704454</v>
      </c>
      <c r="AG634" s="16">
        <v>5120252340843500</v>
      </c>
      <c r="AH634" s="16"/>
      <c r="AI634" s="16" t="s">
        <v>3951</v>
      </c>
      <c r="AJ634" s="16" t="s">
        <v>481</v>
      </c>
      <c r="AK634" s="16" t="s">
        <v>5698</v>
      </c>
      <c r="AL634" s="16">
        <v>13480</v>
      </c>
      <c r="AM634" s="16"/>
      <c r="AN634" s="16"/>
      <c r="AO634" s="16">
        <v>826</v>
      </c>
      <c r="AP634" s="16" t="s">
        <v>485</v>
      </c>
      <c r="AQ634" s="16" t="s">
        <v>5699</v>
      </c>
      <c r="AR634" s="3">
        <v>46273</v>
      </c>
      <c r="AS634" s="16" t="s">
        <v>3951</v>
      </c>
      <c r="AT634" s="16" t="s">
        <v>5700</v>
      </c>
      <c r="AU634" s="16"/>
      <c r="AV634" s="16" t="s">
        <v>2313</v>
      </c>
      <c r="AW634" s="16"/>
      <c r="AX634" s="16"/>
      <c r="AY634" s="16"/>
      <c r="AZ634" s="16"/>
      <c r="BA634" s="16"/>
      <c r="BB634" s="16"/>
      <c r="BC634" s="16"/>
      <c r="BD634" s="16" t="s">
        <v>3951</v>
      </c>
      <c r="BE634" s="16">
        <v>32</v>
      </c>
      <c r="BF634" s="16"/>
      <c r="BG634" s="16"/>
      <c r="BH634" s="16" t="s">
        <v>658</v>
      </c>
      <c r="BI634" s="16">
        <v>826513393</v>
      </c>
      <c r="BJ634" s="16"/>
      <c r="BK634" s="16"/>
      <c r="BL634" s="16"/>
      <c r="BM634" s="16"/>
      <c r="BN634" s="16"/>
      <c r="BO634" s="16"/>
      <c r="BP634" s="16"/>
      <c r="BQ634" s="16"/>
      <c r="BR634" s="16"/>
      <c r="BS634" s="16"/>
      <c r="BT634" s="16"/>
      <c r="BU634" s="16"/>
      <c r="BV634" s="16"/>
      <c r="BW634" s="16"/>
      <c r="BX634" s="16"/>
      <c r="BY634" s="16"/>
      <c r="BZ634" s="16"/>
      <c r="CA634" s="190">
        <v>46285.666666666701</v>
      </c>
      <c r="CB634" s="3"/>
      <c r="CC634" s="16"/>
      <c r="CD634" s="16"/>
      <c r="CE634" s="16"/>
      <c r="CF634" s="16"/>
      <c r="CG634" s="16"/>
      <c r="CH634" s="16"/>
      <c r="CI634" s="16" t="s">
        <v>5701</v>
      </c>
    </row>
    <row r="635" spans="1:87">
      <c r="A635" s="16"/>
      <c r="B635" s="16"/>
      <c r="C635" s="3">
        <v>46281</v>
      </c>
      <c r="D635" s="16" t="s">
        <v>1</v>
      </c>
      <c r="E635" s="16" t="s">
        <v>5702</v>
      </c>
      <c r="F635" s="16">
        <v>2026223910913</v>
      </c>
      <c r="G635" s="16">
        <v>40</v>
      </c>
      <c r="H635" s="16">
        <v>35</v>
      </c>
      <c r="I635" s="16" t="s">
        <v>460</v>
      </c>
      <c r="J635" s="16" t="s">
        <v>5702</v>
      </c>
      <c r="K635" t="s">
        <v>721</v>
      </c>
      <c r="L635" s="16" t="s">
        <v>13</v>
      </c>
      <c r="M635" s="16">
        <v>4</v>
      </c>
      <c r="N635" s="16" t="s">
        <v>462</v>
      </c>
      <c r="O635" s="16" t="s">
        <v>606</v>
      </c>
      <c r="P635" s="16">
        <v>849045933</v>
      </c>
      <c r="Q635" s="16" t="s">
        <v>465</v>
      </c>
      <c r="R635" s="16" t="s">
        <v>466</v>
      </c>
      <c r="S635" s="16" t="s">
        <v>5703</v>
      </c>
      <c r="T635" s="16">
        <v>173326</v>
      </c>
      <c r="U635" s="16">
        <v>46276.022222222222</v>
      </c>
      <c r="V635" s="16" t="s">
        <v>469</v>
      </c>
      <c r="W635" s="16" t="s">
        <v>651</v>
      </c>
      <c r="X635" s="16" t="s">
        <v>652</v>
      </c>
      <c r="Y635" s="16" t="s">
        <v>653</v>
      </c>
      <c r="Z635" s="16" t="s">
        <v>473</v>
      </c>
      <c r="AA635" s="16" t="s">
        <v>474</v>
      </c>
      <c r="AB635" s="16" t="s">
        <v>2129</v>
      </c>
      <c r="AC635" s="16" t="s">
        <v>476</v>
      </c>
      <c r="AD635" s="16">
        <v>390806261</v>
      </c>
      <c r="AE635" s="16">
        <v>1699720086</v>
      </c>
      <c r="AF635" s="16">
        <v>1750871745</v>
      </c>
      <c r="AG635" s="16">
        <v>4.5820252950661104E+16</v>
      </c>
      <c r="AH635" s="16" t="s">
        <v>5704</v>
      </c>
      <c r="AI635" s="16" t="s">
        <v>75</v>
      </c>
      <c r="AJ635" s="16" t="s">
        <v>481</v>
      </c>
      <c r="AK635" s="16" t="s">
        <v>5705</v>
      </c>
      <c r="AL635" s="16">
        <v>10496</v>
      </c>
      <c r="AM635" s="16"/>
      <c r="AN635" s="16"/>
      <c r="AO635" s="16">
        <v>849</v>
      </c>
      <c r="AP635" s="16" t="s">
        <v>485</v>
      </c>
      <c r="AQ635" s="16" t="s">
        <v>5706</v>
      </c>
      <c r="AR635" s="3">
        <v>46276</v>
      </c>
      <c r="AS635" s="16" t="s">
        <v>75</v>
      </c>
      <c r="AT635" s="16" t="s">
        <v>516</v>
      </c>
      <c r="AU635" s="16"/>
      <c r="AV635" s="16" t="s">
        <v>5707</v>
      </c>
      <c r="AW635" s="16"/>
      <c r="AX635" s="16"/>
      <c r="AY635" s="16"/>
      <c r="AZ635" s="16"/>
      <c r="BA635" s="16"/>
      <c r="BB635" s="16"/>
      <c r="BC635" s="16"/>
      <c r="BD635" s="16" t="s">
        <v>75</v>
      </c>
      <c r="BE635" s="16">
        <v>35</v>
      </c>
      <c r="BF635" s="16"/>
      <c r="BG635" s="16"/>
      <c r="BH635" s="16" t="s">
        <v>658</v>
      </c>
      <c r="BI635" s="16">
        <v>849045933</v>
      </c>
      <c r="BJ635" s="16"/>
      <c r="BK635" s="16"/>
      <c r="BL635" s="16"/>
      <c r="BM635" s="16"/>
      <c r="BN635" s="16"/>
      <c r="BO635" s="16"/>
      <c r="BP635" s="16"/>
      <c r="BQ635" s="16"/>
      <c r="BR635" s="16"/>
      <c r="BS635" s="16"/>
      <c r="BT635" s="16"/>
      <c r="BU635" s="16"/>
      <c r="BV635" s="16"/>
      <c r="BW635" s="16"/>
      <c r="BX635" s="16"/>
      <c r="BY635" s="16"/>
      <c r="BZ635" s="16"/>
      <c r="CA635" s="190">
        <v>46280</v>
      </c>
      <c r="CB635" s="3"/>
      <c r="CC635" s="16"/>
      <c r="CD635" s="16"/>
      <c r="CE635" s="16"/>
      <c r="CF635" s="16"/>
      <c r="CG635" s="16"/>
      <c r="CH635" s="16"/>
      <c r="CI635" s="16" t="s">
        <v>5708</v>
      </c>
    </row>
    <row r="636" spans="1:87">
      <c r="A636" s="16" t="s">
        <v>5</v>
      </c>
      <c r="B636" s="16" t="s">
        <v>1872</v>
      </c>
      <c r="C636" s="3">
        <v>46281</v>
      </c>
      <c r="D636" s="16" t="s">
        <v>1</v>
      </c>
      <c r="E636" s="16" t="s">
        <v>5709</v>
      </c>
      <c r="F636" s="16">
        <v>2026226800351</v>
      </c>
      <c r="G636" s="16">
        <v>40</v>
      </c>
      <c r="H636" s="16">
        <v>32</v>
      </c>
      <c r="I636" s="16" t="s">
        <v>460</v>
      </c>
      <c r="J636" s="16" t="s">
        <v>5709</v>
      </c>
      <c r="K636" s="16" t="s">
        <v>1874</v>
      </c>
      <c r="L636" s="16" t="s">
        <v>17</v>
      </c>
      <c r="M636" s="16">
        <v>7</v>
      </c>
      <c r="N636" s="16" t="s">
        <v>462</v>
      </c>
      <c r="O636" s="16" t="s">
        <v>606</v>
      </c>
      <c r="P636" s="16">
        <v>604079175</v>
      </c>
      <c r="Q636" s="16" t="s">
        <v>465</v>
      </c>
      <c r="R636" s="16" t="s">
        <v>466</v>
      </c>
      <c r="S636" s="16" t="s">
        <v>5710</v>
      </c>
      <c r="T636" s="16" t="s">
        <v>664</v>
      </c>
      <c r="U636" s="16">
        <v>46273.660416666666</v>
      </c>
      <c r="V636" s="16" t="s">
        <v>469</v>
      </c>
      <c r="W636" s="16" t="s">
        <v>651</v>
      </c>
      <c r="X636" s="16" t="s">
        <v>652</v>
      </c>
      <c r="Y636" s="16" t="s">
        <v>653</v>
      </c>
      <c r="Z636" s="16" t="s">
        <v>665</v>
      </c>
      <c r="AA636" s="16" t="s">
        <v>474</v>
      </c>
      <c r="AB636" s="16" t="s">
        <v>666</v>
      </c>
      <c r="AC636" s="16" t="s">
        <v>640</v>
      </c>
      <c r="AD636" s="16">
        <v>133971298</v>
      </c>
      <c r="AE636" s="16">
        <v>1437230034</v>
      </c>
      <c r="AF636" s="16"/>
      <c r="AG636" s="16">
        <v>2.54202503627548E+16</v>
      </c>
      <c r="AH636" s="16" t="s">
        <v>1076</v>
      </c>
      <c r="AI636" s="16" t="s">
        <v>93</v>
      </c>
      <c r="AJ636" s="16" t="s">
        <v>481</v>
      </c>
      <c r="AK636" s="16" t="s">
        <v>5711</v>
      </c>
      <c r="AL636" s="16">
        <v>354601.47</v>
      </c>
      <c r="AM636" s="16"/>
      <c r="AN636" s="16"/>
      <c r="AO636" s="16">
        <v>604</v>
      </c>
      <c r="AP636" s="16" t="s">
        <v>485</v>
      </c>
      <c r="AQ636" s="16" t="s">
        <v>5712</v>
      </c>
      <c r="AR636" s="3">
        <v>46273</v>
      </c>
      <c r="AS636" s="16" t="s">
        <v>93</v>
      </c>
      <c r="AT636" s="16" t="s">
        <v>516</v>
      </c>
      <c r="AU636" s="16"/>
      <c r="AV636" s="16" t="s">
        <v>5713</v>
      </c>
      <c r="AW636" s="16"/>
      <c r="AX636" s="16"/>
      <c r="AY636" s="16"/>
      <c r="AZ636" s="16"/>
      <c r="BA636" s="16"/>
      <c r="BB636" s="16"/>
      <c r="BC636" s="16"/>
      <c r="BD636" s="16" t="s">
        <v>93</v>
      </c>
      <c r="BE636" s="16">
        <v>32</v>
      </c>
      <c r="BF636" s="16"/>
      <c r="BG636" s="16" t="s">
        <v>490</v>
      </c>
      <c r="BH636" s="16" t="s">
        <v>658</v>
      </c>
      <c r="BI636" s="16">
        <v>604079175</v>
      </c>
      <c r="BJ636" s="16"/>
      <c r="BK636" s="16"/>
      <c r="BL636" s="16"/>
      <c r="BM636" s="16"/>
      <c r="BN636" s="16"/>
      <c r="BO636" s="16"/>
      <c r="BP636" s="16"/>
      <c r="BQ636" s="16"/>
      <c r="BR636" s="16"/>
      <c r="BS636" s="16"/>
      <c r="BT636" s="16"/>
      <c r="BU636" s="16"/>
      <c r="BV636" s="16"/>
      <c r="BW636" s="16"/>
      <c r="BX636" s="16"/>
      <c r="BY636" s="16"/>
      <c r="BZ636" s="16"/>
      <c r="CA636" s="190">
        <v>46285.666666666701</v>
      </c>
      <c r="CB636" s="3"/>
      <c r="CC636" s="16"/>
      <c r="CD636" s="16"/>
      <c r="CE636" s="16"/>
      <c r="CF636" s="16"/>
      <c r="CG636" s="16"/>
      <c r="CH636" s="16"/>
      <c r="CI636" s="16" t="s">
        <v>5714</v>
      </c>
    </row>
    <row r="637" spans="1:87">
      <c r="A637" s="16"/>
      <c r="B637" s="16"/>
      <c r="C637" s="3">
        <v>46281</v>
      </c>
      <c r="D637" s="16" t="s">
        <v>1</v>
      </c>
      <c r="E637" s="16" t="s">
        <v>5715</v>
      </c>
      <c r="F637" s="16">
        <v>2026226340302</v>
      </c>
      <c r="G637" s="16">
        <v>40</v>
      </c>
      <c r="H637" s="16">
        <v>32</v>
      </c>
      <c r="I637" s="16" t="s">
        <v>460</v>
      </c>
      <c r="J637" s="16" t="s">
        <v>5715</v>
      </c>
      <c r="K637" s="16" t="s">
        <v>983</v>
      </c>
      <c r="L637" s="16" t="s">
        <v>17</v>
      </c>
      <c r="M637" s="16">
        <v>1</v>
      </c>
      <c r="N637" s="16" t="s">
        <v>462</v>
      </c>
      <c r="O637" s="16" t="s">
        <v>606</v>
      </c>
      <c r="P637" s="16" t="s">
        <v>5716</v>
      </c>
      <c r="Q637" s="16" t="s">
        <v>465</v>
      </c>
      <c r="R637" s="16" t="s">
        <v>466</v>
      </c>
      <c r="S637" s="16" t="s">
        <v>5717</v>
      </c>
      <c r="T637" s="16" t="s">
        <v>5718</v>
      </c>
      <c r="U637" s="16">
        <v>46278.714583333334</v>
      </c>
      <c r="V637" s="16" t="s">
        <v>469</v>
      </c>
      <c r="W637" s="16" t="s">
        <v>470</v>
      </c>
      <c r="X637" s="16" t="s">
        <v>471</v>
      </c>
      <c r="Y637" s="16" t="s">
        <v>523</v>
      </c>
      <c r="Z637" s="16" t="s">
        <v>731</v>
      </c>
      <c r="AA637" s="16" t="s">
        <v>474</v>
      </c>
      <c r="AB637" s="16" t="s">
        <v>5719</v>
      </c>
      <c r="AC637" s="16" t="s">
        <v>733</v>
      </c>
      <c r="AD637" s="16">
        <v>237246265</v>
      </c>
      <c r="AE637" s="16">
        <v>1467412726</v>
      </c>
      <c r="AF637" s="16"/>
      <c r="AG637" s="16"/>
      <c r="AH637" s="16"/>
      <c r="AI637" s="16" t="s">
        <v>34</v>
      </c>
      <c r="AJ637" s="16" t="s">
        <v>481</v>
      </c>
      <c r="AK637" s="16" t="s">
        <v>5720</v>
      </c>
      <c r="AL637" s="16">
        <v>125942.96</v>
      </c>
      <c r="AM637" s="16"/>
      <c r="AN637" s="16"/>
      <c r="AO637" s="16">
        <v>483</v>
      </c>
      <c r="AP637" s="16" t="s">
        <v>485</v>
      </c>
      <c r="AQ637" s="16" t="s">
        <v>5721</v>
      </c>
      <c r="AR637" s="3">
        <v>46279</v>
      </c>
      <c r="AS637" s="16" t="s">
        <v>34</v>
      </c>
      <c r="AT637" s="16" t="s">
        <v>516</v>
      </c>
      <c r="AU637" s="16"/>
      <c r="AV637" s="16" t="s">
        <v>5722</v>
      </c>
      <c r="AW637" s="16"/>
      <c r="AX637" s="16"/>
      <c r="AY637" s="16"/>
      <c r="AZ637" s="16"/>
      <c r="BA637" s="16"/>
      <c r="BB637" s="16"/>
      <c r="BC637" s="16"/>
      <c r="BD637" s="16" t="s">
        <v>34</v>
      </c>
      <c r="BE637" s="16">
        <v>32</v>
      </c>
      <c r="BF637" s="16"/>
      <c r="BG637" s="16"/>
      <c r="BH637" s="16" t="s">
        <v>491</v>
      </c>
      <c r="BI637" s="16">
        <v>497784069</v>
      </c>
      <c r="BJ637" s="16"/>
      <c r="BK637" s="16"/>
      <c r="BL637" s="16"/>
      <c r="BM637" s="16"/>
      <c r="BN637" s="16"/>
      <c r="BO637" s="16"/>
      <c r="BP637" s="16"/>
      <c r="BQ637" s="16"/>
      <c r="BR637" s="16"/>
      <c r="BS637" s="16"/>
      <c r="BT637" s="16"/>
      <c r="BU637" s="16"/>
      <c r="BV637" s="16"/>
      <c r="BW637" s="16"/>
      <c r="BX637" s="16"/>
      <c r="BY637" s="16"/>
      <c r="BZ637" s="16"/>
      <c r="CA637" s="190">
        <v>46280</v>
      </c>
      <c r="CB637" s="3"/>
      <c r="CC637" s="16"/>
      <c r="CD637" s="16"/>
      <c r="CE637" s="16"/>
      <c r="CF637" s="16"/>
      <c r="CG637" s="16"/>
      <c r="CH637" s="16"/>
      <c r="CI637" s="16" t="s">
        <v>5723</v>
      </c>
    </row>
    <row r="638" spans="1:87">
      <c r="A638" s="16" t="s">
        <v>5</v>
      </c>
      <c r="B638" s="16" t="s">
        <v>4364</v>
      </c>
      <c r="C638" s="3">
        <v>46281</v>
      </c>
      <c r="D638" s="16" t="s">
        <v>1</v>
      </c>
      <c r="E638" s="16" t="s">
        <v>5724</v>
      </c>
      <c r="F638" s="16">
        <v>2026223370453</v>
      </c>
      <c r="G638" s="16">
        <v>40</v>
      </c>
      <c r="H638" s="16">
        <v>35</v>
      </c>
      <c r="I638" s="16" t="s">
        <v>460</v>
      </c>
      <c r="J638" s="16" t="s">
        <v>5724</v>
      </c>
      <c r="K638" s="16" t="s">
        <v>461</v>
      </c>
      <c r="L638" s="16" t="s">
        <v>17</v>
      </c>
      <c r="M638" s="16">
        <v>6</v>
      </c>
      <c r="N638" s="16" t="s">
        <v>462</v>
      </c>
      <c r="O638" s="16" t="s">
        <v>3815</v>
      </c>
      <c r="P638" s="16" t="s">
        <v>5725</v>
      </c>
      <c r="Q638" s="16" t="s">
        <v>465</v>
      </c>
      <c r="R638" s="16" t="s">
        <v>466</v>
      </c>
      <c r="S638" s="16" t="s">
        <v>5726</v>
      </c>
      <c r="T638" s="16">
        <v>210038</v>
      </c>
      <c r="U638" s="16">
        <v>46274.013194444444</v>
      </c>
      <c r="V638" s="16" t="s">
        <v>469</v>
      </c>
      <c r="W638" s="16" t="s">
        <v>568</v>
      </c>
      <c r="X638" s="16" t="s">
        <v>471</v>
      </c>
      <c r="Y638" s="16" t="s">
        <v>1724</v>
      </c>
      <c r="Z638" s="16" t="s">
        <v>473</v>
      </c>
      <c r="AA638" s="16" t="s">
        <v>474</v>
      </c>
      <c r="AB638" s="16" t="s">
        <v>5727</v>
      </c>
      <c r="AC638" s="16" t="s">
        <v>572</v>
      </c>
      <c r="AD638" s="16">
        <v>461503904</v>
      </c>
      <c r="AE638" s="16">
        <v>1588901532</v>
      </c>
      <c r="AF638" s="16">
        <v>1376097519</v>
      </c>
      <c r="AG638" s="16"/>
      <c r="AH638" s="16"/>
      <c r="AI638" s="16" t="s">
        <v>67</v>
      </c>
      <c r="AJ638" s="16" t="s">
        <v>481</v>
      </c>
      <c r="AK638" s="16" t="s">
        <v>5728</v>
      </c>
      <c r="AL638" s="16">
        <v>365</v>
      </c>
      <c r="AM638" s="16"/>
      <c r="AN638" s="16"/>
      <c r="AO638" s="16">
        <v>177</v>
      </c>
      <c r="AP638" s="16" t="s">
        <v>485</v>
      </c>
      <c r="AQ638" s="16" t="s">
        <v>5729</v>
      </c>
      <c r="AR638" s="3">
        <v>46274</v>
      </c>
      <c r="AS638" s="16" t="s">
        <v>67</v>
      </c>
      <c r="AT638" s="16" t="s">
        <v>4364</v>
      </c>
      <c r="AU638" s="16"/>
      <c r="AV638" s="16" t="s">
        <v>5730</v>
      </c>
      <c r="AW638" s="16"/>
      <c r="AX638" s="16"/>
      <c r="AY638" s="16"/>
      <c r="AZ638" s="16"/>
      <c r="BA638" s="16"/>
      <c r="BB638" s="16"/>
      <c r="BC638" s="16"/>
      <c r="BD638" s="16" t="s">
        <v>67</v>
      </c>
      <c r="BE638" s="16">
        <v>35</v>
      </c>
      <c r="BF638" s="16"/>
      <c r="BG638" s="16"/>
      <c r="BH638" s="16" t="s">
        <v>491</v>
      </c>
      <c r="BI638" s="16">
        <v>624421055</v>
      </c>
      <c r="BJ638" s="16"/>
      <c r="BK638" s="16"/>
      <c r="BL638" s="16"/>
      <c r="BM638" s="16"/>
      <c r="BN638" s="16"/>
      <c r="BO638" s="16"/>
      <c r="BP638" s="16"/>
      <c r="BQ638" s="16"/>
      <c r="BR638" s="16"/>
      <c r="BS638" s="16"/>
      <c r="BT638" s="16"/>
      <c r="BU638" s="16"/>
      <c r="BV638" s="16"/>
      <c r="BW638" s="16"/>
      <c r="BX638" s="16"/>
      <c r="BY638" s="16"/>
      <c r="BZ638" s="16"/>
      <c r="CA638" s="190">
        <v>46282.166666666701</v>
      </c>
      <c r="CB638" s="3"/>
      <c r="CC638" s="16"/>
      <c r="CD638" s="16"/>
      <c r="CE638" s="16"/>
      <c r="CF638" s="16"/>
      <c r="CG638" s="16"/>
      <c r="CH638" s="16"/>
      <c r="CI638" s="16" t="s">
        <v>5731</v>
      </c>
    </row>
    <row r="639" spans="1:87">
      <c r="A639" s="16"/>
      <c r="B639" s="16"/>
      <c r="C639" s="3">
        <v>46281</v>
      </c>
      <c r="D639" s="16" t="s">
        <v>1</v>
      </c>
      <c r="E639" s="16" t="s">
        <v>5732</v>
      </c>
      <c r="F639" s="16" t="s">
        <v>5733</v>
      </c>
      <c r="G639" s="16">
        <v>40</v>
      </c>
      <c r="H639" s="16">
        <v>35</v>
      </c>
      <c r="I639" s="16" t="s">
        <v>460</v>
      </c>
      <c r="J639" s="16" t="s">
        <v>5732</v>
      </c>
      <c r="K639" s="16" t="s">
        <v>1040</v>
      </c>
      <c r="L639" s="16" t="s">
        <v>17</v>
      </c>
      <c r="M639" s="16">
        <v>2</v>
      </c>
      <c r="N639" s="16" t="s">
        <v>462</v>
      </c>
      <c r="O639" s="16" t="s">
        <v>497</v>
      </c>
      <c r="P639" s="16" t="s">
        <v>5734</v>
      </c>
      <c r="Q639" s="16" t="s">
        <v>1055</v>
      </c>
      <c r="R639" s="16" t="s">
        <v>1056</v>
      </c>
      <c r="S639" s="16" t="s">
        <v>5735</v>
      </c>
      <c r="T639" s="16" t="s">
        <v>465</v>
      </c>
      <c r="U639" s="16">
        <v>46278.692361111112</v>
      </c>
      <c r="V639" s="16" t="s">
        <v>469</v>
      </c>
      <c r="W639" s="16" t="s">
        <v>470</v>
      </c>
      <c r="X639" s="16" t="s">
        <v>471</v>
      </c>
      <c r="Y639" s="16" t="s">
        <v>472</v>
      </c>
      <c r="Z639" s="16" t="s">
        <v>544</v>
      </c>
      <c r="AA639" s="16" t="s">
        <v>1059</v>
      </c>
      <c r="AB639" s="16" t="s">
        <v>5736</v>
      </c>
      <c r="AC639" s="16" t="s">
        <v>572</v>
      </c>
      <c r="AD639" s="16">
        <v>453343986</v>
      </c>
      <c r="AE639" s="16"/>
      <c r="AF639" s="16"/>
      <c r="AG639" s="16"/>
      <c r="AH639" s="16"/>
      <c r="AI639" s="16" t="s">
        <v>173</v>
      </c>
      <c r="AJ639" s="16" t="s">
        <v>481</v>
      </c>
      <c r="AK639" s="16" t="s">
        <v>5737</v>
      </c>
      <c r="AL639" s="16">
        <v>79</v>
      </c>
      <c r="AM639" s="16"/>
      <c r="AN639" s="16"/>
      <c r="AO639" s="16" t="s">
        <v>5738</v>
      </c>
      <c r="AP639" s="16" t="s">
        <v>1063</v>
      </c>
      <c r="AQ639" s="16" t="s">
        <v>5739</v>
      </c>
      <c r="AR639" s="3">
        <v>46278</v>
      </c>
      <c r="AS639" s="16" t="s">
        <v>173</v>
      </c>
      <c r="AT639" s="16" t="s">
        <v>5740</v>
      </c>
      <c r="AU639" s="16"/>
      <c r="AV639" s="16"/>
      <c r="AW639" s="16"/>
      <c r="AX639" s="16"/>
      <c r="AY639" s="16"/>
      <c r="AZ639" s="16"/>
      <c r="BA639" s="16"/>
      <c r="BB639" s="16" t="s">
        <v>5741</v>
      </c>
      <c r="BC639" s="16"/>
      <c r="BD639" s="16" t="s">
        <v>173</v>
      </c>
      <c r="BE639" s="16">
        <v>35</v>
      </c>
      <c r="BF639" s="16"/>
      <c r="BG639" s="16" t="s">
        <v>1067</v>
      </c>
      <c r="BH639" s="16" t="s">
        <v>491</v>
      </c>
      <c r="BI639" s="16">
        <v>311472808</v>
      </c>
      <c r="BJ639" s="16"/>
      <c r="BK639" s="16"/>
      <c r="BL639" s="16"/>
      <c r="BM639" s="16"/>
      <c r="BN639" s="16"/>
      <c r="BO639" s="16"/>
      <c r="BP639" s="16"/>
      <c r="BQ639" s="16"/>
      <c r="BR639" s="16"/>
      <c r="BS639" s="16"/>
      <c r="BT639" s="16"/>
      <c r="BU639" s="16"/>
      <c r="BV639" s="16"/>
      <c r="BW639" s="16"/>
      <c r="BX639" s="16"/>
      <c r="BY639" s="16"/>
      <c r="BZ639" s="16"/>
      <c r="CA639" s="190">
        <v>46280</v>
      </c>
      <c r="CB639" s="3"/>
      <c r="CC639" s="16"/>
      <c r="CD639" s="16"/>
      <c r="CE639" s="16"/>
      <c r="CF639" s="16"/>
      <c r="CG639" s="16"/>
      <c r="CH639" s="16"/>
      <c r="CI639" s="16" t="s">
        <v>5742</v>
      </c>
    </row>
    <row r="640" spans="1:87">
      <c r="A640" s="16"/>
      <c r="B640" s="16"/>
      <c r="C640" s="3">
        <v>46281</v>
      </c>
      <c r="D640" s="16" t="s">
        <v>1</v>
      </c>
      <c r="E640" s="16" t="s">
        <v>5743</v>
      </c>
      <c r="F640" s="16">
        <v>2026225200365</v>
      </c>
      <c r="G640" s="16">
        <v>40</v>
      </c>
      <c r="H640" s="16">
        <v>33</v>
      </c>
      <c r="I640" s="16" t="s">
        <v>460</v>
      </c>
      <c r="J640" s="16" t="s">
        <v>5743</v>
      </c>
      <c r="K640" s="16" t="s">
        <v>741</v>
      </c>
      <c r="L640" s="16" t="s">
        <v>13</v>
      </c>
      <c r="M640" s="16">
        <v>7</v>
      </c>
      <c r="N640" s="16" t="s">
        <v>462</v>
      </c>
      <c r="O640" s="16" t="s">
        <v>606</v>
      </c>
      <c r="P640" s="16">
        <v>807308533</v>
      </c>
      <c r="Q640" s="16" t="s">
        <v>465</v>
      </c>
      <c r="R640" s="16" t="s">
        <v>466</v>
      </c>
      <c r="S640" s="16" t="s">
        <v>5744</v>
      </c>
      <c r="T640" s="16" t="s">
        <v>664</v>
      </c>
      <c r="U640" s="16">
        <v>46272.804861111108</v>
      </c>
      <c r="V640" s="16" t="s">
        <v>469</v>
      </c>
      <c r="W640" s="16" t="s">
        <v>651</v>
      </c>
      <c r="X640" s="16" t="s">
        <v>652</v>
      </c>
      <c r="Y640" s="16" t="s">
        <v>653</v>
      </c>
      <c r="Z640" s="16" t="s">
        <v>665</v>
      </c>
      <c r="AA640" s="16" t="s">
        <v>474</v>
      </c>
      <c r="AB640" s="16" t="s">
        <v>666</v>
      </c>
      <c r="AC640" s="16" t="s">
        <v>640</v>
      </c>
      <c r="AD640" s="16">
        <v>135598093</v>
      </c>
      <c r="AE640" s="16">
        <v>1508266347</v>
      </c>
      <c r="AF640" s="16">
        <v>1235792615</v>
      </c>
      <c r="AG640" s="16">
        <v>2.54202533511433E+16</v>
      </c>
      <c r="AH640" s="16"/>
      <c r="AI640" s="16" t="s">
        <v>290</v>
      </c>
      <c r="AJ640" s="16" t="s">
        <v>481</v>
      </c>
      <c r="AK640" s="16" t="s">
        <v>5745</v>
      </c>
      <c r="AL640" s="16">
        <v>71253</v>
      </c>
      <c r="AM640" s="16"/>
      <c r="AN640" s="16"/>
      <c r="AO640" s="16">
        <v>807</v>
      </c>
      <c r="AP640" s="16" t="s">
        <v>485</v>
      </c>
      <c r="AQ640" s="16" t="s">
        <v>5746</v>
      </c>
      <c r="AR640" s="3">
        <v>46273</v>
      </c>
      <c r="AS640" s="16" t="s">
        <v>290</v>
      </c>
      <c r="AT640" s="16" t="s">
        <v>516</v>
      </c>
      <c r="AU640" s="16"/>
      <c r="AV640" s="16" t="s">
        <v>2542</v>
      </c>
      <c r="AW640" s="16"/>
      <c r="AX640" s="16"/>
      <c r="AY640" s="16"/>
      <c r="AZ640" s="16"/>
      <c r="BA640" s="16"/>
      <c r="BB640" s="16"/>
      <c r="BC640" s="16"/>
      <c r="BD640" s="16" t="s">
        <v>290</v>
      </c>
      <c r="BE640" s="16">
        <v>33</v>
      </c>
      <c r="BF640" s="16"/>
      <c r="BG640" s="16" t="s">
        <v>490</v>
      </c>
      <c r="BH640" s="16" t="s">
        <v>658</v>
      </c>
      <c r="BI640" s="16">
        <v>807308533</v>
      </c>
      <c r="BJ640" s="16"/>
      <c r="BK640" s="16"/>
      <c r="BL640" s="16"/>
      <c r="BM640" s="16"/>
      <c r="BN640" s="16"/>
      <c r="BO640" s="16"/>
      <c r="BP640" s="16"/>
      <c r="BQ640" s="16"/>
      <c r="BR640" s="16"/>
      <c r="BS640" s="16"/>
      <c r="BT640" s="16"/>
      <c r="BU640" s="16"/>
      <c r="BV640" s="16"/>
      <c r="BW640" s="16"/>
      <c r="BX640" s="16"/>
      <c r="BY640" s="16"/>
      <c r="BZ640" s="16"/>
      <c r="CA640" s="190">
        <v>46280</v>
      </c>
      <c r="CB640" s="3"/>
      <c r="CC640" s="16"/>
      <c r="CD640" s="16"/>
      <c r="CE640" s="16"/>
      <c r="CF640" s="16"/>
      <c r="CG640" s="16"/>
      <c r="CH640" s="16"/>
      <c r="CI640" s="16" t="s">
        <v>5747</v>
      </c>
    </row>
    <row r="641" spans="1:87" ht="29.25">
      <c r="A641" s="16" t="s">
        <v>5</v>
      </c>
      <c r="B641" s="25" t="s">
        <v>5229</v>
      </c>
      <c r="C641" s="3">
        <v>46281</v>
      </c>
      <c r="D641" s="16" t="s">
        <v>1</v>
      </c>
      <c r="E641" s="16" t="s">
        <v>5748</v>
      </c>
      <c r="F641" s="16"/>
      <c r="G641" s="16">
        <v>40</v>
      </c>
      <c r="H641" s="16">
        <v>35</v>
      </c>
      <c r="I641" s="16" t="s">
        <v>460</v>
      </c>
      <c r="J641" s="16" t="s">
        <v>5748</v>
      </c>
      <c r="K641" s="16" t="s">
        <v>5231</v>
      </c>
      <c r="L641" s="16" t="s">
        <v>17</v>
      </c>
      <c r="M641" s="16">
        <v>7</v>
      </c>
      <c r="N641" s="16" t="s">
        <v>462</v>
      </c>
      <c r="O641" s="16" t="s">
        <v>606</v>
      </c>
      <c r="P641" s="16">
        <v>832592149</v>
      </c>
      <c r="Q641" s="16" t="s">
        <v>1055</v>
      </c>
      <c r="R641" s="16" t="s">
        <v>1350</v>
      </c>
      <c r="S641" s="16" t="s">
        <v>5749</v>
      </c>
      <c r="T641" s="16" t="s">
        <v>664</v>
      </c>
      <c r="U641" s="16">
        <v>46272.738194444442</v>
      </c>
      <c r="V641" s="16" t="s">
        <v>469</v>
      </c>
      <c r="W641" s="16" t="s">
        <v>651</v>
      </c>
      <c r="X641" s="16" t="s">
        <v>652</v>
      </c>
      <c r="Y641" s="16" t="s">
        <v>653</v>
      </c>
      <c r="Z641" s="16" t="s">
        <v>665</v>
      </c>
      <c r="AA641" s="16" t="s">
        <v>1354</v>
      </c>
      <c r="AB641" s="16" t="s">
        <v>666</v>
      </c>
      <c r="AC641" s="16" t="s">
        <v>640</v>
      </c>
      <c r="AD641" s="16">
        <v>752882024</v>
      </c>
      <c r="AE641" s="16">
        <v>1386782555</v>
      </c>
      <c r="AF641" s="16"/>
      <c r="AG641" s="16">
        <v>2.54202501607236E+16</v>
      </c>
      <c r="AH641" s="16"/>
      <c r="AI641" s="16" t="s">
        <v>63</v>
      </c>
      <c r="AJ641" s="16" t="s">
        <v>481</v>
      </c>
      <c r="AK641" s="16" t="s">
        <v>5750</v>
      </c>
      <c r="AL641" s="16">
        <v>24699.15</v>
      </c>
      <c r="AM641" s="16"/>
      <c r="AN641" s="16"/>
      <c r="AO641" s="16">
        <v>832</v>
      </c>
      <c r="AP641" s="16" t="s">
        <v>1063</v>
      </c>
      <c r="AQ641" s="16" t="s">
        <v>5751</v>
      </c>
      <c r="AR641" s="3">
        <v>46273</v>
      </c>
      <c r="AS641" s="16" t="s">
        <v>63</v>
      </c>
      <c r="AT641" s="16" t="s">
        <v>1038</v>
      </c>
      <c r="AU641" s="16"/>
      <c r="AV641" s="16" t="s">
        <v>5752</v>
      </c>
      <c r="AW641" s="16"/>
      <c r="AX641" s="16"/>
      <c r="AY641" s="16"/>
      <c r="AZ641" s="16"/>
      <c r="BA641" s="16"/>
      <c r="BB641" s="16"/>
      <c r="BC641" s="16"/>
      <c r="BD641" s="16" t="s">
        <v>63</v>
      </c>
      <c r="BE641" s="16">
        <v>35</v>
      </c>
      <c r="BF641" s="16"/>
      <c r="BG641" s="16"/>
      <c r="BH641" s="16" t="s">
        <v>658</v>
      </c>
      <c r="BI641" s="16">
        <v>832592149</v>
      </c>
      <c r="BJ641" s="16"/>
      <c r="BK641" s="16"/>
      <c r="BL641" s="16"/>
      <c r="BM641" s="16"/>
      <c r="BN641" s="16"/>
      <c r="BO641" s="16"/>
      <c r="BP641" s="16"/>
      <c r="BQ641" s="16"/>
      <c r="BR641" s="16"/>
      <c r="BS641" s="16"/>
      <c r="BT641" s="16"/>
      <c r="BU641" s="16"/>
      <c r="BV641" s="16"/>
      <c r="BW641" s="16"/>
      <c r="BX641" s="16"/>
      <c r="BY641" s="16"/>
      <c r="BZ641" s="16"/>
      <c r="CA641" s="190">
        <v>46282.666666666701</v>
      </c>
      <c r="CB641" s="3"/>
      <c r="CC641" s="16"/>
      <c r="CD641" s="16"/>
      <c r="CE641" s="16"/>
      <c r="CF641" s="16"/>
      <c r="CG641" s="16"/>
      <c r="CH641" s="16"/>
      <c r="CI641" s="16" t="s">
        <v>5753</v>
      </c>
    </row>
    <row r="642" spans="1:87">
      <c r="A642" s="16" t="s">
        <v>4</v>
      </c>
      <c r="B642" s="16" t="s">
        <v>5754</v>
      </c>
      <c r="C642" s="3">
        <v>46281</v>
      </c>
      <c r="D642" s="16" t="s">
        <v>1</v>
      </c>
      <c r="E642" s="16" t="s">
        <v>5755</v>
      </c>
      <c r="F642" s="16">
        <v>2026226240171</v>
      </c>
      <c r="G642" s="16">
        <v>40</v>
      </c>
      <c r="H642" s="16">
        <v>33</v>
      </c>
      <c r="I642" s="16" t="s">
        <v>460</v>
      </c>
      <c r="J642" s="16" t="s">
        <v>5755</v>
      </c>
      <c r="K642" s="16" t="s">
        <v>518</v>
      </c>
      <c r="L642" s="16" t="s">
        <v>17</v>
      </c>
      <c r="M642" s="16">
        <v>5</v>
      </c>
      <c r="N642" s="16" t="s">
        <v>462</v>
      </c>
      <c r="O642" s="16" t="s">
        <v>497</v>
      </c>
      <c r="P642" s="16" t="s">
        <v>5756</v>
      </c>
      <c r="Q642" s="16" t="s">
        <v>465</v>
      </c>
      <c r="R642" s="16" t="s">
        <v>466</v>
      </c>
      <c r="S642" s="16" t="s">
        <v>5757</v>
      </c>
      <c r="T642" s="16" t="s">
        <v>5758</v>
      </c>
      <c r="U642" s="16">
        <v>46275.627083333333</v>
      </c>
      <c r="V642" s="16" t="s">
        <v>469</v>
      </c>
      <c r="W642" s="16" t="s">
        <v>568</v>
      </c>
      <c r="X642" s="16" t="s">
        <v>471</v>
      </c>
      <c r="Y642" s="16" t="s">
        <v>628</v>
      </c>
      <c r="Z642" s="16" t="s">
        <v>524</v>
      </c>
      <c r="AA642" s="16" t="s">
        <v>474</v>
      </c>
      <c r="AB642" s="16" t="s">
        <v>5759</v>
      </c>
      <c r="AC642" s="16" t="s">
        <v>526</v>
      </c>
      <c r="AD642" s="16">
        <v>314379441</v>
      </c>
      <c r="AE642" s="16">
        <v>1134152986</v>
      </c>
      <c r="AF642" s="16"/>
      <c r="AG642" s="16"/>
      <c r="AH642" s="16"/>
      <c r="AI642" s="16" t="s">
        <v>87</v>
      </c>
      <c r="AJ642" s="16" t="s">
        <v>481</v>
      </c>
      <c r="AK642" s="16" t="s">
        <v>5760</v>
      </c>
      <c r="AL642" s="16">
        <v>183026.31</v>
      </c>
      <c r="AM642" s="16"/>
      <c r="AN642" s="16"/>
      <c r="AO642" s="16" t="s">
        <v>3326</v>
      </c>
      <c r="AP642" s="16" t="s">
        <v>485</v>
      </c>
      <c r="AQ642" s="16" t="s">
        <v>5761</v>
      </c>
      <c r="AR642" s="3">
        <v>46275</v>
      </c>
      <c r="AS642" s="16" t="s">
        <v>87</v>
      </c>
      <c r="AT642" s="16" t="s">
        <v>4364</v>
      </c>
      <c r="AU642" s="16"/>
      <c r="AV642" s="16" t="s">
        <v>4439</v>
      </c>
      <c r="AW642" s="16"/>
      <c r="AX642" s="16"/>
      <c r="AY642" s="16"/>
      <c r="AZ642" s="16"/>
      <c r="BA642" s="16"/>
      <c r="BB642" s="16"/>
      <c r="BC642" s="16"/>
      <c r="BD642" s="16" t="s">
        <v>87</v>
      </c>
      <c r="BE642" s="16">
        <v>32</v>
      </c>
      <c r="BF642" s="16"/>
      <c r="BG642" s="16"/>
      <c r="BH642" s="16" t="s">
        <v>491</v>
      </c>
      <c r="BI642" s="16">
        <v>286680765</v>
      </c>
      <c r="BJ642" s="16"/>
      <c r="BK642" s="16"/>
      <c r="BL642" s="16"/>
      <c r="BM642" s="16"/>
      <c r="BN642" s="16"/>
      <c r="BO642" s="16"/>
      <c r="BP642" s="16"/>
      <c r="BQ642" s="16"/>
      <c r="BR642" s="16"/>
      <c r="BS642" s="16"/>
      <c r="BT642" s="16"/>
      <c r="BU642" s="16"/>
      <c r="BV642" s="16"/>
      <c r="BW642" s="16"/>
      <c r="BX642" s="16"/>
      <c r="BY642" s="16"/>
      <c r="BZ642" s="16"/>
      <c r="CA642" s="190">
        <v>46285.666666666701</v>
      </c>
      <c r="CB642" s="3"/>
      <c r="CC642" s="16"/>
      <c r="CD642" s="16"/>
      <c r="CE642" s="16"/>
      <c r="CF642" s="16"/>
      <c r="CG642" s="16"/>
      <c r="CH642" s="16"/>
      <c r="CI642" s="16" t="s">
        <v>5762</v>
      </c>
    </row>
    <row r="643" spans="1:87">
      <c r="A643" s="16" t="s">
        <v>5</v>
      </c>
      <c r="B643" s="16" t="s">
        <v>5763</v>
      </c>
      <c r="C643" s="3">
        <v>46281</v>
      </c>
      <c r="D643" s="16" t="s">
        <v>1</v>
      </c>
      <c r="E643" s="16" t="s">
        <v>5764</v>
      </c>
      <c r="F643" s="16" t="s">
        <v>5765</v>
      </c>
      <c r="G643" s="16">
        <v>40</v>
      </c>
      <c r="H643" s="16">
        <v>35</v>
      </c>
      <c r="I643" s="16" t="s">
        <v>460</v>
      </c>
      <c r="J643" s="16" t="s">
        <v>5764</v>
      </c>
      <c r="K643" s="16" t="s">
        <v>1874</v>
      </c>
      <c r="L643" s="16" t="s">
        <v>17</v>
      </c>
      <c r="M643" s="16">
        <v>8</v>
      </c>
      <c r="N643" s="16" t="s">
        <v>462</v>
      </c>
      <c r="O643" s="16" t="s">
        <v>497</v>
      </c>
      <c r="P643" s="16" t="s">
        <v>5766</v>
      </c>
      <c r="Q643" s="16" t="s">
        <v>1055</v>
      </c>
      <c r="R643" s="16" t="s">
        <v>1056</v>
      </c>
      <c r="S643" s="16" t="s">
        <v>5767</v>
      </c>
      <c r="T643" s="16" t="s">
        <v>4427</v>
      </c>
      <c r="U643" s="16">
        <v>46271.943749999999</v>
      </c>
      <c r="V643" s="16" t="s">
        <v>469</v>
      </c>
      <c r="W643" s="16" t="s">
        <v>568</v>
      </c>
      <c r="X643" s="16" t="s">
        <v>471</v>
      </c>
      <c r="Y643" s="16" t="s">
        <v>628</v>
      </c>
      <c r="Z643" s="16" t="s">
        <v>524</v>
      </c>
      <c r="AA643" s="16" t="s">
        <v>1059</v>
      </c>
      <c r="AB643" s="16" t="s">
        <v>5768</v>
      </c>
      <c r="AC643" s="16"/>
      <c r="AD643" s="16"/>
      <c r="AE643" s="16"/>
      <c r="AF643" s="16"/>
      <c r="AG643" s="16"/>
      <c r="AH643" s="16" t="s">
        <v>1076</v>
      </c>
      <c r="AI643" s="16" t="s">
        <v>93</v>
      </c>
      <c r="AJ643" s="16" t="s">
        <v>481</v>
      </c>
      <c r="AK643" s="16" t="s">
        <v>5769</v>
      </c>
      <c r="AL643" s="16">
        <v>0</v>
      </c>
      <c r="AM643" s="16"/>
      <c r="AN643" s="16"/>
      <c r="AO643" s="16" t="s">
        <v>5770</v>
      </c>
      <c r="AP643" s="16" t="s">
        <v>1063</v>
      </c>
      <c r="AQ643" s="16" t="s">
        <v>5771</v>
      </c>
      <c r="AR643" s="3">
        <v>46272</v>
      </c>
      <c r="AS643" s="16" t="s">
        <v>93</v>
      </c>
      <c r="AT643" s="16" t="s">
        <v>5772</v>
      </c>
      <c r="AU643" s="16"/>
      <c r="AV643" s="16"/>
      <c r="AW643" s="16"/>
      <c r="AX643" s="16"/>
      <c r="AY643" s="16"/>
      <c r="AZ643" s="16"/>
      <c r="BA643" s="16"/>
      <c r="BB643" s="16" t="s">
        <v>5773</v>
      </c>
      <c r="BC643" s="16"/>
      <c r="BD643" s="16" t="s">
        <v>93</v>
      </c>
      <c r="BE643" s="16">
        <v>33</v>
      </c>
      <c r="BF643" s="16"/>
      <c r="BG643" s="16" t="s">
        <v>1067</v>
      </c>
      <c r="BH643" s="16"/>
      <c r="BI643" s="16"/>
      <c r="BJ643" s="16"/>
      <c r="BK643" s="16"/>
      <c r="BL643" s="16"/>
      <c r="BM643" s="16"/>
      <c r="BN643" s="16"/>
      <c r="BO643" s="16"/>
      <c r="BP643" s="16"/>
      <c r="BQ643" s="16"/>
      <c r="BR643" s="16"/>
      <c r="BS643" s="16"/>
      <c r="BT643" s="16"/>
      <c r="BU643" s="16"/>
      <c r="BV643" s="16"/>
      <c r="BW643" s="16"/>
      <c r="BX643" s="16"/>
      <c r="BY643" s="16"/>
      <c r="BZ643" s="16"/>
      <c r="CA643" s="190">
        <v>46285.666666666701</v>
      </c>
      <c r="CB643" s="3"/>
      <c r="CC643" s="16"/>
      <c r="CD643" s="16"/>
      <c r="CE643" s="16"/>
      <c r="CF643" s="16"/>
      <c r="CG643" s="16"/>
      <c r="CH643" s="16"/>
      <c r="CI643" s="16" t="s">
        <v>5774</v>
      </c>
    </row>
    <row r="644" spans="1:87">
      <c r="A644" s="16"/>
      <c r="B644" s="16"/>
      <c r="C644" s="3">
        <v>46281</v>
      </c>
      <c r="D644" s="16" t="s">
        <v>1</v>
      </c>
      <c r="E644" s="16" t="s">
        <v>5775</v>
      </c>
      <c r="F644" s="16">
        <v>2026223470393</v>
      </c>
      <c r="G644" s="16">
        <v>40</v>
      </c>
      <c r="H644" s="16">
        <v>35</v>
      </c>
      <c r="I644" s="16" t="s">
        <v>460</v>
      </c>
      <c r="J644" s="16" t="s">
        <v>5775</v>
      </c>
      <c r="K644" s="16" t="s">
        <v>3416</v>
      </c>
      <c r="L644" s="16" t="s">
        <v>1760</v>
      </c>
      <c r="M644" s="16">
        <v>1</v>
      </c>
      <c r="N644" s="16" t="s">
        <v>462</v>
      </c>
      <c r="O644" s="16" t="s">
        <v>497</v>
      </c>
      <c r="P644" s="16">
        <v>825175724</v>
      </c>
      <c r="Q644" s="16" t="s">
        <v>465</v>
      </c>
      <c r="R644" s="16" t="s">
        <v>466</v>
      </c>
      <c r="S644" s="16" t="s">
        <v>5776</v>
      </c>
      <c r="T644" s="16" t="s">
        <v>664</v>
      </c>
      <c r="U644" s="16">
        <v>46278.849305555559</v>
      </c>
      <c r="V644" s="16" t="s">
        <v>469</v>
      </c>
      <c r="W644" s="16" t="s">
        <v>651</v>
      </c>
      <c r="X644" s="16" t="s">
        <v>652</v>
      </c>
      <c r="Y644" s="16" t="s">
        <v>653</v>
      </c>
      <c r="Z644" s="16" t="s">
        <v>665</v>
      </c>
      <c r="AA644" s="16" t="s">
        <v>474</v>
      </c>
      <c r="AB644" s="16" t="s">
        <v>666</v>
      </c>
      <c r="AC644" s="16" t="s">
        <v>640</v>
      </c>
      <c r="AD644" s="16">
        <v>141630103</v>
      </c>
      <c r="AE644" s="16">
        <v>1639128473</v>
      </c>
      <c r="AF644" s="16"/>
      <c r="AG644" s="16">
        <v>2.54202430304414E+16</v>
      </c>
      <c r="AH644" s="16"/>
      <c r="AI644" s="16" t="s">
        <v>3421</v>
      </c>
      <c r="AJ644" s="16" t="s">
        <v>481</v>
      </c>
      <c r="AK644" s="16" t="s">
        <v>5777</v>
      </c>
      <c r="AL644" s="16">
        <v>977.5</v>
      </c>
      <c r="AM644" s="16"/>
      <c r="AN644" s="16"/>
      <c r="AO644" s="16">
        <v>825</v>
      </c>
      <c r="AP644" s="16" t="s">
        <v>485</v>
      </c>
      <c r="AQ644" s="16" t="s">
        <v>5778</v>
      </c>
      <c r="AR644" s="3">
        <v>46279</v>
      </c>
      <c r="AS644" s="16" t="s">
        <v>3421</v>
      </c>
      <c r="AT644" s="16" t="s">
        <v>3424</v>
      </c>
      <c r="AU644" s="16"/>
      <c r="AV644" s="16" t="s">
        <v>5779</v>
      </c>
      <c r="AW644" s="16"/>
      <c r="AX644" s="16"/>
      <c r="AY644" s="16"/>
      <c r="AZ644" s="16"/>
      <c r="BA644" s="16"/>
      <c r="BB644" s="16"/>
      <c r="BC644" s="16"/>
      <c r="BD644" s="16" t="s">
        <v>3421</v>
      </c>
      <c r="BE644" s="16">
        <v>35</v>
      </c>
      <c r="BF644" s="16"/>
      <c r="BG644" s="16" t="s">
        <v>490</v>
      </c>
      <c r="BH644" s="16" t="s">
        <v>658</v>
      </c>
      <c r="BI644" s="16">
        <v>825175724</v>
      </c>
      <c r="BJ644" s="16"/>
      <c r="BK644" s="16"/>
      <c r="BL644" s="16"/>
      <c r="BM644" s="16"/>
      <c r="BN644" s="16"/>
      <c r="BO644" s="16"/>
      <c r="BP644" s="16"/>
      <c r="BQ644" s="16"/>
      <c r="BR644" s="16"/>
      <c r="BS644" s="16"/>
      <c r="BT644" s="16"/>
      <c r="BU644" s="16"/>
      <c r="BV644" s="16"/>
      <c r="BW644" s="16"/>
      <c r="BX644" s="16"/>
      <c r="BY644" s="16"/>
      <c r="BZ644" s="16"/>
      <c r="CA644" s="190">
        <v>46280</v>
      </c>
      <c r="CB644" s="3"/>
      <c r="CC644" s="16"/>
      <c r="CD644" s="16"/>
      <c r="CE644" s="16"/>
      <c r="CF644" s="16"/>
      <c r="CG644" s="16"/>
      <c r="CH644" s="16"/>
      <c r="CI644" s="16" t="s">
        <v>5780</v>
      </c>
    </row>
    <row r="645" spans="1:87">
      <c r="A645" s="16"/>
      <c r="B645" s="16"/>
      <c r="C645" s="3">
        <v>46281</v>
      </c>
      <c r="D645" s="16" t="s">
        <v>1</v>
      </c>
      <c r="E645" s="16" t="s">
        <v>5781</v>
      </c>
      <c r="F645" s="16">
        <v>2026225460381</v>
      </c>
      <c r="G645" s="16">
        <v>40</v>
      </c>
      <c r="H645" s="16">
        <v>33</v>
      </c>
      <c r="I645" s="16" t="s">
        <v>460</v>
      </c>
      <c r="J645" s="16" t="s">
        <v>5781</v>
      </c>
      <c r="K645" s="16" t="s">
        <v>1040</v>
      </c>
      <c r="L645" s="16" t="s">
        <v>17</v>
      </c>
      <c r="M645" s="16">
        <v>11</v>
      </c>
      <c r="N645" s="16" t="s">
        <v>462</v>
      </c>
      <c r="O645" s="16" t="s">
        <v>606</v>
      </c>
      <c r="P645" s="16" t="s">
        <v>5782</v>
      </c>
      <c r="Q645" s="16" t="s">
        <v>465</v>
      </c>
      <c r="R645" s="16" t="s">
        <v>466</v>
      </c>
      <c r="S645" s="16" t="s">
        <v>5783</v>
      </c>
      <c r="T645" s="16" t="s">
        <v>5784</v>
      </c>
      <c r="U645" s="16">
        <v>46269.011805555558</v>
      </c>
      <c r="V645" s="16" t="s">
        <v>469</v>
      </c>
      <c r="W645" s="16" t="s">
        <v>568</v>
      </c>
      <c r="X645" s="16" t="s">
        <v>471</v>
      </c>
      <c r="Y645" s="16" t="s">
        <v>628</v>
      </c>
      <c r="Z645" s="16" t="s">
        <v>544</v>
      </c>
      <c r="AA645" s="16" t="s">
        <v>474</v>
      </c>
      <c r="AB645" s="16" t="s">
        <v>5785</v>
      </c>
      <c r="AC645" s="16" t="s">
        <v>546</v>
      </c>
      <c r="AD645" s="16">
        <v>582179986</v>
      </c>
      <c r="AE645" s="16">
        <v>1437186111</v>
      </c>
      <c r="AF645" s="16"/>
      <c r="AG645" s="16"/>
      <c r="AH645" s="16"/>
      <c r="AI645" s="16" t="s">
        <v>173</v>
      </c>
      <c r="AJ645" s="16" t="s">
        <v>481</v>
      </c>
      <c r="AK645" s="16" t="s">
        <v>5786</v>
      </c>
      <c r="AL645" s="16">
        <v>82109.22</v>
      </c>
      <c r="AM645" s="16"/>
      <c r="AN645" s="16"/>
      <c r="AO645" s="16">
        <v>347</v>
      </c>
      <c r="AP645" s="16" t="s">
        <v>485</v>
      </c>
      <c r="AQ645" s="16" t="s">
        <v>5787</v>
      </c>
      <c r="AR645" s="3">
        <v>46269</v>
      </c>
      <c r="AS645" s="16" t="s">
        <v>173</v>
      </c>
      <c r="AT645" s="16" t="s">
        <v>1047</v>
      </c>
      <c r="AU645" s="16"/>
      <c r="AV645" s="16" t="s">
        <v>5523</v>
      </c>
      <c r="AW645" s="16"/>
      <c r="AX645" s="16"/>
      <c r="AY645" s="16"/>
      <c r="AZ645" s="16"/>
      <c r="BA645" s="16"/>
      <c r="BB645" s="16"/>
      <c r="BC645" s="16"/>
      <c r="BD645" s="16" t="s">
        <v>173</v>
      </c>
      <c r="BE645" s="16">
        <v>33</v>
      </c>
      <c r="BF645" s="16"/>
      <c r="BG645" s="16"/>
      <c r="BH645" s="16" t="s">
        <v>491</v>
      </c>
      <c r="BI645" s="16">
        <v>416134785</v>
      </c>
      <c r="BJ645" s="16"/>
      <c r="BK645" s="16"/>
      <c r="BL645" s="16"/>
      <c r="BM645" s="16"/>
      <c r="BN645" s="16"/>
      <c r="BO645" s="16"/>
      <c r="BP645" s="16"/>
      <c r="BQ645" s="16"/>
      <c r="BR645" s="16"/>
      <c r="BS645" s="16"/>
      <c r="BT645" s="16"/>
      <c r="BU645" s="16"/>
      <c r="BV645" s="16"/>
      <c r="BW645" s="16"/>
      <c r="BX645" s="16"/>
      <c r="BY645" s="16"/>
      <c r="BZ645" s="16"/>
      <c r="CA645" s="190">
        <v>46280</v>
      </c>
      <c r="CB645" s="3"/>
      <c r="CC645" s="16"/>
      <c r="CD645" s="16"/>
      <c r="CE645" s="16"/>
      <c r="CF645" s="16"/>
      <c r="CG645" s="16"/>
      <c r="CH645" s="16"/>
      <c r="CI645" s="16" t="s">
        <v>5788</v>
      </c>
    </row>
    <row r="646" spans="1:87">
      <c r="A646" s="16"/>
      <c r="B646" s="16"/>
      <c r="C646" s="3">
        <v>46281</v>
      </c>
      <c r="D646" s="16" t="s">
        <v>1</v>
      </c>
      <c r="E646" s="16" t="s">
        <v>5789</v>
      </c>
      <c r="F646" s="16">
        <v>2026237230115</v>
      </c>
      <c r="G646" s="16">
        <v>40</v>
      </c>
      <c r="H646" s="16">
        <v>32</v>
      </c>
      <c r="I646" s="16" t="s">
        <v>460</v>
      </c>
      <c r="J646" s="16" t="s">
        <v>5789</v>
      </c>
      <c r="K646" s="16" t="s">
        <v>540</v>
      </c>
      <c r="L646" s="16" t="s">
        <v>18</v>
      </c>
      <c r="M646" s="16">
        <v>5</v>
      </c>
      <c r="N646" s="16" t="s">
        <v>462</v>
      </c>
      <c r="O646" s="16" t="s">
        <v>562</v>
      </c>
      <c r="P646" s="16" t="s">
        <v>5790</v>
      </c>
      <c r="Q646" s="16" t="s">
        <v>465</v>
      </c>
      <c r="R646" s="16" t="s">
        <v>466</v>
      </c>
      <c r="S646" s="16" t="s">
        <v>5791</v>
      </c>
      <c r="T646" s="16" t="s">
        <v>5792</v>
      </c>
      <c r="U646" s="16">
        <v>46275.286805555559</v>
      </c>
      <c r="V646" s="16" t="s">
        <v>469</v>
      </c>
      <c r="W646" s="16" t="s">
        <v>568</v>
      </c>
      <c r="X646" s="16" t="s">
        <v>471</v>
      </c>
      <c r="Y646" s="16" t="s">
        <v>628</v>
      </c>
      <c r="Z646" s="16" t="s">
        <v>544</v>
      </c>
      <c r="AA646" s="16" t="s">
        <v>474</v>
      </c>
      <c r="AB646" s="16" t="s">
        <v>5793</v>
      </c>
      <c r="AC646" s="16" t="s">
        <v>546</v>
      </c>
      <c r="AD646" s="16">
        <v>580566213</v>
      </c>
      <c r="AE646" s="16">
        <v>1962461681</v>
      </c>
      <c r="AF646" s="16"/>
      <c r="AG646" s="16"/>
      <c r="AH646" s="16"/>
      <c r="AI646" s="16" t="s">
        <v>31</v>
      </c>
      <c r="AJ646" s="16" t="s">
        <v>481</v>
      </c>
      <c r="AK646" s="16" t="s">
        <v>5794</v>
      </c>
      <c r="AL646" s="16">
        <v>18290.59</v>
      </c>
      <c r="AM646" s="16"/>
      <c r="AN646" s="16"/>
      <c r="AO646" s="16">
        <v>511</v>
      </c>
      <c r="AP646" s="16" t="s">
        <v>485</v>
      </c>
      <c r="AQ646" s="16" t="s">
        <v>5795</v>
      </c>
      <c r="AR646" s="3">
        <v>46275</v>
      </c>
      <c r="AS646" s="16" t="s">
        <v>31</v>
      </c>
      <c r="AT646" s="16" t="s">
        <v>5643</v>
      </c>
      <c r="AU646" s="16"/>
      <c r="AV646" s="16" t="s">
        <v>5796</v>
      </c>
      <c r="AW646" s="16"/>
      <c r="AX646" s="16"/>
      <c r="AY646" s="16"/>
      <c r="AZ646" s="16"/>
      <c r="BA646" s="16"/>
      <c r="BB646" s="16"/>
      <c r="BC646" s="16"/>
      <c r="BD646" s="16" t="s">
        <v>31</v>
      </c>
      <c r="BE646" s="16">
        <v>21</v>
      </c>
      <c r="BF646" s="16"/>
      <c r="BG646" s="16" t="s">
        <v>490</v>
      </c>
      <c r="BH646" s="16" t="s">
        <v>491</v>
      </c>
      <c r="BI646" s="16">
        <v>594553370</v>
      </c>
      <c r="BJ646" s="16"/>
      <c r="BK646" s="16"/>
      <c r="BL646" s="16"/>
      <c r="BM646" s="16"/>
      <c r="BN646" s="16"/>
      <c r="BO646" s="16"/>
      <c r="BP646" s="16"/>
      <c r="BQ646" s="16"/>
      <c r="BR646" s="16"/>
      <c r="BS646" s="16"/>
      <c r="BT646" s="16"/>
      <c r="BU646" s="16"/>
      <c r="BV646" s="16"/>
      <c r="BW646" s="16"/>
      <c r="BX646" s="16"/>
      <c r="BY646" s="16"/>
      <c r="BZ646" s="16"/>
      <c r="CA646" s="190">
        <v>46280</v>
      </c>
      <c r="CB646" s="3"/>
      <c r="CC646" s="16"/>
      <c r="CD646" s="16"/>
      <c r="CE646" s="16"/>
      <c r="CF646" s="16"/>
      <c r="CG646" s="16"/>
      <c r="CH646" s="16"/>
      <c r="CI646" s="16" t="s">
        <v>5797</v>
      </c>
    </row>
    <row r="647" spans="1:87">
      <c r="A647" s="16" t="s">
        <v>4</v>
      </c>
      <c r="B647" s="16" t="s">
        <v>5754</v>
      </c>
      <c r="C647" s="3">
        <v>46281</v>
      </c>
      <c r="D647" s="16" t="s">
        <v>1</v>
      </c>
      <c r="E647" s="16" t="s">
        <v>5798</v>
      </c>
      <c r="F647" s="16">
        <v>2026226880085</v>
      </c>
      <c r="G647" s="16">
        <v>40</v>
      </c>
      <c r="H647" s="16">
        <v>32</v>
      </c>
      <c r="I647" s="16" t="s">
        <v>460</v>
      </c>
      <c r="J647" s="16" t="s">
        <v>5798</v>
      </c>
      <c r="K647" s="16" t="s">
        <v>518</v>
      </c>
      <c r="L647" s="16" t="s">
        <v>17</v>
      </c>
      <c r="M647" s="16">
        <v>5</v>
      </c>
      <c r="N647" s="16" t="s">
        <v>462</v>
      </c>
      <c r="O647" s="16" t="s">
        <v>497</v>
      </c>
      <c r="P647" s="16">
        <v>971949964</v>
      </c>
      <c r="Q647" s="16" t="s">
        <v>465</v>
      </c>
      <c r="R647" s="16" t="s">
        <v>466</v>
      </c>
      <c r="S647" s="16" t="s">
        <v>5799</v>
      </c>
      <c r="T647" s="16">
        <v>1749</v>
      </c>
      <c r="U647" s="16">
        <v>46275.625</v>
      </c>
      <c r="V647" s="16" t="s">
        <v>469</v>
      </c>
      <c r="W647" s="16" t="s">
        <v>470</v>
      </c>
      <c r="X647" s="16" t="s">
        <v>471</v>
      </c>
      <c r="Y647" s="16" t="s">
        <v>628</v>
      </c>
      <c r="Z647" s="16" t="s">
        <v>1338</v>
      </c>
      <c r="AA647" s="16" t="s">
        <v>474</v>
      </c>
      <c r="AB647" s="16" t="s">
        <v>5800</v>
      </c>
      <c r="AC647" s="16" t="s">
        <v>1429</v>
      </c>
      <c r="AD647" s="16">
        <v>812637261</v>
      </c>
      <c r="AE647" s="16">
        <v>1336695188</v>
      </c>
      <c r="AF647" s="16"/>
      <c r="AG647" s="16"/>
      <c r="AH647" s="16"/>
      <c r="AI647" s="16" t="s">
        <v>87</v>
      </c>
      <c r="AJ647" s="16" t="s">
        <v>481</v>
      </c>
      <c r="AK647" s="16" t="s">
        <v>5801</v>
      </c>
      <c r="AL647" s="16">
        <v>122289</v>
      </c>
      <c r="AM647" s="16"/>
      <c r="AN647" s="16"/>
      <c r="AO647" s="16">
        <v>971</v>
      </c>
      <c r="AP647" s="16" t="s">
        <v>485</v>
      </c>
      <c r="AQ647" s="16" t="s">
        <v>5802</v>
      </c>
      <c r="AR647" s="3">
        <v>46275</v>
      </c>
      <c r="AS647" s="16" t="s">
        <v>87</v>
      </c>
      <c r="AT647" s="16" t="s">
        <v>4364</v>
      </c>
      <c r="AU647" s="16"/>
      <c r="AV647" s="16" t="s">
        <v>2344</v>
      </c>
      <c r="AW647" s="16"/>
      <c r="AX647" s="16"/>
      <c r="AY647" s="16"/>
      <c r="AZ647" s="16"/>
      <c r="BA647" s="16"/>
      <c r="BB647" s="16"/>
      <c r="BC647" s="16"/>
      <c r="BD647" s="16" t="s">
        <v>87</v>
      </c>
      <c r="BE647" s="16">
        <v>32</v>
      </c>
      <c r="BF647" s="16"/>
      <c r="BG647" s="16" t="s">
        <v>490</v>
      </c>
      <c r="BH647" s="16" t="s">
        <v>491</v>
      </c>
      <c r="BI647" s="16">
        <v>41820584</v>
      </c>
      <c r="BJ647" s="16"/>
      <c r="BK647" s="16"/>
      <c r="BL647" s="16"/>
      <c r="BM647" s="16"/>
      <c r="BN647" s="16"/>
      <c r="BO647" s="16"/>
      <c r="BP647" s="16"/>
      <c r="BQ647" s="16"/>
      <c r="BR647" s="16"/>
      <c r="BS647" s="16"/>
      <c r="BT647" s="16"/>
      <c r="BU647" s="16"/>
      <c r="BV647" s="16"/>
      <c r="BW647" s="16"/>
      <c r="BX647" s="16"/>
      <c r="BY647" s="16"/>
      <c r="BZ647" s="16"/>
      <c r="CA647" s="190">
        <v>46285.666666666701</v>
      </c>
      <c r="CB647" s="3"/>
      <c r="CC647" s="16"/>
      <c r="CD647" s="16"/>
      <c r="CE647" s="16"/>
      <c r="CF647" s="16"/>
      <c r="CG647" s="16"/>
      <c r="CH647" s="16"/>
      <c r="CI647" s="16" t="s">
        <v>5803</v>
      </c>
    </row>
    <row r="648" spans="1:87">
      <c r="A648" s="16"/>
      <c r="B648" s="16"/>
      <c r="C648" s="3">
        <v>46281</v>
      </c>
      <c r="D648" s="16" t="s">
        <v>1</v>
      </c>
      <c r="E648" s="16" t="s">
        <v>5804</v>
      </c>
      <c r="F648" s="16">
        <v>2026228520071</v>
      </c>
      <c r="G648" s="16">
        <v>40</v>
      </c>
      <c r="H648" s="16">
        <v>32</v>
      </c>
      <c r="I648" s="16" t="s">
        <v>460</v>
      </c>
      <c r="J648" s="16" t="s">
        <v>5804</v>
      </c>
      <c r="K648" s="16" t="s">
        <v>691</v>
      </c>
      <c r="L648" s="16" t="s">
        <v>13</v>
      </c>
      <c r="M648" s="16">
        <v>7</v>
      </c>
      <c r="N648" s="16" t="s">
        <v>462</v>
      </c>
      <c r="O648" s="16" t="s">
        <v>606</v>
      </c>
      <c r="P648" s="16" t="s">
        <v>5805</v>
      </c>
      <c r="Q648" s="16" t="s">
        <v>465</v>
      </c>
      <c r="R648" s="16" t="s">
        <v>466</v>
      </c>
      <c r="S648" s="16" t="s">
        <v>5806</v>
      </c>
      <c r="T648" s="16">
        <v>210040</v>
      </c>
      <c r="U648" s="16">
        <v>46272.959722222222</v>
      </c>
      <c r="V648" s="16" t="s">
        <v>469</v>
      </c>
      <c r="W648" s="16" t="s">
        <v>568</v>
      </c>
      <c r="X648" s="16" t="s">
        <v>471</v>
      </c>
      <c r="Y648" s="16" t="s">
        <v>1724</v>
      </c>
      <c r="Z648" s="16" t="s">
        <v>473</v>
      </c>
      <c r="AA648" s="16" t="s">
        <v>474</v>
      </c>
      <c r="AB648" s="16" t="s">
        <v>5807</v>
      </c>
      <c r="AC648" s="16" t="s">
        <v>476</v>
      </c>
      <c r="AD648" s="16">
        <v>391943214</v>
      </c>
      <c r="AE648" s="16">
        <v>1588609648</v>
      </c>
      <c r="AF648" s="16">
        <v>1073776928</v>
      </c>
      <c r="AG648" s="16"/>
      <c r="AH648" s="16"/>
      <c r="AI648" s="16" t="s">
        <v>128</v>
      </c>
      <c r="AJ648" s="16" t="s">
        <v>481</v>
      </c>
      <c r="AK648" s="16" t="s">
        <v>5808</v>
      </c>
      <c r="AL648" s="16">
        <v>54645</v>
      </c>
      <c r="AM648" s="16"/>
      <c r="AN648" s="16"/>
      <c r="AO648" s="16">
        <v>873</v>
      </c>
      <c r="AP648" s="16" t="s">
        <v>485</v>
      </c>
      <c r="AQ648" s="16" t="s">
        <v>5809</v>
      </c>
      <c r="AR648" s="3">
        <v>46273</v>
      </c>
      <c r="AS648" s="16" t="s">
        <v>128</v>
      </c>
      <c r="AT648" s="16" t="s">
        <v>695</v>
      </c>
      <c r="AU648" s="16"/>
      <c r="AV648" s="16" t="s">
        <v>5810</v>
      </c>
      <c r="AW648" s="16"/>
      <c r="AX648" s="16"/>
      <c r="AY648" s="16"/>
      <c r="AZ648" s="16"/>
      <c r="BA648" s="16"/>
      <c r="BB648" s="16"/>
      <c r="BC648" s="16"/>
      <c r="BD648" s="16" t="s">
        <v>128</v>
      </c>
      <c r="BE648" s="16">
        <v>30</v>
      </c>
      <c r="BF648" s="16"/>
      <c r="BG648" s="16"/>
      <c r="BH648" s="16" t="s">
        <v>491</v>
      </c>
      <c r="BI648" s="16">
        <v>392968876</v>
      </c>
      <c r="BJ648" s="16"/>
      <c r="BK648" s="16"/>
      <c r="BL648" s="16"/>
      <c r="BM648" s="16"/>
      <c r="BN648" s="16"/>
      <c r="BO648" s="16"/>
      <c r="BP648" s="16"/>
      <c r="BQ648" s="16"/>
      <c r="BR648" s="16"/>
      <c r="BS648" s="16"/>
      <c r="BT648" s="16"/>
      <c r="BU648" s="16"/>
      <c r="BV648" s="16"/>
      <c r="BW648" s="16"/>
      <c r="BX648" s="16"/>
      <c r="BY648" s="16"/>
      <c r="BZ648" s="16"/>
      <c r="CA648" s="190">
        <v>46280</v>
      </c>
      <c r="CB648" s="3"/>
      <c r="CC648" s="16"/>
      <c r="CD648" s="16"/>
      <c r="CE648" s="16"/>
      <c r="CF648" s="16"/>
      <c r="CG648" s="16"/>
      <c r="CH648" s="16"/>
      <c r="CI648" s="16" t="s">
        <v>5811</v>
      </c>
    </row>
    <row r="649" spans="1:87">
      <c r="A649" s="16" t="s">
        <v>5</v>
      </c>
      <c r="B649" s="16" t="s">
        <v>4364</v>
      </c>
      <c r="C649" s="3">
        <v>46281</v>
      </c>
      <c r="D649" s="16" t="s">
        <v>1</v>
      </c>
      <c r="E649" s="16" t="s">
        <v>5812</v>
      </c>
      <c r="F649" s="16">
        <v>2026225030074</v>
      </c>
      <c r="G649" s="16">
        <v>40</v>
      </c>
      <c r="H649" s="16">
        <v>34</v>
      </c>
      <c r="I649" s="16" t="s">
        <v>460</v>
      </c>
      <c r="J649" s="16" t="s">
        <v>5812</v>
      </c>
      <c r="K649" s="16" t="s">
        <v>461</v>
      </c>
      <c r="L649" s="16" t="s">
        <v>17</v>
      </c>
      <c r="M649" s="16">
        <v>8</v>
      </c>
      <c r="N649" s="16" t="s">
        <v>462</v>
      </c>
      <c r="O649" s="16" t="s">
        <v>606</v>
      </c>
      <c r="P649" s="16" t="s">
        <v>5813</v>
      </c>
      <c r="Q649" s="16" t="s">
        <v>465</v>
      </c>
      <c r="R649" s="16" t="s">
        <v>466</v>
      </c>
      <c r="S649" s="16" t="s">
        <v>5814</v>
      </c>
      <c r="T649" s="16" t="s">
        <v>5815</v>
      </c>
      <c r="U649" s="16">
        <v>46268.727777777778</v>
      </c>
      <c r="V649" s="16" t="s">
        <v>469</v>
      </c>
      <c r="W649" s="16" t="s">
        <v>470</v>
      </c>
      <c r="X649" s="16" t="s">
        <v>471</v>
      </c>
      <c r="Y649" s="16" t="s">
        <v>628</v>
      </c>
      <c r="Z649" s="16" t="s">
        <v>638</v>
      </c>
      <c r="AA649" s="16" t="s">
        <v>474</v>
      </c>
      <c r="AB649" s="16" t="s">
        <v>5816</v>
      </c>
      <c r="AC649" s="16" t="s">
        <v>465</v>
      </c>
      <c r="AD649" s="16">
        <v>351166081</v>
      </c>
      <c r="AE649" s="16">
        <v>1346248986</v>
      </c>
      <c r="AF649" s="16"/>
      <c r="AG649" s="16"/>
      <c r="AH649" s="16"/>
      <c r="AI649" s="16" t="s">
        <v>67</v>
      </c>
      <c r="AJ649" s="16" t="s">
        <v>481</v>
      </c>
      <c r="AK649" s="16" t="s">
        <v>5817</v>
      </c>
      <c r="AL649" s="16">
        <v>53365.21</v>
      </c>
      <c r="AM649" s="16"/>
      <c r="AN649" s="16"/>
      <c r="AO649" s="16">
        <v>377</v>
      </c>
      <c r="AP649" s="16" t="s">
        <v>485</v>
      </c>
      <c r="AQ649" s="16" t="s">
        <v>5818</v>
      </c>
      <c r="AR649" s="3">
        <v>46272</v>
      </c>
      <c r="AS649" s="16" t="s">
        <v>2506</v>
      </c>
      <c r="AT649" s="16" t="s">
        <v>3118</v>
      </c>
      <c r="AU649" s="16"/>
      <c r="AV649" s="16" t="s">
        <v>5819</v>
      </c>
      <c r="AW649" s="16"/>
      <c r="AX649" s="16"/>
      <c r="AY649" s="16"/>
      <c r="AZ649" s="16"/>
      <c r="BA649" s="16"/>
      <c r="BB649" s="16"/>
      <c r="BC649" s="16"/>
      <c r="BD649" s="16" t="s">
        <v>67</v>
      </c>
      <c r="BE649" s="16">
        <v>33</v>
      </c>
      <c r="BF649" s="16"/>
      <c r="BG649" s="16"/>
      <c r="BH649" s="16" t="s">
        <v>491</v>
      </c>
      <c r="BI649" s="16">
        <v>406452645</v>
      </c>
      <c r="BJ649" s="16"/>
      <c r="BK649" s="16"/>
      <c r="BL649" s="16"/>
      <c r="BM649" s="16"/>
      <c r="BN649" s="16"/>
      <c r="BO649" s="16"/>
      <c r="BP649" s="16"/>
      <c r="BQ649" s="16"/>
      <c r="BR649" s="16"/>
      <c r="BS649" s="16"/>
      <c r="BT649" s="16"/>
      <c r="BU649" s="16"/>
      <c r="BV649" s="16"/>
      <c r="BW649" s="16"/>
      <c r="BX649" s="16"/>
      <c r="BY649" s="16"/>
      <c r="BZ649" s="16"/>
      <c r="CA649" s="190">
        <v>46282.166666666701</v>
      </c>
      <c r="CB649" s="3"/>
      <c r="CC649" s="16"/>
      <c r="CD649" s="16"/>
      <c r="CE649" s="16"/>
      <c r="CF649" s="16"/>
      <c r="CG649" s="16"/>
      <c r="CH649" s="16"/>
      <c r="CI649" s="16" t="s">
        <v>5820</v>
      </c>
    </row>
    <row r="650" spans="1:87">
      <c r="A650" s="16"/>
      <c r="B650" s="16"/>
      <c r="C650" s="3">
        <v>46281</v>
      </c>
      <c r="D650" s="16" t="s">
        <v>1</v>
      </c>
      <c r="E650" s="16" t="s">
        <v>5821</v>
      </c>
      <c r="F650" s="16">
        <v>2026223500430</v>
      </c>
      <c r="G650" s="16">
        <v>40</v>
      </c>
      <c r="H650" s="16">
        <v>35</v>
      </c>
      <c r="I650" s="16" t="s">
        <v>460</v>
      </c>
      <c r="J650" s="16" t="s">
        <v>5821</v>
      </c>
      <c r="K650" s="16" t="s">
        <v>3416</v>
      </c>
      <c r="L650" s="16" t="s">
        <v>1760</v>
      </c>
      <c r="M650" s="16">
        <v>4</v>
      </c>
      <c r="N650" s="16" t="s">
        <v>462</v>
      </c>
      <c r="O650" s="16" t="s">
        <v>606</v>
      </c>
      <c r="P650" s="16">
        <v>852569151</v>
      </c>
      <c r="Q650" s="16" t="s">
        <v>465</v>
      </c>
      <c r="R650" s="16" t="s">
        <v>466</v>
      </c>
      <c r="S650" s="16" t="s">
        <v>5822</v>
      </c>
      <c r="T650" s="16" t="s">
        <v>664</v>
      </c>
      <c r="U650" s="16">
        <v>46275.822222222225</v>
      </c>
      <c r="V650" s="16" t="s">
        <v>469</v>
      </c>
      <c r="W650" s="16" t="s">
        <v>651</v>
      </c>
      <c r="X650" s="16" t="s">
        <v>652</v>
      </c>
      <c r="Y650" s="16" t="s">
        <v>653</v>
      </c>
      <c r="Z650" s="16" t="s">
        <v>665</v>
      </c>
      <c r="AA650" s="16" t="s">
        <v>474</v>
      </c>
      <c r="AB650" s="16" t="s">
        <v>666</v>
      </c>
      <c r="AC650" s="16" t="s">
        <v>640</v>
      </c>
      <c r="AD650" s="16">
        <v>133544120</v>
      </c>
      <c r="AE650" s="16">
        <v>1982643003</v>
      </c>
      <c r="AF650" s="16">
        <v>1578519930</v>
      </c>
      <c r="AG650" s="16">
        <v>2.54202523810249E+16</v>
      </c>
      <c r="AH650" s="16"/>
      <c r="AI650" s="16" t="s">
        <v>3421</v>
      </c>
      <c r="AJ650" s="16" t="s">
        <v>481</v>
      </c>
      <c r="AK650" s="16" t="s">
        <v>5823</v>
      </c>
      <c r="AL650" s="16">
        <v>71548</v>
      </c>
      <c r="AM650" s="16"/>
      <c r="AN650" s="16"/>
      <c r="AO650" s="16">
        <v>852</v>
      </c>
      <c r="AP650" s="16" t="s">
        <v>485</v>
      </c>
      <c r="AQ650" s="16" t="s">
        <v>5824</v>
      </c>
      <c r="AR650" s="3">
        <v>46276</v>
      </c>
      <c r="AS650" s="16" t="s">
        <v>3421</v>
      </c>
      <c r="AT650" s="16" t="s">
        <v>516</v>
      </c>
      <c r="AU650" s="16"/>
      <c r="AV650" s="16" t="s">
        <v>5825</v>
      </c>
      <c r="AW650" s="16"/>
      <c r="AX650" s="16"/>
      <c r="AY650" s="16"/>
      <c r="AZ650" s="16"/>
      <c r="BA650" s="16"/>
      <c r="BB650" s="16"/>
      <c r="BC650" s="16"/>
      <c r="BD650" s="16" t="s">
        <v>3421</v>
      </c>
      <c r="BE650" s="16">
        <v>35</v>
      </c>
      <c r="BF650" s="16"/>
      <c r="BG650" s="16"/>
      <c r="BH650" s="16" t="s">
        <v>658</v>
      </c>
      <c r="BI650" s="16">
        <v>852569151</v>
      </c>
      <c r="BJ650" s="16"/>
      <c r="BK650" s="16"/>
      <c r="BL650" s="16"/>
      <c r="BM650" s="16"/>
      <c r="BN650" s="16"/>
      <c r="BO650" s="16"/>
      <c r="BP650" s="16"/>
      <c r="BQ650" s="16"/>
      <c r="BR650" s="16"/>
      <c r="BS650" s="16"/>
      <c r="BT650" s="16"/>
      <c r="BU650" s="16"/>
      <c r="BV650" s="16"/>
      <c r="BW650" s="16"/>
      <c r="BX650" s="16"/>
      <c r="BY650" s="16"/>
      <c r="BZ650" s="16"/>
      <c r="CA650" s="190">
        <v>46280</v>
      </c>
      <c r="CB650" s="3"/>
      <c r="CC650" s="16"/>
      <c r="CD650" s="16"/>
      <c r="CE650" s="16"/>
      <c r="CF650" s="16"/>
      <c r="CG650" s="16"/>
      <c r="CH650" s="16"/>
      <c r="CI650" s="16" t="s">
        <v>5826</v>
      </c>
    </row>
    <row r="651" spans="1:87">
      <c r="A651" s="16"/>
      <c r="B651" s="16"/>
      <c r="C651" s="3">
        <v>46281</v>
      </c>
      <c r="D651" s="16" t="s">
        <v>1</v>
      </c>
      <c r="E651" s="16" t="s">
        <v>5827</v>
      </c>
      <c r="F651" s="16" t="s">
        <v>5828</v>
      </c>
      <c r="G651" s="16">
        <v>40</v>
      </c>
      <c r="H651" s="16">
        <v>32</v>
      </c>
      <c r="I651" s="16" t="s">
        <v>460</v>
      </c>
      <c r="J651" s="16" t="s">
        <v>5827</v>
      </c>
      <c r="K651" s="16" t="s">
        <v>540</v>
      </c>
      <c r="L651" s="16" t="s">
        <v>18</v>
      </c>
      <c r="M651" s="16">
        <v>1</v>
      </c>
      <c r="N651" s="16" t="s">
        <v>462</v>
      </c>
      <c r="O651" s="16" t="s">
        <v>606</v>
      </c>
      <c r="P651" s="16" t="s">
        <v>5829</v>
      </c>
      <c r="Q651" s="16" t="s">
        <v>1055</v>
      </c>
      <c r="R651" s="16" t="s">
        <v>1056</v>
      </c>
      <c r="S651" s="16" t="s">
        <v>5830</v>
      </c>
      <c r="T651" s="16">
        <v>173323</v>
      </c>
      <c r="U651" s="16">
        <v>46278.763194444444</v>
      </c>
      <c r="V651" s="16" t="s">
        <v>469</v>
      </c>
      <c r="W651" s="16" t="s">
        <v>651</v>
      </c>
      <c r="X651" s="16" t="s">
        <v>652</v>
      </c>
      <c r="Y651" s="16" t="s">
        <v>653</v>
      </c>
      <c r="Z651" s="16" t="s">
        <v>590</v>
      </c>
      <c r="AA651" s="16" t="s">
        <v>1059</v>
      </c>
      <c r="AB651" s="16" t="s">
        <v>2303</v>
      </c>
      <c r="AC651" s="16" t="s">
        <v>592</v>
      </c>
      <c r="AD651" s="16">
        <v>862813124</v>
      </c>
      <c r="AE651" s="16">
        <v>1851029060</v>
      </c>
      <c r="AF651" s="16"/>
      <c r="AG651" s="16">
        <v>5120253302079500</v>
      </c>
      <c r="AH651" s="16"/>
      <c r="AI651" s="16" t="s">
        <v>31</v>
      </c>
      <c r="AJ651" s="16" t="s">
        <v>481</v>
      </c>
      <c r="AK651" s="16" t="s">
        <v>5831</v>
      </c>
      <c r="AL651" s="16">
        <v>237574.01</v>
      </c>
      <c r="AM651" s="16"/>
      <c r="AN651" s="16"/>
      <c r="AO651" s="16" t="s">
        <v>5832</v>
      </c>
      <c r="AP651" s="16" t="s">
        <v>485</v>
      </c>
      <c r="AQ651" s="16" t="s">
        <v>5833</v>
      </c>
      <c r="AR651" s="3">
        <v>46279</v>
      </c>
      <c r="AS651" s="16" t="s">
        <v>31</v>
      </c>
      <c r="AT651" s="16" t="s">
        <v>516</v>
      </c>
      <c r="AU651" s="16"/>
      <c r="AV651" s="16" t="s">
        <v>5834</v>
      </c>
      <c r="AW651" s="16"/>
      <c r="AX651" s="16"/>
      <c r="AY651" s="16"/>
      <c r="AZ651" s="16"/>
      <c r="BA651" s="16"/>
      <c r="BB651" s="16" t="s">
        <v>5835</v>
      </c>
      <c r="BC651" s="16"/>
      <c r="BD651" s="16" t="s">
        <v>31</v>
      </c>
      <c r="BE651" s="16">
        <v>32</v>
      </c>
      <c r="BF651" s="16"/>
      <c r="BG651" s="16" t="s">
        <v>1067</v>
      </c>
      <c r="BH651" s="16" t="s">
        <v>658</v>
      </c>
      <c r="BI651" s="16">
        <v>603739210</v>
      </c>
      <c r="BJ651" s="16"/>
      <c r="BK651" s="16"/>
      <c r="BL651" s="16"/>
      <c r="BM651" s="16"/>
      <c r="BN651" s="16"/>
      <c r="BO651" s="16"/>
      <c r="BP651" s="16"/>
      <c r="BQ651" s="16"/>
      <c r="BR651" s="16"/>
      <c r="BS651" s="16"/>
      <c r="BT651" s="16"/>
      <c r="BU651" s="16"/>
      <c r="BV651" s="16"/>
      <c r="BW651" s="16"/>
      <c r="BX651" s="16"/>
      <c r="BY651" s="16"/>
      <c r="BZ651" s="16"/>
      <c r="CA651" s="190">
        <v>46280</v>
      </c>
      <c r="CB651" s="3"/>
      <c r="CC651" s="16"/>
      <c r="CD651" s="16"/>
      <c r="CE651" s="16"/>
      <c r="CF651" s="16"/>
      <c r="CG651" s="16"/>
      <c r="CH651" s="16"/>
      <c r="CI651" s="16" t="s">
        <v>5836</v>
      </c>
    </row>
    <row r="652" spans="1:87">
      <c r="A652" s="16"/>
      <c r="B652" s="16"/>
      <c r="C652" s="3">
        <v>46281</v>
      </c>
      <c r="D652" s="16" t="s">
        <v>1</v>
      </c>
      <c r="E652" s="16" t="s">
        <v>5837</v>
      </c>
      <c r="F652" s="16">
        <v>2026226490320</v>
      </c>
      <c r="G652" s="16">
        <v>40</v>
      </c>
      <c r="H652" s="16">
        <v>32</v>
      </c>
      <c r="I652" s="16" t="s">
        <v>460</v>
      </c>
      <c r="J652" s="16" t="s">
        <v>5837</v>
      </c>
      <c r="K652" s="16" t="s">
        <v>810</v>
      </c>
      <c r="L652" s="16" t="s">
        <v>17</v>
      </c>
      <c r="M652" s="16">
        <v>7</v>
      </c>
      <c r="N652" s="16" t="s">
        <v>462</v>
      </c>
      <c r="O652" s="16" t="s">
        <v>2575</v>
      </c>
      <c r="P652" s="16" t="s">
        <v>5838</v>
      </c>
      <c r="Q652" s="16" t="s">
        <v>465</v>
      </c>
      <c r="R652" s="16" t="s">
        <v>466</v>
      </c>
      <c r="S652" s="16" t="s">
        <v>5839</v>
      </c>
      <c r="T652" s="16" t="s">
        <v>928</v>
      </c>
      <c r="U652" s="16">
        <v>46272.841666666667</v>
      </c>
      <c r="V652" s="16" t="s">
        <v>469</v>
      </c>
      <c r="W652" s="16" t="s">
        <v>651</v>
      </c>
      <c r="X652" s="16" t="s">
        <v>652</v>
      </c>
      <c r="Y652" s="16" t="s">
        <v>653</v>
      </c>
      <c r="Z652" s="16" t="s">
        <v>544</v>
      </c>
      <c r="AA652" s="16" t="s">
        <v>474</v>
      </c>
      <c r="AB652" s="16" t="s">
        <v>929</v>
      </c>
      <c r="AC652" s="16" t="s">
        <v>546</v>
      </c>
      <c r="AD652" s="16">
        <v>581954432</v>
      </c>
      <c r="AE652" s="16">
        <v>1225050396</v>
      </c>
      <c r="AF652" s="16"/>
      <c r="AG652" s="16">
        <v>1.02202513944634E+16</v>
      </c>
      <c r="AH652" s="16"/>
      <c r="AI652" s="16" t="s">
        <v>37</v>
      </c>
      <c r="AJ652" s="16" t="s">
        <v>481</v>
      </c>
      <c r="AK652" s="16" t="s">
        <v>5840</v>
      </c>
      <c r="AL652" s="16">
        <v>23252.5</v>
      </c>
      <c r="AM652" s="16"/>
      <c r="AN652" s="16"/>
      <c r="AO652" s="16" t="s">
        <v>1133</v>
      </c>
      <c r="AP652" s="16" t="s">
        <v>485</v>
      </c>
      <c r="AQ652" s="16" t="s">
        <v>5841</v>
      </c>
      <c r="AR652" s="3">
        <v>46273</v>
      </c>
      <c r="AS652" s="16" t="s">
        <v>37</v>
      </c>
      <c r="AT652" s="16" t="s">
        <v>5842</v>
      </c>
      <c r="AU652" s="16"/>
      <c r="AV652" s="16" t="s">
        <v>554</v>
      </c>
      <c r="AW652" s="16"/>
      <c r="AX652" s="16"/>
      <c r="AY652" s="16"/>
      <c r="AZ652" s="16"/>
      <c r="BA652" s="16"/>
      <c r="BB652" s="16"/>
      <c r="BC652" s="16"/>
      <c r="BD652" s="16" t="s">
        <v>37</v>
      </c>
      <c r="BE652" s="16">
        <v>32</v>
      </c>
      <c r="BF652" s="16"/>
      <c r="BG652" s="16"/>
      <c r="BH652" s="16" t="s">
        <v>658</v>
      </c>
      <c r="BI652" s="16" t="s">
        <v>5838</v>
      </c>
      <c r="BJ652" s="16"/>
      <c r="BK652" s="16"/>
      <c r="BL652" s="16"/>
      <c r="BM652" s="16"/>
      <c r="BN652" s="16"/>
      <c r="BO652" s="16"/>
      <c r="BP652" s="16"/>
      <c r="BQ652" s="16"/>
      <c r="BR652" s="16"/>
      <c r="BS652" s="16"/>
      <c r="BT652" s="16"/>
      <c r="BU652" s="16"/>
      <c r="BV652" s="16"/>
      <c r="BW652" s="16"/>
      <c r="BX652" s="16"/>
      <c r="BY652" s="16"/>
      <c r="BZ652" s="16"/>
      <c r="CA652" s="190">
        <v>46280</v>
      </c>
      <c r="CB652" s="3"/>
      <c r="CC652" s="16"/>
      <c r="CD652" s="16"/>
      <c r="CE652" s="16"/>
      <c r="CF652" s="16"/>
      <c r="CG652" s="16"/>
      <c r="CH652" s="16"/>
      <c r="CI652" s="16" t="s">
        <v>5843</v>
      </c>
    </row>
    <row r="653" spans="1:87">
      <c r="A653" s="16"/>
      <c r="B653" s="16"/>
      <c r="C653" s="3">
        <v>46281</v>
      </c>
      <c r="D653" s="16" t="s">
        <v>1</v>
      </c>
      <c r="E653" s="16" t="s">
        <v>5844</v>
      </c>
      <c r="F653" s="16">
        <v>2026226820304</v>
      </c>
      <c r="G653" s="16">
        <v>40</v>
      </c>
      <c r="H653" s="16">
        <v>32</v>
      </c>
      <c r="I653" s="16" t="s">
        <v>460</v>
      </c>
      <c r="J653" s="16" t="s">
        <v>5844</v>
      </c>
      <c r="K653" s="16" t="s">
        <v>5271</v>
      </c>
      <c r="L653" s="16" t="s">
        <v>13</v>
      </c>
      <c r="M653" s="16">
        <v>1</v>
      </c>
      <c r="N653" s="16" t="s">
        <v>462</v>
      </c>
      <c r="O653" s="16" t="s">
        <v>497</v>
      </c>
      <c r="P653" s="16" t="s">
        <v>5845</v>
      </c>
      <c r="Q653" s="16" t="s">
        <v>564</v>
      </c>
      <c r="R653" s="16" t="s">
        <v>466</v>
      </c>
      <c r="S653" s="16" t="s">
        <v>5846</v>
      </c>
      <c r="T653" s="16" t="s">
        <v>5847</v>
      </c>
      <c r="U653" s="16">
        <v>46278.711805555555</v>
      </c>
      <c r="V653" s="16" t="s">
        <v>469</v>
      </c>
      <c r="W653" s="16" t="s">
        <v>568</v>
      </c>
      <c r="X653" s="16" t="s">
        <v>471</v>
      </c>
      <c r="Y653" s="16" t="s">
        <v>628</v>
      </c>
      <c r="Z653" s="16" t="s">
        <v>570</v>
      </c>
      <c r="AA653" s="16" t="s">
        <v>474</v>
      </c>
      <c r="AB653" s="16" t="s">
        <v>5848</v>
      </c>
      <c r="AC653" s="16" t="s">
        <v>572</v>
      </c>
      <c r="AD653" s="16">
        <v>951802779</v>
      </c>
      <c r="AE653" s="16">
        <v>1467538520</v>
      </c>
      <c r="AF653" s="16"/>
      <c r="AG653" s="16"/>
      <c r="AH653" s="16"/>
      <c r="AI653" s="16" t="s">
        <v>5274</v>
      </c>
      <c r="AJ653" s="16" t="s">
        <v>481</v>
      </c>
      <c r="AK653" s="16" t="s">
        <v>5849</v>
      </c>
      <c r="AL653" s="16">
        <v>46276</v>
      </c>
      <c r="AM653" s="16"/>
      <c r="AN653" s="16"/>
      <c r="AO653" s="16">
        <v>772</v>
      </c>
      <c r="AP653" s="16" t="s">
        <v>485</v>
      </c>
      <c r="AQ653" s="16" t="s">
        <v>5850</v>
      </c>
      <c r="AR653" s="3">
        <v>46279</v>
      </c>
      <c r="AS653" s="16" t="s">
        <v>5274</v>
      </c>
      <c r="AT653" s="16" t="s">
        <v>5851</v>
      </c>
      <c r="AU653" s="16"/>
      <c r="AV653" s="16" t="s">
        <v>5852</v>
      </c>
      <c r="AW653" s="16"/>
      <c r="AX653" s="16"/>
      <c r="AY653" s="16"/>
      <c r="AZ653" s="16"/>
      <c r="BA653" s="16"/>
      <c r="BB653" s="16"/>
      <c r="BC653" s="16"/>
      <c r="BD653" s="16" t="s">
        <v>5274</v>
      </c>
      <c r="BE653" s="16">
        <v>32</v>
      </c>
      <c r="BF653" s="16"/>
      <c r="BG653" s="16" t="s">
        <v>490</v>
      </c>
      <c r="BH653" s="16" t="s">
        <v>491</v>
      </c>
      <c r="BI653" s="16">
        <v>603806405</v>
      </c>
      <c r="BJ653" s="16"/>
      <c r="BK653" s="16"/>
      <c r="BL653" s="16"/>
      <c r="BM653" s="16"/>
      <c r="BN653" s="16"/>
      <c r="BO653" s="16"/>
      <c r="BP653" s="16"/>
      <c r="BQ653" s="16"/>
      <c r="BR653" s="16"/>
      <c r="BS653" s="16"/>
      <c r="BT653" s="16"/>
      <c r="BU653" s="16"/>
      <c r="BV653" s="16"/>
      <c r="BW653" s="16"/>
      <c r="BX653" s="16"/>
      <c r="BY653" s="16"/>
      <c r="BZ653" s="16"/>
      <c r="CA653" s="190">
        <v>46280</v>
      </c>
      <c r="CB653" s="3"/>
      <c r="CC653" s="16"/>
      <c r="CD653" s="16"/>
      <c r="CE653" s="16"/>
      <c r="CF653" s="16"/>
      <c r="CG653" s="16"/>
      <c r="CH653" s="16"/>
      <c r="CI653" s="16" t="s">
        <v>5853</v>
      </c>
    </row>
    <row r="654" spans="1:87">
      <c r="A654" s="16" t="s">
        <v>5</v>
      </c>
      <c r="B654" s="16" t="s">
        <v>4364</v>
      </c>
      <c r="C654" s="3">
        <v>46281</v>
      </c>
      <c r="D654" s="16" t="s">
        <v>1</v>
      </c>
      <c r="E654" s="16" t="s">
        <v>5854</v>
      </c>
      <c r="F654" s="16">
        <v>2026224580416</v>
      </c>
      <c r="G654" s="16">
        <v>40</v>
      </c>
      <c r="H654" s="16">
        <v>34</v>
      </c>
      <c r="I654" s="16" t="s">
        <v>460</v>
      </c>
      <c r="J654" s="16" t="s">
        <v>5854</v>
      </c>
      <c r="K654" s="16" t="s">
        <v>496</v>
      </c>
      <c r="L654" s="16" t="s">
        <v>17</v>
      </c>
      <c r="M654" s="16">
        <v>1</v>
      </c>
      <c r="N654" s="16" t="s">
        <v>462</v>
      </c>
      <c r="O654" s="16" t="s">
        <v>497</v>
      </c>
      <c r="P654" s="16" t="s">
        <v>5855</v>
      </c>
      <c r="Q654" s="16" t="s">
        <v>465</v>
      </c>
      <c r="R654" s="16" t="s">
        <v>466</v>
      </c>
      <c r="S654" s="16" t="s">
        <v>5856</v>
      </c>
      <c r="T654" s="16" t="s">
        <v>5857</v>
      </c>
      <c r="U654" s="16">
        <v>46279.612500000003</v>
      </c>
      <c r="V654" s="16" t="s">
        <v>469</v>
      </c>
      <c r="W654" s="16" t="s">
        <v>470</v>
      </c>
      <c r="X654" s="16" t="s">
        <v>471</v>
      </c>
      <c r="Y654" s="16" t="s">
        <v>628</v>
      </c>
      <c r="Z654" s="16" t="s">
        <v>665</v>
      </c>
      <c r="AA654" s="16" t="s">
        <v>474</v>
      </c>
      <c r="AB654" s="16" t="s">
        <v>5858</v>
      </c>
      <c r="AC654" s="16" t="s">
        <v>640</v>
      </c>
      <c r="AD654" s="16">
        <v>141338547</v>
      </c>
      <c r="AE654" s="16">
        <v>1073569331</v>
      </c>
      <c r="AF654" s="16"/>
      <c r="AG654" s="16"/>
      <c r="AH654" s="16"/>
      <c r="AI654" s="16" t="s">
        <v>91</v>
      </c>
      <c r="AJ654" s="16" t="s">
        <v>481</v>
      </c>
      <c r="AK654" s="16" t="s">
        <v>5859</v>
      </c>
      <c r="AL654" s="16">
        <v>50278.16</v>
      </c>
      <c r="AM654" s="16"/>
      <c r="AN654" s="16"/>
      <c r="AO654" s="16">
        <v>529</v>
      </c>
      <c r="AP654" s="16" t="s">
        <v>485</v>
      </c>
      <c r="AQ654" s="16" t="s">
        <v>5860</v>
      </c>
      <c r="AR654" s="3">
        <v>46279</v>
      </c>
      <c r="AS654" s="16" t="s">
        <v>91</v>
      </c>
      <c r="AT654" s="16" t="s">
        <v>4364</v>
      </c>
      <c r="AU654" s="16"/>
      <c r="AV654" s="16" t="s">
        <v>5861</v>
      </c>
      <c r="AW654" s="16"/>
      <c r="AX654" s="16"/>
      <c r="AY654" s="16"/>
      <c r="AZ654" s="16"/>
      <c r="BA654" s="16"/>
      <c r="BB654" s="16"/>
      <c r="BC654" s="16"/>
      <c r="BD654" s="16" t="s">
        <v>91</v>
      </c>
      <c r="BE654" s="16">
        <v>32</v>
      </c>
      <c r="BF654" s="16"/>
      <c r="BG654" s="16"/>
      <c r="BH654" s="16" t="s">
        <v>491</v>
      </c>
      <c r="BI654" s="16">
        <v>59628098</v>
      </c>
      <c r="BJ654" s="16"/>
      <c r="BK654" s="16"/>
      <c r="BL654" s="16"/>
      <c r="BM654" s="16"/>
      <c r="BN654" s="16"/>
      <c r="BO654" s="16"/>
      <c r="BP654" s="16"/>
      <c r="BQ654" s="16"/>
      <c r="BR654" s="16"/>
      <c r="BS654" s="16"/>
      <c r="BT654" s="16"/>
      <c r="BU654" s="16"/>
      <c r="BV654" s="16"/>
      <c r="BW654" s="16"/>
      <c r="BX654" s="16"/>
      <c r="BY654" s="16"/>
      <c r="BZ654" s="16"/>
      <c r="CA654" s="190">
        <v>46281.666666666701</v>
      </c>
      <c r="CB654" s="3"/>
      <c r="CC654" s="16"/>
      <c r="CD654" s="16"/>
      <c r="CE654" s="16"/>
      <c r="CF654" s="16"/>
      <c r="CG654" s="16"/>
      <c r="CH654" s="16"/>
      <c r="CI654" s="16" t="s">
        <v>5862</v>
      </c>
    </row>
    <row r="655" spans="1:87" ht="29.25">
      <c r="A655" s="16" t="s">
        <v>5</v>
      </c>
      <c r="B655" s="25" t="s">
        <v>3493</v>
      </c>
      <c r="C655" s="3">
        <v>46281</v>
      </c>
      <c r="D655" s="16" t="s">
        <v>1</v>
      </c>
      <c r="E655" s="16" t="s">
        <v>5863</v>
      </c>
      <c r="F655" s="16">
        <v>2026225350059</v>
      </c>
      <c r="G655" s="16">
        <v>40</v>
      </c>
      <c r="H655" s="16">
        <v>34</v>
      </c>
      <c r="I655" s="16" t="s">
        <v>460</v>
      </c>
      <c r="J655" s="16" t="s">
        <v>5863</v>
      </c>
      <c r="K655" s="16" t="s">
        <v>461</v>
      </c>
      <c r="L655" s="16" t="s">
        <v>17</v>
      </c>
      <c r="M655" s="16">
        <v>11</v>
      </c>
      <c r="N655" s="16" t="s">
        <v>462</v>
      </c>
      <c r="O655" s="16" t="s">
        <v>606</v>
      </c>
      <c r="P655" s="16" t="s">
        <v>5864</v>
      </c>
      <c r="Q655" s="16" t="s">
        <v>465</v>
      </c>
      <c r="R655" s="16" t="s">
        <v>466</v>
      </c>
      <c r="S655" s="16" t="s">
        <v>5865</v>
      </c>
      <c r="T655" s="16">
        <v>174208</v>
      </c>
      <c r="U655" s="16">
        <v>46268.726388888892</v>
      </c>
      <c r="V655" s="16" t="s">
        <v>469</v>
      </c>
      <c r="W655" s="16" t="s">
        <v>568</v>
      </c>
      <c r="X655" s="16" t="s">
        <v>471</v>
      </c>
      <c r="Y655" s="16" t="s">
        <v>3173</v>
      </c>
      <c r="Z655" s="16" t="s">
        <v>590</v>
      </c>
      <c r="AA655" s="16" t="s">
        <v>474</v>
      </c>
      <c r="AB655" s="16" t="s">
        <v>3887</v>
      </c>
      <c r="AC655" s="16" t="s">
        <v>5866</v>
      </c>
      <c r="AD655" s="16">
        <v>363907436</v>
      </c>
      <c r="AE655" s="16">
        <v>1043242886</v>
      </c>
      <c r="AF655" s="16">
        <v>1578042982</v>
      </c>
      <c r="AG655" s="16"/>
      <c r="AH655" s="16"/>
      <c r="AI655" s="16" t="s">
        <v>67</v>
      </c>
      <c r="AJ655" s="16" t="s">
        <v>481</v>
      </c>
      <c r="AK655" s="16" t="s">
        <v>5867</v>
      </c>
      <c r="AL655" s="16">
        <v>5542.92</v>
      </c>
      <c r="AM655" s="16"/>
      <c r="AN655" s="16"/>
      <c r="AO655" s="16">
        <v>391</v>
      </c>
      <c r="AP655" s="16" t="s">
        <v>485</v>
      </c>
      <c r="AQ655" s="16" t="s">
        <v>5868</v>
      </c>
      <c r="AR655" s="3">
        <v>46269</v>
      </c>
      <c r="AS655" s="16" t="s">
        <v>67</v>
      </c>
      <c r="AT655" s="16" t="s">
        <v>487</v>
      </c>
      <c r="AU655" s="16"/>
      <c r="AV655" s="16" t="s">
        <v>5869</v>
      </c>
      <c r="AW655" s="16"/>
      <c r="AX655" s="16"/>
      <c r="AY655" s="16"/>
      <c r="AZ655" s="16"/>
      <c r="BA655" s="16"/>
      <c r="BB655" s="16"/>
      <c r="BC655" s="16"/>
      <c r="BD655" s="16" t="s">
        <v>67</v>
      </c>
      <c r="BE655" s="16">
        <v>33</v>
      </c>
      <c r="BF655" s="16"/>
      <c r="BG655" s="16"/>
      <c r="BH655" s="16" t="s">
        <v>491</v>
      </c>
      <c r="BI655" s="16">
        <v>338620498</v>
      </c>
      <c r="BJ655" s="16"/>
      <c r="BK655" s="16"/>
      <c r="BL655" s="16"/>
      <c r="BM655" s="16"/>
      <c r="BN655" s="16"/>
      <c r="BO655" s="16"/>
      <c r="BP655" s="16"/>
      <c r="BQ655" s="16"/>
      <c r="BR655" s="16"/>
      <c r="BS655" s="16"/>
      <c r="BT655" s="16"/>
      <c r="BU655" s="16"/>
      <c r="BV655" s="16"/>
      <c r="BW655" s="16"/>
      <c r="BX655" s="16"/>
      <c r="BY655" s="16"/>
      <c r="BZ655" s="16"/>
      <c r="CA655" s="190">
        <v>46282.166666666701</v>
      </c>
      <c r="CB655" s="3"/>
      <c r="CC655" s="16"/>
      <c r="CD655" s="16"/>
      <c r="CE655" s="16"/>
      <c r="CF655" s="16"/>
      <c r="CG655" s="16"/>
      <c r="CH655" s="16"/>
      <c r="CI655" s="16" t="s">
        <v>5870</v>
      </c>
    </row>
    <row r="656" spans="1:87">
      <c r="A656" s="16" t="s">
        <v>4</v>
      </c>
      <c r="B656" s="16" t="s">
        <v>4</v>
      </c>
      <c r="C656" s="3">
        <v>46281</v>
      </c>
      <c r="D656" s="16" t="s">
        <v>1</v>
      </c>
      <c r="E656" s="16" t="s">
        <v>5871</v>
      </c>
      <c r="F656" s="16">
        <v>2026228230077</v>
      </c>
      <c r="G656" s="16">
        <v>40</v>
      </c>
      <c r="H656" s="16">
        <v>32</v>
      </c>
      <c r="I656" s="16" t="s">
        <v>460</v>
      </c>
      <c r="J656" s="16" t="s">
        <v>5871</v>
      </c>
      <c r="K656" s="16" t="s">
        <v>518</v>
      </c>
      <c r="L656" s="16" t="s">
        <v>17</v>
      </c>
      <c r="M656" s="16">
        <v>5</v>
      </c>
      <c r="N656" s="16" t="s">
        <v>462</v>
      </c>
      <c r="O656" s="16" t="s">
        <v>497</v>
      </c>
      <c r="P656" s="16" t="s">
        <v>5872</v>
      </c>
      <c r="Q656" s="16" t="s">
        <v>465</v>
      </c>
      <c r="R656" s="16" t="s">
        <v>466</v>
      </c>
      <c r="S656" s="16" t="s">
        <v>5873</v>
      </c>
      <c r="T656" s="16" t="s">
        <v>5874</v>
      </c>
      <c r="U656" s="16">
        <v>46275.629166666666</v>
      </c>
      <c r="V656" s="16" t="s">
        <v>469</v>
      </c>
      <c r="W656" s="16" t="s">
        <v>568</v>
      </c>
      <c r="X656" s="16" t="s">
        <v>471</v>
      </c>
      <c r="Y656" s="16" t="s">
        <v>628</v>
      </c>
      <c r="Z656" s="16" t="s">
        <v>638</v>
      </c>
      <c r="AA656" s="16" t="s">
        <v>474</v>
      </c>
      <c r="AB656" s="16" t="s">
        <v>5875</v>
      </c>
      <c r="AC656" s="16" t="s">
        <v>465</v>
      </c>
      <c r="AD656" s="16">
        <v>351955872</v>
      </c>
      <c r="AE656" s="16">
        <v>1144266024</v>
      </c>
      <c r="AF656" s="16"/>
      <c r="AG656" s="16"/>
      <c r="AH656" s="16"/>
      <c r="AI656" s="16" t="s">
        <v>87</v>
      </c>
      <c r="AJ656" s="16" t="s">
        <v>481</v>
      </c>
      <c r="AK656" s="16" t="s">
        <v>5876</v>
      </c>
      <c r="AL656" s="16">
        <v>64395.26</v>
      </c>
      <c r="AM656" s="16"/>
      <c r="AN656" s="16"/>
      <c r="AO656" s="16" t="s">
        <v>1829</v>
      </c>
      <c r="AP656" s="16" t="s">
        <v>485</v>
      </c>
      <c r="AQ656" s="16" t="s">
        <v>5877</v>
      </c>
      <c r="AR656" s="3">
        <v>46275</v>
      </c>
      <c r="AS656" s="16" t="s">
        <v>87</v>
      </c>
      <c r="AT656" s="16" t="s">
        <v>4364</v>
      </c>
      <c r="AU656" s="16"/>
      <c r="AV656" s="16" t="s">
        <v>4592</v>
      </c>
      <c r="AW656" s="16"/>
      <c r="AX656" s="16"/>
      <c r="AY656" s="16"/>
      <c r="AZ656" s="16"/>
      <c r="BA656" s="16"/>
      <c r="BB656" s="16"/>
      <c r="BC656" s="16"/>
      <c r="BD656" s="16" t="s">
        <v>87</v>
      </c>
      <c r="BE656" s="16">
        <v>30</v>
      </c>
      <c r="BF656" s="16"/>
      <c r="BG656" s="16"/>
      <c r="BH656" s="16" t="s">
        <v>491</v>
      </c>
      <c r="BI656" s="16">
        <v>317827216</v>
      </c>
      <c r="BJ656" s="16"/>
      <c r="BK656" s="16"/>
      <c r="BL656" s="16"/>
      <c r="BM656" s="16"/>
      <c r="BN656" s="16"/>
      <c r="BO656" s="16"/>
      <c r="BP656" s="16"/>
      <c r="BQ656" s="16"/>
      <c r="BR656" s="16"/>
      <c r="BS656" s="16"/>
      <c r="BT656" s="16"/>
      <c r="BU656" s="16"/>
      <c r="BV656" s="16"/>
      <c r="BW656" s="16"/>
      <c r="BX656" s="16"/>
      <c r="BY656" s="16"/>
      <c r="BZ656" s="16"/>
      <c r="CA656" s="190">
        <v>46285.666666666701</v>
      </c>
      <c r="CB656" s="3"/>
      <c r="CC656" s="16"/>
      <c r="CD656" s="16"/>
      <c r="CE656" s="16"/>
      <c r="CF656" s="16"/>
      <c r="CG656" s="16"/>
      <c r="CH656" s="16"/>
      <c r="CI656" s="193" t="s">
        <v>5878</v>
      </c>
    </row>
    <row r="657" spans="1:87">
      <c r="A657" s="16"/>
      <c r="B657" s="16"/>
      <c r="C657" s="3">
        <v>46281</v>
      </c>
      <c r="D657" s="16" t="s">
        <v>1</v>
      </c>
      <c r="E657" s="16" t="s">
        <v>5879</v>
      </c>
      <c r="F657" s="16">
        <v>2026226500024</v>
      </c>
      <c r="G657" s="16">
        <v>40</v>
      </c>
      <c r="H657" s="16">
        <v>32</v>
      </c>
      <c r="I657" s="16" t="s">
        <v>460</v>
      </c>
      <c r="J657" s="16" t="s">
        <v>5879</v>
      </c>
      <c r="K657" s="16" t="s">
        <v>3416</v>
      </c>
      <c r="L657" s="16" t="s">
        <v>1760</v>
      </c>
      <c r="M657" s="16">
        <v>1</v>
      </c>
      <c r="N657" s="16" t="s">
        <v>462</v>
      </c>
      <c r="O657" s="16" t="s">
        <v>497</v>
      </c>
      <c r="P657" s="16" t="s">
        <v>5880</v>
      </c>
      <c r="Q657" s="16" t="s">
        <v>465</v>
      </c>
      <c r="R657" s="16" t="s">
        <v>466</v>
      </c>
      <c r="S657" s="16" t="s">
        <v>5881</v>
      </c>
      <c r="T657" s="16" t="s">
        <v>5882</v>
      </c>
      <c r="U657" s="16">
        <v>46278.849305555559</v>
      </c>
      <c r="V657" s="16" t="s">
        <v>469</v>
      </c>
      <c r="W657" s="16" t="s">
        <v>568</v>
      </c>
      <c r="X657" s="16" t="s">
        <v>471</v>
      </c>
      <c r="Y657" s="16" t="s">
        <v>628</v>
      </c>
      <c r="Z657" s="16" t="s">
        <v>524</v>
      </c>
      <c r="AA657" s="16" t="s">
        <v>474</v>
      </c>
      <c r="AB657" s="16" t="s">
        <v>5883</v>
      </c>
      <c r="AC657" s="16" t="s">
        <v>526</v>
      </c>
      <c r="AD657" s="16">
        <v>311322863</v>
      </c>
      <c r="AE657" s="16">
        <v>1124127683</v>
      </c>
      <c r="AF657" s="16"/>
      <c r="AG657" s="16"/>
      <c r="AH657" s="16"/>
      <c r="AI657" s="16" t="s">
        <v>3421</v>
      </c>
      <c r="AJ657" s="16" t="s">
        <v>481</v>
      </c>
      <c r="AK657" s="16" t="s">
        <v>5884</v>
      </c>
      <c r="AL657" s="16">
        <v>1162</v>
      </c>
      <c r="AM657" s="16"/>
      <c r="AN657" s="16"/>
      <c r="AO657" s="16">
        <v>240</v>
      </c>
      <c r="AP657" s="16" t="s">
        <v>485</v>
      </c>
      <c r="AQ657" s="16" t="s">
        <v>5885</v>
      </c>
      <c r="AR657" s="3">
        <v>46279</v>
      </c>
      <c r="AS657" s="16" t="s">
        <v>3421</v>
      </c>
      <c r="AT657" s="16" t="s">
        <v>3424</v>
      </c>
      <c r="AU657" s="16"/>
      <c r="AV657" s="16" t="s">
        <v>5886</v>
      </c>
      <c r="AW657" s="16"/>
      <c r="AX657" s="16"/>
      <c r="AY657" s="16"/>
      <c r="AZ657" s="16"/>
      <c r="BA657" s="16"/>
      <c r="BB657" s="16"/>
      <c r="BC657" s="16"/>
      <c r="BD657" s="16" t="s">
        <v>3421</v>
      </c>
      <c r="BE657" s="16">
        <v>32</v>
      </c>
      <c r="BF657" s="16"/>
      <c r="BG657" s="16" t="s">
        <v>490</v>
      </c>
      <c r="BH657" s="16" t="s">
        <v>491</v>
      </c>
      <c r="BI657" s="16">
        <v>822581558</v>
      </c>
      <c r="BJ657" s="16"/>
      <c r="BK657" s="16"/>
      <c r="BL657" s="16"/>
      <c r="BM657" s="16"/>
      <c r="BN657" s="16"/>
      <c r="BO657" s="16"/>
      <c r="BP657" s="16"/>
      <c r="BQ657" s="16"/>
      <c r="BR657" s="16"/>
      <c r="BS657" s="16"/>
      <c r="BT657" s="16"/>
      <c r="BU657" s="16"/>
      <c r="BV657" s="16"/>
      <c r="BW657" s="16"/>
      <c r="BX657" s="16"/>
      <c r="BY657" s="16"/>
      <c r="BZ657" s="16"/>
      <c r="CA657" s="190">
        <v>46280</v>
      </c>
      <c r="CB657" s="3"/>
      <c r="CC657" s="16"/>
      <c r="CD657" s="16"/>
      <c r="CE657" s="16"/>
      <c r="CF657" s="16"/>
      <c r="CG657" s="16"/>
      <c r="CH657" s="16"/>
      <c r="CI657" s="16" t="s">
        <v>5887</v>
      </c>
    </row>
    <row r="658" spans="1:87">
      <c r="A658" s="16" t="s">
        <v>5</v>
      </c>
      <c r="B658" s="16" t="s">
        <v>5888</v>
      </c>
      <c r="C658" s="3">
        <v>46281</v>
      </c>
      <c r="D658" s="16" t="s">
        <v>1</v>
      </c>
      <c r="E658" s="16" t="s">
        <v>5889</v>
      </c>
      <c r="F658" s="16">
        <v>2026226420260</v>
      </c>
      <c r="G658" s="16">
        <v>40</v>
      </c>
      <c r="H658" s="16">
        <v>32</v>
      </c>
      <c r="I658" s="16" t="s">
        <v>460</v>
      </c>
      <c r="J658" s="16" t="s">
        <v>5889</v>
      </c>
      <c r="K658" s="16" t="s">
        <v>1201</v>
      </c>
      <c r="L658" s="16" t="s">
        <v>17</v>
      </c>
      <c r="M658" s="16">
        <v>7</v>
      </c>
      <c r="N658" s="16" t="s">
        <v>462</v>
      </c>
      <c r="O658" s="16" t="s">
        <v>606</v>
      </c>
      <c r="P658" s="16" t="s">
        <v>1390</v>
      </c>
      <c r="Q658" s="16" t="s">
        <v>465</v>
      </c>
      <c r="R658" s="16" t="s">
        <v>466</v>
      </c>
      <c r="S658" s="16" t="s">
        <v>5890</v>
      </c>
      <c r="T658" s="16" t="s">
        <v>1392</v>
      </c>
      <c r="U658" s="16">
        <v>46272.93472222222</v>
      </c>
      <c r="V658" s="16" t="s">
        <v>469</v>
      </c>
      <c r="W658" s="16" t="s">
        <v>470</v>
      </c>
      <c r="X658" s="16" t="s">
        <v>471</v>
      </c>
      <c r="Y658" s="16" t="s">
        <v>628</v>
      </c>
      <c r="Z658" s="16" t="s">
        <v>473</v>
      </c>
      <c r="AA658" s="16" t="s">
        <v>474</v>
      </c>
      <c r="AB658" s="16" t="s">
        <v>1393</v>
      </c>
      <c r="AC658" s="16" t="s">
        <v>476</v>
      </c>
      <c r="AD658" s="16">
        <v>390806261</v>
      </c>
      <c r="AE658" s="16">
        <v>1699720086</v>
      </c>
      <c r="AF658" s="16">
        <v>1558647677</v>
      </c>
      <c r="AG658" s="16"/>
      <c r="AH658" s="16"/>
      <c r="AI658" s="16" t="s">
        <v>150</v>
      </c>
      <c r="AJ658" s="16" t="s">
        <v>481</v>
      </c>
      <c r="AK658" s="16" t="s">
        <v>5891</v>
      </c>
      <c r="AL658" s="16">
        <v>11418</v>
      </c>
      <c r="AM658" s="16"/>
      <c r="AN658" s="16"/>
      <c r="AO658" s="16">
        <v>575</v>
      </c>
      <c r="AP658" s="16" t="s">
        <v>485</v>
      </c>
      <c r="AQ658" s="16" t="s">
        <v>5892</v>
      </c>
      <c r="AR658" s="3">
        <v>46273</v>
      </c>
      <c r="AS658" s="16" t="s">
        <v>150</v>
      </c>
      <c r="AT658" s="16" t="s">
        <v>5893</v>
      </c>
      <c r="AU658" s="16"/>
      <c r="AV658" s="16" t="s">
        <v>5894</v>
      </c>
      <c r="AW658" s="16"/>
      <c r="AX658" s="16"/>
      <c r="AY658" s="16"/>
      <c r="AZ658" s="16"/>
      <c r="BA658" s="16"/>
      <c r="BB658" s="16"/>
      <c r="BC658" s="16"/>
      <c r="BD658" s="16" t="s">
        <v>150</v>
      </c>
      <c r="BE658" s="16">
        <v>32</v>
      </c>
      <c r="BF658" s="16"/>
      <c r="BG658" s="16"/>
      <c r="BH658" s="16" t="s">
        <v>491</v>
      </c>
      <c r="BI658" s="16">
        <v>381441512</v>
      </c>
      <c r="BJ658" s="16"/>
      <c r="BK658" s="16"/>
      <c r="BL658" s="16"/>
      <c r="BM658" s="16"/>
      <c r="BN658" s="16"/>
      <c r="BO658" s="16"/>
      <c r="BP658" s="16"/>
      <c r="BQ658" s="16"/>
      <c r="BR658" s="16"/>
      <c r="BS658" s="16"/>
      <c r="BT658" s="16"/>
      <c r="BU658" s="16"/>
      <c r="BV658" s="16"/>
      <c r="BW658" s="16"/>
      <c r="BX658" s="16"/>
      <c r="BY658" s="16"/>
      <c r="BZ658" s="16"/>
      <c r="CA658" s="190">
        <v>46285.166666666701</v>
      </c>
      <c r="CB658" s="3"/>
      <c r="CC658" s="16"/>
      <c r="CD658" s="16"/>
      <c r="CE658" s="16"/>
      <c r="CF658" s="16"/>
      <c r="CG658" s="16"/>
      <c r="CH658" s="16"/>
      <c r="CI658" s="16" t="s">
        <v>5895</v>
      </c>
    </row>
    <row r="659" spans="1:87">
      <c r="A659" s="16"/>
      <c r="B659" s="16"/>
      <c r="C659" s="3">
        <v>46281</v>
      </c>
      <c r="D659" s="16" t="s">
        <v>1</v>
      </c>
      <c r="E659" s="16" t="s">
        <v>5896</v>
      </c>
      <c r="F659" s="16"/>
      <c r="G659" s="16">
        <v>40</v>
      </c>
      <c r="H659" s="16">
        <v>32</v>
      </c>
      <c r="I659" s="16" t="s">
        <v>460</v>
      </c>
      <c r="J659" s="16" t="s">
        <v>5896</v>
      </c>
      <c r="K659" s="16" t="s">
        <v>1083</v>
      </c>
      <c r="L659" s="16" t="s">
        <v>17</v>
      </c>
      <c r="M659" s="16">
        <v>7</v>
      </c>
      <c r="N659" s="16" t="s">
        <v>462</v>
      </c>
      <c r="O659" s="16" t="s">
        <v>606</v>
      </c>
      <c r="P659" s="16" t="s">
        <v>5897</v>
      </c>
      <c r="Q659" s="16" t="s">
        <v>5898</v>
      </c>
      <c r="R659" s="16" t="s">
        <v>1056</v>
      </c>
      <c r="S659" s="16" t="s">
        <v>5899</v>
      </c>
      <c r="T659" s="16">
        <v>332625</v>
      </c>
      <c r="U659" s="16">
        <v>46272.822916666664</v>
      </c>
      <c r="V659" s="16" t="s">
        <v>469</v>
      </c>
      <c r="W659" s="16" t="s">
        <v>568</v>
      </c>
      <c r="X659" s="16" t="s">
        <v>471</v>
      </c>
      <c r="Y659" s="16" t="s">
        <v>628</v>
      </c>
      <c r="Z659" s="16" t="s">
        <v>1338</v>
      </c>
      <c r="AA659" s="16" t="s">
        <v>1354</v>
      </c>
      <c r="AB659" s="16" t="s">
        <v>5900</v>
      </c>
      <c r="AC659" s="16" t="s">
        <v>1429</v>
      </c>
      <c r="AD659" s="16">
        <v>60250773</v>
      </c>
      <c r="AE659" s="16">
        <v>1639135718</v>
      </c>
      <c r="AF659" s="16"/>
      <c r="AG659" s="16"/>
      <c r="AH659" s="16"/>
      <c r="AI659" s="16" t="s">
        <v>48</v>
      </c>
      <c r="AJ659" s="16" t="s">
        <v>481</v>
      </c>
      <c r="AK659" s="16" t="s">
        <v>5901</v>
      </c>
      <c r="AL659" s="16">
        <v>30710.44</v>
      </c>
      <c r="AM659" s="16"/>
      <c r="AN659" s="16"/>
      <c r="AO659" s="16" t="s">
        <v>3832</v>
      </c>
      <c r="AP659" s="16" t="s">
        <v>1063</v>
      </c>
      <c r="AQ659" s="16" t="s">
        <v>5902</v>
      </c>
      <c r="AR659" s="3">
        <v>46273</v>
      </c>
      <c r="AS659" s="16" t="s">
        <v>48</v>
      </c>
      <c r="AT659" s="16" t="s">
        <v>516</v>
      </c>
      <c r="AU659" s="16"/>
      <c r="AV659" s="16" t="s">
        <v>5903</v>
      </c>
      <c r="AW659" s="16"/>
      <c r="AX659" s="16"/>
      <c r="AY659" s="16"/>
      <c r="AZ659" s="16"/>
      <c r="BA659" s="16"/>
      <c r="BB659" s="16"/>
      <c r="BC659" s="16"/>
      <c r="BD659" s="16" t="s">
        <v>48</v>
      </c>
      <c r="BE659" s="16">
        <v>32</v>
      </c>
      <c r="BF659" s="16"/>
      <c r="BG659" s="16" t="s">
        <v>490</v>
      </c>
      <c r="BH659" s="16" t="s">
        <v>491</v>
      </c>
      <c r="BI659" s="16">
        <v>584595406</v>
      </c>
      <c r="BJ659" s="16"/>
      <c r="BK659" s="16"/>
      <c r="BL659" s="16"/>
      <c r="BM659" s="16"/>
      <c r="BN659" s="16"/>
      <c r="BO659" s="16"/>
      <c r="BP659" s="16"/>
      <c r="BQ659" s="16"/>
      <c r="BR659" s="16"/>
      <c r="BS659" s="16"/>
      <c r="BT659" s="16"/>
      <c r="BU659" s="16"/>
      <c r="BV659" s="16"/>
      <c r="BW659" s="16"/>
      <c r="BX659" s="16"/>
      <c r="BY659" s="16"/>
      <c r="BZ659" s="16"/>
      <c r="CA659" s="190">
        <v>46280</v>
      </c>
      <c r="CB659" s="3"/>
      <c r="CC659" s="16"/>
      <c r="CD659" s="16"/>
      <c r="CE659" s="16"/>
      <c r="CF659" s="16"/>
      <c r="CG659" s="16"/>
      <c r="CH659" s="16"/>
      <c r="CI659" s="16" t="s">
        <v>5904</v>
      </c>
    </row>
    <row r="660" spans="1:87">
      <c r="A660" s="16"/>
      <c r="B660" s="16"/>
      <c r="C660" s="3">
        <v>46281</v>
      </c>
      <c r="D660" s="16" t="s">
        <v>1</v>
      </c>
      <c r="E660" s="16" t="s">
        <v>5905</v>
      </c>
      <c r="F660" s="16"/>
      <c r="G660" s="16">
        <v>40</v>
      </c>
      <c r="H660" s="16">
        <v>35</v>
      </c>
      <c r="I660" s="16" t="s">
        <v>460</v>
      </c>
      <c r="J660" s="16" t="s">
        <v>5905</v>
      </c>
      <c r="K660" s="16" t="s">
        <v>3416</v>
      </c>
      <c r="L660" s="16" t="s">
        <v>1760</v>
      </c>
      <c r="M660" s="16">
        <v>1</v>
      </c>
      <c r="N660" s="16" t="s">
        <v>462</v>
      </c>
      <c r="O660" s="16" t="s">
        <v>606</v>
      </c>
      <c r="P660" s="16" t="s">
        <v>5906</v>
      </c>
      <c r="Q660" s="16" t="s">
        <v>465</v>
      </c>
      <c r="R660" s="16" t="s">
        <v>466</v>
      </c>
      <c r="S660" s="16" t="s">
        <v>5907</v>
      </c>
      <c r="T660" s="16" t="s">
        <v>465</v>
      </c>
      <c r="U660" s="16">
        <v>46278.847916666666</v>
      </c>
      <c r="V660" s="16" t="s">
        <v>469</v>
      </c>
      <c r="W660" s="16" t="s">
        <v>470</v>
      </c>
      <c r="X660" s="16" t="s">
        <v>471</v>
      </c>
      <c r="Y660" s="16" t="s">
        <v>472</v>
      </c>
      <c r="Z660" s="16" t="s">
        <v>1338</v>
      </c>
      <c r="AA660" s="16" t="s">
        <v>474</v>
      </c>
      <c r="AB660" s="16" t="s">
        <v>5908</v>
      </c>
      <c r="AC660" s="16" t="s">
        <v>1429</v>
      </c>
      <c r="AD660" s="16">
        <v>61361649</v>
      </c>
      <c r="AE660" s="16">
        <v>1558326991</v>
      </c>
      <c r="AF660" s="16"/>
      <c r="AG660" s="16"/>
      <c r="AH660" s="16"/>
      <c r="AI660" s="16" t="s">
        <v>3421</v>
      </c>
      <c r="AJ660" s="16" t="s">
        <v>481</v>
      </c>
      <c r="AK660" s="16" t="s">
        <v>5909</v>
      </c>
      <c r="AL660" s="16">
        <v>374</v>
      </c>
      <c r="AM660" s="16"/>
      <c r="AN660" s="16"/>
      <c r="AO660" s="16">
        <v>738</v>
      </c>
      <c r="AP660" s="16" t="s">
        <v>485</v>
      </c>
      <c r="AQ660" s="16" t="s">
        <v>5910</v>
      </c>
      <c r="AR660" s="3">
        <v>46279</v>
      </c>
      <c r="AS660" s="16" t="s">
        <v>3421</v>
      </c>
      <c r="AT660" s="16" t="s">
        <v>516</v>
      </c>
      <c r="AU660" s="16"/>
      <c r="AV660" s="16"/>
      <c r="AW660" s="16"/>
      <c r="AX660" s="16"/>
      <c r="AY660" s="16"/>
      <c r="AZ660" s="16"/>
      <c r="BA660" s="16"/>
      <c r="BB660" s="16"/>
      <c r="BC660" s="16"/>
      <c r="BD660" s="16" t="s">
        <v>3421</v>
      </c>
      <c r="BE660" s="16">
        <v>35</v>
      </c>
      <c r="BF660" s="16"/>
      <c r="BG660" s="16" t="s">
        <v>490</v>
      </c>
      <c r="BH660" s="16" t="s">
        <v>491</v>
      </c>
      <c r="BI660" s="16">
        <v>816929531</v>
      </c>
      <c r="BJ660" s="16"/>
      <c r="BK660" s="16"/>
      <c r="BL660" s="16"/>
      <c r="BM660" s="16"/>
      <c r="BN660" s="16"/>
      <c r="BO660" s="16"/>
      <c r="BP660" s="16"/>
      <c r="BQ660" s="16"/>
      <c r="BR660" s="16"/>
      <c r="BS660" s="16"/>
      <c r="BT660" s="16"/>
      <c r="BU660" s="16"/>
      <c r="BV660" s="16"/>
      <c r="BW660" s="16"/>
      <c r="BX660" s="16"/>
      <c r="BY660" s="16"/>
      <c r="BZ660" s="16"/>
      <c r="CA660" s="190">
        <v>46280</v>
      </c>
      <c r="CB660" s="3"/>
      <c r="CC660" s="16"/>
      <c r="CD660" s="16"/>
      <c r="CE660" s="16"/>
      <c r="CF660" s="16"/>
      <c r="CG660" s="16"/>
      <c r="CH660" s="16"/>
      <c r="CI660" s="16" t="s">
        <v>5911</v>
      </c>
    </row>
    <row r="661" spans="1:87">
      <c r="A661" s="16"/>
      <c r="B661" s="16"/>
      <c r="C661" s="3">
        <v>46281</v>
      </c>
      <c r="D661" s="16" t="s">
        <v>1</v>
      </c>
      <c r="E661" s="16" t="s">
        <v>5912</v>
      </c>
      <c r="F661" s="16">
        <v>2026227250001</v>
      </c>
      <c r="G661" s="16">
        <v>40</v>
      </c>
      <c r="H661" s="16">
        <v>31</v>
      </c>
      <c r="I661" s="16" t="s">
        <v>460</v>
      </c>
      <c r="J661" s="16" t="s">
        <v>5912</v>
      </c>
      <c r="K661" s="16" t="s">
        <v>854</v>
      </c>
      <c r="L661" s="16" t="s">
        <v>18</v>
      </c>
      <c r="M661" s="16">
        <v>7</v>
      </c>
      <c r="N661" s="16" t="s">
        <v>462</v>
      </c>
      <c r="O661" s="16" t="s">
        <v>606</v>
      </c>
      <c r="P661" s="16">
        <v>852618470</v>
      </c>
      <c r="Q661" s="16" t="s">
        <v>465</v>
      </c>
      <c r="R661" s="16" t="s">
        <v>466</v>
      </c>
      <c r="S661" s="16" t="s">
        <v>5913</v>
      </c>
      <c r="T661" s="16" t="s">
        <v>664</v>
      </c>
      <c r="U661" s="16">
        <v>46273.354166666664</v>
      </c>
      <c r="V661" s="16" t="s">
        <v>469</v>
      </c>
      <c r="W661" s="16" t="s">
        <v>651</v>
      </c>
      <c r="X661" s="16" t="s">
        <v>652</v>
      </c>
      <c r="Y661" s="16" t="s">
        <v>653</v>
      </c>
      <c r="Z661" s="16" t="s">
        <v>665</v>
      </c>
      <c r="AA661" s="16" t="s">
        <v>474</v>
      </c>
      <c r="AB661" s="16" t="s">
        <v>666</v>
      </c>
      <c r="AC661" s="16" t="s">
        <v>640</v>
      </c>
      <c r="AD661" s="16">
        <v>135598093</v>
      </c>
      <c r="AE661" s="16">
        <v>1508266347</v>
      </c>
      <c r="AF661" s="16">
        <v>1437569290</v>
      </c>
      <c r="AG661" s="16">
        <v>2.54202534936326E+16</v>
      </c>
      <c r="AH661" s="16"/>
      <c r="AI661" s="16" t="s">
        <v>21</v>
      </c>
      <c r="AJ661" s="16" t="s">
        <v>481</v>
      </c>
      <c r="AK661" s="16" t="s">
        <v>5914</v>
      </c>
      <c r="AL661" s="16">
        <v>86495</v>
      </c>
      <c r="AM661" s="16"/>
      <c r="AN661" s="16"/>
      <c r="AO661" s="16">
        <v>852</v>
      </c>
      <c r="AP661" s="16" t="s">
        <v>485</v>
      </c>
      <c r="AQ661" s="16" t="s">
        <v>5915</v>
      </c>
      <c r="AR661" s="3">
        <v>46273</v>
      </c>
      <c r="AS661" s="16" t="s">
        <v>21</v>
      </c>
      <c r="AT661" s="16" t="s">
        <v>976</v>
      </c>
      <c r="AU661" s="16"/>
      <c r="AV661" s="16" t="s">
        <v>5916</v>
      </c>
      <c r="AW661" s="16"/>
      <c r="AX661" s="16"/>
      <c r="AY661" s="16"/>
      <c r="AZ661" s="16"/>
      <c r="BA661" s="16"/>
      <c r="BB661" s="16"/>
      <c r="BC661" s="16"/>
      <c r="BD661" s="16" t="s">
        <v>21</v>
      </c>
      <c r="BE661" s="16">
        <v>30</v>
      </c>
      <c r="BF661" s="16"/>
      <c r="BG661" s="16"/>
      <c r="BH661" s="16" t="s">
        <v>658</v>
      </c>
      <c r="BI661" s="16">
        <v>852618470</v>
      </c>
      <c r="BJ661" s="16"/>
      <c r="BK661" s="16"/>
      <c r="BL661" s="16"/>
      <c r="BM661" s="16"/>
      <c r="BN661" s="16"/>
      <c r="BO661" s="16"/>
      <c r="BP661" s="16"/>
      <c r="BQ661" s="16"/>
      <c r="BR661" s="16"/>
      <c r="BS661" s="16"/>
      <c r="BT661" s="16"/>
      <c r="BU661" s="16"/>
      <c r="BV661" s="16"/>
      <c r="BW661" s="16"/>
      <c r="BX661" s="16"/>
      <c r="BY661" s="16"/>
      <c r="BZ661" s="16"/>
      <c r="CA661" s="190">
        <v>46280</v>
      </c>
      <c r="CB661" s="3"/>
      <c r="CC661" s="16"/>
      <c r="CD661" s="16"/>
      <c r="CE661" s="16"/>
      <c r="CF661" s="16"/>
      <c r="CG661" s="16"/>
      <c r="CH661" s="16"/>
      <c r="CI661" s="16" t="s">
        <v>5917</v>
      </c>
    </row>
    <row r="662" spans="1:87">
      <c r="A662" s="16"/>
      <c r="B662" s="16"/>
      <c r="C662" s="3">
        <v>46281</v>
      </c>
      <c r="D662" s="16" t="s">
        <v>1</v>
      </c>
      <c r="E662" s="16" t="s">
        <v>5918</v>
      </c>
      <c r="F662" s="16">
        <v>2026227690008</v>
      </c>
      <c r="G662" s="16">
        <v>40</v>
      </c>
      <c r="H662" s="16">
        <v>31</v>
      </c>
      <c r="I662" s="16" t="s">
        <v>460</v>
      </c>
      <c r="J662" s="16" t="s">
        <v>5918</v>
      </c>
      <c r="K662" s="16" t="s">
        <v>540</v>
      </c>
      <c r="L662" s="16" t="s">
        <v>18</v>
      </c>
      <c r="M662" s="16">
        <v>4</v>
      </c>
      <c r="N662" s="16" t="s">
        <v>462</v>
      </c>
      <c r="O662" s="16" t="s">
        <v>606</v>
      </c>
      <c r="P662" s="16">
        <v>836931570</v>
      </c>
      <c r="Q662" s="16" t="s">
        <v>465</v>
      </c>
      <c r="R662" s="16" t="s">
        <v>466</v>
      </c>
      <c r="S662" s="16" t="s">
        <v>5919</v>
      </c>
      <c r="T662" s="16" t="s">
        <v>664</v>
      </c>
      <c r="U662" s="16">
        <v>46275.956944444442</v>
      </c>
      <c r="V662" s="16" t="s">
        <v>469</v>
      </c>
      <c r="W662" s="16" t="s">
        <v>651</v>
      </c>
      <c r="X662" s="16" t="s">
        <v>652</v>
      </c>
      <c r="Y662" s="16" t="s">
        <v>653</v>
      </c>
      <c r="Z662" s="16" t="s">
        <v>665</v>
      </c>
      <c r="AA662" s="16" t="s">
        <v>474</v>
      </c>
      <c r="AB662" s="16" t="s">
        <v>666</v>
      </c>
      <c r="AC662" s="16" t="s">
        <v>640</v>
      </c>
      <c r="AD662" s="16">
        <v>135598093</v>
      </c>
      <c r="AE662" s="16">
        <v>1508266347</v>
      </c>
      <c r="AF662" s="16">
        <v>1265938773</v>
      </c>
      <c r="AG662" s="16">
        <v>2.54202529500452E+16</v>
      </c>
      <c r="AH662" s="16"/>
      <c r="AI662" s="16" t="s">
        <v>31</v>
      </c>
      <c r="AJ662" s="16" t="s">
        <v>481</v>
      </c>
      <c r="AK662" s="16" t="s">
        <v>5920</v>
      </c>
      <c r="AL662" s="16">
        <v>90386</v>
      </c>
      <c r="AM662" s="16"/>
      <c r="AN662" s="16"/>
      <c r="AO662" s="16">
        <v>836</v>
      </c>
      <c r="AP662" s="16" t="s">
        <v>485</v>
      </c>
      <c r="AQ662" s="16" t="s">
        <v>5921</v>
      </c>
      <c r="AR662" s="3">
        <v>46276</v>
      </c>
      <c r="AS662" s="16" t="s">
        <v>31</v>
      </c>
      <c r="AT662" s="16" t="s">
        <v>516</v>
      </c>
      <c r="AU662" s="16"/>
      <c r="AV662" s="16" t="s">
        <v>1163</v>
      </c>
      <c r="AW662" s="16"/>
      <c r="AX662" s="16"/>
      <c r="AY662" s="16"/>
      <c r="AZ662" s="16"/>
      <c r="BA662" s="16"/>
      <c r="BB662" s="16"/>
      <c r="BC662" s="16"/>
      <c r="BD662" s="16" t="s">
        <v>31</v>
      </c>
      <c r="BE662" s="16">
        <v>30</v>
      </c>
      <c r="BF662" s="16"/>
      <c r="BG662" s="16" t="s">
        <v>490</v>
      </c>
      <c r="BH662" s="16" t="s">
        <v>658</v>
      </c>
      <c r="BI662" s="16">
        <v>836931570</v>
      </c>
      <c r="BJ662" s="16"/>
      <c r="BK662" s="16"/>
      <c r="BL662" s="16"/>
      <c r="BM662" s="16"/>
      <c r="BN662" s="16"/>
      <c r="BO662" s="16"/>
      <c r="BP662" s="16"/>
      <c r="BQ662" s="16"/>
      <c r="BR662" s="16"/>
      <c r="BS662" s="16"/>
      <c r="BT662" s="16"/>
      <c r="BU662" s="16"/>
      <c r="BV662" s="16"/>
      <c r="BW662" s="16"/>
      <c r="BX662" s="16"/>
      <c r="BY662" s="16"/>
      <c r="BZ662" s="16"/>
      <c r="CA662" s="190">
        <v>46280</v>
      </c>
      <c r="CB662" s="3"/>
      <c r="CC662" s="16"/>
      <c r="CD662" s="16"/>
      <c r="CE662" s="16"/>
      <c r="CF662" s="16"/>
      <c r="CG662" s="16"/>
      <c r="CH662" s="16"/>
      <c r="CI662" s="16" t="s">
        <v>5922</v>
      </c>
    </row>
    <row r="663" spans="1:87">
      <c r="A663" s="16" t="s">
        <v>5</v>
      </c>
      <c r="B663" s="16" t="s">
        <v>5888</v>
      </c>
      <c r="C663" s="3">
        <v>46281</v>
      </c>
      <c r="D663" s="16" t="s">
        <v>1</v>
      </c>
      <c r="E663" s="16" t="s">
        <v>5923</v>
      </c>
      <c r="F663" s="16">
        <v>2026225270042</v>
      </c>
      <c r="G663" s="16">
        <v>40</v>
      </c>
      <c r="H663" s="16">
        <v>33</v>
      </c>
      <c r="I663" s="16" t="s">
        <v>460</v>
      </c>
      <c r="J663" s="16" t="s">
        <v>5923</v>
      </c>
      <c r="K663" s="16" t="s">
        <v>1201</v>
      </c>
      <c r="L663" s="16" t="s">
        <v>17</v>
      </c>
      <c r="M663" s="16">
        <v>11</v>
      </c>
      <c r="N663" s="16" t="s">
        <v>462</v>
      </c>
      <c r="O663" s="16" t="s">
        <v>606</v>
      </c>
      <c r="P663" s="16">
        <v>849374285</v>
      </c>
      <c r="Q663" s="16" t="s">
        <v>465</v>
      </c>
      <c r="R663" s="16" t="s">
        <v>466</v>
      </c>
      <c r="S663" s="16" t="s">
        <v>5924</v>
      </c>
      <c r="T663" s="16" t="s">
        <v>650</v>
      </c>
      <c r="U663" s="16">
        <v>46268.815972222219</v>
      </c>
      <c r="V663" s="16" t="s">
        <v>469</v>
      </c>
      <c r="W663" s="16" t="s">
        <v>651</v>
      </c>
      <c r="X663" s="16" t="s">
        <v>652</v>
      </c>
      <c r="Y663" s="16" t="s">
        <v>653</v>
      </c>
      <c r="Z663" s="16" t="s">
        <v>501</v>
      </c>
      <c r="AA663" s="16" t="s">
        <v>474</v>
      </c>
      <c r="AB663" s="16" t="s">
        <v>654</v>
      </c>
      <c r="AC663" s="16" t="s">
        <v>503</v>
      </c>
      <c r="AD663" s="16">
        <v>541124769</v>
      </c>
      <c r="AE663" s="16">
        <v>1033138250</v>
      </c>
      <c r="AF663" s="16">
        <v>1952797169</v>
      </c>
      <c r="AG663" s="16">
        <v>4.2520252901222704E+16</v>
      </c>
      <c r="AH663" s="16"/>
      <c r="AI663" s="16" t="s">
        <v>150</v>
      </c>
      <c r="AJ663" s="16" t="s">
        <v>481</v>
      </c>
      <c r="AK663" s="16" t="s">
        <v>5925</v>
      </c>
      <c r="AL663" s="16">
        <v>7857</v>
      </c>
      <c r="AM663" s="16"/>
      <c r="AN663" s="16"/>
      <c r="AO663" s="16">
        <v>849</v>
      </c>
      <c r="AP663" s="16" t="s">
        <v>485</v>
      </c>
      <c r="AQ663" s="16" t="s">
        <v>5926</v>
      </c>
      <c r="AR663" s="3">
        <v>46269</v>
      </c>
      <c r="AS663" s="16" t="s">
        <v>150</v>
      </c>
      <c r="AT663" s="16" t="s">
        <v>5927</v>
      </c>
      <c r="AU663" s="16"/>
      <c r="AV663" s="16" t="s">
        <v>5928</v>
      </c>
      <c r="AW663" s="16"/>
      <c r="AX663" s="16"/>
      <c r="AY663" s="16"/>
      <c r="AZ663" s="16"/>
      <c r="BA663" s="16"/>
      <c r="BB663" s="16"/>
      <c r="BC663" s="16"/>
      <c r="BD663" s="16" t="s">
        <v>150</v>
      </c>
      <c r="BE663" s="16">
        <v>33</v>
      </c>
      <c r="BF663" s="16"/>
      <c r="BG663" s="16" t="s">
        <v>490</v>
      </c>
      <c r="BH663" s="16" t="s">
        <v>658</v>
      </c>
      <c r="BI663" s="16">
        <v>849374285</v>
      </c>
      <c r="BJ663" s="16"/>
      <c r="BK663" s="16"/>
      <c r="BL663" s="16"/>
      <c r="BM663" s="16"/>
      <c r="BN663" s="16"/>
      <c r="BO663" s="16"/>
      <c r="BP663" s="16"/>
      <c r="BQ663" s="16"/>
      <c r="BR663" s="16"/>
      <c r="BS663" s="16"/>
      <c r="BT663" s="16"/>
      <c r="BU663" s="16"/>
      <c r="BV663" s="16"/>
      <c r="BW663" s="16"/>
      <c r="BX663" s="16"/>
      <c r="BY663" s="16"/>
      <c r="BZ663" s="16"/>
      <c r="CA663" s="190">
        <v>46285.166666666701</v>
      </c>
      <c r="CB663" s="3"/>
      <c r="CC663" s="16"/>
      <c r="CD663" s="16"/>
      <c r="CE663" s="16"/>
      <c r="CF663" s="16"/>
      <c r="CG663" s="16"/>
      <c r="CH663" s="16"/>
      <c r="CI663" s="16" t="s">
        <v>5929</v>
      </c>
    </row>
    <row r="664" spans="1:87">
      <c r="A664" s="16" t="s">
        <v>5</v>
      </c>
      <c r="B664" s="16" t="s">
        <v>5930</v>
      </c>
      <c r="C664" s="3">
        <v>46281</v>
      </c>
      <c r="D664" s="16" t="s">
        <v>1</v>
      </c>
      <c r="E664" s="16" t="s">
        <v>5931</v>
      </c>
      <c r="F664" s="16">
        <v>2026225570099</v>
      </c>
      <c r="G664" s="16">
        <v>40</v>
      </c>
      <c r="H664" s="16">
        <v>34</v>
      </c>
      <c r="I664" s="16" t="s">
        <v>460</v>
      </c>
      <c r="J664" s="16" t="s">
        <v>5931</v>
      </c>
      <c r="K664" s="16" t="s">
        <v>1824</v>
      </c>
      <c r="L664" s="16" t="s">
        <v>17</v>
      </c>
      <c r="M664" s="16">
        <v>11</v>
      </c>
      <c r="N664" s="16" t="s">
        <v>462</v>
      </c>
      <c r="O664" s="16" t="s">
        <v>606</v>
      </c>
      <c r="P664" s="16" t="s">
        <v>5932</v>
      </c>
      <c r="Q664" s="16" t="s">
        <v>465</v>
      </c>
      <c r="R664" s="16" t="s">
        <v>466</v>
      </c>
      <c r="S664" s="16" t="s">
        <v>5933</v>
      </c>
      <c r="T664" s="16">
        <v>213020</v>
      </c>
      <c r="U664" s="16">
        <v>46268.742361111108</v>
      </c>
      <c r="V664" s="16" t="s">
        <v>469</v>
      </c>
      <c r="W664" s="16" t="s">
        <v>568</v>
      </c>
      <c r="X664" s="16" t="s">
        <v>471</v>
      </c>
      <c r="Y664" s="16" t="s">
        <v>2882</v>
      </c>
      <c r="Z664" s="16" t="s">
        <v>473</v>
      </c>
      <c r="AA664" s="16" t="s">
        <v>474</v>
      </c>
      <c r="AB664" s="16" t="s">
        <v>5934</v>
      </c>
      <c r="AC664" s="16" t="s">
        <v>5866</v>
      </c>
      <c r="AD664" s="16">
        <v>363907436</v>
      </c>
      <c r="AE664" s="16">
        <v>1043242886</v>
      </c>
      <c r="AF664" s="16">
        <v>1518593342</v>
      </c>
      <c r="AG664" s="16"/>
      <c r="AH664" s="16"/>
      <c r="AI664" s="16" t="s">
        <v>247</v>
      </c>
      <c r="AJ664" s="16" t="s">
        <v>481</v>
      </c>
      <c r="AK664" s="16" t="s">
        <v>5935</v>
      </c>
      <c r="AL664" s="16">
        <v>9126.8700000000008</v>
      </c>
      <c r="AM664" s="16"/>
      <c r="AN664" s="16"/>
      <c r="AO664" s="16">
        <v>375</v>
      </c>
      <c r="AP664" s="16" t="s">
        <v>485</v>
      </c>
      <c r="AQ664" s="16" t="s">
        <v>5936</v>
      </c>
      <c r="AR664" s="3">
        <v>46269</v>
      </c>
      <c r="AS664" s="16" t="s">
        <v>247</v>
      </c>
      <c r="AT664" s="16" t="s">
        <v>516</v>
      </c>
      <c r="AU664" s="16"/>
      <c r="AV664" s="16" t="s">
        <v>5937</v>
      </c>
      <c r="AW664" s="16"/>
      <c r="AX664" s="16"/>
      <c r="AY664" s="16"/>
      <c r="AZ664" s="16"/>
      <c r="BA664" s="16"/>
      <c r="BB664" s="16"/>
      <c r="BC664" s="16"/>
      <c r="BD664" s="16" t="s">
        <v>247</v>
      </c>
      <c r="BE664" s="16">
        <v>32</v>
      </c>
      <c r="BF664" s="16"/>
      <c r="BG664" s="16"/>
      <c r="BH664" s="16" t="s">
        <v>491</v>
      </c>
      <c r="BI664" s="16">
        <v>318823248</v>
      </c>
      <c r="BJ664" s="16"/>
      <c r="BK664" s="16"/>
      <c r="BL664" s="16"/>
      <c r="BM664" s="16"/>
      <c r="BN664" s="16"/>
      <c r="BO664" s="16"/>
      <c r="BP664" s="16"/>
      <c r="BQ664" s="16"/>
      <c r="BR664" s="16"/>
      <c r="BS664" s="16"/>
      <c r="BT664" s="16"/>
      <c r="BU664" s="16"/>
      <c r="BV664" s="16"/>
      <c r="BW664" s="16"/>
      <c r="BX664" s="16"/>
      <c r="BY664" s="16"/>
      <c r="BZ664" s="16"/>
      <c r="CA664" s="190">
        <v>46285.666666666701</v>
      </c>
      <c r="CB664" s="3"/>
      <c r="CC664" s="16"/>
      <c r="CD664" s="16"/>
      <c r="CE664" s="16"/>
      <c r="CF664" s="16"/>
      <c r="CG664" s="16"/>
      <c r="CH664" s="16"/>
      <c r="CI664" s="16" t="s">
        <v>5938</v>
      </c>
    </row>
    <row r="665" spans="1:87">
      <c r="A665" s="16" t="s">
        <v>5</v>
      </c>
      <c r="B665" s="16" t="s">
        <v>3855</v>
      </c>
      <c r="C665" s="3">
        <v>46281</v>
      </c>
      <c r="D665" s="16" t="s">
        <v>1</v>
      </c>
      <c r="E665" s="16" t="s">
        <v>5939</v>
      </c>
      <c r="F665" s="16">
        <v>2026223120288</v>
      </c>
      <c r="G665" s="16">
        <v>40</v>
      </c>
      <c r="H665" s="16">
        <v>35</v>
      </c>
      <c r="I665" s="16" t="s">
        <v>460</v>
      </c>
      <c r="J665" s="16" t="s">
        <v>5939</v>
      </c>
      <c r="K665" s="16" t="s">
        <v>1874</v>
      </c>
      <c r="L665" s="16" t="s">
        <v>17</v>
      </c>
      <c r="M665" s="16">
        <v>1</v>
      </c>
      <c r="N665" s="16" t="s">
        <v>462</v>
      </c>
      <c r="O665" s="16" t="s">
        <v>2575</v>
      </c>
      <c r="P665" s="16" t="s">
        <v>5940</v>
      </c>
      <c r="Q665" s="16" t="s">
        <v>465</v>
      </c>
      <c r="R665" s="16" t="s">
        <v>466</v>
      </c>
      <c r="S665" s="16" t="s">
        <v>5941</v>
      </c>
      <c r="T665" s="16" t="s">
        <v>5942</v>
      </c>
      <c r="U665" s="16">
        <v>46278.892361111109</v>
      </c>
      <c r="V665" s="16" t="s">
        <v>469</v>
      </c>
      <c r="W665" s="16" t="s">
        <v>470</v>
      </c>
      <c r="X665" s="16" t="s">
        <v>471</v>
      </c>
      <c r="Y665" s="16" t="s">
        <v>628</v>
      </c>
      <c r="Z665" s="16" t="s">
        <v>524</v>
      </c>
      <c r="AA665" s="16" t="s">
        <v>474</v>
      </c>
      <c r="AB665" s="16" t="s">
        <v>5943</v>
      </c>
      <c r="AC665" s="16" t="s">
        <v>1294</v>
      </c>
      <c r="AD665" s="16">
        <v>621772321</v>
      </c>
      <c r="AE665" s="16">
        <v>1811213994</v>
      </c>
      <c r="AF665" s="16"/>
      <c r="AG665" s="16"/>
      <c r="AH665" s="16" t="s">
        <v>1076</v>
      </c>
      <c r="AI665" s="16" t="s">
        <v>93</v>
      </c>
      <c r="AJ665" s="16" t="s">
        <v>481</v>
      </c>
      <c r="AK665" s="16" t="s">
        <v>5944</v>
      </c>
      <c r="AL665" s="16">
        <v>229603.13</v>
      </c>
      <c r="AM665" s="16"/>
      <c r="AN665" s="16"/>
      <c r="AO665" s="16">
        <v>785</v>
      </c>
      <c r="AP665" s="16" t="s">
        <v>485</v>
      </c>
      <c r="AQ665" s="16" t="s">
        <v>5945</v>
      </c>
      <c r="AR665" s="3">
        <v>46279</v>
      </c>
      <c r="AS665" s="16" t="s">
        <v>93</v>
      </c>
      <c r="AT665" s="16" t="s">
        <v>2622</v>
      </c>
      <c r="AU665" s="16"/>
      <c r="AV665" s="16" t="s">
        <v>3434</v>
      </c>
      <c r="AW665" s="16"/>
      <c r="AX665" s="16"/>
      <c r="AY665" s="16"/>
      <c r="AZ665" s="16"/>
      <c r="BA665" s="16"/>
      <c r="BB665" s="16"/>
      <c r="BC665" s="16"/>
      <c r="BD665" s="16" t="s">
        <v>93</v>
      </c>
      <c r="BE665" s="16">
        <v>34</v>
      </c>
      <c r="BF665" s="16"/>
      <c r="BG665" s="16"/>
      <c r="BH665" s="16" t="s">
        <v>491</v>
      </c>
      <c r="BI665" s="16">
        <v>401232715</v>
      </c>
      <c r="BJ665" s="16"/>
      <c r="BK665" s="16"/>
      <c r="BL665" s="16"/>
      <c r="BM665" s="16"/>
      <c r="BN665" s="16"/>
      <c r="BO665" s="16"/>
      <c r="BP665" s="16"/>
      <c r="BQ665" s="16"/>
      <c r="BR665" s="16"/>
      <c r="BS665" s="16"/>
      <c r="BT665" s="16"/>
      <c r="BU665" s="16"/>
      <c r="BV665" s="16"/>
      <c r="BW665" s="16"/>
      <c r="BX665" s="16"/>
      <c r="BY665" s="16"/>
      <c r="BZ665" s="16"/>
      <c r="CA665" s="190">
        <v>46285.666666666701</v>
      </c>
      <c r="CB665" s="3"/>
      <c r="CC665" s="16"/>
      <c r="CD665" s="16"/>
      <c r="CE665" s="16"/>
      <c r="CF665" s="16"/>
      <c r="CG665" s="16"/>
      <c r="CH665" s="16"/>
      <c r="CI665" s="16" t="s">
        <v>5946</v>
      </c>
    </row>
    <row r="666" spans="1:87">
      <c r="A666" s="16" t="s">
        <v>5</v>
      </c>
      <c r="B666" s="16" t="s">
        <v>5947</v>
      </c>
      <c r="C666" s="3">
        <v>46281</v>
      </c>
      <c r="D666" s="16" t="s">
        <v>1</v>
      </c>
      <c r="E666" s="16" t="s">
        <v>5948</v>
      </c>
      <c r="F666" s="16">
        <v>2026225940124</v>
      </c>
      <c r="G666" s="16">
        <v>40</v>
      </c>
      <c r="H666" s="16">
        <v>34</v>
      </c>
      <c r="I666" s="16" t="s">
        <v>460</v>
      </c>
      <c r="J666" s="16" t="s">
        <v>5948</v>
      </c>
      <c r="K666" s="16" t="s">
        <v>1884</v>
      </c>
      <c r="L666" s="16" t="s">
        <v>17</v>
      </c>
      <c r="M666" s="16">
        <v>0</v>
      </c>
      <c r="N666" s="16" t="s">
        <v>462</v>
      </c>
      <c r="O666" s="16" t="s">
        <v>497</v>
      </c>
      <c r="P666" s="16" t="s">
        <v>5949</v>
      </c>
      <c r="Q666" s="16" t="s">
        <v>465</v>
      </c>
      <c r="R666" s="16" t="s">
        <v>466</v>
      </c>
      <c r="S666" s="16" t="s">
        <v>5950</v>
      </c>
      <c r="T666" s="16" t="s">
        <v>465</v>
      </c>
      <c r="U666" s="16">
        <v>46279.790277777778</v>
      </c>
      <c r="V666" s="16" t="s">
        <v>469</v>
      </c>
      <c r="W666" s="16" t="s">
        <v>470</v>
      </c>
      <c r="X666" s="16" t="s">
        <v>471</v>
      </c>
      <c r="Y666" s="16" t="s">
        <v>472</v>
      </c>
      <c r="Z666" s="16" t="s">
        <v>731</v>
      </c>
      <c r="AA666" s="16" t="s">
        <v>474</v>
      </c>
      <c r="AB666" s="16" t="s">
        <v>5004</v>
      </c>
      <c r="AC666" s="16" t="s">
        <v>733</v>
      </c>
      <c r="AD666" s="16">
        <v>431343281</v>
      </c>
      <c r="AE666" s="16">
        <v>1598835308</v>
      </c>
      <c r="AF666" s="16"/>
      <c r="AG666" s="16"/>
      <c r="AH666" s="16"/>
      <c r="AI666" s="16" t="s">
        <v>318</v>
      </c>
      <c r="AJ666" s="16" t="s">
        <v>481</v>
      </c>
      <c r="AK666" s="16" t="s">
        <v>5951</v>
      </c>
      <c r="AL666" s="16">
        <v>106827.35</v>
      </c>
      <c r="AM666" s="16"/>
      <c r="AN666" s="16"/>
      <c r="AO666" s="16">
        <v>591</v>
      </c>
      <c r="AP666" s="16" t="s">
        <v>485</v>
      </c>
      <c r="AQ666" s="16" t="s">
        <v>5952</v>
      </c>
      <c r="AR666" s="3">
        <v>46280</v>
      </c>
      <c r="AS666" s="16" t="s">
        <v>318</v>
      </c>
      <c r="AT666" s="16" t="s">
        <v>5953</v>
      </c>
      <c r="AU666" s="16"/>
      <c r="AV666" s="16" t="s">
        <v>1607</v>
      </c>
      <c r="AW666" s="16"/>
      <c r="AX666" s="16"/>
      <c r="AY666" s="16"/>
      <c r="AZ666" s="16"/>
      <c r="BA666" s="16"/>
      <c r="BB666" s="16"/>
      <c r="BC666" s="16"/>
      <c r="BD666" s="16" t="s">
        <v>318</v>
      </c>
      <c r="BE666" s="16">
        <v>32</v>
      </c>
      <c r="BF666" s="16"/>
      <c r="BG666" s="16"/>
      <c r="BH666" s="16" t="s">
        <v>491</v>
      </c>
      <c r="BI666" s="16">
        <v>30728262</v>
      </c>
      <c r="BJ666" s="16"/>
      <c r="BK666" s="16"/>
      <c r="BL666" s="16"/>
      <c r="BM666" s="16"/>
      <c r="BN666" s="16"/>
      <c r="BO666" s="16"/>
      <c r="BP666" s="16"/>
      <c r="BQ666" s="16"/>
      <c r="BR666" s="16"/>
      <c r="BS666" s="16"/>
      <c r="BT666" s="16"/>
      <c r="BU666" s="16"/>
      <c r="BV666" s="16"/>
      <c r="BW666" s="16"/>
      <c r="BX666" s="16"/>
      <c r="BY666" s="16"/>
      <c r="BZ666" s="16"/>
      <c r="CA666" s="190">
        <v>46285.666666666701</v>
      </c>
      <c r="CB666" s="3"/>
      <c r="CC666" s="16"/>
      <c r="CD666" s="16"/>
      <c r="CE666" s="16"/>
      <c r="CF666" s="16"/>
      <c r="CG666" s="16"/>
      <c r="CH666" s="16"/>
      <c r="CI666" s="16" t="s">
        <v>5954</v>
      </c>
    </row>
    <row r="667" spans="1:87">
      <c r="A667" s="16"/>
      <c r="B667" s="16"/>
      <c r="C667" s="3">
        <v>46281</v>
      </c>
      <c r="D667" s="16" t="s">
        <v>1</v>
      </c>
      <c r="E667" s="16" t="s">
        <v>5955</v>
      </c>
      <c r="F667" s="16">
        <v>2026225930210</v>
      </c>
      <c r="G667" s="16">
        <v>40</v>
      </c>
      <c r="H667" s="16">
        <v>33</v>
      </c>
      <c r="I667" s="16" t="s">
        <v>460</v>
      </c>
      <c r="J667" s="16" t="s">
        <v>5955</v>
      </c>
      <c r="K667" s="16" t="s">
        <v>1083</v>
      </c>
      <c r="L667" s="16" t="s">
        <v>17</v>
      </c>
      <c r="M667" s="16">
        <v>7</v>
      </c>
      <c r="N667" s="16" t="s">
        <v>462</v>
      </c>
      <c r="O667" s="16" t="s">
        <v>606</v>
      </c>
      <c r="P667" s="16">
        <v>881081701</v>
      </c>
      <c r="Q667" s="16" t="s">
        <v>465</v>
      </c>
      <c r="R667" s="16" t="s">
        <v>466</v>
      </c>
      <c r="S667" s="16" t="s">
        <v>5956</v>
      </c>
      <c r="T667" s="16" t="s">
        <v>664</v>
      </c>
      <c r="U667" s="16">
        <v>46272.811111111114</v>
      </c>
      <c r="V667" s="16" t="s">
        <v>469</v>
      </c>
      <c r="W667" s="16" t="s">
        <v>651</v>
      </c>
      <c r="X667" s="16" t="s">
        <v>652</v>
      </c>
      <c r="Y667" s="16" t="s">
        <v>653</v>
      </c>
      <c r="Z667" s="16" t="s">
        <v>665</v>
      </c>
      <c r="AA667" s="16" t="s">
        <v>474</v>
      </c>
      <c r="AB667" s="16" t="s">
        <v>666</v>
      </c>
      <c r="AC667" s="16" t="s">
        <v>640</v>
      </c>
      <c r="AD667" s="16">
        <v>135598093</v>
      </c>
      <c r="AE667" s="16">
        <v>1508266347</v>
      </c>
      <c r="AF667" s="16">
        <v>1962846931</v>
      </c>
      <c r="AG667" s="16">
        <v>2.54202427902136E+16</v>
      </c>
      <c r="AH667" s="16"/>
      <c r="AI667" s="16" t="s">
        <v>48</v>
      </c>
      <c r="AJ667" s="16" t="s">
        <v>481</v>
      </c>
      <c r="AK667" s="16" t="s">
        <v>5957</v>
      </c>
      <c r="AL667" s="16">
        <v>139682</v>
      </c>
      <c r="AM667" s="16"/>
      <c r="AN667" s="16"/>
      <c r="AO667" s="16">
        <v>881</v>
      </c>
      <c r="AP667" s="16" t="s">
        <v>485</v>
      </c>
      <c r="AQ667" s="16" t="s">
        <v>5958</v>
      </c>
      <c r="AR667" s="3">
        <v>46273</v>
      </c>
      <c r="AS667" s="16" t="s">
        <v>48</v>
      </c>
      <c r="AT667" s="16" t="s">
        <v>516</v>
      </c>
      <c r="AU667" s="16"/>
      <c r="AV667" s="16" t="s">
        <v>5959</v>
      </c>
      <c r="AW667" s="16"/>
      <c r="AX667" s="16"/>
      <c r="AY667" s="16"/>
      <c r="AZ667" s="16"/>
      <c r="BA667" s="16"/>
      <c r="BB667" s="16"/>
      <c r="BC667" s="16"/>
      <c r="BD667" s="16" t="s">
        <v>48</v>
      </c>
      <c r="BE667" s="16">
        <v>33</v>
      </c>
      <c r="BF667" s="16"/>
      <c r="BG667" s="16" t="s">
        <v>490</v>
      </c>
      <c r="BH667" s="16" t="s">
        <v>658</v>
      </c>
      <c r="BI667" s="16">
        <v>881081701</v>
      </c>
      <c r="BJ667" s="16"/>
      <c r="BK667" s="16"/>
      <c r="BL667" s="16"/>
      <c r="BM667" s="16"/>
      <c r="BN667" s="16"/>
      <c r="BO667" s="16"/>
      <c r="BP667" s="16"/>
      <c r="BQ667" s="16"/>
      <c r="BR667" s="16"/>
      <c r="BS667" s="16"/>
      <c r="BT667" s="16"/>
      <c r="BU667" s="16"/>
      <c r="BV667" s="16"/>
      <c r="BW667" s="16"/>
      <c r="BX667" s="16"/>
      <c r="BY667" s="16"/>
      <c r="BZ667" s="16"/>
      <c r="CA667" s="190">
        <v>46280</v>
      </c>
      <c r="CB667" s="3"/>
      <c r="CC667" s="16"/>
      <c r="CD667" s="16"/>
      <c r="CE667" s="16"/>
      <c r="CF667" s="16"/>
      <c r="CG667" s="16"/>
      <c r="CH667" s="16"/>
      <c r="CI667" s="16" t="s">
        <v>5960</v>
      </c>
    </row>
    <row r="668" spans="1:87">
      <c r="A668" s="16" t="s">
        <v>4</v>
      </c>
      <c r="B668" s="16" t="s">
        <v>5961</v>
      </c>
      <c r="C668" s="3">
        <v>46281</v>
      </c>
      <c r="D668" s="16" t="s">
        <v>1</v>
      </c>
      <c r="E668" s="16" t="s">
        <v>5962</v>
      </c>
      <c r="F668" s="16">
        <v>2026227860003</v>
      </c>
      <c r="G668" s="16">
        <v>40</v>
      </c>
      <c r="H668" s="16">
        <v>31</v>
      </c>
      <c r="I668" s="16" t="s">
        <v>460</v>
      </c>
      <c r="J668" s="16" t="s">
        <v>5962</v>
      </c>
      <c r="K668" s="16" t="s">
        <v>4812</v>
      </c>
      <c r="L668" s="16" t="s">
        <v>16</v>
      </c>
      <c r="M668" s="16">
        <v>12</v>
      </c>
      <c r="N668" s="16" t="s">
        <v>462</v>
      </c>
      <c r="O668" s="16" t="s">
        <v>4717</v>
      </c>
      <c r="P668" s="16">
        <v>812439259</v>
      </c>
      <c r="Q668" s="16" t="s">
        <v>465</v>
      </c>
      <c r="R668" s="16" t="s">
        <v>466</v>
      </c>
      <c r="S668" s="16" t="s">
        <v>5963</v>
      </c>
      <c r="T668" s="16">
        <v>173324</v>
      </c>
      <c r="U668" s="16"/>
      <c r="V668" s="16" t="s">
        <v>469</v>
      </c>
      <c r="W668" s="16" t="s">
        <v>651</v>
      </c>
      <c r="X668" s="16" t="s">
        <v>652</v>
      </c>
      <c r="Y668" s="16" t="s">
        <v>653</v>
      </c>
      <c r="Z668" s="16" t="s">
        <v>590</v>
      </c>
      <c r="AA668" s="16" t="s">
        <v>474</v>
      </c>
      <c r="AB668" s="16" t="s">
        <v>3283</v>
      </c>
      <c r="AC668" s="16" t="s">
        <v>1932</v>
      </c>
      <c r="AD668" s="16">
        <v>743048428</v>
      </c>
      <c r="AE668" s="16">
        <v>1457306359</v>
      </c>
      <c r="AF668" s="16"/>
      <c r="AG668" s="16">
        <v>2.66202507806098E+16</v>
      </c>
      <c r="AH668" s="16"/>
      <c r="AI668" s="16" t="s">
        <v>82</v>
      </c>
      <c r="AJ668" s="16" t="s">
        <v>481</v>
      </c>
      <c r="AK668" s="16" t="s">
        <v>5964</v>
      </c>
      <c r="AL668" s="16">
        <v>851053.5</v>
      </c>
      <c r="AM668" s="16"/>
      <c r="AN668" s="16"/>
      <c r="AO668" s="16">
        <v>812</v>
      </c>
      <c r="AP668" s="16" t="s">
        <v>485</v>
      </c>
      <c r="AQ668" s="16" t="s">
        <v>5965</v>
      </c>
      <c r="AR668" s="3">
        <v>46268</v>
      </c>
      <c r="AS668" s="16" t="s">
        <v>82</v>
      </c>
      <c r="AT668" s="16" t="s">
        <v>5966</v>
      </c>
      <c r="AU668" s="16"/>
      <c r="AV668" s="16" t="s">
        <v>5967</v>
      </c>
      <c r="AW668" s="16"/>
      <c r="AX668" s="16"/>
      <c r="AY668" s="16"/>
      <c r="AZ668" s="16"/>
      <c r="BA668" s="16"/>
      <c r="BB668" s="16"/>
      <c r="BC668" s="16"/>
      <c r="BD668" s="16" t="s">
        <v>82</v>
      </c>
      <c r="BE668" s="16">
        <v>30</v>
      </c>
      <c r="BF668" s="16"/>
      <c r="BG668" s="16"/>
      <c r="BH668" s="16" t="s">
        <v>658</v>
      </c>
      <c r="BI668" s="16">
        <v>812439259</v>
      </c>
      <c r="BJ668" s="16"/>
      <c r="BK668" s="16"/>
      <c r="BL668" s="16"/>
      <c r="BM668" s="16"/>
      <c r="BN668" s="16"/>
      <c r="BO668" s="16"/>
      <c r="BP668" s="16"/>
      <c r="BQ668" s="16"/>
      <c r="BR668" s="16"/>
      <c r="BS668" s="16"/>
      <c r="BT668" s="16"/>
      <c r="BU668" s="16"/>
      <c r="BV668" s="16"/>
      <c r="BW668" s="16"/>
      <c r="BX668" s="16"/>
      <c r="BY668" s="16"/>
      <c r="BZ668" s="16"/>
      <c r="CA668" s="190">
        <v>46286.166666666701</v>
      </c>
      <c r="CB668" s="3"/>
      <c r="CC668" s="16"/>
      <c r="CD668" s="16"/>
      <c r="CE668" s="16"/>
      <c r="CF668" s="16"/>
      <c r="CG668" s="16"/>
      <c r="CH668" s="16"/>
      <c r="CI668" s="16" t="s">
        <v>5968</v>
      </c>
    </row>
    <row r="669" spans="1:87">
      <c r="A669" s="16" t="s">
        <v>5</v>
      </c>
      <c r="B669" s="16" t="s">
        <v>5969</v>
      </c>
      <c r="C669" s="3">
        <v>46281</v>
      </c>
      <c r="D669" s="16" t="s">
        <v>1</v>
      </c>
      <c r="E669" s="16" t="s">
        <v>5970</v>
      </c>
      <c r="F669" s="16">
        <v>2026227460003</v>
      </c>
      <c r="G669" s="16">
        <v>40</v>
      </c>
      <c r="H669" s="16">
        <v>33</v>
      </c>
      <c r="I669" s="16" t="s">
        <v>460</v>
      </c>
      <c r="J669" s="16" t="s">
        <v>5970</v>
      </c>
      <c r="K669" s="16" t="s">
        <v>1371</v>
      </c>
      <c r="L669" s="16" t="s">
        <v>17</v>
      </c>
      <c r="M669" s="16">
        <v>8</v>
      </c>
      <c r="N669" s="16" t="s">
        <v>462</v>
      </c>
      <c r="O669" s="16" t="s">
        <v>606</v>
      </c>
      <c r="P669" s="16">
        <v>823009526</v>
      </c>
      <c r="Q669" s="16" t="s">
        <v>465</v>
      </c>
      <c r="R669" s="16" t="s">
        <v>466</v>
      </c>
      <c r="S669" s="16" t="s">
        <v>5971</v>
      </c>
      <c r="T669" s="16">
        <v>173325</v>
      </c>
      <c r="U669" s="16">
        <v>46272.7</v>
      </c>
      <c r="V669" s="16" t="s">
        <v>469</v>
      </c>
      <c r="W669" s="16" t="s">
        <v>651</v>
      </c>
      <c r="X669" s="16" t="s">
        <v>652</v>
      </c>
      <c r="Y669" s="16" t="s">
        <v>653</v>
      </c>
      <c r="Z669" s="16" t="s">
        <v>731</v>
      </c>
      <c r="AA669" s="16" t="s">
        <v>474</v>
      </c>
      <c r="AB669" s="16" t="s">
        <v>883</v>
      </c>
      <c r="AC669" s="16" t="s">
        <v>733</v>
      </c>
      <c r="AD669" s="16">
        <v>430653493</v>
      </c>
      <c r="AE669" s="16">
        <v>1427098169</v>
      </c>
      <c r="AF669" s="16"/>
      <c r="AG669" s="16">
        <v>7.48202505815248E+16</v>
      </c>
      <c r="AH669" s="16"/>
      <c r="AI669" s="16" t="s">
        <v>164</v>
      </c>
      <c r="AJ669" s="16" t="s">
        <v>481</v>
      </c>
      <c r="AK669" s="16" t="s">
        <v>5972</v>
      </c>
      <c r="AL669" s="16">
        <v>80122.600000000006</v>
      </c>
      <c r="AM669" s="16"/>
      <c r="AN669" s="16"/>
      <c r="AO669" s="16">
        <v>823</v>
      </c>
      <c r="AP669" s="16" t="s">
        <v>485</v>
      </c>
      <c r="AQ669" s="16" t="s">
        <v>5973</v>
      </c>
      <c r="AR669" s="3">
        <v>46272</v>
      </c>
      <c r="AS669" s="16" t="s">
        <v>164</v>
      </c>
      <c r="AT669" s="16" t="s">
        <v>516</v>
      </c>
      <c r="AU669" s="16"/>
      <c r="AV669" s="16" t="s">
        <v>737</v>
      </c>
      <c r="AW669" s="16"/>
      <c r="AX669" s="16"/>
      <c r="AY669" s="16"/>
      <c r="AZ669" s="16"/>
      <c r="BA669" s="16"/>
      <c r="BB669" s="16"/>
      <c r="BC669" s="16"/>
      <c r="BD669" s="16" t="s">
        <v>164</v>
      </c>
      <c r="BE669" s="16">
        <v>30</v>
      </c>
      <c r="BF669" s="16"/>
      <c r="BG669" s="16"/>
      <c r="BH669" s="16" t="s">
        <v>658</v>
      </c>
      <c r="BI669" s="16">
        <v>823009526</v>
      </c>
      <c r="BJ669" s="16"/>
      <c r="BK669" s="16"/>
      <c r="BL669" s="16"/>
      <c r="BM669" s="16"/>
      <c r="BN669" s="16"/>
      <c r="BO669" s="16"/>
      <c r="BP669" s="16"/>
      <c r="BQ669" s="16"/>
      <c r="BR669" s="16"/>
      <c r="BS669" s="16"/>
      <c r="BT669" s="16"/>
      <c r="BU669" s="16"/>
      <c r="BV669" s="16"/>
      <c r="BW669" s="16"/>
      <c r="BX669" s="16"/>
      <c r="BY669" s="16"/>
      <c r="BZ669" s="16"/>
      <c r="CA669" s="190">
        <v>46281.666666666701</v>
      </c>
      <c r="CB669" s="3"/>
      <c r="CC669" s="16"/>
      <c r="CD669" s="16"/>
      <c r="CE669" s="16"/>
      <c r="CF669" s="16"/>
      <c r="CG669" s="16"/>
      <c r="CH669" s="16"/>
      <c r="CI669" s="16" t="s">
        <v>5974</v>
      </c>
    </row>
    <row r="670" spans="1:87">
      <c r="A670" s="16"/>
      <c r="B670" s="16"/>
      <c r="C670" s="3">
        <v>46281</v>
      </c>
      <c r="D670" s="16" t="s">
        <v>1</v>
      </c>
      <c r="E670" s="16" t="s">
        <v>5975</v>
      </c>
      <c r="F670" s="16">
        <v>2026226880025</v>
      </c>
      <c r="G670" s="16">
        <v>40</v>
      </c>
      <c r="H670" s="16">
        <v>32</v>
      </c>
      <c r="I670" s="16" t="s">
        <v>460</v>
      </c>
      <c r="J670" s="16" t="s">
        <v>5975</v>
      </c>
      <c r="K670" s="16" t="s">
        <v>3416</v>
      </c>
      <c r="L670" s="16" t="s">
        <v>1760</v>
      </c>
      <c r="M670" s="16">
        <v>6</v>
      </c>
      <c r="N670" s="16" t="s">
        <v>462</v>
      </c>
      <c r="O670" s="16" t="s">
        <v>606</v>
      </c>
      <c r="P670" s="16">
        <v>826288947</v>
      </c>
      <c r="Q670" s="16" t="s">
        <v>465</v>
      </c>
      <c r="R670" s="16" t="s">
        <v>466</v>
      </c>
      <c r="S670" s="16" t="s">
        <v>5976</v>
      </c>
      <c r="T670" s="16" t="s">
        <v>2771</v>
      </c>
      <c r="U670" s="16">
        <v>46274.668055555558</v>
      </c>
      <c r="V670" s="16" t="s">
        <v>469</v>
      </c>
      <c r="W670" s="16" t="s">
        <v>651</v>
      </c>
      <c r="X670" s="16" t="s">
        <v>652</v>
      </c>
      <c r="Y670" s="16" t="s">
        <v>653</v>
      </c>
      <c r="Z670" s="16" t="s">
        <v>1338</v>
      </c>
      <c r="AA670" s="16" t="s">
        <v>474</v>
      </c>
      <c r="AB670" s="16" t="s">
        <v>2772</v>
      </c>
      <c r="AC670" s="16" t="s">
        <v>1429</v>
      </c>
      <c r="AD670" s="16">
        <v>60646768</v>
      </c>
      <c r="AE670" s="16">
        <v>1053477075</v>
      </c>
      <c r="AF670" s="16"/>
      <c r="AG670" s="16">
        <v>6220251160456100</v>
      </c>
      <c r="AH670" s="16"/>
      <c r="AI670" s="16" t="s">
        <v>3421</v>
      </c>
      <c r="AJ670" s="16" t="s">
        <v>481</v>
      </c>
      <c r="AK670" s="16" t="s">
        <v>5977</v>
      </c>
      <c r="AL670" s="16">
        <v>10197.4</v>
      </c>
      <c r="AM670" s="16"/>
      <c r="AN670" s="16"/>
      <c r="AO670" s="16">
        <v>826</v>
      </c>
      <c r="AP670" s="16" t="s">
        <v>485</v>
      </c>
      <c r="AQ670" s="16" t="s">
        <v>5978</v>
      </c>
      <c r="AR670" s="3">
        <v>46274</v>
      </c>
      <c r="AS670" s="16" t="s">
        <v>3421</v>
      </c>
      <c r="AT670" s="16" t="s">
        <v>516</v>
      </c>
      <c r="AU670" s="16"/>
      <c r="AV670" s="16" t="s">
        <v>3975</v>
      </c>
      <c r="AW670" s="16"/>
      <c r="AX670" s="16"/>
      <c r="AY670" s="16"/>
      <c r="AZ670" s="16"/>
      <c r="BA670" s="16"/>
      <c r="BB670" s="16"/>
      <c r="BC670" s="16"/>
      <c r="BD670" s="16" t="s">
        <v>3421</v>
      </c>
      <c r="BE670" s="16">
        <v>32</v>
      </c>
      <c r="BF670" s="16"/>
      <c r="BG670" s="16" t="s">
        <v>490</v>
      </c>
      <c r="BH670" s="16" t="s">
        <v>658</v>
      </c>
      <c r="BI670" s="16">
        <v>826288947</v>
      </c>
      <c r="BJ670" s="16"/>
      <c r="BK670" s="16"/>
      <c r="BL670" s="16"/>
      <c r="BM670" s="16"/>
      <c r="BN670" s="16"/>
      <c r="BO670" s="16"/>
      <c r="BP670" s="16"/>
      <c r="BQ670" s="16"/>
      <c r="BR670" s="16"/>
      <c r="BS670" s="16"/>
      <c r="BT670" s="16"/>
      <c r="BU670" s="16"/>
      <c r="BV670" s="16"/>
      <c r="BW670" s="16"/>
      <c r="BX670" s="16"/>
      <c r="BY670" s="16"/>
      <c r="BZ670" s="16"/>
      <c r="CA670" s="190">
        <v>46280</v>
      </c>
      <c r="CB670" s="3"/>
      <c r="CC670" s="16"/>
      <c r="CD670" s="16"/>
      <c r="CE670" s="16"/>
      <c r="CF670" s="16"/>
      <c r="CG670" s="16"/>
      <c r="CH670" s="16"/>
      <c r="CI670" s="16" t="s">
        <v>5979</v>
      </c>
    </row>
    <row r="671" spans="1:87">
      <c r="A671" s="16"/>
      <c r="B671" s="16"/>
      <c r="C671" s="3">
        <v>46281</v>
      </c>
      <c r="D671" s="16" t="s">
        <v>1</v>
      </c>
      <c r="E671" s="16" t="s">
        <v>5980</v>
      </c>
      <c r="F671" s="16">
        <v>2026225840083</v>
      </c>
      <c r="G671" s="16">
        <v>40</v>
      </c>
      <c r="H671" s="16">
        <v>33</v>
      </c>
      <c r="I671" s="16" t="s">
        <v>460</v>
      </c>
      <c r="J671" s="16" t="s">
        <v>5980</v>
      </c>
      <c r="K671" s="16" t="s">
        <v>1813</v>
      </c>
      <c r="L671" s="16" t="s">
        <v>16</v>
      </c>
      <c r="M671" s="16">
        <v>11</v>
      </c>
      <c r="N671" s="16" t="s">
        <v>462</v>
      </c>
      <c r="O671" s="16" t="s">
        <v>497</v>
      </c>
      <c r="P671" s="16" t="s">
        <v>5981</v>
      </c>
      <c r="Q671" s="16" t="s">
        <v>465</v>
      </c>
      <c r="R671" s="16" t="s">
        <v>466</v>
      </c>
      <c r="S671" s="16" t="s">
        <v>5982</v>
      </c>
      <c r="T671" s="16">
        <v>212095</v>
      </c>
      <c r="U671" s="16">
        <v>46268.857638888891</v>
      </c>
      <c r="V671" s="16" t="s">
        <v>469</v>
      </c>
      <c r="W671" s="16" t="s">
        <v>568</v>
      </c>
      <c r="X671" s="16" t="s">
        <v>471</v>
      </c>
      <c r="Y671" s="16" t="s">
        <v>1724</v>
      </c>
      <c r="Z671" s="16" t="s">
        <v>524</v>
      </c>
      <c r="AA671" s="16" t="s">
        <v>474</v>
      </c>
      <c r="AB671" s="16" t="s">
        <v>5983</v>
      </c>
      <c r="AC671" s="16" t="s">
        <v>526</v>
      </c>
      <c r="AD671" s="16">
        <v>314379441</v>
      </c>
      <c r="AE671" s="16">
        <v>1851179873</v>
      </c>
      <c r="AF671" s="16">
        <v>1366607111</v>
      </c>
      <c r="AG671" s="16"/>
      <c r="AH671" s="16"/>
      <c r="AI671" s="16" t="s">
        <v>142</v>
      </c>
      <c r="AJ671" s="16" t="s">
        <v>481</v>
      </c>
      <c r="AK671" s="16" t="s">
        <v>5984</v>
      </c>
      <c r="AL671" s="16">
        <v>271</v>
      </c>
      <c r="AM671" s="16"/>
      <c r="AN671" s="16"/>
      <c r="AO671" s="16" t="s">
        <v>2352</v>
      </c>
      <c r="AP671" s="16" t="s">
        <v>485</v>
      </c>
      <c r="AQ671" s="16" t="s">
        <v>5985</v>
      </c>
      <c r="AR671" s="3">
        <v>46269</v>
      </c>
      <c r="AS671" s="16" t="s">
        <v>142</v>
      </c>
      <c r="AT671" s="16" t="s">
        <v>5986</v>
      </c>
      <c r="AU671" s="16"/>
      <c r="AV671" s="16" t="s">
        <v>5987</v>
      </c>
      <c r="AW671" s="16"/>
      <c r="AX671" s="16"/>
      <c r="AY671" s="16"/>
      <c r="AZ671" s="16"/>
      <c r="BA671" s="16"/>
      <c r="BB671" s="16"/>
      <c r="BC671" s="16"/>
      <c r="BD671" s="16" t="s">
        <v>142</v>
      </c>
      <c r="BE671" s="16">
        <v>33</v>
      </c>
      <c r="BF671" s="16"/>
      <c r="BG671" s="16" t="s">
        <v>490</v>
      </c>
      <c r="BH671" s="16" t="s">
        <v>491</v>
      </c>
      <c r="BI671" s="16">
        <v>164625767</v>
      </c>
      <c r="BJ671" s="16"/>
      <c r="BK671" s="16"/>
      <c r="BL671" s="16"/>
      <c r="BM671" s="16"/>
      <c r="BN671" s="16"/>
      <c r="BO671" s="16"/>
      <c r="BP671" s="16"/>
      <c r="BQ671" s="16"/>
      <c r="BR671" s="16"/>
      <c r="BS671" s="16"/>
      <c r="BT671" s="16"/>
      <c r="BU671" s="16"/>
      <c r="BV671" s="16"/>
      <c r="BW671" s="16"/>
      <c r="BX671" s="16"/>
      <c r="BY671" s="16"/>
      <c r="BZ671" s="16"/>
      <c r="CA671" s="190">
        <v>46280</v>
      </c>
      <c r="CB671" s="3"/>
      <c r="CC671" s="16"/>
      <c r="CD671" s="16"/>
      <c r="CE671" s="16"/>
      <c r="CF671" s="16"/>
      <c r="CG671" s="16"/>
      <c r="CH671" s="16"/>
      <c r="CI671" s="16" t="s">
        <v>5988</v>
      </c>
    </row>
    <row r="672" spans="1:87">
      <c r="A672" s="16" t="s">
        <v>5</v>
      </c>
      <c r="B672" s="25" t="s">
        <v>5989</v>
      </c>
      <c r="C672" s="3">
        <v>46281</v>
      </c>
      <c r="D672" s="16" t="s">
        <v>1</v>
      </c>
      <c r="E672" s="16" t="s">
        <v>5990</v>
      </c>
      <c r="F672" s="16">
        <v>2026227080408</v>
      </c>
      <c r="G672" s="16">
        <v>40</v>
      </c>
      <c r="H672" s="16">
        <v>31</v>
      </c>
      <c r="I672" s="16" t="s">
        <v>460</v>
      </c>
      <c r="J672" s="16" t="s">
        <v>5990</v>
      </c>
      <c r="K672" s="16" t="s">
        <v>1555</v>
      </c>
      <c r="L672" s="16" t="s">
        <v>17</v>
      </c>
      <c r="M672" s="16">
        <v>7</v>
      </c>
      <c r="N672" s="16" t="s">
        <v>462</v>
      </c>
      <c r="O672" s="16" t="s">
        <v>497</v>
      </c>
      <c r="P672" s="16" t="s">
        <v>5991</v>
      </c>
      <c r="Q672" s="16" t="s">
        <v>465</v>
      </c>
      <c r="R672" s="16" t="s">
        <v>466</v>
      </c>
      <c r="S672" s="16" t="s">
        <v>5992</v>
      </c>
      <c r="T672" s="16" t="s">
        <v>5993</v>
      </c>
      <c r="U672" s="16">
        <v>46273.252083333333</v>
      </c>
      <c r="V672" s="16" t="s">
        <v>469</v>
      </c>
      <c r="W672" s="16" t="s">
        <v>470</v>
      </c>
      <c r="X672" s="16" t="s">
        <v>471</v>
      </c>
      <c r="Y672" s="16" t="s">
        <v>628</v>
      </c>
      <c r="Z672" s="16" t="s">
        <v>638</v>
      </c>
      <c r="AA672" s="16" t="s">
        <v>474</v>
      </c>
      <c r="AB672" s="16" t="s">
        <v>5994</v>
      </c>
      <c r="AC672" s="16" t="s">
        <v>1932</v>
      </c>
      <c r="AD672" s="16">
        <v>954836285</v>
      </c>
      <c r="AE672" s="16">
        <v>1609194000</v>
      </c>
      <c r="AF672" s="16">
        <v>1801302567</v>
      </c>
      <c r="AG672" s="16"/>
      <c r="AH672" s="16"/>
      <c r="AI672" s="16" t="s">
        <v>32</v>
      </c>
      <c r="AJ672" s="16" t="s">
        <v>481</v>
      </c>
      <c r="AK672" s="16" t="s">
        <v>5995</v>
      </c>
      <c r="AL672" s="16">
        <v>1238</v>
      </c>
      <c r="AM672" s="16"/>
      <c r="AN672" s="16"/>
      <c r="AO672" s="16">
        <v>415</v>
      </c>
      <c r="AP672" s="16" t="s">
        <v>485</v>
      </c>
      <c r="AQ672" s="16" t="s">
        <v>5996</v>
      </c>
      <c r="AR672" s="3">
        <v>46273</v>
      </c>
      <c r="AS672" s="16" t="s">
        <v>32</v>
      </c>
      <c r="AT672" s="16" t="s">
        <v>4946</v>
      </c>
      <c r="AU672" s="16"/>
      <c r="AV672" s="16" t="s">
        <v>5997</v>
      </c>
      <c r="AW672" s="16"/>
      <c r="AX672" s="16"/>
      <c r="AY672" s="16"/>
      <c r="AZ672" s="16"/>
      <c r="BA672" s="16"/>
      <c r="BB672" s="16"/>
      <c r="BC672" s="16"/>
      <c r="BD672" s="16" t="s">
        <v>32</v>
      </c>
      <c r="BE672" s="16">
        <v>31</v>
      </c>
      <c r="BF672" s="16"/>
      <c r="BG672" s="16"/>
      <c r="BH672" s="16" t="s">
        <v>491</v>
      </c>
      <c r="BI672" s="16">
        <v>46726131</v>
      </c>
      <c r="BJ672" s="16"/>
      <c r="BK672" s="16"/>
      <c r="BL672" s="16"/>
      <c r="BM672" s="16"/>
      <c r="BN672" s="16"/>
      <c r="BO672" s="16"/>
      <c r="BP672" s="16"/>
      <c r="BQ672" s="16"/>
      <c r="BR672" s="16"/>
      <c r="BS672" s="16"/>
      <c r="BT672" s="16"/>
      <c r="BU672" s="16"/>
      <c r="BV672" s="16"/>
      <c r="BW672" s="16"/>
      <c r="BX672" s="16"/>
      <c r="BY672" s="16"/>
      <c r="BZ672" s="16"/>
      <c r="CA672" s="190">
        <v>46285.666666666701</v>
      </c>
      <c r="CB672" s="3"/>
      <c r="CC672" s="16"/>
      <c r="CD672" s="16"/>
      <c r="CE672" s="16"/>
      <c r="CF672" s="16"/>
      <c r="CG672" s="16"/>
      <c r="CH672" s="16"/>
      <c r="CI672" s="16" t="s">
        <v>5998</v>
      </c>
    </row>
    <row r="673" spans="1:87">
      <c r="A673" s="16" t="s">
        <v>5</v>
      </c>
      <c r="B673" s="16" t="s">
        <v>5999</v>
      </c>
      <c r="C673" s="3">
        <v>46281</v>
      </c>
      <c r="D673" s="16" t="s">
        <v>1</v>
      </c>
      <c r="E673" s="16" t="s">
        <v>6000</v>
      </c>
      <c r="F673" s="16">
        <v>2026225410184</v>
      </c>
      <c r="G673" s="16">
        <v>40</v>
      </c>
      <c r="H673" s="16">
        <v>33</v>
      </c>
      <c r="I673" s="16" t="s">
        <v>460</v>
      </c>
      <c r="J673" s="16" t="s">
        <v>6000</v>
      </c>
      <c r="K673" s="16" t="s">
        <v>1874</v>
      </c>
      <c r="L673" s="16" t="s">
        <v>17</v>
      </c>
      <c r="M673" s="16">
        <v>1</v>
      </c>
      <c r="N673" s="16" t="s">
        <v>462</v>
      </c>
      <c r="O673" s="16" t="s">
        <v>463</v>
      </c>
      <c r="P673" s="16" t="s">
        <v>6001</v>
      </c>
      <c r="Q673" s="16" t="s">
        <v>465</v>
      </c>
      <c r="R673" s="16" t="s">
        <v>466</v>
      </c>
      <c r="S673" s="16" t="s">
        <v>6002</v>
      </c>
      <c r="T673" s="16" t="s">
        <v>6003</v>
      </c>
      <c r="U673" s="16">
        <v>46278.82708333333</v>
      </c>
      <c r="V673" s="16" t="s">
        <v>469</v>
      </c>
      <c r="W673" s="16" t="s">
        <v>470</v>
      </c>
      <c r="X673" s="16" t="s">
        <v>471</v>
      </c>
      <c r="Y673" s="16" t="s">
        <v>6004</v>
      </c>
      <c r="Z673" s="16" t="s">
        <v>731</v>
      </c>
      <c r="AA673" s="16" t="s">
        <v>474</v>
      </c>
      <c r="AB673" s="16" t="s">
        <v>6005</v>
      </c>
      <c r="AC673" s="16" t="s">
        <v>733</v>
      </c>
      <c r="AD673" s="16">
        <v>430654870</v>
      </c>
      <c r="AE673" s="16">
        <v>1992727663</v>
      </c>
      <c r="AF673" s="16"/>
      <c r="AG673" s="16"/>
      <c r="AH673" s="16" t="s">
        <v>1076</v>
      </c>
      <c r="AI673" s="16" t="s">
        <v>93</v>
      </c>
      <c r="AJ673" s="16" t="s">
        <v>481</v>
      </c>
      <c r="AK673" s="16" t="s">
        <v>6006</v>
      </c>
      <c r="AL673" s="16">
        <v>6730</v>
      </c>
      <c r="AM673" s="16"/>
      <c r="AN673" s="16"/>
      <c r="AO673" s="16">
        <v>919</v>
      </c>
      <c r="AP673" s="16" t="s">
        <v>485</v>
      </c>
      <c r="AQ673" s="16" t="s">
        <v>6007</v>
      </c>
      <c r="AR673" s="3">
        <v>46279</v>
      </c>
      <c r="AS673" s="16" t="s">
        <v>93</v>
      </c>
      <c r="AT673" s="16" t="s">
        <v>6008</v>
      </c>
      <c r="AU673" s="16"/>
      <c r="AV673" s="16" t="s">
        <v>6009</v>
      </c>
      <c r="AW673" s="16"/>
      <c r="AX673" s="16"/>
      <c r="AY673" s="16"/>
      <c r="AZ673" s="16"/>
      <c r="BA673" s="16"/>
      <c r="BB673" s="16"/>
      <c r="BC673" s="16"/>
      <c r="BD673" s="16" t="s">
        <v>93</v>
      </c>
      <c r="BE673" s="16">
        <v>33</v>
      </c>
      <c r="BF673" s="16"/>
      <c r="BG673" s="16" t="s">
        <v>490</v>
      </c>
      <c r="BH673" s="16" t="s">
        <v>491</v>
      </c>
      <c r="BI673" s="16">
        <v>493234015</v>
      </c>
      <c r="BJ673" s="16"/>
      <c r="BK673" s="16"/>
      <c r="BL673" s="16"/>
      <c r="BM673" s="16"/>
      <c r="BN673" s="16"/>
      <c r="BO673" s="16"/>
      <c r="BP673" s="16"/>
      <c r="BQ673" s="16"/>
      <c r="BR673" s="16"/>
      <c r="BS673" s="16"/>
      <c r="BT673" s="16"/>
      <c r="BU673" s="16"/>
      <c r="BV673" s="16"/>
      <c r="BW673" s="16"/>
      <c r="BX673" s="16"/>
      <c r="BY673" s="16"/>
      <c r="BZ673" s="16"/>
      <c r="CA673" s="190">
        <v>46285.666666666701</v>
      </c>
      <c r="CB673" s="3"/>
      <c r="CC673" s="16"/>
      <c r="CD673" s="16"/>
      <c r="CE673" s="16"/>
      <c r="CF673" s="16"/>
      <c r="CG673" s="16"/>
      <c r="CH673" s="16"/>
      <c r="CI673" s="16" t="s">
        <v>6010</v>
      </c>
    </row>
    <row r="674" spans="1:87">
      <c r="A674" s="16"/>
      <c r="B674" s="16"/>
      <c r="C674" s="3">
        <v>46281</v>
      </c>
      <c r="D674" s="16" t="s">
        <v>1</v>
      </c>
      <c r="E674" s="16" t="s">
        <v>6011</v>
      </c>
      <c r="F674" s="16">
        <v>2026227530278</v>
      </c>
      <c r="G674" s="16">
        <v>40</v>
      </c>
      <c r="H674" s="16">
        <v>31</v>
      </c>
      <c r="I674" s="16" t="s">
        <v>460</v>
      </c>
      <c r="J674" s="16" t="s">
        <v>6011</v>
      </c>
      <c r="K674" s="16" t="s">
        <v>1040</v>
      </c>
      <c r="L674" s="16" t="s">
        <v>17</v>
      </c>
      <c r="M674" s="16">
        <v>7</v>
      </c>
      <c r="N674" s="16" t="s">
        <v>462</v>
      </c>
      <c r="O674" s="16" t="s">
        <v>606</v>
      </c>
      <c r="P674" s="16" t="s">
        <v>6012</v>
      </c>
      <c r="Q674" s="16" t="s">
        <v>465</v>
      </c>
      <c r="R674" s="16" t="s">
        <v>466</v>
      </c>
      <c r="S674" s="16" t="s">
        <v>6013</v>
      </c>
      <c r="T674" s="16" t="s">
        <v>465</v>
      </c>
      <c r="U674" s="16">
        <v>46273.173611111109</v>
      </c>
      <c r="V674" s="16" t="s">
        <v>469</v>
      </c>
      <c r="W674" s="16" t="s">
        <v>470</v>
      </c>
      <c r="X674" s="16" t="s">
        <v>471</v>
      </c>
      <c r="Y674" s="16" t="s">
        <v>472</v>
      </c>
      <c r="Z674" s="16" t="s">
        <v>612</v>
      </c>
      <c r="AA674" s="16" t="s">
        <v>474</v>
      </c>
      <c r="AB674" s="16" t="s">
        <v>6014</v>
      </c>
      <c r="AC674" s="16" t="s">
        <v>614</v>
      </c>
      <c r="AD674" s="16">
        <v>20222140</v>
      </c>
      <c r="AE674" s="16">
        <v>1629788237</v>
      </c>
      <c r="AF674" s="16">
        <v>1235542184</v>
      </c>
      <c r="AG674" s="16"/>
      <c r="AH674" s="16"/>
      <c r="AI674" s="16" t="s">
        <v>173</v>
      </c>
      <c r="AJ674" s="16" t="s">
        <v>481</v>
      </c>
      <c r="AK674" s="16" t="s">
        <v>6015</v>
      </c>
      <c r="AL674" s="16">
        <v>19944.78</v>
      </c>
      <c r="AM674" s="16"/>
      <c r="AN674" s="16"/>
      <c r="AO674" s="16">
        <v>888</v>
      </c>
      <c r="AP674" s="16" t="s">
        <v>485</v>
      </c>
      <c r="AQ674" s="16" t="s">
        <v>6016</v>
      </c>
      <c r="AR674" s="3">
        <v>46273</v>
      </c>
      <c r="AS674" s="16" t="s">
        <v>173</v>
      </c>
      <c r="AT674" s="16" t="s">
        <v>1047</v>
      </c>
      <c r="AU674" s="16"/>
      <c r="AV674" s="16" t="s">
        <v>6017</v>
      </c>
      <c r="AW674" s="16"/>
      <c r="AX674" s="16"/>
      <c r="AY674" s="16"/>
      <c r="AZ674" s="16"/>
      <c r="BA674" s="16"/>
      <c r="BB674" s="16"/>
      <c r="BC674" s="16"/>
      <c r="BD674" s="16" t="s">
        <v>173</v>
      </c>
      <c r="BE674" s="16">
        <v>31</v>
      </c>
      <c r="BF674" s="16"/>
      <c r="BG674" s="16" t="s">
        <v>490</v>
      </c>
      <c r="BH674" s="16" t="s">
        <v>491</v>
      </c>
      <c r="BI674" s="16">
        <v>562495274</v>
      </c>
      <c r="BJ674" s="16"/>
      <c r="BK674" s="16"/>
      <c r="BL674" s="16"/>
      <c r="BM674" s="16"/>
      <c r="BN674" s="16"/>
      <c r="BO674" s="16"/>
      <c r="BP674" s="16"/>
      <c r="BQ674" s="16"/>
      <c r="BR674" s="16"/>
      <c r="BS674" s="16"/>
      <c r="BT674" s="16"/>
      <c r="BU674" s="16"/>
      <c r="BV674" s="16"/>
      <c r="BW674" s="16"/>
      <c r="BX674" s="16"/>
      <c r="BY674" s="16"/>
      <c r="BZ674" s="16"/>
      <c r="CA674" s="190">
        <v>46280</v>
      </c>
      <c r="CB674" s="3"/>
      <c r="CC674" s="16"/>
      <c r="CD674" s="16"/>
      <c r="CE674" s="16"/>
      <c r="CF674" s="16"/>
      <c r="CG674" s="16"/>
      <c r="CH674" s="16"/>
      <c r="CI674" s="16" t="s">
        <v>6018</v>
      </c>
    </row>
    <row r="675" spans="1:87">
      <c r="A675" s="16"/>
      <c r="B675" s="16"/>
      <c r="C675" s="3">
        <v>46281</v>
      </c>
      <c r="D675" s="16" t="s">
        <v>1</v>
      </c>
      <c r="E675" s="16" t="s">
        <v>6019</v>
      </c>
      <c r="F675" s="16">
        <v>2026226020373</v>
      </c>
      <c r="G675" s="16">
        <v>40</v>
      </c>
      <c r="H675" s="16">
        <v>32</v>
      </c>
      <c r="I675" s="16" t="s">
        <v>460</v>
      </c>
      <c r="J675" s="16" t="s">
        <v>6019</v>
      </c>
      <c r="K675" s="16" t="s">
        <v>1083</v>
      </c>
      <c r="L675" s="16" t="s">
        <v>17</v>
      </c>
      <c r="M675" s="16">
        <v>7</v>
      </c>
      <c r="N675" s="16" t="s">
        <v>462</v>
      </c>
      <c r="O675" s="16" t="s">
        <v>606</v>
      </c>
      <c r="P675" s="16" t="s">
        <v>6020</v>
      </c>
      <c r="Q675" s="16" t="s">
        <v>465</v>
      </c>
      <c r="R675" s="16" t="s">
        <v>466</v>
      </c>
      <c r="S675" s="16" t="s">
        <v>6021</v>
      </c>
      <c r="T675" s="16">
        <v>174656</v>
      </c>
      <c r="U675" s="16">
        <v>46272.884722222225</v>
      </c>
      <c r="V675" s="16" t="s">
        <v>469</v>
      </c>
      <c r="W675" s="16" t="s">
        <v>568</v>
      </c>
      <c r="X675" s="16" t="s">
        <v>471</v>
      </c>
      <c r="Y675" s="16" t="s">
        <v>1724</v>
      </c>
      <c r="Z675" s="16" t="s">
        <v>544</v>
      </c>
      <c r="AA675" s="16" t="s">
        <v>474</v>
      </c>
      <c r="AB675" s="16" t="s">
        <v>6022</v>
      </c>
      <c r="AC675" s="16" t="s">
        <v>546</v>
      </c>
      <c r="AD675" s="16">
        <v>581973570</v>
      </c>
      <c r="AE675" s="16">
        <v>1154377166</v>
      </c>
      <c r="AF675" s="16"/>
      <c r="AG675" s="16"/>
      <c r="AH675" s="16"/>
      <c r="AI675" s="16" t="s">
        <v>48</v>
      </c>
      <c r="AJ675" s="16" t="s">
        <v>481</v>
      </c>
      <c r="AK675" s="16" t="s">
        <v>6023</v>
      </c>
      <c r="AL675" s="16">
        <v>38945.800000000003</v>
      </c>
      <c r="AM675" s="16"/>
      <c r="AN675" s="16"/>
      <c r="AO675" s="16">
        <v>635</v>
      </c>
      <c r="AP675" s="16" t="s">
        <v>485</v>
      </c>
      <c r="AQ675" s="16" t="s">
        <v>6024</v>
      </c>
      <c r="AR675" s="3">
        <v>46273</v>
      </c>
      <c r="AS675" s="16" t="s">
        <v>48</v>
      </c>
      <c r="AT675" s="16" t="s">
        <v>516</v>
      </c>
      <c r="AU675" s="16"/>
      <c r="AV675" s="16" t="s">
        <v>3695</v>
      </c>
      <c r="AW675" s="16"/>
      <c r="AX675" s="16"/>
      <c r="AY675" s="16"/>
      <c r="AZ675" s="16"/>
      <c r="BA675" s="16"/>
      <c r="BB675" s="16"/>
      <c r="BC675" s="16"/>
      <c r="BD675" s="16" t="s">
        <v>48</v>
      </c>
      <c r="BE675" s="16">
        <v>32</v>
      </c>
      <c r="BF675" s="16"/>
      <c r="BG675" s="16"/>
      <c r="BH675" s="16" t="s">
        <v>491</v>
      </c>
      <c r="BI675" s="16">
        <v>256476040</v>
      </c>
      <c r="BJ675" s="16"/>
      <c r="BK675" s="16"/>
      <c r="BL675" s="16"/>
      <c r="BM675" s="16"/>
      <c r="BN675" s="16"/>
      <c r="BO675" s="16"/>
      <c r="BP675" s="16"/>
      <c r="BQ675" s="16"/>
      <c r="BR675" s="16"/>
      <c r="BS675" s="16"/>
      <c r="BT675" s="16"/>
      <c r="BU675" s="16"/>
      <c r="BV675" s="16"/>
      <c r="BW675" s="16"/>
      <c r="BX675" s="16"/>
      <c r="BY675" s="16"/>
      <c r="BZ675" s="16"/>
      <c r="CA675" s="190">
        <v>46280</v>
      </c>
      <c r="CB675" s="3"/>
      <c r="CC675" s="16"/>
      <c r="CD675" s="16"/>
      <c r="CE675" s="16"/>
      <c r="CF675" s="16"/>
      <c r="CG675" s="16"/>
      <c r="CH675" s="16"/>
      <c r="CI675" s="16" t="s">
        <v>6025</v>
      </c>
    </row>
    <row r="676" spans="1:87">
      <c r="A676" s="16"/>
      <c r="B676" s="16"/>
      <c r="C676" s="3">
        <v>46281</v>
      </c>
      <c r="D676" s="16" t="s">
        <v>1</v>
      </c>
      <c r="E676" s="16" t="s">
        <v>6026</v>
      </c>
      <c r="F676" s="16">
        <v>2026225500097</v>
      </c>
      <c r="G676" s="16">
        <v>40</v>
      </c>
      <c r="H676" s="16">
        <v>33</v>
      </c>
      <c r="I676" s="16" t="s">
        <v>460</v>
      </c>
      <c r="J676" s="16" t="s">
        <v>6026</v>
      </c>
      <c r="K676" s="16" t="s">
        <v>741</v>
      </c>
      <c r="L676" s="16" t="s">
        <v>13</v>
      </c>
      <c r="M676" s="16">
        <v>11</v>
      </c>
      <c r="N676" s="16" t="s">
        <v>462</v>
      </c>
      <c r="O676" s="16" t="s">
        <v>606</v>
      </c>
      <c r="P676" s="16">
        <v>808180660</v>
      </c>
      <c r="Q676" s="16" t="s">
        <v>465</v>
      </c>
      <c r="R676" s="16" t="s">
        <v>466</v>
      </c>
      <c r="S676" s="16" t="s">
        <v>6027</v>
      </c>
      <c r="T676" s="16" t="s">
        <v>664</v>
      </c>
      <c r="U676" s="16">
        <v>46268.928472222222</v>
      </c>
      <c r="V676" s="16" t="s">
        <v>469</v>
      </c>
      <c r="W676" s="16" t="s">
        <v>651</v>
      </c>
      <c r="X676" s="16" t="s">
        <v>652</v>
      </c>
      <c r="Y676" s="16" t="s">
        <v>653</v>
      </c>
      <c r="Z676" s="16" t="s">
        <v>665</v>
      </c>
      <c r="AA676" s="16" t="s">
        <v>474</v>
      </c>
      <c r="AB676" s="16" t="s">
        <v>666</v>
      </c>
      <c r="AC676" s="16" t="s">
        <v>640</v>
      </c>
      <c r="AD676" s="16">
        <v>131623978</v>
      </c>
      <c r="AE676" s="16">
        <v>1346242476</v>
      </c>
      <c r="AF676" s="16">
        <v>1346242476</v>
      </c>
      <c r="AG676" s="16">
        <v>2.54202501630383E+16</v>
      </c>
      <c r="AH676" s="16"/>
      <c r="AI676" s="16" t="s">
        <v>290</v>
      </c>
      <c r="AJ676" s="16" t="s">
        <v>481</v>
      </c>
      <c r="AK676" s="16" t="s">
        <v>6028</v>
      </c>
      <c r="AL676" s="16">
        <v>77400</v>
      </c>
      <c r="AM676" s="16"/>
      <c r="AN676" s="16"/>
      <c r="AO676" s="16">
        <v>808</v>
      </c>
      <c r="AP676" s="16" t="s">
        <v>485</v>
      </c>
      <c r="AQ676" s="16" t="s">
        <v>6029</v>
      </c>
      <c r="AR676" s="3">
        <v>46269</v>
      </c>
      <c r="AS676" s="16" t="s">
        <v>290</v>
      </c>
      <c r="AT676" s="16" t="s">
        <v>516</v>
      </c>
      <c r="AU676" s="16"/>
      <c r="AV676" s="16" t="s">
        <v>1105</v>
      </c>
      <c r="AW676" s="16"/>
      <c r="AX676" s="16"/>
      <c r="AY676" s="16"/>
      <c r="AZ676" s="16"/>
      <c r="BA676" s="16"/>
      <c r="BB676" s="16"/>
      <c r="BC676" s="16"/>
      <c r="BD676" s="16" t="s">
        <v>290</v>
      </c>
      <c r="BE676" s="16">
        <v>33</v>
      </c>
      <c r="BF676" s="16"/>
      <c r="BG676" s="16"/>
      <c r="BH676" s="16" t="s">
        <v>658</v>
      </c>
      <c r="BI676" s="16">
        <v>808180660</v>
      </c>
      <c r="BJ676" s="16"/>
      <c r="BK676" s="16"/>
      <c r="BL676" s="16"/>
      <c r="BM676" s="16"/>
      <c r="BN676" s="16"/>
      <c r="BO676" s="16"/>
      <c r="BP676" s="16"/>
      <c r="BQ676" s="16"/>
      <c r="BR676" s="16"/>
      <c r="BS676" s="16"/>
      <c r="BT676" s="16"/>
      <c r="BU676" s="16"/>
      <c r="BV676" s="16"/>
      <c r="BW676" s="16"/>
      <c r="BX676" s="16"/>
      <c r="BY676" s="16"/>
      <c r="BZ676" s="16"/>
      <c r="CA676" s="190">
        <v>46280</v>
      </c>
      <c r="CB676" s="3"/>
      <c r="CC676" s="16"/>
      <c r="CD676" s="16"/>
      <c r="CE676" s="16"/>
      <c r="CF676" s="16"/>
      <c r="CG676" s="16"/>
      <c r="CH676" s="16"/>
      <c r="CI676" s="16" t="s">
        <v>6030</v>
      </c>
    </row>
    <row r="677" spans="1:87">
      <c r="A677" s="16"/>
      <c r="B677" s="16"/>
      <c r="C677" s="3">
        <v>46281</v>
      </c>
      <c r="D677" s="16" t="s">
        <v>1</v>
      </c>
      <c r="E677" s="16" t="s">
        <v>6031</v>
      </c>
      <c r="F677" s="16">
        <v>2026223920516</v>
      </c>
      <c r="G677" s="16">
        <v>40</v>
      </c>
      <c r="H677" s="16">
        <v>35</v>
      </c>
      <c r="I677" s="16" t="s">
        <v>460</v>
      </c>
      <c r="J677" s="16" t="s">
        <v>6031</v>
      </c>
      <c r="K677" s="16" t="s">
        <v>4716</v>
      </c>
      <c r="L677" s="16" t="s">
        <v>16</v>
      </c>
      <c r="M677" s="16">
        <v>33</v>
      </c>
      <c r="N677" s="16" t="s">
        <v>462</v>
      </c>
      <c r="O677" s="16" t="s">
        <v>4717</v>
      </c>
      <c r="P677" s="16" t="s">
        <v>6032</v>
      </c>
      <c r="Q677" s="16" t="s">
        <v>465</v>
      </c>
      <c r="R677" s="16" t="s">
        <v>466</v>
      </c>
      <c r="S677" s="16" t="s">
        <v>6033</v>
      </c>
      <c r="T677" s="16">
        <v>376415</v>
      </c>
      <c r="U677" s="16"/>
      <c r="V677" s="16" t="s">
        <v>469</v>
      </c>
      <c r="W677" s="16" t="s">
        <v>470</v>
      </c>
      <c r="X677" s="16" t="s">
        <v>471</v>
      </c>
      <c r="Y677" s="16" t="s">
        <v>523</v>
      </c>
      <c r="Z677" s="16" t="s">
        <v>665</v>
      </c>
      <c r="AA677" s="16" t="s">
        <v>474</v>
      </c>
      <c r="AB677" s="16" t="s">
        <v>6034</v>
      </c>
      <c r="AC677" s="16" t="s">
        <v>640</v>
      </c>
      <c r="AD677" s="16">
        <v>113243405</v>
      </c>
      <c r="AE677" s="16">
        <v>1972523348</v>
      </c>
      <c r="AF677" s="16"/>
      <c r="AG677" s="16"/>
      <c r="AH677" s="16" t="s">
        <v>1076</v>
      </c>
      <c r="AI677" s="16" t="s">
        <v>206</v>
      </c>
      <c r="AJ677" s="16" t="s">
        <v>481</v>
      </c>
      <c r="AK677" s="16" t="s">
        <v>6035</v>
      </c>
      <c r="AL677" s="16">
        <v>109460.39</v>
      </c>
      <c r="AM677" s="16"/>
      <c r="AN677" s="16"/>
      <c r="AO677" s="16">
        <v>73</v>
      </c>
      <c r="AP677" s="16" t="s">
        <v>485</v>
      </c>
      <c r="AQ677" s="16" t="s">
        <v>6036</v>
      </c>
      <c r="AR677" s="3">
        <v>46247</v>
      </c>
      <c r="AS677" s="16" t="s">
        <v>2506</v>
      </c>
      <c r="AT677" s="16" t="s">
        <v>1819</v>
      </c>
      <c r="AU677" s="16"/>
      <c r="AV677" s="16" t="s">
        <v>6037</v>
      </c>
      <c r="AW677" s="16"/>
      <c r="AX677" s="16"/>
      <c r="AY677" s="16"/>
      <c r="AZ677" s="16"/>
      <c r="BA677" s="16"/>
      <c r="BB677" s="16"/>
      <c r="BC677" s="16"/>
      <c r="BD677" s="16" t="s">
        <v>206</v>
      </c>
      <c r="BE677" s="16">
        <v>34</v>
      </c>
      <c r="BF677" s="16"/>
      <c r="BG677" s="16"/>
      <c r="BH677" s="16" t="s">
        <v>491</v>
      </c>
      <c r="BI677" s="16">
        <v>63789121</v>
      </c>
      <c r="BJ677" s="16"/>
      <c r="BK677" s="16"/>
      <c r="BL677" s="16"/>
      <c r="BM677" s="16"/>
      <c r="BN677" s="16"/>
      <c r="BO677" s="16"/>
      <c r="BP677" s="16"/>
      <c r="BQ677" s="16"/>
      <c r="BR677" s="16"/>
      <c r="BS677" s="16"/>
      <c r="BT677" s="16"/>
      <c r="BU677" s="16"/>
      <c r="BV677" s="16"/>
      <c r="BW677" s="16"/>
      <c r="BX677" s="16"/>
      <c r="BY677" s="16"/>
      <c r="BZ677" s="16"/>
      <c r="CA677" s="190">
        <v>46280</v>
      </c>
      <c r="CB677" s="3"/>
      <c r="CC677" s="16"/>
      <c r="CD677" s="16"/>
      <c r="CE677" s="16"/>
      <c r="CF677" s="16"/>
      <c r="CG677" s="16"/>
      <c r="CH677" s="16"/>
      <c r="CI677" s="16" t="s">
        <v>6038</v>
      </c>
    </row>
    <row r="678" spans="1:87">
      <c r="A678" s="16"/>
      <c r="B678" s="16"/>
      <c r="C678" s="3">
        <v>46281</v>
      </c>
      <c r="D678" s="16" t="s">
        <v>1</v>
      </c>
      <c r="E678" s="16" t="s">
        <v>6039</v>
      </c>
      <c r="F678" s="16"/>
      <c r="G678" s="16">
        <v>40</v>
      </c>
      <c r="H678" s="16">
        <v>33</v>
      </c>
      <c r="I678" s="16" t="s">
        <v>460</v>
      </c>
      <c r="J678" s="16" t="s">
        <v>6039</v>
      </c>
      <c r="K678" s="16" t="s">
        <v>560</v>
      </c>
      <c r="L678" s="16" t="s">
        <v>13</v>
      </c>
      <c r="M678" s="16">
        <v>1</v>
      </c>
      <c r="N678" s="16" t="s">
        <v>462</v>
      </c>
      <c r="O678" s="16" t="s">
        <v>497</v>
      </c>
      <c r="P678" s="16" t="s">
        <v>6040</v>
      </c>
      <c r="Q678" s="16" t="s">
        <v>465</v>
      </c>
      <c r="R678" s="16" t="s">
        <v>1056</v>
      </c>
      <c r="S678" s="16" t="s">
        <v>6041</v>
      </c>
      <c r="T678" s="16" t="s">
        <v>6042</v>
      </c>
      <c r="U678" s="16">
        <v>46278.71597222222</v>
      </c>
      <c r="V678" s="16" t="s">
        <v>469</v>
      </c>
      <c r="W678" s="16" t="s">
        <v>568</v>
      </c>
      <c r="X678" s="16" t="s">
        <v>471</v>
      </c>
      <c r="Y678" s="16" t="s">
        <v>628</v>
      </c>
      <c r="Z678" s="16" t="s">
        <v>731</v>
      </c>
      <c r="AA678" s="16" t="s">
        <v>474</v>
      </c>
      <c r="AB678" s="16" t="s">
        <v>6043</v>
      </c>
      <c r="AC678" s="16" t="s">
        <v>733</v>
      </c>
      <c r="AD678" s="16">
        <v>440546097</v>
      </c>
      <c r="AE678" s="16">
        <v>1518065523</v>
      </c>
      <c r="AF678" s="16"/>
      <c r="AG678" s="16"/>
      <c r="AH678" s="16"/>
      <c r="AI678" s="16" t="s">
        <v>59</v>
      </c>
      <c r="AJ678" s="16" t="s">
        <v>481</v>
      </c>
      <c r="AK678" s="16" t="s">
        <v>6044</v>
      </c>
      <c r="AL678" s="16">
        <v>37483.24</v>
      </c>
      <c r="AM678" s="16"/>
      <c r="AN678" s="16"/>
      <c r="AO678" s="16">
        <v>36</v>
      </c>
      <c r="AP678" s="16" t="s">
        <v>485</v>
      </c>
      <c r="AQ678" s="16" t="s">
        <v>6045</v>
      </c>
      <c r="AR678" s="3">
        <v>46279</v>
      </c>
      <c r="AS678" s="16" t="s">
        <v>59</v>
      </c>
      <c r="AT678" s="16" t="s">
        <v>4364</v>
      </c>
      <c r="AU678" s="16"/>
      <c r="AV678" s="16" t="s">
        <v>1528</v>
      </c>
      <c r="AW678" s="16"/>
      <c r="AX678" s="16"/>
      <c r="AY678" s="16"/>
      <c r="AZ678" s="16"/>
      <c r="BA678" s="16"/>
      <c r="BB678" s="16"/>
      <c r="BC678" s="16"/>
      <c r="BD678" s="16" t="s">
        <v>59</v>
      </c>
      <c r="BE678" s="16">
        <v>33</v>
      </c>
      <c r="BF678" s="16"/>
      <c r="BG678" s="16" t="s">
        <v>490</v>
      </c>
      <c r="BH678" s="16" t="s">
        <v>491</v>
      </c>
      <c r="BI678" s="16">
        <v>499043561</v>
      </c>
      <c r="BJ678" s="16"/>
      <c r="BK678" s="16"/>
      <c r="BL678" s="16"/>
      <c r="BM678" s="16"/>
      <c r="BN678" s="16"/>
      <c r="BO678" s="16"/>
      <c r="BP678" s="16"/>
      <c r="BQ678" s="16"/>
      <c r="BR678" s="16"/>
      <c r="BS678" s="16"/>
      <c r="BT678" s="16"/>
      <c r="BU678" s="16"/>
      <c r="BV678" s="16"/>
      <c r="BW678" s="16"/>
      <c r="BX678" s="16"/>
      <c r="BY678" s="16"/>
      <c r="BZ678" s="16"/>
      <c r="CA678" s="190">
        <v>46280</v>
      </c>
      <c r="CB678" s="3"/>
      <c r="CC678" s="16"/>
      <c r="CD678" s="16"/>
      <c r="CE678" s="16"/>
      <c r="CF678" s="16"/>
      <c r="CG678" s="16"/>
      <c r="CH678" s="16"/>
      <c r="CI678" s="16" t="s">
        <v>6046</v>
      </c>
    </row>
    <row r="679" spans="1:87">
      <c r="A679" s="16" t="s">
        <v>5</v>
      </c>
      <c r="B679" s="16" t="s">
        <v>6047</v>
      </c>
      <c r="C679" s="3">
        <v>46281</v>
      </c>
      <c r="D679" s="16" t="s">
        <v>1</v>
      </c>
      <c r="E679" s="16" t="s">
        <v>6048</v>
      </c>
      <c r="F679" s="16">
        <v>2026226680020</v>
      </c>
      <c r="G679" s="16">
        <v>40</v>
      </c>
      <c r="H679" s="16">
        <v>32</v>
      </c>
      <c r="I679" s="16" t="s">
        <v>460</v>
      </c>
      <c r="J679" s="16" t="s">
        <v>6048</v>
      </c>
      <c r="K679" s="16" t="s">
        <v>1884</v>
      </c>
      <c r="L679" s="16" t="s">
        <v>17</v>
      </c>
      <c r="M679" s="16">
        <v>7</v>
      </c>
      <c r="N679" s="16" t="s">
        <v>462</v>
      </c>
      <c r="O679" s="16" t="s">
        <v>606</v>
      </c>
      <c r="P679" s="16">
        <v>100011569</v>
      </c>
      <c r="Q679" s="16" t="s">
        <v>465</v>
      </c>
      <c r="R679" s="16" t="s">
        <v>466</v>
      </c>
      <c r="S679" s="16" t="s">
        <v>6049</v>
      </c>
      <c r="T679" s="16" t="s">
        <v>928</v>
      </c>
      <c r="U679" s="16">
        <v>46272.720138888886</v>
      </c>
      <c r="V679" s="16" t="s">
        <v>469</v>
      </c>
      <c r="W679" s="16" t="s">
        <v>651</v>
      </c>
      <c r="X679" s="16" t="s">
        <v>652</v>
      </c>
      <c r="Y679" s="16" t="s">
        <v>653</v>
      </c>
      <c r="Z679" s="16" t="s">
        <v>544</v>
      </c>
      <c r="AA679" s="16" t="s">
        <v>474</v>
      </c>
      <c r="AB679" s="16" t="s">
        <v>929</v>
      </c>
      <c r="AC679" s="16" t="s">
        <v>546</v>
      </c>
      <c r="AD679" s="16">
        <v>582613775</v>
      </c>
      <c r="AE679" s="16">
        <v>1821019076</v>
      </c>
      <c r="AF679" s="16">
        <v>1003828179</v>
      </c>
      <c r="AG679" s="16">
        <v>1.0220253155121E+16</v>
      </c>
      <c r="AH679" s="16"/>
      <c r="AI679" s="16" t="s">
        <v>318</v>
      </c>
      <c r="AJ679" s="16" t="s">
        <v>481</v>
      </c>
      <c r="AK679" s="16" t="s">
        <v>6050</v>
      </c>
      <c r="AL679" s="16">
        <v>8138</v>
      </c>
      <c r="AM679" s="16"/>
      <c r="AN679" s="16"/>
      <c r="AO679" s="16">
        <v>100</v>
      </c>
      <c r="AP679" s="16" t="s">
        <v>485</v>
      </c>
      <c r="AQ679" s="16" t="s">
        <v>6051</v>
      </c>
      <c r="AR679" s="3">
        <v>46273</v>
      </c>
      <c r="AS679" s="16" t="s">
        <v>318</v>
      </c>
      <c r="AT679" s="16" t="s">
        <v>6052</v>
      </c>
      <c r="AU679" s="16"/>
      <c r="AV679" s="16" t="s">
        <v>6053</v>
      </c>
      <c r="AW679" s="16"/>
      <c r="AX679" s="16"/>
      <c r="AY679" s="16"/>
      <c r="AZ679" s="16"/>
      <c r="BA679" s="16"/>
      <c r="BB679" s="16"/>
      <c r="BC679" s="16"/>
      <c r="BD679" s="16" t="s">
        <v>318</v>
      </c>
      <c r="BE679" s="16">
        <v>32</v>
      </c>
      <c r="BF679" s="16"/>
      <c r="BG679" s="16"/>
      <c r="BH679" s="16" t="s">
        <v>658</v>
      </c>
      <c r="BI679" s="16">
        <v>100011569</v>
      </c>
      <c r="BJ679" s="16"/>
      <c r="BK679" s="16"/>
      <c r="BL679" s="16"/>
      <c r="BM679" s="16"/>
      <c r="BN679" s="16"/>
      <c r="BO679" s="16"/>
      <c r="BP679" s="16"/>
      <c r="BQ679" s="16"/>
      <c r="BR679" s="16"/>
      <c r="BS679" s="16"/>
      <c r="BT679" s="16"/>
      <c r="BU679" s="16"/>
      <c r="BV679" s="16"/>
      <c r="BW679" s="16"/>
      <c r="BX679" s="16"/>
      <c r="BY679" s="16"/>
      <c r="BZ679" s="16"/>
      <c r="CA679" s="190">
        <v>46280.666666666701</v>
      </c>
      <c r="CB679" s="3"/>
      <c r="CC679" s="16"/>
      <c r="CD679" s="16"/>
      <c r="CE679" s="16"/>
      <c r="CF679" s="16"/>
      <c r="CG679" s="16"/>
      <c r="CH679" s="16"/>
      <c r="CI679" s="16" t="s">
        <v>6054</v>
      </c>
    </row>
    <row r="680" spans="1:87">
      <c r="A680" s="16"/>
      <c r="B680" s="16"/>
      <c r="C680" s="3">
        <v>46281</v>
      </c>
      <c r="D680" s="16" t="s">
        <v>1</v>
      </c>
      <c r="E680" s="16" t="s">
        <v>6055</v>
      </c>
      <c r="F680" s="16">
        <v>2026223270136</v>
      </c>
      <c r="G680" s="16">
        <v>40</v>
      </c>
      <c r="H680" s="16">
        <v>35</v>
      </c>
      <c r="I680" s="16" t="s">
        <v>460</v>
      </c>
      <c r="J680" s="16" t="s">
        <v>6055</v>
      </c>
      <c r="K680" s="16" t="s">
        <v>4716</v>
      </c>
      <c r="L680" s="16" t="s">
        <v>16</v>
      </c>
      <c r="M680" s="16">
        <v>12</v>
      </c>
      <c r="N680" s="16" t="s">
        <v>462</v>
      </c>
      <c r="O680" s="16" t="s">
        <v>4717</v>
      </c>
      <c r="P680" s="16" t="s">
        <v>6056</v>
      </c>
      <c r="Q680" s="16" t="s">
        <v>465</v>
      </c>
      <c r="R680" s="16" t="s">
        <v>466</v>
      </c>
      <c r="S680" s="16" t="s">
        <v>6057</v>
      </c>
      <c r="T680" s="16" t="s">
        <v>6058</v>
      </c>
      <c r="U680" s="16"/>
      <c r="V680" s="16" t="s">
        <v>469</v>
      </c>
      <c r="W680" s="16" t="s">
        <v>470</v>
      </c>
      <c r="X680" s="16" t="s">
        <v>471</v>
      </c>
      <c r="Y680" s="16" t="s">
        <v>628</v>
      </c>
      <c r="Z680" s="16" t="s">
        <v>638</v>
      </c>
      <c r="AA680" s="16" t="s">
        <v>474</v>
      </c>
      <c r="AB680" s="16" t="s">
        <v>6059</v>
      </c>
      <c r="AC680" s="16" t="s">
        <v>465</v>
      </c>
      <c r="AD680" s="16">
        <v>350868132</v>
      </c>
      <c r="AE680" s="16">
        <v>1295772093</v>
      </c>
      <c r="AF680" s="16"/>
      <c r="AG680" s="16"/>
      <c r="AH680" s="16" t="s">
        <v>1076</v>
      </c>
      <c r="AI680" s="16" t="s">
        <v>206</v>
      </c>
      <c r="AJ680" s="16" t="s">
        <v>481</v>
      </c>
      <c r="AK680" s="16" t="s">
        <v>6060</v>
      </c>
      <c r="AL680" s="16">
        <v>57036.800000000003</v>
      </c>
      <c r="AM680" s="16"/>
      <c r="AN680" s="16"/>
      <c r="AO680" s="16">
        <v>947</v>
      </c>
      <c r="AP680" s="16" t="s">
        <v>485</v>
      </c>
      <c r="AQ680" s="16" t="s">
        <v>6061</v>
      </c>
      <c r="AR680" s="3">
        <v>46268</v>
      </c>
      <c r="AS680" s="16" t="s">
        <v>1076</v>
      </c>
      <c r="AT680" s="16" t="s">
        <v>1819</v>
      </c>
      <c r="AU680" s="16"/>
      <c r="AV680" s="16" t="s">
        <v>6062</v>
      </c>
      <c r="AW680" s="16"/>
      <c r="AX680" s="16"/>
      <c r="AY680" s="16"/>
      <c r="AZ680" s="16"/>
      <c r="BA680" s="16"/>
      <c r="BB680" s="16"/>
      <c r="BC680" s="16"/>
      <c r="BD680" s="16" t="s">
        <v>206</v>
      </c>
      <c r="BE680" s="16">
        <v>34</v>
      </c>
      <c r="BF680" s="16"/>
      <c r="BG680" s="16"/>
      <c r="BH680" s="16" t="s">
        <v>491</v>
      </c>
      <c r="BI680" s="16">
        <v>309116428</v>
      </c>
      <c r="BJ680" s="16"/>
      <c r="BK680" s="16"/>
      <c r="BL680" s="16"/>
      <c r="BM680" s="16"/>
      <c r="BN680" s="16"/>
      <c r="BO680" s="16"/>
      <c r="BP680" s="16"/>
      <c r="BQ680" s="16"/>
      <c r="BR680" s="16"/>
      <c r="BS680" s="16"/>
      <c r="BT680" s="16"/>
      <c r="BU680" s="16"/>
      <c r="BV680" s="16"/>
      <c r="BW680" s="16"/>
      <c r="BX680" s="16"/>
      <c r="BY680" s="16"/>
      <c r="BZ680" s="16"/>
      <c r="CA680" s="190">
        <v>46280</v>
      </c>
      <c r="CB680" s="3"/>
      <c r="CC680" s="16"/>
      <c r="CD680" s="16"/>
      <c r="CE680" s="16"/>
      <c r="CF680" s="16"/>
      <c r="CG680" s="16"/>
      <c r="CH680" s="16"/>
      <c r="CI680" s="16" t="s">
        <v>6063</v>
      </c>
    </row>
    <row r="681" spans="1:87">
      <c r="A681" s="16" t="s">
        <v>5</v>
      </c>
      <c r="B681" s="16" t="s">
        <v>6064</v>
      </c>
      <c r="C681" s="3">
        <v>46281</v>
      </c>
      <c r="D681" s="16" t="s">
        <v>1</v>
      </c>
      <c r="E681" s="16" t="s">
        <v>6065</v>
      </c>
      <c r="F681" s="16">
        <v>2026225950234</v>
      </c>
      <c r="G681" s="16">
        <v>40</v>
      </c>
      <c r="H681" s="16">
        <v>33</v>
      </c>
      <c r="I681" s="16" t="s">
        <v>460</v>
      </c>
      <c r="J681" s="16" t="s">
        <v>6065</v>
      </c>
      <c r="K681" s="16" t="s">
        <v>1348</v>
      </c>
      <c r="L681" s="16" t="s">
        <v>17</v>
      </c>
      <c r="M681" s="16">
        <v>11</v>
      </c>
      <c r="N681" s="16" t="s">
        <v>462</v>
      </c>
      <c r="O681" s="16" t="s">
        <v>606</v>
      </c>
      <c r="P681" s="16" t="s">
        <v>6066</v>
      </c>
      <c r="Q681" s="16" t="s">
        <v>465</v>
      </c>
      <c r="R681" s="16" t="s">
        <v>466</v>
      </c>
      <c r="S681" s="16" t="s">
        <v>6067</v>
      </c>
      <c r="T681" s="16">
        <v>210016</v>
      </c>
      <c r="U681" s="16">
        <v>46268.94027777778</v>
      </c>
      <c r="V681" s="16" t="s">
        <v>469</v>
      </c>
      <c r="W681" s="16" t="s">
        <v>568</v>
      </c>
      <c r="X681" s="16" t="s">
        <v>471</v>
      </c>
      <c r="Y681" s="16" t="s">
        <v>1724</v>
      </c>
      <c r="Z681" s="16" t="s">
        <v>473</v>
      </c>
      <c r="AA681" s="16" t="s">
        <v>474</v>
      </c>
      <c r="AB681" s="16" t="s">
        <v>6068</v>
      </c>
      <c r="AC681" s="16" t="s">
        <v>476</v>
      </c>
      <c r="AD681" s="16">
        <v>391975482</v>
      </c>
      <c r="AE681" s="16">
        <v>1750736120</v>
      </c>
      <c r="AF681" s="16">
        <v>1750532917</v>
      </c>
      <c r="AG681" s="16"/>
      <c r="AH681" s="16"/>
      <c r="AI681" s="16" t="s">
        <v>267</v>
      </c>
      <c r="AJ681" s="16" t="s">
        <v>481</v>
      </c>
      <c r="AK681" s="16" t="s">
        <v>6069</v>
      </c>
      <c r="AL681" s="16">
        <v>13637</v>
      </c>
      <c r="AM681" s="16"/>
      <c r="AN681" s="16"/>
      <c r="AO681" s="16">
        <v>961</v>
      </c>
      <c r="AP681" s="16" t="s">
        <v>485</v>
      </c>
      <c r="AQ681" s="16" t="s">
        <v>6070</v>
      </c>
      <c r="AR681" s="3">
        <v>46269</v>
      </c>
      <c r="AS681" s="16" t="s">
        <v>267</v>
      </c>
      <c r="AT681" s="16" t="s">
        <v>976</v>
      </c>
      <c r="AU681" s="16"/>
      <c r="AV681" s="16" t="s">
        <v>6071</v>
      </c>
      <c r="AW681" s="16"/>
      <c r="AX681" s="16"/>
      <c r="AY681" s="16"/>
      <c r="AZ681" s="16"/>
      <c r="BA681" s="16"/>
      <c r="BB681" s="16"/>
      <c r="BC681" s="16"/>
      <c r="BD681" s="16" t="s">
        <v>267</v>
      </c>
      <c r="BE681" s="16">
        <v>33</v>
      </c>
      <c r="BF681" s="16"/>
      <c r="BG681" s="16" t="s">
        <v>490</v>
      </c>
      <c r="BH681" s="16" t="s">
        <v>491</v>
      </c>
      <c r="BI681" s="16">
        <v>395966299</v>
      </c>
      <c r="BJ681" s="16"/>
      <c r="BK681" s="16"/>
      <c r="BL681" s="16"/>
      <c r="BM681" s="16"/>
      <c r="BN681" s="16"/>
      <c r="BO681" s="16"/>
      <c r="BP681" s="16"/>
      <c r="BQ681" s="16"/>
      <c r="BR681" s="16"/>
      <c r="BS681" s="16"/>
      <c r="BT681" s="16"/>
      <c r="BU681" s="16"/>
      <c r="BV681" s="16"/>
      <c r="BW681" s="16"/>
      <c r="BX681" s="16"/>
      <c r="BY681" s="16"/>
      <c r="BZ681" s="16"/>
      <c r="CA681" s="190">
        <v>46285.666666666701</v>
      </c>
      <c r="CB681" s="3"/>
      <c r="CC681" s="16"/>
      <c r="CD681" s="16"/>
      <c r="CE681" s="16"/>
      <c r="CF681" s="16"/>
      <c r="CG681" s="16"/>
      <c r="CH681" s="16"/>
      <c r="CI681" s="16" t="s">
        <v>6072</v>
      </c>
    </row>
    <row r="682" spans="1:87">
      <c r="A682" s="16"/>
      <c r="B682" s="16"/>
      <c r="C682" s="3">
        <v>46281</v>
      </c>
      <c r="D682" s="16" t="s">
        <v>1</v>
      </c>
      <c r="E682" s="16" t="s">
        <v>6073</v>
      </c>
      <c r="F682" s="16">
        <v>2026227090237</v>
      </c>
      <c r="G682" s="16">
        <v>40</v>
      </c>
      <c r="H682" s="16">
        <v>31</v>
      </c>
      <c r="I682" s="16" t="s">
        <v>460</v>
      </c>
      <c r="J682" s="16" t="s">
        <v>6073</v>
      </c>
      <c r="K682" s="16" t="s">
        <v>691</v>
      </c>
      <c r="L682" s="16" t="s">
        <v>13</v>
      </c>
      <c r="M682" s="16">
        <v>4</v>
      </c>
      <c r="N682" s="16" t="s">
        <v>462</v>
      </c>
      <c r="O682" s="16" t="s">
        <v>606</v>
      </c>
      <c r="P682" s="16" t="s">
        <v>6074</v>
      </c>
      <c r="Q682" s="16" t="s">
        <v>465</v>
      </c>
      <c r="R682" s="16" t="s">
        <v>466</v>
      </c>
      <c r="S682" s="16" t="s">
        <v>6075</v>
      </c>
      <c r="T682" s="16">
        <v>230039</v>
      </c>
      <c r="U682" s="16">
        <v>46275.938194444447</v>
      </c>
      <c r="V682" s="16" t="s">
        <v>469</v>
      </c>
      <c r="W682" s="16" t="s">
        <v>568</v>
      </c>
      <c r="X682" s="16" t="s">
        <v>471</v>
      </c>
      <c r="Y682" s="16" t="s">
        <v>1724</v>
      </c>
      <c r="Z682" s="16" t="s">
        <v>731</v>
      </c>
      <c r="AA682" s="16" t="s">
        <v>474</v>
      </c>
      <c r="AB682" s="16" t="s">
        <v>6076</v>
      </c>
      <c r="AC682" s="16" t="s">
        <v>592</v>
      </c>
      <c r="AD682" s="16">
        <v>841415470</v>
      </c>
      <c r="AE682" s="16">
        <v>1952327835</v>
      </c>
      <c r="AF682" s="16">
        <v>1831327865</v>
      </c>
      <c r="AG682" s="16"/>
      <c r="AH682" s="16"/>
      <c r="AI682" s="16" t="s">
        <v>128</v>
      </c>
      <c r="AJ682" s="16" t="s">
        <v>481</v>
      </c>
      <c r="AK682" s="16" t="s">
        <v>6077</v>
      </c>
      <c r="AL682" s="16">
        <v>28732</v>
      </c>
      <c r="AM682" s="16"/>
      <c r="AN682" s="16"/>
      <c r="AO682" s="16">
        <v>353</v>
      </c>
      <c r="AP682" s="16" t="s">
        <v>485</v>
      </c>
      <c r="AQ682" s="16" t="s">
        <v>6078</v>
      </c>
      <c r="AR682" s="3">
        <v>46276</v>
      </c>
      <c r="AS682" s="16" t="s">
        <v>128</v>
      </c>
      <c r="AT682" s="16" t="s">
        <v>695</v>
      </c>
      <c r="AU682" s="16"/>
      <c r="AV682" s="16" t="s">
        <v>6079</v>
      </c>
      <c r="AW682" s="16"/>
      <c r="AX682" s="16"/>
      <c r="AY682" s="16"/>
      <c r="AZ682" s="16"/>
      <c r="BA682" s="16"/>
      <c r="BB682" s="16"/>
      <c r="BC682" s="16"/>
      <c r="BD682" s="16" t="s">
        <v>128</v>
      </c>
      <c r="BE682" s="16">
        <v>31</v>
      </c>
      <c r="BF682" s="16"/>
      <c r="BG682" s="16"/>
      <c r="BH682" s="16" t="s">
        <v>491</v>
      </c>
      <c r="BI682" s="16">
        <v>54529818</v>
      </c>
      <c r="BJ682" s="16"/>
      <c r="BK682" s="16"/>
      <c r="BL682" s="16"/>
      <c r="BM682" s="16"/>
      <c r="BN682" s="16"/>
      <c r="BO682" s="16"/>
      <c r="BP682" s="16"/>
      <c r="BQ682" s="16"/>
      <c r="BR682" s="16"/>
      <c r="BS682" s="16"/>
      <c r="BT682" s="16"/>
      <c r="BU682" s="16"/>
      <c r="BV682" s="16"/>
      <c r="BW682" s="16"/>
      <c r="BX682" s="16"/>
      <c r="BY682" s="16"/>
      <c r="BZ682" s="16"/>
      <c r="CA682" s="190">
        <v>46280</v>
      </c>
      <c r="CB682" s="3"/>
      <c r="CC682" s="16"/>
      <c r="CD682" s="16"/>
      <c r="CE682" s="16"/>
      <c r="CF682" s="16"/>
      <c r="CG682" s="16"/>
      <c r="CH682" s="16"/>
      <c r="CI682" s="16" t="s">
        <v>6080</v>
      </c>
    </row>
    <row r="683" spans="1:87">
      <c r="A683" s="16"/>
      <c r="B683" s="16"/>
      <c r="C683" s="3">
        <v>46281</v>
      </c>
      <c r="D683" s="16" t="s">
        <v>1</v>
      </c>
      <c r="E683" s="16" t="s">
        <v>6081</v>
      </c>
      <c r="F683" s="16">
        <v>2026225380176</v>
      </c>
      <c r="G683" s="16">
        <v>40</v>
      </c>
      <c r="H683" s="16">
        <v>33</v>
      </c>
      <c r="I683" s="16" t="s">
        <v>460</v>
      </c>
      <c r="J683" s="16" t="s">
        <v>6081</v>
      </c>
      <c r="K683" s="16" t="s">
        <v>1083</v>
      </c>
      <c r="L683" s="16" t="s">
        <v>17</v>
      </c>
      <c r="M683" s="16">
        <v>11</v>
      </c>
      <c r="N683" s="16" t="s">
        <v>462</v>
      </c>
      <c r="O683" s="16" t="s">
        <v>606</v>
      </c>
      <c r="P683" s="16">
        <v>135306222</v>
      </c>
      <c r="Q683" s="16" t="s">
        <v>465</v>
      </c>
      <c r="R683" s="16" t="s">
        <v>466</v>
      </c>
      <c r="S683" s="16" t="s">
        <v>6082</v>
      </c>
      <c r="T683" s="16" t="s">
        <v>928</v>
      </c>
      <c r="U683" s="16">
        <v>46268.899305555555</v>
      </c>
      <c r="V683" s="16" t="s">
        <v>469</v>
      </c>
      <c r="W683" s="16" t="s">
        <v>651</v>
      </c>
      <c r="X683" s="16" t="s">
        <v>652</v>
      </c>
      <c r="Y683" s="16" t="s">
        <v>653</v>
      </c>
      <c r="Z683" s="16" t="s">
        <v>544</v>
      </c>
      <c r="AA683" s="16" t="s">
        <v>474</v>
      </c>
      <c r="AB683" s="16" t="s">
        <v>929</v>
      </c>
      <c r="AC683" s="16" t="s">
        <v>546</v>
      </c>
      <c r="AD683" s="16">
        <v>611665353</v>
      </c>
      <c r="AE683" s="16">
        <v>1437493467</v>
      </c>
      <c r="AF683" s="16">
        <v>1356729982</v>
      </c>
      <c r="AG683" s="16">
        <v>1.02202534411936E+16</v>
      </c>
      <c r="AH683" s="16"/>
      <c r="AI683" s="16" t="s">
        <v>48</v>
      </c>
      <c r="AJ683" s="16" t="s">
        <v>481</v>
      </c>
      <c r="AK683" s="16" t="s">
        <v>6083</v>
      </c>
      <c r="AL683" s="16">
        <v>5254.96</v>
      </c>
      <c r="AM683" s="16"/>
      <c r="AN683" s="16"/>
      <c r="AO683" s="16">
        <v>135</v>
      </c>
      <c r="AP683" s="16" t="s">
        <v>485</v>
      </c>
      <c r="AQ683" s="16" t="s">
        <v>6084</v>
      </c>
      <c r="AR683" s="3">
        <v>46269</v>
      </c>
      <c r="AS683" s="16" t="s">
        <v>48</v>
      </c>
      <c r="AT683" s="16" t="s">
        <v>516</v>
      </c>
      <c r="AU683" s="16"/>
      <c r="AV683" s="16" t="s">
        <v>6085</v>
      </c>
      <c r="AW683" s="16"/>
      <c r="AX683" s="16"/>
      <c r="AY683" s="16"/>
      <c r="AZ683" s="16"/>
      <c r="BA683" s="16"/>
      <c r="BB683" s="16"/>
      <c r="BC683" s="16"/>
      <c r="BD683" s="16" t="s">
        <v>48</v>
      </c>
      <c r="BE683" s="16">
        <v>33</v>
      </c>
      <c r="BF683" s="16"/>
      <c r="BG683" s="16" t="s">
        <v>490</v>
      </c>
      <c r="BH683" s="16" t="s">
        <v>658</v>
      </c>
      <c r="BI683" s="16">
        <v>135306222</v>
      </c>
      <c r="BJ683" s="16"/>
      <c r="BK683" s="16"/>
      <c r="BL683" s="16"/>
      <c r="BM683" s="16"/>
      <c r="BN683" s="16"/>
      <c r="BO683" s="16"/>
      <c r="BP683" s="16"/>
      <c r="BQ683" s="16"/>
      <c r="BR683" s="16"/>
      <c r="BS683" s="16"/>
      <c r="BT683" s="16"/>
      <c r="BU683" s="16"/>
      <c r="BV683" s="16"/>
      <c r="BW683" s="16"/>
      <c r="BX683" s="16"/>
      <c r="BY683" s="16"/>
      <c r="BZ683" s="16"/>
      <c r="CA683" s="190">
        <v>46280</v>
      </c>
      <c r="CB683" s="3"/>
      <c r="CC683" s="16"/>
      <c r="CD683" s="16"/>
      <c r="CE683" s="16"/>
      <c r="CF683" s="16"/>
      <c r="CG683" s="16"/>
      <c r="CH683" s="16"/>
      <c r="CI683" s="16" t="s">
        <v>6086</v>
      </c>
    </row>
    <row r="684" spans="1:87">
      <c r="A684" s="16"/>
      <c r="B684" s="16"/>
      <c r="C684" s="3">
        <v>46281</v>
      </c>
      <c r="D684" s="16" t="s">
        <v>1</v>
      </c>
      <c r="E684" s="16" t="s">
        <v>6087</v>
      </c>
      <c r="F684" s="16" t="s">
        <v>6088</v>
      </c>
      <c r="G684" s="16">
        <v>40</v>
      </c>
      <c r="H684" s="16">
        <v>33</v>
      </c>
      <c r="I684" s="16" t="s">
        <v>460</v>
      </c>
      <c r="J684" s="16" t="s">
        <v>6087</v>
      </c>
      <c r="K684" s="16" t="s">
        <v>682</v>
      </c>
      <c r="L684" s="16" t="s">
        <v>18</v>
      </c>
      <c r="M684" s="16">
        <v>1</v>
      </c>
      <c r="N684" s="16" t="s">
        <v>462</v>
      </c>
      <c r="O684" s="16" t="s">
        <v>497</v>
      </c>
      <c r="P684" s="16" t="s">
        <v>6089</v>
      </c>
      <c r="Q684" s="16" t="s">
        <v>1055</v>
      </c>
      <c r="R684" s="16" t="s">
        <v>1056</v>
      </c>
      <c r="S684" s="16" t="s">
        <v>6090</v>
      </c>
      <c r="T684" s="16" t="s">
        <v>6091</v>
      </c>
      <c r="U684" s="16">
        <v>46279.009722222225</v>
      </c>
      <c r="V684" s="16" t="s">
        <v>469</v>
      </c>
      <c r="W684" s="16" t="s">
        <v>568</v>
      </c>
      <c r="X684" s="16" t="s">
        <v>471</v>
      </c>
      <c r="Y684" s="16" t="s">
        <v>628</v>
      </c>
      <c r="Z684" s="16" t="s">
        <v>612</v>
      </c>
      <c r="AA684" s="16" t="s">
        <v>1059</v>
      </c>
      <c r="AB684" s="16" t="s">
        <v>6092</v>
      </c>
      <c r="AC684" s="16" t="s">
        <v>526</v>
      </c>
      <c r="AD684" s="16">
        <v>314394942</v>
      </c>
      <c r="AE684" s="16">
        <v>1467484972</v>
      </c>
      <c r="AF684" s="16"/>
      <c r="AG684" s="16"/>
      <c r="AH684" s="16"/>
      <c r="AI684" s="16" t="s">
        <v>19</v>
      </c>
      <c r="AJ684" s="16" t="s">
        <v>481</v>
      </c>
      <c r="AK684" s="16" t="s">
        <v>6093</v>
      </c>
      <c r="AL684" s="16">
        <v>21828.95</v>
      </c>
      <c r="AM684" s="16"/>
      <c r="AN684" s="16"/>
      <c r="AO684" s="16" t="s">
        <v>6094</v>
      </c>
      <c r="AP684" s="16" t="s">
        <v>1063</v>
      </c>
      <c r="AQ684" s="16" t="s">
        <v>6095</v>
      </c>
      <c r="AR684" s="3">
        <v>46279</v>
      </c>
      <c r="AS684" s="16" t="s">
        <v>19</v>
      </c>
      <c r="AT684" s="16" t="s">
        <v>6096</v>
      </c>
      <c r="AU684" s="16"/>
      <c r="AV684" s="16" t="s">
        <v>6097</v>
      </c>
      <c r="AW684" s="16"/>
      <c r="AX684" s="16"/>
      <c r="AY684" s="16"/>
      <c r="AZ684" s="16"/>
      <c r="BA684" s="16"/>
      <c r="BB684" s="16" t="s">
        <v>6098</v>
      </c>
      <c r="BC684" s="16"/>
      <c r="BD684" s="16" t="s">
        <v>19</v>
      </c>
      <c r="BE684" s="16">
        <v>33</v>
      </c>
      <c r="BF684" s="16"/>
      <c r="BG684" s="16" t="s">
        <v>1067</v>
      </c>
      <c r="BH684" s="16" t="s">
        <v>491</v>
      </c>
      <c r="BI684" s="16">
        <v>300625106</v>
      </c>
      <c r="BJ684" s="16"/>
      <c r="BK684" s="16"/>
      <c r="BL684" s="16"/>
      <c r="BM684" s="16"/>
      <c r="BN684" s="16"/>
      <c r="BO684" s="16"/>
      <c r="BP684" s="16"/>
      <c r="BQ684" s="16"/>
      <c r="BR684" s="16"/>
      <c r="BS684" s="16"/>
      <c r="BT684" s="16"/>
      <c r="BU684" s="16"/>
      <c r="BV684" s="16"/>
      <c r="BW684" s="16"/>
      <c r="BX684" s="16"/>
      <c r="BY684" s="16"/>
      <c r="BZ684" s="16"/>
      <c r="CA684" s="190">
        <v>46280</v>
      </c>
      <c r="CB684" s="3"/>
      <c r="CC684" s="16"/>
      <c r="CD684" s="16"/>
      <c r="CE684" s="16"/>
      <c r="CF684" s="16"/>
      <c r="CG684" s="16"/>
      <c r="CH684" s="16"/>
      <c r="CI684" s="16" t="s">
        <v>6099</v>
      </c>
    </row>
    <row r="685" spans="1:87">
      <c r="A685" s="16" t="s">
        <v>4</v>
      </c>
      <c r="B685" s="16" t="s">
        <v>6100</v>
      </c>
      <c r="C685" s="3">
        <v>46281</v>
      </c>
      <c r="D685" s="16" t="s">
        <v>1</v>
      </c>
      <c r="E685" s="16" t="s">
        <v>6101</v>
      </c>
      <c r="F685" s="16">
        <v>2026227740244</v>
      </c>
      <c r="G685" s="16">
        <v>40</v>
      </c>
      <c r="H685" s="16">
        <v>31</v>
      </c>
      <c r="I685" s="16" t="s">
        <v>460</v>
      </c>
      <c r="J685" s="16" t="s">
        <v>6101</v>
      </c>
      <c r="K685" s="16" t="s">
        <v>4812</v>
      </c>
      <c r="L685" s="16" t="s">
        <v>16</v>
      </c>
      <c r="M685" s="16">
        <v>12</v>
      </c>
      <c r="N685" s="16" t="s">
        <v>462</v>
      </c>
      <c r="O685" s="16" t="s">
        <v>4717</v>
      </c>
      <c r="P685" s="16">
        <v>833893024</v>
      </c>
      <c r="Q685" s="16" t="s">
        <v>465</v>
      </c>
      <c r="R685" s="16" t="s">
        <v>466</v>
      </c>
      <c r="S685" s="16" t="s">
        <v>6102</v>
      </c>
      <c r="T685" s="16">
        <v>173324</v>
      </c>
      <c r="U685" s="16"/>
      <c r="V685" s="16" t="s">
        <v>469</v>
      </c>
      <c r="W685" s="16" t="s">
        <v>651</v>
      </c>
      <c r="X685" s="16" t="s">
        <v>652</v>
      </c>
      <c r="Y685" s="16" t="s">
        <v>653</v>
      </c>
      <c r="Z685" s="16" t="s">
        <v>590</v>
      </c>
      <c r="AA685" s="16" t="s">
        <v>474</v>
      </c>
      <c r="AB685" s="16" t="s">
        <v>3283</v>
      </c>
      <c r="AC685" s="16" t="s">
        <v>1932</v>
      </c>
      <c r="AD685" s="16">
        <v>621762537</v>
      </c>
      <c r="AE685" s="16">
        <v>1861439952</v>
      </c>
      <c r="AF685" s="16"/>
      <c r="AG685" s="16">
        <v>2.66202516208562E+16</v>
      </c>
      <c r="AH685" s="16"/>
      <c r="AI685" s="16" t="s">
        <v>82</v>
      </c>
      <c r="AJ685" s="16" t="s">
        <v>481</v>
      </c>
      <c r="AK685" s="16" t="s">
        <v>6103</v>
      </c>
      <c r="AL685" s="16">
        <v>111962</v>
      </c>
      <c r="AM685" s="16"/>
      <c r="AN685" s="16"/>
      <c r="AO685" s="16">
        <v>833</v>
      </c>
      <c r="AP685" s="16" t="s">
        <v>485</v>
      </c>
      <c r="AQ685" s="16" t="s">
        <v>6104</v>
      </c>
      <c r="AR685" s="3">
        <v>46268</v>
      </c>
      <c r="AS685" s="16" t="s">
        <v>82</v>
      </c>
      <c r="AT685" s="16" t="s">
        <v>5966</v>
      </c>
      <c r="AU685" s="16"/>
      <c r="AV685" s="16" t="s">
        <v>4704</v>
      </c>
      <c r="AW685" s="16"/>
      <c r="AX685" s="16"/>
      <c r="AY685" s="16"/>
      <c r="AZ685" s="16"/>
      <c r="BA685" s="16"/>
      <c r="BB685" s="16"/>
      <c r="BC685" s="16"/>
      <c r="BD685" s="16" t="s">
        <v>82</v>
      </c>
      <c r="BE685" s="16">
        <v>31</v>
      </c>
      <c r="BF685" s="16"/>
      <c r="BG685" s="16" t="s">
        <v>490</v>
      </c>
      <c r="BH685" s="16" t="s">
        <v>658</v>
      </c>
      <c r="BI685" s="16">
        <v>833893024</v>
      </c>
      <c r="BJ685" s="16"/>
      <c r="BK685" s="16"/>
      <c r="BL685" s="16"/>
      <c r="BM685" s="16"/>
      <c r="BN685" s="16"/>
      <c r="BO685" s="16"/>
      <c r="BP685" s="16"/>
      <c r="BQ685" s="16"/>
      <c r="BR685" s="16"/>
      <c r="BS685" s="16"/>
      <c r="BT685" s="16"/>
      <c r="BU685" s="16"/>
      <c r="BV685" s="16"/>
      <c r="BW685" s="16"/>
      <c r="BX685" s="16"/>
      <c r="BY685" s="16"/>
      <c r="BZ685" s="16"/>
      <c r="CA685" s="190">
        <v>46286.166666666701</v>
      </c>
      <c r="CB685" s="3"/>
      <c r="CC685" s="16"/>
      <c r="CD685" s="16"/>
      <c r="CE685" s="16"/>
      <c r="CF685" s="16"/>
      <c r="CG685" s="16"/>
      <c r="CH685" s="16"/>
      <c r="CI685" s="16" t="s">
        <v>6105</v>
      </c>
    </row>
    <row r="686" spans="1:87">
      <c r="A686" s="16" t="s">
        <v>4</v>
      </c>
      <c r="B686" s="16" t="s">
        <v>5961</v>
      </c>
      <c r="C686" s="3">
        <v>46281</v>
      </c>
      <c r="D686" s="16" t="s">
        <v>1</v>
      </c>
      <c r="E686" s="16" t="s">
        <v>6106</v>
      </c>
      <c r="F686" s="16">
        <v>2026227170250</v>
      </c>
      <c r="G686" s="16">
        <v>40</v>
      </c>
      <c r="H686" s="16">
        <v>31</v>
      </c>
      <c r="I686" s="16" t="s">
        <v>460</v>
      </c>
      <c r="J686" s="16" t="s">
        <v>6106</v>
      </c>
      <c r="K686" s="16" t="s">
        <v>4812</v>
      </c>
      <c r="L686" s="16" t="s">
        <v>16</v>
      </c>
      <c r="M686" s="16">
        <v>12</v>
      </c>
      <c r="N686" s="16" t="s">
        <v>462</v>
      </c>
      <c r="O686" s="16" t="s">
        <v>4717</v>
      </c>
      <c r="P686" s="16">
        <v>813787334</v>
      </c>
      <c r="Q686" s="16" t="s">
        <v>465</v>
      </c>
      <c r="R686" s="16" t="s">
        <v>466</v>
      </c>
      <c r="S686" s="16" t="s">
        <v>6107</v>
      </c>
      <c r="T686" s="16">
        <v>173328</v>
      </c>
      <c r="U686" s="16"/>
      <c r="V686" s="16" t="s">
        <v>469</v>
      </c>
      <c r="W686" s="16" t="s">
        <v>651</v>
      </c>
      <c r="X686" s="16" t="s">
        <v>652</v>
      </c>
      <c r="Y686" s="16" t="s">
        <v>653</v>
      </c>
      <c r="Z686" s="16" t="s">
        <v>638</v>
      </c>
      <c r="AA686" s="16" t="s">
        <v>474</v>
      </c>
      <c r="AB686" s="16" t="s">
        <v>743</v>
      </c>
      <c r="AC686" s="16" t="s">
        <v>465</v>
      </c>
      <c r="AD686" s="16">
        <v>351963748</v>
      </c>
      <c r="AE686" s="16">
        <v>1306897335</v>
      </c>
      <c r="AF686" s="16"/>
      <c r="AG686" s="16">
        <v>1.31202610532526E+16</v>
      </c>
      <c r="AH686" s="16"/>
      <c r="AI686" s="16" t="s">
        <v>82</v>
      </c>
      <c r="AJ686" s="16" t="s">
        <v>481</v>
      </c>
      <c r="AK686" s="16" t="s">
        <v>6108</v>
      </c>
      <c r="AL686" s="16">
        <v>72563.39</v>
      </c>
      <c r="AM686" s="16"/>
      <c r="AN686" s="16"/>
      <c r="AO686" s="16">
        <v>813</v>
      </c>
      <c r="AP686" s="16" t="s">
        <v>485</v>
      </c>
      <c r="AQ686" s="16" t="s">
        <v>6109</v>
      </c>
      <c r="AR686" s="3">
        <v>46268</v>
      </c>
      <c r="AS686" s="16" t="s">
        <v>82</v>
      </c>
      <c r="AT686" s="16" t="s">
        <v>5966</v>
      </c>
      <c r="AU686" s="16"/>
      <c r="AV686" s="16" t="s">
        <v>6110</v>
      </c>
      <c r="AW686" s="16"/>
      <c r="AX686" s="16"/>
      <c r="AY686" s="16"/>
      <c r="AZ686" s="16"/>
      <c r="BA686" s="16"/>
      <c r="BB686" s="16"/>
      <c r="BC686" s="16"/>
      <c r="BD686" s="16" t="s">
        <v>82</v>
      </c>
      <c r="BE686" s="16">
        <v>31</v>
      </c>
      <c r="BF686" s="16"/>
      <c r="BG686" s="16"/>
      <c r="BH686" s="16" t="s">
        <v>658</v>
      </c>
      <c r="BI686" s="16">
        <v>813787334</v>
      </c>
      <c r="BJ686" s="16"/>
      <c r="BK686" s="16"/>
      <c r="BL686" s="16"/>
      <c r="BM686" s="16"/>
      <c r="BN686" s="16"/>
      <c r="BO686" s="16"/>
      <c r="BP686" s="16"/>
      <c r="BQ686" s="16"/>
      <c r="BR686" s="16"/>
      <c r="BS686" s="16"/>
      <c r="BT686" s="16"/>
      <c r="BU686" s="16"/>
      <c r="BV686" s="16"/>
      <c r="BW686" s="16"/>
      <c r="BX686" s="16"/>
      <c r="BY686" s="16"/>
      <c r="BZ686" s="16"/>
      <c r="CA686" s="190">
        <v>46286.166666666701</v>
      </c>
      <c r="CB686" s="3"/>
      <c r="CC686" s="16"/>
      <c r="CD686" s="16"/>
      <c r="CE686" s="16"/>
      <c r="CF686" s="16"/>
      <c r="CG686" s="16"/>
      <c r="CH686" s="16"/>
      <c r="CI686" s="16" t="s">
        <v>6111</v>
      </c>
    </row>
    <row r="687" spans="1:87">
      <c r="A687" s="16"/>
      <c r="B687" s="16"/>
      <c r="C687" s="3">
        <v>46281</v>
      </c>
      <c r="D687" s="16" t="s">
        <v>1</v>
      </c>
      <c r="E687" s="16" t="s">
        <v>6112</v>
      </c>
      <c r="F687" s="16">
        <v>2026227230118</v>
      </c>
      <c r="G687" s="16">
        <v>40</v>
      </c>
      <c r="H687" s="16">
        <v>31</v>
      </c>
      <c r="I687" s="16" t="s">
        <v>460</v>
      </c>
      <c r="J687" s="16" t="s">
        <v>6112</v>
      </c>
      <c r="K687" s="16" t="s">
        <v>1813</v>
      </c>
      <c r="L687" s="16" t="s">
        <v>16</v>
      </c>
      <c r="M687" s="16">
        <v>4</v>
      </c>
      <c r="N687" s="16" t="s">
        <v>462</v>
      </c>
      <c r="O687" s="16" t="s">
        <v>497</v>
      </c>
      <c r="P687" s="16"/>
      <c r="Q687" s="16"/>
      <c r="R687" s="16"/>
      <c r="S687" s="16" t="s">
        <v>6113</v>
      </c>
      <c r="T687" s="16">
        <v>170256</v>
      </c>
      <c r="U687" s="16">
        <v>46275.914583333331</v>
      </c>
      <c r="V687" s="16" t="s">
        <v>469</v>
      </c>
      <c r="W687" s="16" t="s">
        <v>568</v>
      </c>
      <c r="X687" s="16" t="s">
        <v>471</v>
      </c>
      <c r="Y687" s="16" t="s">
        <v>628</v>
      </c>
      <c r="Z687" s="16" t="s">
        <v>906</v>
      </c>
      <c r="AA687" s="16" t="s">
        <v>6114</v>
      </c>
      <c r="AB687" s="16"/>
      <c r="AC687" s="16"/>
      <c r="AD687" s="16"/>
      <c r="AE687" s="16"/>
      <c r="AF687" s="16"/>
      <c r="AG687" s="16"/>
      <c r="AH687" s="16" t="s">
        <v>1076</v>
      </c>
      <c r="AI687" s="16" t="s">
        <v>142</v>
      </c>
      <c r="AJ687" s="16" t="s">
        <v>481</v>
      </c>
      <c r="AK687" s="16" t="s">
        <v>6115</v>
      </c>
      <c r="AL687" s="16">
        <v>0</v>
      </c>
      <c r="AM687" s="16"/>
      <c r="AN687" s="16"/>
      <c r="AO687" s="16"/>
      <c r="AP687" s="16" t="s">
        <v>485</v>
      </c>
      <c r="AQ687" s="16" t="s">
        <v>6116</v>
      </c>
      <c r="AR687" s="3">
        <v>46276</v>
      </c>
      <c r="AS687" s="16" t="s">
        <v>142</v>
      </c>
      <c r="AT687" s="16" t="s">
        <v>6117</v>
      </c>
      <c r="AU687" s="16"/>
      <c r="AV687" s="16"/>
      <c r="AW687" s="16"/>
      <c r="AX687" s="16"/>
      <c r="AY687" s="16"/>
      <c r="AZ687" s="16"/>
      <c r="BA687" s="16"/>
      <c r="BB687" s="16"/>
      <c r="BC687" s="16"/>
      <c r="BD687" s="16" t="s">
        <v>142</v>
      </c>
      <c r="BE687" s="16">
        <v>31</v>
      </c>
      <c r="BF687" s="16" t="s">
        <v>6118</v>
      </c>
      <c r="BG687" s="16"/>
      <c r="BH687" s="16"/>
      <c r="BI687" s="16"/>
      <c r="BJ687" s="16"/>
      <c r="BK687" s="16"/>
      <c r="BL687" s="16"/>
      <c r="BM687" s="16"/>
      <c r="BN687" s="16"/>
      <c r="BO687" s="16"/>
      <c r="BP687" s="16"/>
      <c r="BQ687" s="16"/>
      <c r="BR687" s="16"/>
      <c r="BS687" s="16"/>
      <c r="BT687" s="16"/>
      <c r="BU687" s="16"/>
      <c r="BV687" s="16"/>
      <c r="BW687" s="16"/>
      <c r="BX687" s="16"/>
      <c r="BY687" s="16"/>
      <c r="BZ687" s="16"/>
      <c r="CA687" s="190">
        <v>46280</v>
      </c>
      <c r="CB687" s="3"/>
      <c r="CC687" s="16"/>
      <c r="CD687" s="16"/>
      <c r="CE687" s="16"/>
      <c r="CF687" s="16"/>
      <c r="CG687" s="16"/>
      <c r="CH687" s="16"/>
      <c r="CI687" s="16" t="s">
        <v>6119</v>
      </c>
    </row>
    <row r="688" spans="1:87">
      <c r="A688" s="16"/>
      <c r="B688" s="16"/>
      <c r="C688" s="3">
        <v>46281</v>
      </c>
      <c r="D688" s="16" t="s">
        <v>1</v>
      </c>
      <c r="E688" s="16" t="s">
        <v>6120</v>
      </c>
      <c r="F688" s="16">
        <v>2026223320354</v>
      </c>
      <c r="G688" s="16">
        <v>40</v>
      </c>
      <c r="H688" s="16">
        <v>35</v>
      </c>
      <c r="I688" s="16" t="s">
        <v>460</v>
      </c>
      <c r="J688" s="16" t="s">
        <v>6120</v>
      </c>
      <c r="K688" s="16" t="s">
        <v>4716</v>
      </c>
      <c r="L688" s="16" t="s">
        <v>16</v>
      </c>
      <c r="M688" s="16">
        <v>12</v>
      </c>
      <c r="N688" s="16" t="s">
        <v>462</v>
      </c>
      <c r="O688" s="16" t="s">
        <v>4717</v>
      </c>
      <c r="P688" s="16" t="s">
        <v>6121</v>
      </c>
      <c r="Q688" s="16" t="s">
        <v>465</v>
      </c>
      <c r="R688" s="16" t="s">
        <v>466</v>
      </c>
      <c r="S688" s="16" t="s">
        <v>6122</v>
      </c>
      <c r="T688" s="16" t="s">
        <v>6123</v>
      </c>
      <c r="U688" s="16"/>
      <c r="V688" s="16" t="s">
        <v>469</v>
      </c>
      <c r="W688" s="16" t="s">
        <v>568</v>
      </c>
      <c r="X688" s="16" t="s">
        <v>471</v>
      </c>
      <c r="Y688" s="16" t="s">
        <v>628</v>
      </c>
      <c r="Z688" s="16" t="s">
        <v>524</v>
      </c>
      <c r="AA688" s="16" t="s">
        <v>474</v>
      </c>
      <c r="AB688" s="16" t="s">
        <v>6124</v>
      </c>
      <c r="AC688" s="16" t="s">
        <v>526</v>
      </c>
      <c r="AD688" s="16">
        <v>311322863</v>
      </c>
      <c r="AE688" s="16">
        <v>1124127683</v>
      </c>
      <c r="AF688" s="16"/>
      <c r="AG688" s="16"/>
      <c r="AH688" s="16" t="s">
        <v>1076</v>
      </c>
      <c r="AI688" s="16" t="s">
        <v>206</v>
      </c>
      <c r="AJ688" s="16" t="s">
        <v>481</v>
      </c>
      <c r="AK688" s="16" t="s">
        <v>6125</v>
      </c>
      <c r="AL688" s="16">
        <v>2798</v>
      </c>
      <c r="AM688" s="16"/>
      <c r="AN688" s="16"/>
      <c r="AO688" s="16">
        <v>183</v>
      </c>
      <c r="AP688" s="16" t="s">
        <v>485</v>
      </c>
      <c r="AQ688" s="16" t="s">
        <v>6061</v>
      </c>
      <c r="AR688" s="3">
        <v>46268</v>
      </c>
      <c r="AS688" s="16" t="s">
        <v>1076</v>
      </c>
      <c r="AT688" s="16" t="s">
        <v>1819</v>
      </c>
      <c r="AU688" s="16"/>
      <c r="AV688" s="16" t="s">
        <v>5886</v>
      </c>
      <c r="AW688" s="16"/>
      <c r="AX688" s="16"/>
      <c r="AY688" s="16"/>
      <c r="AZ688" s="16"/>
      <c r="BA688" s="16"/>
      <c r="BB688" s="16"/>
      <c r="BC688" s="16"/>
      <c r="BD688" s="16" t="s">
        <v>206</v>
      </c>
      <c r="BE688" s="16">
        <v>34</v>
      </c>
      <c r="BF688" s="16"/>
      <c r="BG688" s="16"/>
      <c r="BH688" s="16" t="s">
        <v>491</v>
      </c>
      <c r="BI688" s="16">
        <v>795120157</v>
      </c>
      <c r="BJ688" s="16"/>
      <c r="BK688" s="16"/>
      <c r="BL688" s="16"/>
      <c r="BM688" s="16"/>
      <c r="BN688" s="16"/>
      <c r="BO688" s="16"/>
      <c r="BP688" s="16"/>
      <c r="BQ688" s="16"/>
      <c r="BR688" s="16"/>
      <c r="BS688" s="16"/>
      <c r="BT688" s="16"/>
      <c r="BU688" s="16"/>
      <c r="BV688" s="16"/>
      <c r="BW688" s="16"/>
      <c r="BX688" s="16"/>
      <c r="BY688" s="16"/>
      <c r="BZ688" s="16"/>
      <c r="CA688" s="190">
        <v>46280</v>
      </c>
      <c r="CB688" s="3"/>
      <c r="CC688" s="16"/>
      <c r="CD688" s="16"/>
      <c r="CE688" s="16"/>
      <c r="CF688" s="16"/>
      <c r="CG688" s="16"/>
      <c r="CH688" s="16"/>
      <c r="CI688" s="16" t="s">
        <v>6126</v>
      </c>
    </row>
    <row r="689" spans="1:87" ht="29.25">
      <c r="A689" s="16" t="s">
        <v>5</v>
      </c>
      <c r="B689" s="25" t="s">
        <v>3707</v>
      </c>
      <c r="C689" s="3">
        <v>46281</v>
      </c>
      <c r="D689" s="16" t="s">
        <v>1</v>
      </c>
      <c r="E689" s="16" t="s">
        <v>6127</v>
      </c>
      <c r="F689" s="16"/>
      <c r="G689" s="16">
        <v>40</v>
      </c>
      <c r="H689" s="16">
        <v>33</v>
      </c>
      <c r="I689" s="16" t="s">
        <v>460</v>
      </c>
      <c r="J689" s="16" t="s">
        <v>6127</v>
      </c>
      <c r="K689" s="16" t="s">
        <v>1555</v>
      </c>
      <c r="L689" s="16" t="s">
        <v>17</v>
      </c>
      <c r="M689" s="16">
        <v>11</v>
      </c>
      <c r="N689" s="16" t="s">
        <v>462</v>
      </c>
      <c r="O689" s="16" t="s">
        <v>606</v>
      </c>
      <c r="P689" s="16">
        <v>998501629</v>
      </c>
      <c r="Q689" s="16" t="s">
        <v>465</v>
      </c>
      <c r="R689" s="16" t="s">
        <v>1056</v>
      </c>
      <c r="S689" s="16" t="s">
        <v>6128</v>
      </c>
      <c r="T689" s="16" t="s">
        <v>2771</v>
      </c>
      <c r="U689" s="16">
        <v>46269.006249999999</v>
      </c>
      <c r="V689" s="16" t="s">
        <v>469</v>
      </c>
      <c r="W689" s="16" t="s">
        <v>651</v>
      </c>
      <c r="X689" s="16" t="s">
        <v>652</v>
      </c>
      <c r="Y689" s="16" t="s">
        <v>653</v>
      </c>
      <c r="Z689" s="16" t="s">
        <v>1338</v>
      </c>
      <c r="AA689" s="16" t="s">
        <v>1354</v>
      </c>
      <c r="AB689" s="16" t="s">
        <v>2772</v>
      </c>
      <c r="AC689" s="16" t="s">
        <v>1429</v>
      </c>
      <c r="AD689" s="16">
        <v>510501263</v>
      </c>
      <c r="AE689" s="16">
        <v>1649209123</v>
      </c>
      <c r="AF689" s="16">
        <v>1649209123</v>
      </c>
      <c r="AG689" s="16">
        <v>6220253651012900</v>
      </c>
      <c r="AH689" s="16"/>
      <c r="AI689" s="16" t="s">
        <v>32</v>
      </c>
      <c r="AJ689" s="16" t="s">
        <v>481</v>
      </c>
      <c r="AK689" s="16" t="s">
        <v>6129</v>
      </c>
      <c r="AL689" s="16">
        <v>245</v>
      </c>
      <c r="AM689" s="16"/>
      <c r="AN689" s="16"/>
      <c r="AO689" s="16">
        <v>998</v>
      </c>
      <c r="AP689" s="16" t="s">
        <v>1063</v>
      </c>
      <c r="AQ689" s="16" t="s">
        <v>6130</v>
      </c>
      <c r="AR689" s="3">
        <v>46269</v>
      </c>
      <c r="AS689" s="16" t="s">
        <v>32</v>
      </c>
      <c r="AT689" s="16" t="s">
        <v>1038</v>
      </c>
      <c r="AU689" s="16"/>
      <c r="AV689" s="16" t="s">
        <v>3712</v>
      </c>
      <c r="AW689" s="16"/>
      <c r="AX689" s="16"/>
      <c r="AY689" s="16"/>
      <c r="AZ689" s="16"/>
      <c r="BA689" s="16"/>
      <c r="BB689" s="16"/>
      <c r="BC689" s="16"/>
      <c r="BD689" s="16" t="s">
        <v>32</v>
      </c>
      <c r="BE689" s="16">
        <v>33</v>
      </c>
      <c r="BF689" s="16"/>
      <c r="BG689" s="16" t="s">
        <v>490</v>
      </c>
      <c r="BH689" s="16" t="s">
        <v>658</v>
      </c>
      <c r="BI689" s="16">
        <v>998501629</v>
      </c>
      <c r="BJ689" s="16"/>
      <c r="BK689" s="16"/>
      <c r="BL689" s="16"/>
      <c r="BM689" s="16"/>
      <c r="BN689" s="16"/>
      <c r="BO689" s="16"/>
      <c r="BP689" s="16"/>
      <c r="BQ689" s="16"/>
      <c r="BR689" s="16"/>
      <c r="BS689" s="16"/>
      <c r="BT689" s="16"/>
      <c r="BU689" s="16"/>
      <c r="BV689" s="16"/>
      <c r="BW689" s="16"/>
      <c r="BX689" s="16"/>
      <c r="BY689" s="16"/>
      <c r="BZ689" s="16"/>
      <c r="CA689" s="190">
        <v>46285.666666666701</v>
      </c>
      <c r="CB689" s="3"/>
      <c r="CC689" s="16"/>
      <c r="CD689" s="16"/>
      <c r="CE689" s="16"/>
      <c r="CF689" s="16"/>
      <c r="CG689" s="16"/>
      <c r="CH689" s="16"/>
      <c r="CI689" s="16" t="s">
        <v>6131</v>
      </c>
    </row>
    <row r="690" spans="1:87">
      <c r="A690" s="16" t="s">
        <v>5</v>
      </c>
      <c r="B690" s="16" t="s">
        <v>1038</v>
      </c>
      <c r="C690" s="3">
        <v>46281</v>
      </c>
      <c r="D690" s="16" t="s">
        <v>1</v>
      </c>
      <c r="E690" s="16" t="s">
        <v>6132</v>
      </c>
      <c r="F690" s="16">
        <v>2026223740395</v>
      </c>
      <c r="G690" s="16">
        <v>40</v>
      </c>
      <c r="H690" s="16">
        <v>35</v>
      </c>
      <c r="I690" s="16" t="s">
        <v>460</v>
      </c>
      <c r="J690" s="16" t="s">
        <v>6132</v>
      </c>
      <c r="K690" s="16" t="s">
        <v>5231</v>
      </c>
      <c r="L690" s="16" t="s">
        <v>17</v>
      </c>
      <c r="M690" s="16">
        <v>8</v>
      </c>
      <c r="N690" s="16" t="s">
        <v>462</v>
      </c>
      <c r="O690" s="16" t="s">
        <v>606</v>
      </c>
      <c r="P690" s="16">
        <v>831303066</v>
      </c>
      <c r="Q690" s="16" t="s">
        <v>465</v>
      </c>
      <c r="R690" s="16" t="s">
        <v>466</v>
      </c>
      <c r="S690" s="16" t="s">
        <v>6133</v>
      </c>
      <c r="T690" s="16" t="s">
        <v>664</v>
      </c>
      <c r="U690" s="16">
        <v>46272.250694444447</v>
      </c>
      <c r="V690" s="16" t="s">
        <v>469</v>
      </c>
      <c r="W690" s="16" t="s">
        <v>651</v>
      </c>
      <c r="X690" s="16" t="s">
        <v>652</v>
      </c>
      <c r="Y690" s="16" t="s">
        <v>653</v>
      </c>
      <c r="Z690" s="16" t="s">
        <v>665</v>
      </c>
      <c r="AA690" s="16" t="s">
        <v>474</v>
      </c>
      <c r="AB690" s="16" t="s">
        <v>666</v>
      </c>
      <c r="AC690" s="16" t="s">
        <v>640</v>
      </c>
      <c r="AD690" s="16">
        <v>135598093</v>
      </c>
      <c r="AE690" s="16">
        <v>1508266347</v>
      </c>
      <c r="AF690" s="16">
        <v>1376749606</v>
      </c>
      <c r="AG690" s="16">
        <v>2.5420252871762E+16</v>
      </c>
      <c r="AH690" s="16"/>
      <c r="AI690" s="16" t="s">
        <v>63</v>
      </c>
      <c r="AJ690" s="16" t="s">
        <v>481</v>
      </c>
      <c r="AK690" s="16" t="s">
        <v>6134</v>
      </c>
      <c r="AL690" s="16">
        <v>8460</v>
      </c>
      <c r="AM690" s="16"/>
      <c r="AN690" s="16"/>
      <c r="AO690" s="16">
        <v>831</v>
      </c>
      <c r="AP690" s="16" t="s">
        <v>485</v>
      </c>
      <c r="AQ690" s="16" t="s">
        <v>6135</v>
      </c>
      <c r="AR690" s="3">
        <v>46272</v>
      </c>
      <c r="AS690" s="16" t="s">
        <v>63</v>
      </c>
      <c r="AT690" s="16" t="s">
        <v>1038</v>
      </c>
      <c r="AU690" s="16"/>
      <c r="AV690" s="16" t="s">
        <v>6136</v>
      </c>
      <c r="AW690" s="16"/>
      <c r="AX690" s="16"/>
      <c r="AY690" s="16"/>
      <c r="AZ690" s="16"/>
      <c r="BA690" s="16"/>
      <c r="BB690" s="16"/>
      <c r="BC690" s="16"/>
      <c r="BD690" s="16" t="s">
        <v>63</v>
      </c>
      <c r="BE690" s="16">
        <v>35</v>
      </c>
      <c r="BF690" s="16"/>
      <c r="BG690" s="16"/>
      <c r="BH690" s="16" t="s">
        <v>658</v>
      </c>
      <c r="BI690" s="16">
        <v>831303066</v>
      </c>
      <c r="BJ690" s="16"/>
      <c r="BK690" s="16"/>
      <c r="BL690" s="16"/>
      <c r="BM690" s="16"/>
      <c r="BN690" s="16"/>
      <c r="BO690" s="16"/>
      <c r="BP690" s="16"/>
      <c r="BQ690" s="16"/>
      <c r="BR690" s="16"/>
      <c r="BS690" s="16"/>
      <c r="BT690" s="16"/>
      <c r="BU690" s="16"/>
      <c r="BV690" s="16"/>
      <c r="BW690" s="16"/>
      <c r="BX690" s="16"/>
      <c r="BY690" s="16"/>
      <c r="BZ690" s="16"/>
      <c r="CA690" s="190">
        <v>46282.666666666701</v>
      </c>
      <c r="CB690" s="3"/>
      <c r="CC690" s="16"/>
      <c r="CD690" s="16"/>
      <c r="CE690" s="16"/>
      <c r="CF690" s="16"/>
      <c r="CG690" s="16"/>
      <c r="CH690" s="16"/>
      <c r="CI690" s="16" t="s">
        <v>6137</v>
      </c>
    </row>
    <row r="691" spans="1:87" ht="29.25">
      <c r="A691" s="16" t="s">
        <v>5</v>
      </c>
      <c r="B691" s="25" t="s">
        <v>3707</v>
      </c>
      <c r="C691" s="3">
        <v>46281</v>
      </c>
      <c r="D691" s="16" t="s">
        <v>1</v>
      </c>
      <c r="E691" s="16" t="s">
        <v>6138</v>
      </c>
      <c r="F691" s="16">
        <v>2026227010060</v>
      </c>
      <c r="G691" s="16">
        <v>40</v>
      </c>
      <c r="H691" s="16">
        <v>31</v>
      </c>
      <c r="I691" s="16" t="s">
        <v>460</v>
      </c>
      <c r="J691" s="16" t="s">
        <v>6138</v>
      </c>
      <c r="K691" s="16" t="s">
        <v>1555</v>
      </c>
      <c r="L691" s="16" t="s">
        <v>17</v>
      </c>
      <c r="M691" s="16">
        <v>7</v>
      </c>
      <c r="N691" s="16" t="s">
        <v>462</v>
      </c>
      <c r="O691" s="16" t="s">
        <v>606</v>
      </c>
      <c r="P691" s="16">
        <v>813691460</v>
      </c>
      <c r="Q691" s="16" t="s">
        <v>465</v>
      </c>
      <c r="R691" s="16" t="s">
        <v>466</v>
      </c>
      <c r="S691" s="16" t="s">
        <v>6139</v>
      </c>
      <c r="T691" s="16" t="s">
        <v>664</v>
      </c>
      <c r="U691" s="16">
        <v>46273.340277777781</v>
      </c>
      <c r="V691" s="16" t="s">
        <v>469</v>
      </c>
      <c r="W691" s="16" t="s">
        <v>651</v>
      </c>
      <c r="X691" s="16" t="s">
        <v>652</v>
      </c>
      <c r="Y691" s="16" t="s">
        <v>653</v>
      </c>
      <c r="Z691" s="16" t="s">
        <v>665</v>
      </c>
      <c r="AA691" s="16" t="s">
        <v>474</v>
      </c>
      <c r="AB691" s="16" t="s">
        <v>666</v>
      </c>
      <c r="AC691" s="16" t="s">
        <v>640</v>
      </c>
      <c r="AD691" s="16">
        <v>135598093</v>
      </c>
      <c r="AE691" s="16">
        <v>1508266347</v>
      </c>
      <c r="AF691" s="16">
        <v>1396372157</v>
      </c>
      <c r="AG691" s="16">
        <v>2.54202529516999E+16</v>
      </c>
      <c r="AH691" s="16"/>
      <c r="AI691" s="16" t="s">
        <v>32</v>
      </c>
      <c r="AJ691" s="16" t="s">
        <v>481</v>
      </c>
      <c r="AK691" s="16" t="s">
        <v>6140</v>
      </c>
      <c r="AL691" s="16">
        <v>18075</v>
      </c>
      <c r="AM691" s="16"/>
      <c r="AN691" s="16"/>
      <c r="AO691" s="16">
        <v>813</v>
      </c>
      <c r="AP691" s="16" t="s">
        <v>485</v>
      </c>
      <c r="AQ691" s="16" t="s">
        <v>6141</v>
      </c>
      <c r="AR691" s="3">
        <v>46273</v>
      </c>
      <c r="AS691" s="16" t="s">
        <v>32</v>
      </c>
      <c r="AT691" s="16" t="s">
        <v>1038</v>
      </c>
      <c r="AU691" s="16"/>
      <c r="AV691" s="16" t="s">
        <v>2471</v>
      </c>
      <c r="AW691" s="16"/>
      <c r="AX691" s="16"/>
      <c r="AY691" s="16"/>
      <c r="AZ691" s="16"/>
      <c r="BA691" s="16"/>
      <c r="BB691" s="16"/>
      <c r="BC691" s="16"/>
      <c r="BD691" s="16" t="s">
        <v>32</v>
      </c>
      <c r="BE691" s="16">
        <v>30</v>
      </c>
      <c r="BF691" s="16"/>
      <c r="BG691" s="16" t="s">
        <v>490</v>
      </c>
      <c r="BH691" s="16" t="s">
        <v>658</v>
      </c>
      <c r="BI691" s="16">
        <v>813691460</v>
      </c>
      <c r="BJ691" s="16"/>
      <c r="BK691" s="16"/>
      <c r="BL691" s="16"/>
      <c r="BM691" s="16"/>
      <c r="BN691" s="16"/>
      <c r="BO691" s="16"/>
      <c r="BP691" s="16"/>
      <c r="BQ691" s="16"/>
      <c r="BR691" s="16"/>
      <c r="BS691" s="16"/>
      <c r="BT691" s="16"/>
      <c r="BU691" s="16"/>
      <c r="BV691" s="16"/>
      <c r="BW691" s="16"/>
      <c r="BX691" s="16"/>
      <c r="BY691" s="16"/>
      <c r="BZ691" s="16"/>
      <c r="CA691" s="190">
        <v>46285.666666666701</v>
      </c>
      <c r="CB691" s="3"/>
      <c r="CC691" s="16"/>
      <c r="CD691" s="16"/>
      <c r="CE691" s="16"/>
      <c r="CF691" s="16"/>
      <c r="CG691" s="16"/>
      <c r="CH691" s="16"/>
      <c r="CI691" s="16" t="s">
        <v>6142</v>
      </c>
    </row>
    <row r="692" spans="1:87" ht="29.25">
      <c r="A692" s="16" t="s">
        <v>5</v>
      </c>
      <c r="B692" s="25" t="s">
        <v>3544</v>
      </c>
      <c r="C692" s="3">
        <v>46281</v>
      </c>
      <c r="D692" s="16" t="s">
        <v>1</v>
      </c>
      <c r="E692" s="16" t="s">
        <v>6143</v>
      </c>
      <c r="F692" s="16">
        <v>2026227490201</v>
      </c>
      <c r="G692" s="16">
        <v>40</v>
      </c>
      <c r="H692" s="16">
        <v>31</v>
      </c>
      <c r="I692" s="16" t="s">
        <v>460</v>
      </c>
      <c r="J692" s="16" t="s">
        <v>6143</v>
      </c>
      <c r="K692" s="16" t="s">
        <v>1555</v>
      </c>
      <c r="L692" s="16" t="s">
        <v>17</v>
      </c>
      <c r="M692" s="16">
        <v>1</v>
      </c>
      <c r="N692" s="16" t="s">
        <v>462</v>
      </c>
      <c r="O692" s="16" t="s">
        <v>497</v>
      </c>
      <c r="P692" s="16" t="s">
        <v>6144</v>
      </c>
      <c r="Q692" s="16" t="s">
        <v>465</v>
      </c>
      <c r="R692" s="16" t="s">
        <v>466</v>
      </c>
      <c r="S692" s="16" t="s">
        <v>6145</v>
      </c>
      <c r="T692" s="16" t="s">
        <v>6146</v>
      </c>
      <c r="U692" s="16">
        <v>46278.964583333334</v>
      </c>
      <c r="V692" s="16" t="s">
        <v>469</v>
      </c>
      <c r="W692" s="16" t="s">
        <v>568</v>
      </c>
      <c r="X692" s="16" t="s">
        <v>471</v>
      </c>
      <c r="Y692" s="16" t="s">
        <v>628</v>
      </c>
      <c r="Z692" s="16" t="s">
        <v>524</v>
      </c>
      <c r="AA692" s="16" t="s">
        <v>474</v>
      </c>
      <c r="AB692" s="16" t="s">
        <v>6147</v>
      </c>
      <c r="AC692" s="16" t="s">
        <v>526</v>
      </c>
      <c r="AD692" s="16">
        <v>340505560</v>
      </c>
      <c r="AE692" s="16">
        <v>1629009964</v>
      </c>
      <c r="AF692" s="16"/>
      <c r="AG692" s="16"/>
      <c r="AH692" s="16"/>
      <c r="AI692" s="16" t="s">
        <v>32</v>
      </c>
      <c r="AJ692" s="16" t="s">
        <v>481</v>
      </c>
      <c r="AK692" s="16" t="s">
        <v>6148</v>
      </c>
      <c r="AL692" s="16">
        <v>1143</v>
      </c>
      <c r="AM692" s="16"/>
      <c r="AN692" s="16"/>
      <c r="AO692" s="16">
        <v>478</v>
      </c>
      <c r="AP692" s="16" t="s">
        <v>485</v>
      </c>
      <c r="AQ692" s="16" t="s">
        <v>6149</v>
      </c>
      <c r="AR692" s="3">
        <v>46279</v>
      </c>
      <c r="AS692" s="16" t="s">
        <v>32</v>
      </c>
      <c r="AT692" s="16" t="s">
        <v>4364</v>
      </c>
      <c r="AU692" s="16"/>
      <c r="AV692" s="16" t="s">
        <v>6150</v>
      </c>
      <c r="AW692" s="16"/>
      <c r="AX692" s="16"/>
      <c r="AY692" s="16"/>
      <c r="AZ692" s="16"/>
      <c r="BA692" s="16"/>
      <c r="BB692" s="16"/>
      <c r="BC692" s="16"/>
      <c r="BD692" s="16" t="s">
        <v>32</v>
      </c>
      <c r="BE692" s="16">
        <v>31</v>
      </c>
      <c r="BF692" s="16"/>
      <c r="BG692" s="16" t="s">
        <v>490</v>
      </c>
      <c r="BH692" s="16" t="s">
        <v>491</v>
      </c>
      <c r="BI692" s="16">
        <v>280969737</v>
      </c>
      <c r="BJ692" s="16"/>
      <c r="BK692" s="16"/>
      <c r="BL692" s="16"/>
      <c r="BM692" s="16"/>
      <c r="BN692" s="16"/>
      <c r="BO692" s="16"/>
      <c r="BP692" s="16"/>
      <c r="BQ692" s="16"/>
      <c r="BR692" s="16"/>
      <c r="BS692" s="16"/>
      <c r="BT692" s="16"/>
      <c r="BU692" s="16"/>
      <c r="BV692" s="16"/>
      <c r="BW692" s="16"/>
      <c r="BX692" s="16"/>
      <c r="BY692" s="16"/>
      <c r="BZ692" s="16"/>
      <c r="CA692" s="190">
        <v>46285.666666666701</v>
      </c>
      <c r="CB692" s="3"/>
      <c r="CC692" s="16"/>
      <c r="CD692" s="16"/>
      <c r="CE692" s="16"/>
      <c r="CF692" s="16"/>
      <c r="CG692" s="16"/>
      <c r="CH692" s="16"/>
      <c r="CI692" s="16" t="s">
        <v>6151</v>
      </c>
    </row>
    <row r="693" spans="1:87">
      <c r="A693" s="16"/>
      <c r="B693" s="16"/>
      <c r="C693" s="3">
        <v>46281</v>
      </c>
      <c r="D693" s="16" t="s">
        <v>1</v>
      </c>
      <c r="E693" s="16" t="s">
        <v>6152</v>
      </c>
      <c r="F693" s="16">
        <v>2026227660216</v>
      </c>
      <c r="G693" s="16">
        <v>40</v>
      </c>
      <c r="H693" s="16">
        <v>31</v>
      </c>
      <c r="I693" s="16" t="s">
        <v>460</v>
      </c>
      <c r="J693" s="16" t="s">
        <v>6152</v>
      </c>
      <c r="K693" s="16" t="s">
        <v>983</v>
      </c>
      <c r="L693" s="16" t="s">
        <v>17</v>
      </c>
      <c r="M693" s="16">
        <v>1</v>
      </c>
      <c r="N693" s="16" t="s">
        <v>462</v>
      </c>
      <c r="O693" s="16" t="s">
        <v>497</v>
      </c>
      <c r="P693" s="16" t="s">
        <v>6153</v>
      </c>
      <c r="Q693" s="16" t="s">
        <v>465</v>
      </c>
      <c r="R693" s="16" t="s">
        <v>466</v>
      </c>
      <c r="S693" s="16" t="s">
        <v>6154</v>
      </c>
      <c r="T693" s="16">
        <v>174656</v>
      </c>
      <c r="U693" s="16">
        <v>46278.713194444441</v>
      </c>
      <c r="V693" s="16" t="s">
        <v>469</v>
      </c>
      <c r="W693" s="16" t="s">
        <v>568</v>
      </c>
      <c r="X693" s="16" t="s">
        <v>471</v>
      </c>
      <c r="Y693" s="16" t="s">
        <v>1724</v>
      </c>
      <c r="Z693" s="16" t="s">
        <v>544</v>
      </c>
      <c r="AA693" s="16" t="s">
        <v>474</v>
      </c>
      <c r="AB693" s="16" t="s">
        <v>6022</v>
      </c>
      <c r="AC693" s="16" t="s">
        <v>546</v>
      </c>
      <c r="AD693" s="16">
        <v>352228583</v>
      </c>
      <c r="AE693" s="16">
        <v>1780643411</v>
      </c>
      <c r="AF693" s="16"/>
      <c r="AG693" s="16"/>
      <c r="AH693" s="16"/>
      <c r="AI693" s="16" t="s">
        <v>34</v>
      </c>
      <c r="AJ693" s="16" t="s">
        <v>481</v>
      </c>
      <c r="AK693" s="16" t="s">
        <v>6155</v>
      </c>
      <c r="AL693" s="16">
        <v>29603.24</v>
      </c>
      <c r="AM693" s="16"/>
      <c r="AN693" s="16"/>
      <c r="AO693" s="16">
        <v>995</v>
      </c>
      <c r="AP693" s="16" t="s">
        <v>485</v>
      </c>
      <c r="AQ693" s="16" t="s">
        <v>6156</v>
      </c>
      <c r="AR693" s="3">
        <v>46279</v>
      </c>
      <c r="AS693" s="16" t="s">
        <v>34</v>
      </c>
      <c r="AT693" s="16" t="s">
        <v>4364</v>
      </c>
      <c r="AU693" s="16"/>
      <c r="AV693" s="16" t="s">
        <v>6157</v>
      </c>
      <c r="AW693" s="16"/>
      <c r="AX693" s="16"/>
      <c r="AY693" s="16"/>
      <c r="AZ693" s="16"/>
      <c r="BA693" s="16"/>
      <c r="BB693" s="16"/>
      <c r="BC693" s="16"/>
      <c r="BD693" s="16" t="s">
        <v>34</v>
      </c>
      <c r="BE693" s="16">
        <v>31</v>
      </c>
      <c r="BF693" s="16"/>
      <c r="BG693" s="16" t="s">
        <v>490</v>
      </c>
      <c r="BH693" s="16" t="s">
        <v>491</v>
      </c>
      <c r="BI693" s="16">
        <v>255357081</v>
      </c>
      <c r="BJ693" s="16"/>
      <c r="BK693" s="16"/>
      <c r="BL693" s="16"/>
      <c r="BM693" s="16"/>
      <c r="BN693" s="16"/>
      <c r="BO693" s="16"/>
      <c r="BP693" s="16"/>
      <c r="BQ693" s="16"/>
      <c r="BR693" s="16"/>
      <c r="BS693" s="16"/>
      <c r="BT693" s="16"/>
      <c r="BU693" s="16"/>
      <c r="BV693" s="16"/>
      <c r="BW693" s="16"/>
      <c r="BX693" s="16"/>
      <c r="BY693" s="16"/>
      <c r="BZ693" s="16"/>
      <c r="CA693" s="190">
        <v>46280</v>
      </c>
      <c r="CB693" s="3"/>
      <c r="CC693" s="16"/>
      <c r="CD693" s="16"/>
      <c r="CE693" s="16"/>
      <c r="CF693" s="16"/>
      <c r="CG693" s="16"/>
      <c r="CH693" s="16"/>
      <c r="CI693" s="16" t="s">
        <v>6158</v>
      </c>
    </row>
    <row r="694" spans="1:87" ht="27.75" customHeight="1">
      <c r="A694" s="16"/>
      <c r="B694" s="16"/>
      <c r="C694" s="3">
        <v>46281</v>
      </c>
      <c r="D694" s="16" t="s">
        <v>1</v>
      </c>
      <c r="E694" s="16" t="s">
        <v>6159</v>
      </c>
      <c r="F694" s="16">
        <v>2026227970425</v>
      </c>
      <c r="G694" s="16">
        <v>40</v>
      </c>
      <c r="H694" s="16">
        <v>31</v>
      </c>
      <c r="I694" s="16" t="s">
        <v>460</v>
      </c>
      <c r="J694" s="16" t="s">
        <v>6159</v>
      </c>
      <c r="K694" s="16" t="s">
        <v>540</v>
      </c>
      <c r="L694" s="16" t="s">
        <v>18</v>
      </c>
      <c r="M694" s="16">
        <v>4</v>
      </c>
      <c r="N694" s="16" t="s">
        <v>462</v>
      </c>
      <c r="O694" s="16" t="s">
        <v>606</v>
      </c>
      <c r="P694" s="16" t="s">
        <v>6160</v>
      </c>
      <c r="Q694" s="16" t="s">
        <v>465</v>
      </c>
      <c r="R694" s="16" t="s">
        <v>466</v>
      </c>
      <c r="S694" s="16" t="s">
        <v>6161</v>
      </c>
      <c r="T694" s="16" t="s">
        <v>6162</v>
      </c>
      <c r="U694" s="16">
        <v>46275.960416666669</v>
      </c>
      <c r="V694" s="16" t="s">
        <v>469</v>
      </c>
      <c r="W694" s="16" t="s">
        <v>470</v>
      </c>
      <c r="X694" s="16" t="s">
        <v>471</v>
      </c>
      <c r="Y694" s="16" t="s">
        <v>523</v>
      </c>
      <c r="Z694" s="16" t="s">
        <v>731</v>
      </c>
      <c r="AA694" s="16" t="s">
        <v>474</v>
      </c>
      <c r="AB694" s="16" t="s">
        <v>6163</v>
      </c>
      <c r="AC694" s="16" t="s">
        <v>733</v>
      </c>
      <c r="AD694" s="16">
        <v>430653611</v>
      </c>
      <c r="AE694" s="16">
        <v>1487694337</v>
      </c>
      <c r="AF694" s="16">
        <v>1518121094</v>
      </c>
      <c r="AG694" s="16"/>
      <c r="AH694" s="16"/>
      <c r="AI694" s="16" t="s">
        <v>31</v>
      </c>
      <c r="AJ694" s="16" t="s">
        <v>481</v>
      </c>
      <c r="AK694" s="16" t="s">
        <v>6164</v>
      </c>
      <c r="AL694" s="16">
        <v>17040</v>
      </c>
      <c r="AM694" s="16"/>
      <c r="AN694" s="16"/>
      <c r="AO694" s="16">
        <v>714</v>
      </c>
      <c r="AP694" s="16" t="s">
        <v>485</v>
      </c>
      <c r="AQ694" s="16" t="s">
        <v>6165</v>
      </c>
      <c r="AR694" s="3">
        <v>46276</v>
      </c>
      <c r="AS694" s="16" t="s">
        <v>31</v>
      </c>
      <c r="AT694" s="16" t="s">
        <v>516</v>
      </c>
      <c r="AU694" s="16"/>
      <c r="AV694" s="16" t="s">
        <v>6166</v>
      </c>
      <c r="AW694" s="16"/>
      <c r="AX694" s="16"/>
      <c r="AY694" s="16"/>
      <c r="AZ694" s="16"/>
      <c r="BA694" s="16"/>
      <c r="BB694" s="16"/>
      <c r="BC694" s="16"/>
      <c r="BD694" s="16" t="s">
        <v>31</v>
      </c>
      <c r="BE694" s="16">
        <v>31</v>
      </c>
      <c r="BF694" s="16"/>
      <c r="BG694" s="16" t="s">
        <v>490</v>
      </c>
      <c r="BH694" s="16" t="s">
        <v>491</v>
      </c>
      <c r="BI694" s="16">
        <v>493042599</v>
      </c>
      <c r="BJ694" s="16"/>
      <c r="BK694" s="16"/>
      <c r="BL694" s="16"/>
      <c r="BM694" s="16"/>
      <c r="BN694" s="16"/>
      <c r="BO694" s="16"/>
      <c r="BP694" s="16"/>
      <c r="BQ694" s="16"/>
      <c r="BR694" s="16"/>
      <c r="BS694" s="16"/>
      <c r="BT694" s="16"/>
      <c r="BU694" s="16"/>
      <c r="BV694" s="16"/>
      <c r="BW694" s="16"/>
      <c r="BX694" s="16"/>
      <c r="BY694" s="16"/>
      <c r="BZ694" s="16"/>
      <c r="CA694" s="190">
        <v>46280</v>
      </c>
      <c r="CB694" s="3"/>
      <c r="CC694" s="16"/>
      <c r="CD694" s="16"/>
      <c r="CE694" s="16"/>
      <c r="CF694" s="16"/>
      <c r="CG694" s="16"/>
      <c r="CH694" s="16"/>
      <c r="CI694" s="16" t="s">
        <v>6167</v>
      </c>
    </row>
    <row r="695" spans="1:87">
      <c r="A695" s="16" t="s">
        <v>5</v>
      </c>
      <c r="B695" s="25" t="s">
        <v>6168</v>
      </c>
      <c r="C695" s="3">
        <v>46281</v>
      </c>
      <c r="D695" s="16" t="s">
        <v>1</v>
      </c>
      <c r="E695" s="16" t="s">
        <v>6169</v>
      </c>
      <c r="F695" s="16">
        <v>2026227640081</v>
      </c>
      <c r="G695" s="16">
        <v>40</v>
      </c>
      <c r="H695" s="16">
        <v>31</v>
      </c>
      <c r="I695" s="16" t="s">
        <v>460</v>
      </c>
      <c r="J695" s="16" t="s">
        <v>6169</v>
      </c>
      <c r="K695" s="16" t="s">
        <v>585</v>
      </c>
      <c r="L695" s="16" t="s">
        <v>17</v>
      </c>
      <c r="M695" s="16">
        <v>7</v>
      </c>
      <c r="N695" s="16" t="s">
        <v>462</v>
      </c>
      <c r="O695" s="16" t="s">
        <v>606</v>
      </c>
      <c r="P695" s="16">
        <v>158382</v>
      </c>
      <c r="Q695" s="16" t="s">
        <v>465</v>
      </c>
      <c r="R695" s="16" t="s">
        <v>466</v>
      </c>
      <c r="S695" s="16" t="s">
        <v>6170</v>
      </c>
      <c r="T695" s="16" t="s">
        <v>664</v>
      </c>
      <c r="U695" s="16">
        <v>46272.946527777778</v>
      </c>
      <c r="V695" s="16" t="s">
        <v>469</v>
      </c>
      <c r="W695" s="16" t="s">
        <v>651</v>
      </c>
      <c r="X695" s="16" t="s">
        <v>652</v>
      </c>
      <c r="Y695" s="16" t="s">
        <v>653</v>
      </c>
      <c r="Z695" s="16" t="s">
        <v>665</v>
      </c>
      <c r="AA695" s="16" t="s">
        <v>474</v>
      </c>
      <c r="AB695" s="16" t="s">
        <v>666</v>
      </c>
      <c r="AC695" s="16" t="s">
        <v>640</v>
      </c>
      <c r="AD695" s="16">
        <v>135598093</v>
      </c>
      <c r="AE695" s="16">
        <v>1508266347</v>
      </c>
      <c r="AF695" s="16">
        <v>1518702653</v>
      </c>
      <c r="AG695" s="16">
        <v>2.54202534646347E+16</v>
      </c>
      <c r="AH695" s="16"/>
      <c r="AI695" s="16" t="s">
        <v>22</v>
      </c>
      <c r="AJ695" s="16" t="s">
        <v>481</v>
      </c>
      <c r="AK695" s="16" t="s">
        <v>6171</v>
      </c>
      <c r="AL695" s="16">
        <v>27330</v>
      </c>
      <c r="AM695" s="16"/>
      <c r="AN695" s="16"/>
      <c r="AO695" s="16">
        <v>0</v>
      </c>
      <c r="AP695" s="16" t="s">
        <v>485</v>
      </c>
      <c r="AQ695" s="16" t="s">
        <v>6172</v>
      </c>
      <c r="AR695" s="3">
        <v>46273</v>
      </c>
      <c r="AS695" s="16" t="s">
        <v>22</v>
      </c>
      <c r="AT695" s="16" t="s">
        <v>6168</v>
      </c>
      <c r="AU695" s="16"/>
      <c r="AV695" s="16" t="s">
        <v>6173</v>
      </c>
      <c r="AW695" s="16"/>
      <c r="AX695" s="16"/>
      <c r="AY695" s="16"/>
      <c r="AZ695" s="16"/>
      <c r="BA695" s="16"/>
      <c r="BB695" s="16"/>
      <c r="BC695" s="16"/>
      <c r="BD695" s="16" t="s">
        <v>22</v>
      </c>
      <c r="BE695" s="16">
        <v>31</v>
      </c>
      <c r="BF695" s="16"/>
      <c r="BG695" s="16" t="s">
        <v>490</v>
      </c>
      <c r="BH695" s="16" t="s">
        <v>658</v>
      </c>
      <c r="BI695" s="16">
        <v>158382</v>
      </c>
      <c r="BJ695" s="16"/>
      <c r="BK695" s="16"/>
      <c r="BL695" s="16"/>
      <c r="BM695" s="16"/>
      <c r="BN695" s="16"/>
      <c r="BO695" s="16"/>
      <c r="BP695" s="16"/>
      <c r="BQ695" s="16"/>
      <c r="BR695" s="16"/>
      <c r="BS695" s="16"/>
      <c r="BT695" s="16"/>
      <c r="BU695" s="16"/>
      <c r="BV695" s="16"/>
      <c r="BW695" s="16"/>
      <c r="BX695" s="16"/>
      <c r="BY695" s="16"/>
      <c r="BZ695" s="16"/>
      <c r="CA695" s="190">
        <v>46285.166666666701</v>
      </c>
      <c r="CB695" s="3"/>
      <c r="CC695" s="16"/>
      <c r="CD695" s="16"/>
      <c r="CE695" s="16"/>
      <c r="CF695" s="16"/>
      <c r="CG695" s="16"/>
      <c r="CH695" s="16"/>
      <c r="CI695" s="16" t="s">
        <v>6174</v>
      </c>
    </row>
    <row r="696" spans="1:87">
      <c r="A696" s="16" t="s">
        <v>5</v>
      </c>
      <c r="B696" s="16" t="s">
        <v>606</v>
      </c>
      <c r="C696" s="3">
        <v>46281</v>
      </c>
      <c r="D696" s="16" t="s">
        <v>1</v>
      </c>
      <c r="E696" s="16" t="s">
        <v>6175</v>
      </c>
      <c r="F696" s="16"/>
      <c r="G696" s="16">
        <v>40</v>
      </c>
      <c r="H696" s="16">
        <v>33</v>
      </c>
      <c r="I696" s="16" t="s">
        <v>460</v>
      </c>
      <c r="J696" s="16" t="s">
        <v>6175</v>
      </c>
      <c r="K696" s="16" t="s">
        <v>496</v>
      </c>
      <c r="L696" s="16" t="s">
        <v>17</v>
      </c>
      <c r="M696" s="16">
        <v>11</v>
      </c>
      <c r="N696" s="16" t="s">
        <v>462</v>
      </c>
      <c r="O696" s="16" t="s">
        <v>606</v>
      </c>
      <c r="P696" s="16">
        <v>4220950</v>
      </c>
      <c r="Q696" s="16" t="s">
        <v>1055</v>
      </c>
      <c r="R696" s="16" t="s">
        <v>1350</v>
      </c>
      <c r="S696" s="16" t="s">
        <v>6176</v>
      </c>
      <c r="T696" s="16" t="s">
        <v>928</v>
      </c>
      <c r="U696" s="16">
        <v>46269.429861111108</v>
      </c>
      <c r="V696" s="16" t="s">
        <v>469</v>
      </c>
      <c r="W696" s="16" t="s">
        <v>651</v>
      </c>
      <c r="X696" s="16" t="s">
        <v>652</v>
      </c>
      <c r="Y696" s="16" t="s">
        <v>653</v>
      </c>
      <c r="Z696" s="16" t="s">
        <v>544</v>
      </c>
      <c r="AA696" s="16" t="s">
        <v>1354</v>
      </c>
      <c r="AB696" s="16" t="s">
        <v>929</v>
      </c>
      <c r="AC696" s="16" t="s">
        <v>546</v>
      </c>
      <c r="AD696" s="16">
        <v>262806740</v>
      </c>
      <c r="AE696" s="16">
        <v>1093740615</v>
      </c>
      <c r="AF696" s="16">
        <v>1265421309</v>
      </c>
      <c r="AG696" s="16">
        <v>1.02202531700442E+16</v>
      </c>
      <c r="AH696" s="16"/>
      <c r="AI696" s="16" t="s">
        <v>91</v>
      </c>
      <c r="AJ696" s="16" t="s">
        <v>481</v>
      </c>
      <c r="AK696" s="16" t="s">
        <v>6177</v>
      </c>
      <c r="AL696" s="16">
        <v>3512.5</v>
      </c>
      <c r="AM696" s="16"/>
      <c r="AN696" s="16"/>
      <c r="AO696" s="16">
        <v>4</v>
      </c>
      <c r="AP696" s="16" t="s">
        <v>485</v>
      </c>
      <c r="AQ696" s="16" t="s">
        <v>6178</v>
      </c>
      <c r="AR696" s="3">
        <v>46269</v>
      </c>
      <c r="AS696" s="16" t="s">
        <v>91</v>
      </c>
      <c r="AT696" s="16" t="s">
        <v>516</v>
      </c>
      <c r="AU696" s="16"/>
      <c r="AV696" s="16" t="s">
        <v>6179</v>
      </c>
      <c r="AW696" s="16"/>
      <c r="AX696" s="16"/>
      <c r="AY696" s="16"/>
      <c r="AZ696" s="16"/>
      <c r="BA696" s="16"/>
      <c r="BB696" s="16"/>
      <c r="BC696" s="16"/>
      <c r="BD696" s="16" t="s">
        <v>91</v>
      </c>
      <c r="BE696" s="16">
        <v>33</v>
      </c>
      <c r="BF696" s="16"/>
      <c r="BG696" s="16"/>
      <c r="BH696" s="16" t="s">
        <v>658</v>
      </c>
      <c r="BI696" s="16">
        <v>4220950</v>
      </c>
      <c r="BJ696" s="16"/>
      <c r="BK696" s="16"/>
      <c r="BL696" s="16"/>
      <c r="BM696" s="16"/>
      <c r="BN696" s="16"/>
      <c r="BO696" s="16"/>
      <c r="BP696" s="16"/>
      <c r="BQ696" s="16"/>
      <c r="BR696" s="16"/>
      <c r="BS696" s="16"/>
      <c r="BT696" s="16"/>
      <c r="BU696" s="16"/>
      <c r="BV696" s="16"/>
      <c r="BW696" s="16"/>
      <c r="BX696" s="16"/>
      <c r="BY696" s="16"/>
      <c r="BZ696" s="16"/>
      <c r="CA696" s="190">
        <v>46281.666666666701</v>
      </c>
      <c r="CB696" s="3"/>
      <c r="CC696" s="16"/>
      <c r="CD696" s="16"/>
      <c r="CE696" s="16"/>
      <c r="CF696" s="16"/>
      <c r="CG696" s="16"/>
      <c r="CH696" s="16"/>
      <c r="CI696" s="16" t="s">
        <v>6180</v>
      </c>
    </row>
    <row r="697" spans="1:87" ht="16.5">
      <c r="A697" s="16"/>
      <c r="B697" s="16"/>
      <c r="C697" s="3">
        <v>46281</v>
      </c>
      <c r="D697" s="16" t="s">
        <v>1</v>
      </c>
      <c r="E697" s="16" t="s">
        <v>6181</v>
      </c>
      <c r="F697" s="16">
        <v>2026226560091</v>
      </c>
      <c r="G697" s="16">
        <v>40</v>
      </c>
      <c r="H697" s="16">
        <v>32</v>
      </c>
      <c r="I697" s="16" t="s">
        <v>460</v>
      </c>
      <c r="J697" s="16" t="s">
        <v>6181</v>
      </c>
      <c r="K697" s="192" t="s">
        <v>4874</v>
      </c>
      <c r="L697" s="16" t="s">
        <v>1760</v>
      </c>
      <c r="M697" s="16">
        <v>2</v>
      </c>
      <c r="N697" s="16" t="s">
        <v>462</v>
      </c>
      <c r="O697" s="16" t="s">
        <v>497</v>
      </c>
      <c r="P697" s="16" t="s">
        <v>6182</v>
      </c>
      <c r="Q697" s="16" t="s">
        <v>465</v>
      </c>
      <c r="R697" s="16" t="s">
        <v>466</v>
      </c>
      <c r="S697" s="16" t="s">
        <v>6183</v>
      </c>
      <c r="T697" s="16" t="s">
        <v>6184</v>
      </c>
      <c r="U697" s="16">
        <v>46278.681250000001</v>
      </c>
      <c r="V697" s="16" t="s">
        <v>469</v>
      </c>
      <c r="W697" s="16" t="s">
        <v>470</v>
      </c>
      <c r="X697" s="16" t="s">
        <v>471</v>
      </c>
      <c r="Y697" s="16" t="s">
        <v>523</v>
      </c>
      <c r="Z697" s="16" t="s">
        <v>501</v>
      </c>
      <c r="AA697" s="16" t="s">
        <v>474</v>
      </c>
      <c r="AB697" s="16" t="s">
        <v>6185</v>
      </c>
      <c r="AC697" s="16" t="s">
        <v>503</v>
      </c>
      <c r="AD697" s="16">
        <v>546001796</v>
      </c>
      <c r="AE697" s="16">
        <v>1780630608</v>
      </c>
      <c r="AF697" s="16"/>
      <c r="AG697" s="16"/>
      <c r="AH697" s="16"/>
      <c r="AI697" s="16" t="s">
        <v>4878</v>
      </c>
      <c r="AJ697" s="16" t="s">
        <v>481</v>
      </c>
      <c r="AK697" s="16" t="s">
        <v>6186</v>
      </c>
      <c r="AL697" s="16">
        <v>1810420.06</v>
      </c>
      <c r="AM697" s="16"/>
      <c r="AN697" s="16"/>
      <c r="AO697" s="16">
        <v>474</v>
      </c>
      <c r="AP697" s="16" t="s">
        <v>485</v>
      </c>
      <c r="AQ697" s="16" t="s">
        <v>6187</v>
      </c>
      <c r="AR697" s="3">
        <v>46278</v>
      </c>
      <c r="AS697" s="16" t="s">
        <v>4878</v>
      </c>
      <c r="AT697" s="16" t="s">
        <v>6188</v>
      </c>
      <c r="AU697" s="16"/>
      <c r="AV697" s="16" t="s">
        <v>6189</v>
      </c>
      <c r="AW697" s="16"/>
      <c r="AX697" s="16"/>
      <c r="AY697" s="16"/>
      <c r="AZ697" s="16"/>
      <c r="BA697" s="16"/>
      <c r="BB697" s="16"/>
      <c r="BC697" s="16"/>
      <c r="BD697" s="16" t="s">
        <v>4878</v>
      </c>
      <c r="BE697" s="16">
        <v>32</v>
      </c>
      <c r="BF697" s="16"/>
      <c r="BG697" s="16"/>
      <c r="BH697" s="16" t="s">
        <v>491</v>
      </c>
      <c r="BI697" s="16">
        <v>231579715</v>
      </c>
      <c r="BJ697" s="16"/>
      <c r="BK697" s="16"/>
      <c r="BL697" s="16"/>
      <c r="BM697" s="16"/>
      <c r="BN697" s="16"/>
      <c r="BO697" s="16"/>
      <c r="BP697" s="16"/>
      <c r="BQ697" s="16"/>
      <c r="BR697" s="16"/>
      <c r="BS697" s="16"/>
      <c r="BT697" s="16"/>
      <c r="BU697" s="16"/>
      <c r="BV697" s="16"/>
      <c r="BW697" s="16"/>
      <c r="BX697" s="16"/>
      <c r="BY697" s="16"/>
      <c r="BZ697" s="16"/>
      <c r="CA697" s="190">
        <v>46280</v>
      </c>
      <c r="CB697" s="3"/>
      <c r="CC697" s="16"/>
      <c r="CD697" s="16"/>
      <c r="CE697" s="16"/>
      <c r="CF697" s="16"/>
      <c r="CG697" s="16"/>
      <c r="CH697" s="16"/>
      <c r="CI697" s="16" t="s">
        <v>6190</v>
      </c>
    </row>
    <row r="698" spans="1:87">
      <c r="A698" s="16"/>
      <c r="B698" s="16"/>
      <c r="C698" s="3">
        <v>46281</v>
      </c>
      <c r="D698" s="16" t="s">
        <v>1</v>
      </c>
      <c r="E698" s="16" t="s">
        <v>6191</v>
      </c>
      <c r="F698" s="16">
        <v>2026226070181</v>
      </c>
      <c r="G698" s="16">
        <v>40</v>
      </c>
      <c r="H698" s="16">
        <v>35</v>
      </c>
      <c r="I698" s="16" t="s">
        <v>460</v>
      </c>
      <c r="J698" s="16" t="s">
        <v>6191</v>
      </c>
      <c r="K698" s="16" t="s">
        <v>3969</v>
      </c>
      <c r="L698" s="16" t="s">
        <v>1760</v>
      </c>
      <c r="M698" s="16">
        <v>8</v>
      </c>
      <c r="N698" s="16" t="s">
        <v>462</v>
      </c>
      <c r="O698" s="16" t="s">
        <v>606</v>
      </c>
      <c r="P698" s="16" t="s">
        <v>6192</v>
      </c>
      <c r="Q698" s="16" t="s">
        <v>465</v>
      </c>
      <c r="R698" s="16" t="s">
        <v>466</v>
      </c>
      <c r="S698" s="16" t="s">
        <v>6193</v>
      </c>
      <c r="T698" s="16" t="s">
        <v>6194</v>
      </c>
      <c r="U698" s="16">
        <v>46272.64166666667</v>
      </c>
      <c r="V698" s="16" t="s">
        <v>469</v>
      </c>
      <c r="W698" s="16" t="s">
        <v>568</v>
      </c>
      <c r="X698" s="16" t="s">
        <v>471</v>
      </c>
      <c r="Y698" s="16" t="s">
        <v>628</v>
      </c>
      <c r="Z698" s="16" t="s">
        <v>731</v>
      </c>
      <c r="AA698" s="16" t="s">
        <v>474</v>
      </c>
      <c r="AB698" s="16" t="s">
        <v>6195</v>
      </c>
      <c r="AC698" s="16" t="s">
        <v>733</v>
      </c>
      <c r="AD698" s="16">
        <v>440546097</v>
      </c>
      <c r="AE698" s="16">
        <v>1518065523</v>
      </c>
      <c r="AF698" s="16"/>
      <c r="AG698" s="16"/>
      <c r="AH698" s="16"/>
      <c r="AI698" s="16" t="s">
        <v>3972</v>
      </c>
      <c r="AJ698" s="16" t="s">
        <v>481</v>
      </c>
      <c r="AK698" s="16" t="s">
        <v>6196</v>
      </c>
      <c r="AL698" s="16">
        <v>33316.57</v>
      </c>
      <c r="AM698" s="16"/>
      <c r="AN698" s="16"/>
      <c r="AO698" s="16">
        <v>513</v>
      </c>
      <c r="AP698" s="16" t="s">
        <v>485</v>
      </c>
      <c r="AQ698" s="16" t="s">
        <v>6197</v>
      </c>
      <c r="AR698" s="3">
        <v>46272</v>
      </c>
      <c r="AS698" s="16" t="s">
        <v>3972</v>
      </c>
      <c r="AT698" s="16" t="s">
        <v>516</v>
      </c>
      <c r="AU698" s="16"/>
      <c r="AV698" s="16" t="s">
        <v>1528</v>
      </c>
      <c r="AW698" s="16"/>
      <c r="AX698" s="16"/>
      <c r="AY698" s="16"/>
      <c r="AZ698" s="16"/>
      <c r="BA698" s="16"/>
      <c r="BB698" s="16"/>
      <c r="BC698" s="16"/>
      <c r="BD698" s="16" t="s">
        <v>3972</v>
      </c>
      <c r="BE698" s="16">
        <v>32</v>
      </c>
      <c r="BF698" s="16"/>
      <c r="BG698" s="16" t="s">
        <v>490</v>
      </c>
      <c r="BH698" s="16" t="s">
        <v>491</v>
      </c>
      <c r="BI698" s="16">
        <v>488156349</v>
      </c>
      <c r="BJ698" s="16"/>
      <c r="BK698" s="16"/>
      <c r="BL698" s="16"/>
      <c r="BM698" s="16"/>
      <c r="BN698" s="16"/>
      <c r="BO698" s="16"/>
      <c r="BP698" s="16"/>
      <c r="BQ698" s="16"/>
      <c r="BR698" s="16"/>
      <c r="BS698" s="16"/>
      <c r="BT698" s="16"/>
      <c r="BU698" s="16"/>
      <c r="BV698" s="16"/>
      <c r="BW698" s="16"/>
      <c r="BX698" s="16"/>
      <c r="BY698" s="16"/>
      <c r="BZ698" s="16"/>
      <c r="CA698" s="190">
        <v>46280</v>
      </c>
      <c r="CB698" s="3"/>
      <c r="CC698" s="16"/>
      <c r="CD698" s="16"/>
      <c r="CE698" s="16"/>
      <c r="CF698" s="16"/>
      <c r="CG698" s="16"/>
      <c r="CH698" s="16"/>
      <c r="CI698" s="16" t="s">
        <v>6198</v>
      </c>
    </row>
    <row r="699" spans="1:87">
      <c r="A699" s="16" t="s">
        <v>4</v>
      </c>
      <c r="B699" s="16" t="s">
        <v>5961</v>
      </c>
      <c r="C699" s="3">
        <v>46281</v>
      </c>
      <c r="D699" s="16" t="s">
        <v>1</v>
      </c>
      <c r="E699" s="16" t="s">
        <v>6199</v>
      </c>
      <c r="F699" s="16">
        <v>2026227480276</v>
      </c>
      <c r="G699" s="16">
        <v>40</v>
      </c>
      <c r="H699" s="16">
        <v>31</v>
      </c>
      <c r="I699" s="16" t="s">
        <v>460</v>
      </c>
      <c r="J699" s="16" t="s">
        <v>6199</v>
      </c>
      <c r="K699" s="16" t="s">
        <v>4812</v>
      </c>
      <c r="L699" s="16" t="s">
        <v>16</v>
      </c>
      <c r="M699" s="16">
        <v>12</v>
      </c>
      <c r="N699" s="16" t="s">
        <v>462</v>
      </c>
      <c r="O699" s="16" t="s">
        <v>4717</v>
      </c>
      <c r="P699" s="16">
        <v>913035710</v>
      </c>
      <c r="Q699" s="16" t="s">
        <v>465</v>
      </c>
      <c r="R699" s="16" t="s">
        <v>466</v>
      </c>
      <c r="S699" s="16" t="s">
        <v>6200</v>
      </c>
      <c r="T699" s="16">
        <v>173328</v>
      </c>
      <c r="U699" s="16"/>
      <c r="V699" s="16" t="s">
        <v>469</v>
      </c>
      <c r="W699" s="16" t="s">
        <v>651</v>
      </c>
      <c r="X699" s="16" t="s">
        <v>652</v>
      </c>
      <c r="Y699" s="16" t="s">
        <v>653</v>
      </c>
      <c r="Z699" s="16" t="s">
        <v>638</v>
      </c>
      <c r="AA699" s="16" t="s">
        <v>474</v>
      </c>
      <c r="AB699" s="16" t="s">
        <v>743</v>
      </c>
      <c r="AC699" s="16" t="s">
        <v>465</v>
      </c>
      <c r="AD699" s="16">
        <v>261483076</v>
      </c>
      <c r="AE699" s="16">
        <v>1174706576</v>
      </c>
      <c r="AF699" s="16"/>
      <c r="AG699" s="16">
        <v>1.31202525817092E+16</v>
      </c>
      <c r="AH699" s="16"/>
      <c r="AI699" s="16" t="s">
        <v>82</v>
      </c>
      <c r="AJ699" s="16" t="s">
        <v>481</v>
      </c>
      <c r="AK699" s="16" t="s">
        <v>6201</v>
      </c>
      <c r="AL699" s="16">
        <v>220258.96</v>
      </c>
      <c r="AM699" s="16"/>
      <c r="AN699" s="16"/>
      <c r="AO699" s="16">
        <v>913</v>
      </c>
      <c r="AP699" s="16" t="s">
        <v>485</v>
      </c>
      <c r="AQ699" s="16" t="s">
        <v>6202</v>
      </c>
      <c r="AR699" s="3">
        <v>46268</v>
      </c>
      <c r="AS699" s="16" t="s">
        <v>82</v>
      </c>
      <c r="AT699" s="16" t="s">
        <v>5966</v>
      </c>
      <c r="AU699" s="16"/>
      <c r="AV699" s="16" t="s">
        <v>6203</v>
      </c>
      <c r="AW699" s="16"/>
      <c r="AX699" s="16"/>
      <c r="AY699" s="16"/>
      <c r="AZ699" s="16"/>
      <c r="BA699" s="16"/>
      <c r="BB699" s="16"/>
      <c r="BC699" s="16"/>
      <c r="BD699" s="16" t="s">
        <v>82</v>
      </c>
      <c r="BE699" s="16">
        <v>31</v>
      </c>
      <c r="BF699" s="16"/>
      <c r="BG699" s="16"/>
      <c r="BH699" s="16" t="s">
        <v>658</v>
      </c>
      <c r="BI699" s="16">
        <v>913035710</v>
      </c>
      <c r="BJ699" s="16"/>
      <c r="BK699" s="16"/>
      <c r="BL699" s="16"/>
      <c r="BM699" s="16"/>
      <c r="BN699" s="16"/>
      <c r="BO699" s="16"/>
      <c r="BP699" s="16"/>
      <c r="BQ699" s="16"/>
      <c r="BR699" s="16"/>
      <c r="BS699" s="16"/>
      <c r="BT699" s="16"/>
      <c r="BU699" s="16"/>
      <c r="BV699" s="16"/>
      <c r="BW699" s="16"/>
      <c r="BX699" s="16"/>
      <c r="BY699" s="16"/>
      <c r="BZ699" s="16"/>
      <c r="CA699" s="190">
        <v>46286.166666666701</v>
      </c>
      <c r="CB699" s="3"/>
      <c r="CC699" s="16"/>
      <c r="CD699" s="16"/>
      <c r="CE699" s="16"/>
      <c r="CF699" s="16"/>
      <c r="CG699" s="16"/>
      <c r="CH699" s="16"/>
      <c r="CI699" s="16" t="s">
        <v>6204</v>
      </c>
    </row>
    <row r="700" spans="1:87" ht="16.5">
      <c r="A700" s="16"/>
      <c r="B700" s="16"/>
      <c r="C700" s="3">
        <v>46281</v>
      </c>
      <c r="D700" s="16" t="s">
        <v>1</v>
      </c>
      <c r="E700" s="16" t="s">
        <v>6205</v>
      </c>
      <c r="F700" s="16">
        <v>2026226080513</v>
      </c>
      <c r="G700" s="16">
        <v>40</v>
      </c>
      <c r="H700" s="16">
        <v>33</v>
      </c>
      <c r="I700" s="16" t="s">
        <v>460</v>
      </c>
      <c r="J700" s="16" t="s">
        <v>6205</v>
      </c>
      <c r="K700" s="192" t="s">
        <v>4874</v>
      </c>
      <c r="L700" s="16" t="s">
        <v>1760</v>
      </c>
      <c r="M700" s="16">
        <v>2</v>
      </c>
      <c r="N700" s="16" t="s">
        <v>462</v>
      </c>
      <c r="O700" s="16" t="s">
        <v>497</v>
      </c>
      <c r="P700" s="16" t="s">
        <v>6206</v>
      </c>
      <c r="Q700" s="16" t="s">
        <v>465</v>
      </c>
      <c r="R700" s="16" t="s">
        <v>466</v>
      </c>
      <c r="S700" s="16" t="s">
        <v>6207</v>
      </c>
      <c r="T700" s="16" t="s">
        <v>6208</v>
      </c>
      <c r="U700" s="16">
        <v>46278.680555555555</v>
      </c>
      <c r="V700" s="16" t="s">
        <v>469</v>
      </c>
      <c r="W700" s="16" t="s">
        <v>470</v>
      </c>
      <c r="X700" s="16" t="s">
        <v>471</v>
      </c>
      <c r="Y700" s="16" t="s">
        <v>628</v>
      </c>
      <c r="Z700" s="16" t="s">
        <v>665</v>
      </c>
      <c r="AA700" s="16" t="s">
        <v>474</v>
      </c>
      <c r="AB700" s="16" t="s">
        <v>6209</v>
      </c>
      <c r="AC700" s="16" t="s">
        <v>640</v>
      </c>
      <c r="AD700" s="16">
        <v>823478182</v>
      </c>
      <c r="AE700" s="16">
        <v>1730665043</v>
      </c>
      <c r="AF700" s="16">
        <v>1538561782</v>
      </c>
      <c r="AG700" s="16"/>
      <c r="AH700" s="16"/>
      <c r="AI700" s="16" t="s">
        <v>4878</v>
      </c>
      <c r="AJ700" s="16" t="s">
        <v>481</v>
      </c>
      <c r="AK700" s="16" t="s">
        <v>6210</v>
      </c>
      <c r="AL700" s="16">
        <v>240</v>
      </c>
      <c r="AM700" s="16"/>
      <c r="AN700" s="16"/>
      <c r="AO700" s="16">
        <v>309</v>
      </c>
      <c r="AP700" s="16" t="s">
        <v>485</v>
      </c>
      <c r="AQ700" s="16" t="s">
        <v>6211</v>
      </c>
      <c r="AR700" s="3">
        <v>46278</v>
      </c>
      <c r="AS700" s="16" t="s">
        <v>4878</v>
      </c>
      <c r="AT700" s="16" t="s">
        <v>6212</v>
      </c>
      <c r="AU700" s="16"/>
      <c r="AV700" s="16" t="s">
        <v>6213</v>
      </c>
      <c r="AW700" s="16"/>
      <c r="AX700" s="16"/>
      <c r="AY700" s="16"/>
      <c r="AZ700" s="16"/>
      <c r="BA700" s="16"/>
      <c r="BB700" s="16"/>
      <c r="BC700" s="16"/>
      <c r="BD700" s="16" t="s">
        <v>4878</v>
      </c>
      <c r="BE700" s="16">
        <v>32</v>
      </c>
      <c r="BF700" s="16"/>
      <c r="BG700" s="16"/>
      <c r="BH700" s="16" t="s">
        <v>491</v>
      </c>
      <c r="BI700" s="16">
        <v>134826690</v>
      </c>
      <c r="BJ700" s="16"/>
      <c r="BK700" s="16"/>
      <c r="BL700" s="16"/>
      <c r="BM700" s="16"/>
      <c r="BN700" s="16"/>
      <c r="BO700" s="16">
        <v>0</v>
      </c>
      <c r="BP700" s="16"/>
      <c r="BQ700" s="16"/>
      <c r="BR700" s="16"/>
      <c r="BS700" s="16"/>
      <c r="BT700" s="16"/>
      <c r="BU700" s="16"/>
      <c r="BV700" s="16"/>
      <c r="BW700" s="16"/>
      <c r="BX700" s="16"/>
      <c r="BY700" s="16"/>
      <c r="BZ700" s="16"/>
      <c r="CA700" s="190">
        <v>46280</v>
      </c>
      <c r="CB700" s="3"/>
      <c r="CC700" s="16"/>
      <c r="CD700" s="16"/>
      <c r="CE700" s="16"/>
      <c r="CF700" s="16"/>
      <c r="CG700" s="16"/>
      <c r="CH700" s="16"/>
      <c r="CI700" s="16" t="s">
        <v>6214</v>
      </c>
    </row>
    <row r="701" spans="1:87">
      <c r="A701" s="16"/>
      <c r="B701" s="16"/>
      <c r="C701" s="3">
        <v>46281</v>
      </c>
      <c r="D701" s="16" t="s">
        <v>1</v>
      </c>
      <c r="E701" s="16" t="s">
        <v>6215</v>
      </c>
      <c r="F701" s="16">
        <v>2026223270407</v>
      </c>
      <c r="G701" s="16">
        <v>40</v>
      </c>
      <c r="H701" s="16">
        <v>35</v>
      </c>
      <c r="I701" s="16" t="s">
        <v>460</v>
      </c>
      <c r="J701" s="16" t="s">
        <v>6215</v>
      </c>
      <c r="K701" t="s">
        <v>4716</v>
      </c>
      <c r="L701" s="16" t="s">
        <v>16</v>
      </c>
      <c r="M701" s="16">
        <v>33</v>
      </c>
      <c r="N701" s="16" t="s">
        <v>462</v>
      </c>
      <c r="O701" s="16" t="s">
        <v>4717</v>
      </c>
      <c r="P701" s="16" t="s">
        <v>6216</v>
      </c>
      <c r="Q701" s="16" t="s">
        <v>465</v>
      </c>
      <c r="R701" s="16" t="s">
        <v>466</v>
      </c>
      <c r="S701" s="16" t="s">
        <v>6217</v>
      </c>
      <c r="T701" s="16">
        <v>721352</v>
      </c>
      <c r="U701" s="16"/>
      <c r="V701" s="16" t="s">
        <v>469</v>
      </c>
      <c r="W701" s="16" t="s">
        <v>470</v>
      </c>
      <c r="X701" s="16" t="s">
        <v>471</v>
      </c>
      <c r="Y701" s="16" t="s">
        <v>523</v>
      </c>
      <c r="Z701" s="16" t="s">
        <v>665</v>
      </c>
      <c r="AA701" s="16" t="s">
        <v>474</v>
      </c>
      <c r="AB701" s="16" t="s">
        <v>6218</v>
      </c>
      <c r="AC701" s="16" t="s">
        <v>640</v>
      </c>
      <c r="AD701" s="16">
        <v>990452113</v>
      </c>
      <c r="AE701" s="16">
        <v>1073380853</v>
      </c>
      <c r="AF701" s="16"/>
      <c r="AG701" s="16"/>
      <c r="AH701" s="16" t="s">
        <v>1076</v>
      </c>
      <c r="AI701" s="16" t="s">
        <v>206</v>
      </c>
      <c r="AJ701" s="16" t="s">
        <v>481</v>
      </c>
      <c r="AK701" s="16" t="s">
        <v>6219</v>
      </c>
      <c r="AL701" s="16">
        <v>17806</v>
      </c>
      <c r="AM701" s="16"/>
      <c r="AN701" s="16"/>
      <c r="AO701" s="16">
        <v>744</v>
      </c>
      <c r="AP701" s="16" t="s">
        <v>485</v>
      </c>
      <c r="AQ701" s="16" t="s">
        <v>6220</v>
      </c>
      <c r="AR701" s="3">
        <v>46247</v>
      </c>
      <c r="AS701" s="16" t="s">
        <v>2506</v>
      </c>
      <c r="AT701" s="16" t="s">
        <v>1819</v>
      </c>
      <c r="AU701" s="16"/>
      <c r="AV701" s="16" t="s">
        <v>6221</v>
      </c>
      <c r="AW701" s="16"/>
      <c r="AX701" s="16"/>
      <c r="AY701" s="16"/>
      <c r="AZ701" s="16"/>
      <c r="BA701" s="16"/>
      <c r="BB701" s="16"/>
      <c r="BC701" s="16"/>
      <c r="BD701" s="16" t="s">
        <v>206</v>
      </c>
      <c r="BE701" s="16">
        <v>34</v>
      </c>
      <c r="BF701" s="16"/>
      <c r="BG701" s="16"/>
      <c r="BH701" s="16" t="s">
        <v>491</v>
      </c>
      <c r="BI701" s="16">
        <v>344948405</v>
      </c>
      <c r="BJ701" s="16"/>
      <c r="BK701" s="16"/>
      <c r="BL701" s="16"/>
      <c r="BM701" s="16"/>
      <c r="BN701" s="16"/>
      <c r="BO701" s="16"/>
      <c r="BP701" s="16"/>
      <c r="BQ701" s="16"/>
      <c r="BR701" s="16"/>
      <c r="BS701" s="16"/>
      <c r="BT701" s="16"/>
      <c r="BU701" s="16"/>
      <c r="BV701" s="16"/>
      <c r="BW701" s="16"/>
      <c r="BX701" s="16"/>
      <c r="BY701" s="16"/>
      <c r="BZ701" s="16"/>
      <c r="CA701" s="190">
        <v>46280</v>
      </c>
      <c r="CB701" s="3"/>
      <c r="CC701" s="16"/>
      <c r="CD701" s="16"/>
      <c r="CE701" s="16"/>
      <c r="CF701" s="16"/>
      <c r="CG701" s="16"/>
      <c r="CH701" s="16"/>
      <c r="CI701" s="16" t="s">
        <v>6222</v>
      </c>
    </row>
    <row r="702" spans="1:87">
      <c r="A702" s="16"/>
      <c r="B702" s="16"/>
      <c r="C702" s="3">
        <v>46281</v>
      </c>
      <c r="D702" s="16" t="s">
        <v>1</v>
      </c>
      <c r="E702" s="16" t="s">
        <v>6223</v>
      </c>
      <c r="F702" s="16">
        <v>2026223750547</v>
      </c>
      <c r="G702" s="16">
        <v>40</v>
      </c>
      <c r="H702" s="16">
        <v>35</v>
      </c>
      <c r="I702" s="16" t="s">
        <v>460</v>
      </c>
      <c r="J702" s="16" t="s">
        <v>6223</v>
      </c>
      <c r="K702" s="16" t="s">
        <v>4716</v>
      </c>
      <c r="L702" s="16" t="s">
        <v>16</v>
      </c>
      <c r="M702" s="16">
        <v>32</v>
      </c>
      <c r="N702" s="16" t="s">
        <v>462</v>
      </c>
      <c r="O702" s="16" t="s">
        <v>4717</v>
      </c>
      <c r="P702" s="16" t="s">
        <v>6224</v>
      </c>
      <c r="Q702" s="16" t="s">
        <v>465</v>
      </c>
      <c r="R702" s="16" t="s">
        <v>466</v>
      </c>
      <c r="S702" s="16" t="s">
        <v>6225</v>
      </c>
      <c r="T702" s="16" t="s">
        <v>465</v>
      </c>
      <c r="U702" s="16"/>
      <c r="V702" s="16" t="s">
        <v>469</v>
      </c>
      <c r="W702" s="16" t="s">
        <v>470</v>
      </c>
      <c r="X702" s="16" t="s">
        <v>471</v>
      </c>
      <c r="Y702" s="16" t="s">
        <v>472</v>
      </c>
      <c r="Z702" s="16" t="s">
        <v>731</v>
      </c>
      <c r="AA702" s="16" t="s">
        <v>474</v>
      </c>
      <c r="AB702" s="16" t="s">
        <v>6226</v>
      </c>
      <c r="AC702" s="16" t="s">
        <v>733</v>
      </c>
      <c r="AD702" s="16">
        <v>474196634</v>
      </c>
      <c r="AE702" s="16">
        <v>1942685920</v>
      </c>
      <c r="AF702" s="16"/>
      <c r="AG702" s="16"/>
      <c r="AH702" s="16" t="s">
        <v>1076</v>
      </c>
      <c r="AI702" s="16" t="s">
        <v>206</v>
      </c>
      <c r="AJ702" s="16" t="s">
        <v>481</v>
      </c>
      <c r="AK702" s="16" t="s">
        <v>6227</v>
      </c>
      <c r="AL702" s="16">
        <v>78910.92</v>
      </c>
      <c r="AM702" s="16"/>
      <c r="AN702" s="16"/>
      <c r="AO702" s="16">
        <v>110</v>
      </c>
      <c r="AP702" s="16" t="s">
        <v>485</v>
      </c>
      <c r="AQ702" s="16" t="s">
        <v>6228</v>
      </c>
      <c r="AR702" s="3">
        <v>46248</v>
      </c>
      <c r="AS702" s="16" t="s">
        <v>3638</v>
      </c>
      <c r="AT702" s="16" t="s">
        <v>1819</v>
      </c>
      <c r="AU702" s="16"/>
      <c r="AV702" s="16" t="s">
        <v>844</v>
      </c>
      <c r="AW702" s="16"/>
      <c r="AX702" s="16"/>
      <c r="AY702" s="16"/>
      <c r="AZ702" s="16"/>
      <c r="BA702" s="16"/>
      <c r="BB702" s="16"/>
      <c r="BC702" s="16"/>
      <c r="BD702" s="16" t="s">
        <v>206</v>
      </c>
      <c r="BE702" s="16">
        <v>34</v>
      </c>
      <c r="BF702" s="16"/>
      <c r="BG702" s="16"/>
      <c r="BH702" s="16" t="s">
        <v>491</v>
      </c>
      <c r="BI702" s="16">
        <v>500086411</v>
      </c>
      <c r="BJ702" s="16"/>
      <c r="BK702" s="16"/>
      <c r="BL702" s="16"/>
      <c r="BM702" s="16"/>
      <c r="BN702" s="16"/>
      <c r="BO702" s="16"/>
      <c r="BP702" s="16"/>
      <c r="BQ702" s="16"/>
      <c r="BR702" s="16"/>
      <c r="BS702" s="16"/>
      <c r="BT702" s="16"/>
      <c r="BU702" s="16"/>
      <c r="BV702" s="16"/>
      <c r="BW702" s="16"/>
      <c r="BX702" s="16"/>
      <c r="BY702" s="16"/>
      <c r="BZ702" s="16"/>
      <c r="CA702" s="190">
        <v>46280</v>
      </c>
      <c r="CB702" s="3"/>
      <c r="CC702" s="16"/>
      <c r="CD702" s="16"/>
      <c r="CE702" s="16"/>
      <c r="CF702" s="16"/>
      <c r="CG702" s="16"/>
      <c r="CH702" s="16"/>
      <c r="CI702" s="16" t="s">
        <v>6229</v>
      </c>
    </row>
    <row r="703" spans="1:87">
      <c r="A703" s="16" t="s">
        <v>5</v>
      </c>
      <c r="B703" s="16" t="s">
        <v>516</v>
      </c>
      <c r="C703" s="3">
        <v>46281</v>
      </c>
      <c r="D703" s="16" t="s">
        <v>1</v>
      </c>
      <c r="E703" s="16" t="s">
        <v>6230</v>
      </c>
      <c r="F703" s="16">
        <v>2026226710535</v>
      </c>
      <c r="G703" s="16">
        <v>40</v>
      </c>
      <c r="H703" s="16">
        <v>32</v>
      </c>
      <c r="I703" s="16" t="s">
        <v>460</v>
      </c>
      <c r="J703" s="16" t="s">
        <v>6230</v>
      </c>
      <c r="K703" s="16" t="s">
        <v>1436</v>
      </c>
      <c r="L703" s="16" t="s">
        <v>18</v>
      </c>
      <c r="M703" s="16">
        <v>7</v>
      </c>
      <c r="N703" s="16" t="s">
        <v>462</v>
      </c>
      <c r="O703" s="16" t="s">
        <v>606</v>
      </c>
      <c r="P703" s="16">
        <v>588290906</v>
      </c>
      <c r="Q703" s="16" t="s">
        <v>564</v>
      </c>
      <c r="R703" s="16" t="s">
        <v>466</v>
      </c>
      <c r="S703" s="16" t="s">
        <v>6231</v>
      </c>
      <c r="T703" s="16" t="s">
        <v>4221</v>
      </c>
      <c r="U703" s="16">
        <v>46272.905555555553</v>
      </c>
      <c r="V703" s="16" t="s">
        <v>469</v>
      </c>
      <c r="W703" s="16" t="s">
        <v>651</v>
      </c>
      <c r="X703" s="16" t="s">
        <v>652</v>
      </c>
      <c r="Y703" s="16" t="s">
        <v>653</v>
      </c>
      <c r="Z703" s="16" t="s">
        <v>570</v>
      </c>
      <c r="AA703" s="16" t="s">
        <v>474</v>
      </c>
      <c r="AB703" s="16" t="s">
        <v>4222</v>
      </c>
      <c r="AC703" s="16" t="s">
        <v>572</v>
      </c>
      <c r="AD703" s="16">
        <v>710918827</v>
      </c>
      <c r="AE703" s="16">
        <v>1912014986</v>
      </c>
      <c r="AF703" s="16">
        <v>1720010200</v>
      </c>
      <c r="AG703" s="16">
        <v>4020252940205000</v>
      </c>
      <c r="AH703" s="16"/>
      <c r="AI703" s="16" t="s">
        <v>238</v>
      </c>
      <c r="AJ703" s="16" t="s">
        <v>481</v>
      </c>
      <c r="AK703" s="16" t="s">
        <v>6232</v>
      </c>
      <c r="AL703" s="16">
        <v>1847.06</v>
      </c>
      <c r="AM703" s="16"/>
      <c r="AN703" s="16"/>
      <c r="AO703" s="16">
        <v>588</v>
      </c>
      <c r="AP703" s="16" t="s">
        <v>485</v>
      </c>
      <c r="AQ703" s="16" t="s">
        <v>6233</v>
      </c>
      <c r="AR703" s="3">
        <v>46273</v>
      </c>
      <c r="AS703" s="16" t="s">
        <v>238</v>
      </c>
      <c r="AT703" s="16" t="s">
        <v>516</v>
      </c>
      <c r="AU703" s="16"/>
      <c r="AV703" s="16" t="s">
        <v>4233</v>
      </c>
      <c r="AW703" s="16"/>
      <c r="AX703" s="16"/>
      <c r="AY703" s="16"/>
      <c r="AZ703" s="16"/>
      <c r="BA703" s="16"/>
      <c r="BB703" s="16"/>
      <c r="BC703" s="16"/>
      <c r="BD703" s="16" t="s">
        <v>238</v>
      </c>
      <c r="BE703" s="16">
        <v>32</v>
      </c>
      <c r="BF703" s="16"/>
      <c r="BG703" s="16" t="s">
        <v>490</v>
      </c>
      <c r="BH703" s="16" t="s">
        <v>658</v>
      </c>
      <c r="BI703" s="16">
        <v>588290906</v>
      </c>
      <c r="BJ703" s="16"/>
      <c r="BK703" s="16"/>
      <c r="BL703" s="16"/>
      <c r="BM703" s="16"/>
      <c r="BN703" s="16"/>
      <c r="BO703" s="16"/>
      <c r="BP703" s="16"/>
      <c r="BQ703" s="16"/>
      <c r="BR703" s="16"/>
      <c r="BS703" s="16"/>
      <c r="BT703" s="16"/>
      <c r="BU703" s="16"/>
      <c r="BV703" s="16"/>
      <c r="BW703" s="16"/>
      <c r="BX703" s="16"/>
      <c r="BY703" s="16"/>
      <c r="BZ703" s="16"/>
      <c r="CA703" s="190">
        <v>46281.666666666701</v>
      </c>
      <c r="CB703" s="3"/>
      <c r="CC703" s="16"/>
      <c r="CD703" s="16"/>
      <c r="CE703" s="16"/>
      <c r="CF703" s="16"/>
      <c r="CG703" s="16"/>
      <c r="CH703" s="16"/>
      <c r="CI703" s="16" t="s">
        <v>6234</v>
      </c>
    </row>
    <row r="704" spans="1:87" ht="43.5">
      <c r="A704" s="16" t="s">
        <v>5</v>
      </c>
      <c r="B704" s="25" t="s">
        <v>6235</v>
      </c>
      <c r="C704" s="3">
        <v>46281</v>
      </c>
      <c r="D704" s="16" t="s">
        <v>1</v>
      </c>
      <c r="E704" s="16" t="s">
        <v>6236</v>
      </c>
      <c r="F704" s="16">
        <v>2026227560350</v>
      </c>
      <c r="G704" s="16">
        <v>40</v>
      </c>
      <c r="H704" s="16">
        <v>31</v>
      </c>
      <c r="I704" s="16" t="s">
        <v>460</v>
      </c>
      <c r="J704" s="16" t="s">
        <v>6236</v>
      </c>
      <c r="K704" s="16" t="s">
        <v>700</v>
      </c>
      <c r="L704" s="16" t="s">
        <v>18</v>
      </c>
      <c r="M704" s="16">
        <v>6</v>
      </c>
      <c r="N704" s="16" t="s">
        <v>462</v>
      </c>
      <c r="O704" s="16" t="s">
        <v>606</v>
      </c>
      <c r="P704" s="16" t="s">
        <v>6237</v>
      </c>
      <c r="Q704" s="16" t="s">
        <v>465</v>
      </c>
      <c r="R704" s="16" t="s">
        <v>466</v>
      </c>
      <c r="S704" s="16" t="s">
        <v>6238</v>
      </c>
      <c r="T704" s="16" t="s">
        <v>6239</v>
      </c>
      <c r="U704" s="16">
        <v>46274.681250000001</v>
      </c>
      <c r="V704" s="16" t="s">
        <v>469</v>
      </c>
      <c r="W704" s="16" t="s">
        <v>470</v>
      </c>
      <c r="X704" s="16" t="s">
        <v>471</v>
      </c>
      <c r="Y704" s="16" t="s">
        <v>628</v>
      </c>
      <c r="Z704" s="16" t="s">
        <v>638</v>
      </c>
      <c r="AA704" s="16" t="s">
        <v>474</v>
      </c>
      <c r="AB704" s="16" t="s">
        <v>6240</v>
      </c>
      <c r="AC704" s="16" t="s">
        <v>465</v>
      </c>
      <c r="AD704" s="16">
        <v>352062016</v>
      </c>
      <c r="AE704" s="16">
        <v>1306011796</v>
      </c>
      <c r="AF704" s="16">
        <v>1225296247</v>
      </c>
      <c r="AG704" s="16"/>
      <c r="AH704" s="16"/>
      <c r="AI704" s="16" t="s">
        <v>341</v>
      </c>
      <c r="AJ704" s="16" t="s">
        <v>481</v>
      </c>
      <c r="AK704" s="16" t="s">
        <v>6241</v>
      </c>
      <c r="AL704" s="16">
        <v>634</v>
      </c>
      <c r="AM704" s="16"/>
      <c r="AN704" s="16"/>
      <c r="AO704" s="16">
        <v>350</v>
      </c>
      <c r="AP704" s="16" t="s">
        <v>485</v>
      </c>
      <c r="AQ704" s="16" t="s">
        <v>6242</v>
      </c>
      <c r="AR704" s="3">
        <v>46274</v>
      </c>
      <c r="AS704" s="16" t="s">
        <v>341</v>
      </c>
      <c r="AT704" s="16" t="s">
        <v>516</v>
      </c>
      <c r="AU704" s="16"/>
      <c r="AV704" s="16" t="s">
        <v>6243</v>
      </c>
      <c r="AW704" s="16"/>
      <c r="AX704" s="16"/>
      <c r="AY704" s="16"/>
      <c r="AZ704" s="16"/>
      <c r="BA704" s="16"/>
      <c r="BB704" s="16"/>
      <c r="BC704" s="16"/>
      <c r="BD704" s="16" t="s">
        <v>341</v>
      </c>
      <c r="BE704" s="16">
        <v>31</v>
      </c>
      <c r="BF704" s="16"/>
      <c r="BG704" s="16" t="s">
        <v>490</v>
      </c>
      <c r="BH704" s="16" t="s">
        <v>491</v>
      </c>
      <c r="BI704" s="16">
        <v>230655293</v>
      </c>
      <c r="BJ704" s="16"/>
      <c r="BK704" s="16"/>
      <c r="BL704" s="16"/>
      <c r="BM704" s="16"/>
      <c r="BN704" s="16"/>
      <c r="BO704" s="16"/>
      <c r="BP704" s="16"/>
      <c r="BQ704" s="16"/>
      <c r="BR704" s="16"/>
      <c r="BS704" s="16"/>
      <c r="BT704" s="16"/>
      <c r="BU704" s="16"/>
      <c r="BV704" s="16"/>
      <c r="BW704" s="16"/>
      <c r="BX704" s="16"/>
      <c r="BY704" s="16"/>
      <c r="BZ704" s="16"/>
      <c r="CA704" s="190">
        <v>46282.666666666701</v>
      </c>
      <c r="CB704" s="3"/>
      <c r="CC704" s="16"/>
      <c r="CD704" s="16"/>
      <c r="CE704" s="16"/>
      <c r="CF704" s="16"/>
      <c r="CG704" s="16"/>
      <c r="CH704" s="16"/>
      <c r="CI704" s="16" t="s">
        <v>6244</v>
      </c>
    </row>
    <row r="705" spans="1:87">
      <c r="A705" s="16" t="s">
        <v>4</v>
      </c>
      <c r="B705" s="16" t="s">
        <v>5961</v>
      </c>
      <c r="C705" s="3">
        <v>46281</v>
      </c>
      <c r="D705" s="16" t="s">
        <v>1</v>
      </c>
      <c r="E705" s="16" t="s">
        <v>6245</v>
      </c>
      <c r="F705" s="16">
        <v>2026227620270</v>
      </c>
      <c r="G705" s="16">
        <v>40</v>
      </c>
      <c r="H705" s="16">
        <v>31</v>
      </c>
      <c r="I705" s="16" t="s">
        <v>460</v>
      </c>
      <c r="J705" s="16" t="s">
        <v>6245</v>
      </c>
      <c r="K705" s="16" t="s">
        <v>4812</v>
      </c>
      <c r="L705" s="16" t="s">
        <v>16</v>
      </c>
      <c r="M705" s="16">
        <v>12</v>
      </c>
      <c r="N705" s="16" t="s">
        <v>462</v>
      </c>
      <c r="O705" s="16" t="s">
        <v>4717</v>
      </c>
      <c r="P705" s="16">
        <v>888703526</v>
      </c>
      <c r="Q705" s="16" t="s">
        <v>465</v>
      </c>
      <c r="R705" s="16" t="s">
        <v>466</v>
      </c>
      <c r="S705" s="16" t="s">
        <v>6246</v>
      </c>
      <c r="T705" s="16">
        <v>173324</v>
      </c>
      <c r="U705" s="16"/>
      <c r="V705" s="16" t="s">
        <v>469</v>
      </c>
      <c r="W705" s="16" t="s">
        <v>651</v>
      </c>
      <c r="X705" s="16" t="s">
        <v>652</v>
      </c>
      <c r="Y705" s="16" t="s">
        <v>653</v>
      </c>
      <c r="Z705" s="16" t="s">
        <v>590</v>
      </c>
      <c r="AA705" s="16" t="s">
        <v>474</v>
      </c>
      <c r="AB705" s="16" t="s">
        <v>6247</v>
      </c>
      <c r="AC705" s="16" t="s">
        <v>1932</v>
      </c>
      <c r="AD705" s="16">
        <v>621762537</v>
      </c>
      <c r="AE705" s="16">
        <v>1861439952</v>
      </c>
      <c r="AF705" s="16"/>
      <c r="AG705" s="16">
        <v>2.66202509004719E+16</v>
      </c>
      <c r="AH705" s="16"/>
      <c r="AI705" s="16" t="s">
        <v>82</v>
      </c>
      <c r="AJ705" s="16" t="s">
        <v>481</v>
      </c>
      <c r="AK705" s="16" t="s">
        <v>6248</v>
      </c>
      <c r="AL705" s="16">
        <v>62811</v>
      </c>
      <c r="AM705" s="16"/>
      <c r="AN705" s="16"/>
      <c r="AO705" s="16">
        <v>888</v>
      </c>
      <c r="AP705" s="16" t="s">
        <v>485</v>
      </c>
      <c r="AQ705" s="16" t="s">
        <v>6249</v>
      </c>
      <c r="AR705" s="3">
        <v>46268</v>
      </c>
      <c r="AS705" s="16" t="s">
        <v>82</v>
      </c>
      <c r="AT705" s="16" t="s">
        <v>5966</v>
      </c>
      <c r="AU705" s="16"/>
      <c r="AV705" s="16" t="s">
        <v>4704</v>
      </c>
      <c r="AW705" s="16"/>
      <c r="AX705" s="16"/>
      <c r="AY705" s="16"/>
      <c r="AZ705" s="16"/>
      <c r="BA705" s="16"/>
      <c r="BB705" s="16"/>
      <c r="BC705" s="16"/>
      <c r="BD705" s="16" t="s">
        <v>82</v>
      </c>
      <c r="BE705" s="16">
        <v>31</v>
      </c>
      <c r="BF705" s="16"/>
      <c r="BG705" s="16" t="s">
        <v>490</v>
      </c>
      <c r="BH705" s="16" t="s">
        <v>658</v>
      </c>
      <c r="BI705" s="16">
        <v>888703526</v>
      </c>
      <c r="BJ705" s="16"/>
      <c r="BK705" s="16"/>
      <c r="BL705" s="16"/>
      <c r="BM705" s="16"/>
      <c r="BN705" s="16"/>
      <c r="BO705" s="16"/>
      <c r="BP705" s="16"/>
      <c r="BQ705" s="16"/>
      <c r="BR705" s="16"/>
      <c r="BS705" s="16"/>
      <c r="BT705" s="16"/>
      <c r="BU705" s="16"/>
      <c r="BV705" s="16"/>
      <c r="BW705" s="16"/>
      <c r="BX705" s="16"/>
      <c r="BY705" s="16"/>
      <c r="BZ705" s="16"/>
      <c r="CA705" s="190">
        <v>46286.166666666701</v>
      </c>
      <c r="CB705" s="3"/>
      <c r="CC705" s="16"/>
      <c r="CD705" s="16"/>
      <c r="CE705" s="16"/>
      <c r="CF705" s="16"/>
      <c r="CG705" s="16"/>
      <c r="CH705" s="16"/>
      <c r="CI705" s="16" t="s">
        <v>6250</v>
      </c>
    </row>
    <row r="706" spans="1:87">
      <c r="A706" s="16" t="s">
        <v>5</v>
      </c>
      <c r="B706" s="16" t="s">
        <v>6251</v>
      </c>
      <c r="C706" s="3">
        <v>46281</v>
      </c>
      <c r="D706" s="16" t="s">
        <v>1</v>
      </c>
      <c r="E706" s="16" t="s">
        <v>6252</v>
      </c>
      <c r="F706" s="16">
        <v>2026198850436</v>
      </c>
      <c r="G706" s="16">
        <v>40</v>
      </c>
      <c r="H706" s="16">
        <v>60</v>
      </c>
      <c r="I706" s="16" t="s">
        <v>559</v>
      </c>
      <c r="J706" s="16" t="s">
        <v>6252</v>
      </c>
      <c r="K706" s="16" t="s">
        <v>1109</v>
      </c>
      <c r="L706" s="16" t="s">
        <v>17</v>
      </c>
      <c r="M706" s="16">
        <v>5</v>
      </c>
      <c r="N706" s="16" t="s">
        <v>462</v>
      </c>
      <c r="O706" s="16" t="s">
        <v>606</v>
      </c>
      <c r="P706" s="16">
        <v>815181617</v>
      </c>
      <c r="Q706" s="16" t="s">
        <v>465</v>
      </c>
      <c r="R706" s="16" t="s">
        <v>466</v>
      </c>
      <c r="S706" s="16" t="s">
        <v>6253</v>
      </c>
      <c r="T706" s="16">
        <v>173326</v>
      </c>
      <c r="U706" s="16">
        <v>46275.231944444444</v>
      </c>
      <c r="V706" s="16" t="s">
        <v>469</v>
      </c>
      <c r="W706" s="16" t="s">
        <v>651</v>
      </c>
      <c r="X706" s="16" t="s">
        <v>652</v>
      </c>
      <c r="Y706" s="16" t="s">
        <v>653</v>
      </c>
      <c r="Z706" s="16" t="s">
        <v>473</v>
      </c>
      <c r="AA706" s="16" t="s">
        <v>474</v>
      </c>
      <c r="AB706" s="16" t="s">
        <v>2129</v>
      </c>
      <c r="AC706" s="16" t="s">
        <v>476</v>
      </c>
      <c r="AD706" s="16">
        <v>390806261</v>
      </c>
      <c r="AE706" s="16">
        <v>1699720086</v>
      </c>
      <c r="AF706" s="16">
        <v>1831722180</v>
      </c>
      <c r="AG706" s="16">
        <v>4.58202530701392E+16</v>
      </c>
      <c r="AH706" s="16"/>
      <c r="AI706" s="16" t="s">
        <v>25</v>
      </c>
      <c r="AJ706" s="16" t="s">
        <v>481</v>
      </c>
      <c r="AK706" s="16" t="s">
        <v>6254</v>
      </c>
      <c r="AL706" s="16">
        <v>17981</v>
      </c>
      <c r="AM706" s="16"/>
      <c r="AN706" s="16"/>
      <c r="AO706" s="16">
        <v>815</v>
      </c>
      <c r="AP706" s="16" t="s">
        <v>485</v>
      </c>
      <c r="AQ706" s="16" t="s">
        <v>6255</v>
      </c>
      <c r="AR706" s="3">
        <v>46275</v>
      </c>
      <c r="AS706" s="16" t="s">
        <v>25</v>
      </c>
      <c r="AT706" s="16" t="s">
        <v>6256</v>
      </c>
      <c r="AU706" s="16"/>
      <c r="AV706" s="16" t="s">
        <v>710</v>
      </c>
      <c r="AW706" s="16"/>
      <c r="AX706" s="16"/>
      <c r="AY706" s="16"/>
      <c r="AZ706" s="16"/>
      <c r="BA706" s="16"/>
      <c r="BB706" s="16"/>
      <c r="BC706" s="16"/>
      <c r="BD706" s="16" t="s">
        <v>25</v>
      </c>
      <c r="BE706" s="16">
        <v>60</v>
      </c>
      <c r="BF706" s="16"/>
      <c r="BG706" s="16" t="s">
        <v>490</v>
      </c>
      <c r="BH706" s="16" t="s">
        <v>658</v>
      </c>
      <c r="BI706" s="16">
        <v>815181617</v>
      </c>
      <c r="BJ706" s="16"/>
      <c r="BK706" s="16"/>
      <c r="BL706" s="16"/>
      <c r="BM706" s="16"/>
      <c r="BN706" s="16"/>
      <c r="BO706" s="16"/>
      <c r="BP706" s="16"/>
      <c r="BQ706" s="16"/>
      <c r="BR706" s="16"/>
      <c r="BS706" s="16"/>
      <c r="BT706" s="16"/>
      <c r="BU706" s="16"/>
      <c r="BV706" s="16"/>
      <c r="BW706" s="16"/>
      <c r="BX706" s="16"/>
      <c r="BY706" s="16"/>
      <c r="BZ706" s="16"/>
      <c r="CA706" s="190">
        <v>46281.666666666701</v>
      </c>
      <c r="CB706" s="3"/>
      <c r="CC706" s="16"/>
      <c r="CD706" s="16"/>
      <c r="CE706" s="16"/>
      <c r="CF706" s="16"/>
      <c r="CG706" s="16"/>
      <c r="CH706" s="16"/>
      <c r="CI706" s="16" t="s">
        <v>6257</v>
      </c>
    </row>
    <row r="707" spans="1:87">
      <c r="A707" s="16"/>
      <c r="B707" s="16"/>
      <c r="C707" s="3">
        <v>46281</v>
      </c>
      <c r="D707" s="16" t="s">
        <v>1</v>
      </c>
      <c r="E707" s="16" t="s">
        <v>6258</v>
      </c>
      <c r="F707" s="16">
        <v>2026183540468</v>
      </c>
      <c r="G707" s="16">
        <v>50</v>
      </c>
      <c r="H707" s="16">
        <v>75</v>
      </c>
      <c r="I707" s="16" t="s">
        <v>3018</v>
      </c>
      <c r="J707" s="16" t="e">
        <v>#N/A</v>
      </c>
      <c r="K707" s="16" t="s">
        <v>1813</v>
      </c>
      <c r="L707" s="16" t="s">
        <v>16</v>
      </c>
      <c r="M707" s="16">
        <v>0</v>
      </c>
      <c r="N707" s="16" t="s">
        <v>462</v>
      </c>
      <c r="O707" s="16" t="s">
        <v>497</v>
      </c>
      <c r="P707" s="16" t="s">
        <v>6259</v>
      </c>
      <c r="Q707" s="16" t="s">
        <v>564</v>
      </c>
      <c r="R707" s="16" t="s">
        <v>466</v>
      </c>
      <c r="S707" s="16" t="s">
        <v>6260</v>
      </c>
      <c r="T707" s="16">
        <v>276727</v>
      </c>
      <c r="U707" s="16">
        <v>46279.70208333333</v>
      </c>
      <c r="V707" s="16" t="s">
        <v>469</v>
      </c>
      <c r="W707" s="16" t="s">
        <v>568</v>
      </c>
      <c r="X707" s="16" t="s">
        <v>471</v>
      </c>
      <c r="Y707" s="16" t="s">
        <v>628</v>
      </c>
      <c r="Z707" s="16" t="s">
        <v>570</v>
      </c>
      <c r="AA707" s="16" t="s">
        <v>474</v>
      </c>
      <c r="AB707" s="16" t="s">
        <v>6261</v>
      </c>
      <c r="AC707" s="16"/>
      <c r="AD707" s="16"/>
      <c r="AE707" s="16"/>
      <c r="AF707" s="16"/>
      <c r="AG707" s="16"/>
      <c r="AH707" s="16" t="s">
        <v>1076</v>
      </c>
      <c r="AI707" s="16" t="s">
        <v>142</v>
      </c>
      <c r="AJ707" s="16" t="s">
        <v>481</v>
      </c>
      <c r="AK707" s="16" t="s">
        <v>6262</v>
      </c>
      <c r="AL707" s="16">
        <v>0</v>
      </c>
      <c r="AM707" s="16"/>
      <c r="AN707" s="16"/>
      <c r="AO707" s="16" t="s">
        <v>6263</v>
      </c>
      <c r="AP707" s="16" t="s">
        <v>485</v>
      </c>
      <c r="AQ707" s="16" t="s">
        <v>6264</v>
      </c>
      <c r="AR707" s="3">
        <v>46280</v>
      </c>
      <c r="AS707" s="16" t="s">
        <v>1436</v>
      </c>
      <c r="AT707" s="16" t="s">
        <v>1819</v>
      </c>
      <c r="AU707" s="16"/>
      <c r="AV707" s="16"/>
      <c r="AW707" s="16"/>
      <c r="AX707" s="16"/>
      <c r="AY707" s="16"/>
      <c r="AZ707" s="16"/>
      <c r="BA707" s="16"/>
      <c r="BB707" s="16"/>
      <c r="BC707" s="16"/>
      <c r="BD707" s="16" t="s">
        <v>142</v>
      </c>
      <c r="BE707" s="16">
        <v>75</v>
      </c>
      <c r="BF707" s="16" t="s">
        <v>6265</v>
      </c>
      <c r="BG707" s="16" t="s">
        <v>490</v>
      </c>
      <c r="BH707" s="16"/>
      <c r="BI707" s="16">
        <v>524253964</v>
      </c>
      <c r="BJ707" s="16"/>
      <c r="BK707" s="16"/>
      <c r="BL707" s="16"/>
      <c r="BM707" s="16"/>
      <c r="BN707" s="16"/>
      <c r="BO707" s="16"/>
      <c r="BP707" s="16"/>
      <c r="BQ707" s="16"/>
      <c r="BR707" s="16"/>
      <c r="BS707" s="16"/>
      <c r="BT707" s="16"/>
      <c r="BU707" s="16"/>
      <c r="BV707" s="16"/>
      <c r="BW707" s="16"/>
      <c r="BX707" s="16"/>
      <c r="BY707" s="16"/>
      <c r="BZ707" s="16"/>
      <c r="CA707" s="190">
        <v>46280</v>
      </c>
      <c r="CB707" s="3"/>
      <c r="CC707" s="16"/>
      <c r="CD707" s="16"/>
      <c r="CE707" s="16"/>
      <c r="CF707" s="16"/>
      <c r="CG707" s="16"/>
      <c r="CH707" s="16"/>
      <c r="CI707" s="16" t="s">
        <v>6266</v>
      </c>
    </row>
    <row r="708" spans="1:87">
      <c r="A708" s="16"/>
      <c r="B708" s="16"/>
      <c r="C708" s="3">
        <v>46281</v>
      </c>
      <c r="D708" s="16" t="s">
        <v>1</v>
      </c>
      <c r="E708" s="16" t="s">
        <v>6267</v>
      </c>
      <c r="F708" s="16">
        <v>2026135630193</v>
      </c>
      <c r="G708" s="16">
        <v>60</v>
      </c>
      <c r="H708" s="16">
        <v>123</v>
      </c>
      <c r="I708" s="16" t="s">
        <v>3296</v>
      </c>
      <c r="J708" s="16" t="s">
        <v>6267</v>
      </c>
      <c r="K708" s="16" t="s">
        <v>983</v>
      </c>
      <c r="L708" s="16" t="s">
        <v>17</v>
      </c>
      <c r="M708" s="16">
        <v>1</v>
      </c>
      <c r="N708" s="16" t="s">
        <v>462</v>
      </c>
      <c r="O708" s="16" t="s">
        <v>606</v>
      </c>
      <c r="P708" s="16">
        <v>104841579</v>
      </c>
      <c r="Q708" s="16" t="s">
        <v>465</v>
      </c>
      <c r="R708" s="16" t="s">
        <v>466</v>
      </c>
      <c r="S708" s="16" t="s">
        <v>6268</v>
      </c>
      <c r="T708" s="16">
        <v>173324</v>
      </c>
      <c r="U708" s="16">
        <v>46278.80972222222</v>
      </c>
      <c r="V708" s="16" t="s">
        <v>469</v>
      </c>
      <c r="W708" s="16" t="s">
        <v>651</v>
      </c>
      <c r="X708" s="16" t="s">
        <v>652</v>
      </c>
      <c r="Y708" s="16" t="s">
        <v>653</v>
      </c>
      <c r="Z708" s="16" t="s">
        <v>590</v>
      </c>
      <c r="AA708" s="16" t="s">
        <v>474</v>
      </c>
      <c r="AB708" s="16" t="s">
        <v>3283</v>
      </c>
      <c r="AC708" s="16" t="s">
        <v>1932</v>
      </c>
      <c r="AD708" s="16">
        <v>383730230</v>
      </c>
      <c r="AE708" s="16">
        <v>1528101284</v>
      </c>
      <c r="AF708" s="16"/>
      <c r="AG708" s="16">
        <v>2.66202423601264E+16</v>
      </c>
      <c r="AH708" s="16" t="s">
        <v>1076</v>
      </c>
      <c r="AI708" s="16" t="s">
        <v>34</v>
      </c>
      <c r="AJ708" s="16" t="s">
        <v>481</v>
      </c>
      <c r="AK708" s="16" t="s">
        <v>6269</v>
      </c>
      <c r="AL708" s="16">
        <v>588206</v>
      </c>
      <c r="AM708" s="16"/>
      <c r="AN708" s="16"/>
      <c r="AO708" s="16">
        <v>104</v>
      </c>
      <c r="AP708" s="16" t="s">
        <v>485</v>
      </c>
      <c r="AQ708" s="16" t="s">
        <v>6270</v>
      </c>
      <c r="AR708" s="3">
        <v>46279</v>
      </c>
      <c r="AS708" s="16" t="s">
        <v>34</v>
      </c>
      <c r="AT708" s="16" t="s">
        <v>516</v>
      </c>
      <c r="AU708" s="16"/>
      <c r="AV708" s="16" t="s">
        <v>6271</v>
      </c>
      <c r="AW708" s="16"/>
      <c r="AX708" s="16"/>
      <c r="AY708" s="16"/>
      <c r="AZ708" s="16"/>
      <c r="BA708" s="16"/>
      <c r="BB708" s="16"/>
      <c r="BC708" s="16"/>
      <c r="BD708" s="16" t="s">
        <v>34</v>
      </c>
      <c r="BE708" s="16">
        <v>123</v>
      </c>
      <c r="BF708" s="16"/>
      <c r="BG708" s="16" t="s">
        <v>490</v>
      </c>
      <c r="BH708" s="16" t="s">
        <v>658</v>
      </c>
      <c r="BI708" s="16">
        <v>104841579</v>
      </c>
      <c r="BJ708" s="16"/>
      <c r="BK708" s="16"/>
      <c r="BL708" s="16"/>
      <c r="BM708" s="16"/>
      <c r="BN708" s="16"/>
      <c r="BO708" s="16"/>
      <c r="BP708" s="16"/>
      <c r="BQ708" s="16"/>
      <c r="BR708" s="16"/>
      <c r="BS708" s="16"/>
      <c r="BT708" s="16"/>
      <c r="BU708" s="16"/>
      <c r="BV708" s="16"/>
      <c r="BW708" s="16"/>
      <c r="BX708" s="16"/>
      <c r="BY708" s="16"/>
      <c r="BZ708" s="16"/>
      <c r="CA708" s="190">
        <v>46280</v>
      </c>
      <c r="CB708" s="3"/>
      <c r="CC708" s="16"/>
      <c r="CD708" s="16"/>
      <c r="CE708" s="16"/>
      <c r="CF708" s="16"/>
      <c r="CG708" s="16"/>
      <c r="CH708" s="16"/>
      <c r="CI708" s="16" t="s">
        <v>6272</v>
      </c>
    </row>
    <row r="709" spans="1:87">
      <c r="A709" s="16"/>
      <c r="B709" s="16"/>
      <c r="C709" s="3">
        <v>46281</v>
      </c>
      <c r="D709" s="16" t="s">
        <v>14</v>
      </c>
      <c r="E709" s="16" t="s">
        <v>6273</v>
      </c>
      <c r="F709" s="16">
        <v>2026248830052</v>
      </c>
      <c r="G709" s="16">
        <v>20</v>
      </c>
      <c r="H709" s="16">
        <v>10</v>
      </c>
      <c r="I709" s="16" t="s">
        <v>647</v>
      </c>
      <c r="J709" s="16" t="s">
        <v>6273</v>
      </c>
      <c r="K709" s="16" t="s">
        <v>682</v>
      </c>
      <c r="L709" s="16" t="s">
        <v>18</v>
      </c>
      <c r="M709" s="16">
        <v>7</v>
      </c>
      <c r="N709" s="16" t="s">
        <v>462</v>
      </c>
      <c r="O709" s="16" t="s">
        <v>606</v>
      </c>
      <c r="P709" s="16">
        <v>876258017</v>
      </c>
      <c r="Q709" s="16" t="s">
        <v>465</v>
      </c>
      <c r="R709" s="16" t="s">
        <v>466</v>
      </c>
      <c r="S709" s="16" t="s">
        <v>6274</v>
      </c>
      <c r="T709" s="16" t="s">
        <v>928</v>
      </c>
      <c r="U709" s="16">
        <v>46273.177083333336</v>
      </c>
      <c r="V709" s="16" t="s">
        <v>469</v>
      </c>
      <c r="W709" s="16" t="s">
        <v>651</v>
      </c>
      <c r="X709" s="16" t="s">
        <v>652</v>
      </c>
      <c r="Y709" s="16" t="s">
        <v>653</v>
      </c>
      <c r="Z709" s="16" t="s">
        <v>544</v>
      </c>
      <c r="AA709" s="16" t="s">
        <v>474</v>
      </c>
      <c r="AB709" s="16" t="s">
        <v>929</v>
      </c>
      <c r="AC709" s="16" t="s">
        <v>546</v>
      </c>
      <c r="AD709" s="16">
        <v>881331363</v>
      </c>
      <c r="AE709" s="16">
        <v>1902517337</v>
      </c>
      <c r="AF709" s="16">
        <v>1023484037</v>
      </c>
      <c r="AG709" s="16">
        <v>1.0220260351252E+16</v>
      </c>
      <c r="AH709" s="16"/>
      <c r="AI709" s="16" t="s">
        <v>19</v>
      </c>
      <c r="AJ709" s="16" t="s">
        <v>481</v>
      </c>
      <c r="AK709" s="16" t="s">
        <v>6275</v>
      </c>
      <c r="AL709" s="16">
        <v>8000</v>
      </c>
      <c r="AM709" s="16"/>
      <c r="AN709" s="16"/>
      <c r="AO709" s="16">
        <v>876</v>
      </c>
      <c r="AP709" s="16" t="s">
        <v>485</v>
      </c>
      <c r="AQ709" s="16" t="s">
        <v>6276</v>
      </c>
      <c r="AR709" s="3">
        <v>46273</v>
      </c>
      <c r="AS709" s="16" t="s">
        <v>19</v>
      </c>
      <c r="AT709" s="16" t="s">
        <v>516</v>
      </c>
      <c r="AU709" s="16"/>
      <c r="AV709" s="16" t="s">
        <v>6277</v>
      </c>
      <c r="AW709" s="16"/>
      <c r="AX709" s="16"/>
      <c r="AY709" s="16"/>
      <c r="AZ709" s="16"/>
      <c r="BA709" s="16"/>
      <c r="BB709" s="16"/>
      <c r="BC709" s="16"/>
      <c r="BD709" s="16" t="s">
        <v>19</v>
      </c>
      <c r="BE709" s="16">
        <v>10</v>
      </c>
      <c r="BF709" s="16"/>
      <c r="BG709" s="16"/>
      <c r="BH709" s="16" t="s">
        <v>658</v>
      </c>
      <c r="BI709" s="16">
        <v>876258017</v>
      </c>
      <c r="BJ709" s="16"/>
      <c r="BK709" s="16"/>
      <c r="BL709" s="16"/>
      <c r="BM709" s="16"/>
      <c r="BN709" s="16"/>
      <c r="BO709" s="16"/>
      <c r="BP709" s="16"/>
      <c r="BQ709" s="16"/>
      <c r="BR709" s="16"/>
      <c r="BS709" s="16"/>
      <c r="BT709" s="16"/>
      <c r="BU709" s="16"/>
      <c r="BV709" s="16"/>
      <c r="BW709" s="16"/>
      <c r="BX709" s="16"/>
      <c r="BY709" s="16"/>
      <c r="BZ709" s="16"/>
      <c r="CA709" s="190">
        <v>46280</v>
      </c>
      <c r="CB709" s="3"/>
      <c r="CC709" s="16"/>
      <c r="CD709" s="16"/>
      <c r="CE709" s="16"/>
      <c r="CF709" s="16"/>
      <c r="CG709" s="16"/>
      <c r="CH709" s="16"/>
      <c r="CI709" s="16" t="s">
        <v>6278</v>
      </c>
    </row>
    <row r="710" spans="1:87" ht="29.25">
      <c r="A710" s="16" t="s">
        <v>5</v>
      </c>
      <c r="B710" s="25" t="s">
        <v>3493</v>
      </c>
      <c r="C710" s="3">
        <v>46281</v>
      </c>
      <c r="D710" s="16" t="s">
        <v>14</v>
      </c>
      <c r="E710" s="16" t="s">
        <v>6279</v>
      </c>
      <c r="F710" s="16">
        <v>2026248350254</v>
      </c>
      <c r="G710" s="16">
        <v>20</v>
      </c>
      <c r="H710" s="16">
        <v>10</v>
      </c>
      <c r="I710" s="16" t="s">
        <v>647</v>
      </c>
      <c r="J710" s="16" t="s">
        <v>6279</v>
      </c>
      <c r="K710" s="16" t="s">
        <v>461</v>
      </c>
      <c r="L710" s="16" t="s">
        <v>17</v>
      </c>
      <c r="M710" s="16">
        <v>8</v>
      </c>
      <c r="N710" s="16" t="s">
        <v>462</v>
      </c>
      <c r="O710" s="16" t="s">
        <v>606</v>
      </c>
      <c r="P710" s="16">
        <v>100011666</v>
      </c>
      <c r="Q710" s="16" t="s">
        <v>465</v>
      </c>
      <c r="R710" s="16" t="s">
        <v>466</v>
      </c>
      <c r="S710" s="16" t="s">
        <v>6280</v>
      </c>
      <c r="T710" s="16" t="s">
        <v>664</v>
      </c>
      <c r="U710" s="16">
        <v>46272.251388888886</v>
      </c>
      <c r="V710" s="16" t="s">
        <v>469</v>
      </c>
      <c r="W710" s="16" t="s">
        <v>651</v>
      </c>
      <c r="X710" s="16" t="s">
        <v>652</v>
      </c>
      <c r="Y710" s="16" t="s">
        <v>653</v>
      </c>
      <c r="Z710" s="16" t="s">
        <v>665</v>
      </c>
      <c r="AA710" s="16" t="s">
        <v>474</v>
      </c>
      <c r="AB710" s="16" t="s">
        <v>666</v>
      </c>
      <c r="AC710" s="16" t="s">
        <v>640</v>
      </c>
      <c r="AD710" s="16">
        <v>135562308</v>
      </c>
      <c r="AE710" s="16">
        <v>1285826438</v>
      </c>
      <c r="AF710" s="16">
        <v>1679729297</v>
      </c>
      <c r="AG710" s="16">
        <v>2.54202534906607E+16</v>
      </c>
      <c r="AH710" s="16"/>
      <c r="AI710" s="16" t="s">
        <v>67</v>
      </c>
      <c r="AJ710" s="16" t="s">
        <v>481</v>
      </c>
      <c r="AK710" s="16" t="s">
        <v>6281</v>
      </c>
      <c r="AL710" s="16">
        <v>71771</v>
      </c>
      <c r="AM710" s="16"/>
      <c r="AN710" s="16"/>
      <c r="AO710" s="16">
        <v>100</v>
      </c>
      <c r="AP710" s="16" t="s">
        <v>485</v>
      </c>
      <c r="AQ710" s="16" t="s">
        <v>6282</v>
      </c>
      <c r="AR710" s="3">
        <v>46272</v>
      </c>
      <c r="AS710" s="16" t="s">
        <v>67</v>
      </c>
      <c r="AT710" s="16" t="s">
        <v>487</v>
      </c>
      <c r="AU710" s="16"/>
      <c r="AV710" s="16" t="s">
        <v>644</v>
      </c>
      <c r="AW710" s="16"/>
      <c r="AX710" s="16"/>
      <c r="AY710" s="16"/>
      <c r="AZ710" s="16"/>
      <c r="BA710" s="16"/>
      <c r="BB710" s="16"/>
      <c r="BC710" s="16"/>
      <c r="BD710" s="16" t="s">
        <v>67</v>
      </c>
      <c r="BE710" s="16">
        <v>10</v>
      </c>
      <c r="BF710" s="16"/>
      <c r="BG710" s="16" t="s">
        <v>490</v>
      </c>
      <c r="BH710" s="16" t="s">
        <v>658</v>
      </c>
      <c r="BI710" s="16">
        <v>100011666</v>
      </c>
      <c r="BJ710" s="16"/>
      <c r="BK710" s="16"/>
      <c r="BL710" s="16"/>
      <c r="BM710" s="16"/>
      <c r="BN710" s="16"/>
      <c r="BO710" s="16"/>
      <c r="BP710" s="16"/>
      <c r="BQ710" s="16"/>
      <c r="BR710" s="16"/>
      <c r="BS710" s="16"/>
      <c r="BT710" s="16"/>
      <c r="BU710" s="16"/>
      <c r="BV710" s="16"/>
      <c r="BW710" s="16"/>
      <c r="BX710" s="16"/>
      <c r="BY710" s="16"/>
      <c r="BZ710" s="16"/>
      <c r="CA710" s="190">
        <v>46282.166666666701</v>
      </c>
      <c r="CB710" s="3"/>
      <c r="CC710" s="16"/>
      <c r="CD710" s="16"/>
      <c r="CE710" s="16"/>
      <c r="CF710" s="16"/>
      <c r="CG710" s="16"/>
      <c r="CH710" s="16"/>
      <c r="CI710" s="16" t="s">
        <v>6283</v>
      </c>
    </row>
    <row r="711" spans="1:87">
      <c r="A711" s="16"/>
      <c r="B711" s="16"/>
      <c r="C711" s="3">
        <v>46281</v>
      </c>
      <c r="D711" s="16" t="s">
        <v>14</v>
      </c>
      <c r="E711" s="16" t="s">
        <v>6284</v>
      </c>
      <c r="F711" s="16">
        <v>2026249850111</v>
      </c>
      <c r="G711" s="16">
        <v>20</v>
      </c>
      <c r="H711" s="16">
        <v>9</v>
      </c>
      <c r="I711" s="16" t="s">
        <v>647</v>
      </c>
      <c r="J711" s="16" t="s">
        <v>6284</v>
      </c>
      <c r="K711" s="16" t="s">
        <v>682</v>
      </c>
      <c r="L711" s="16" t="s">
        <v>18</v>
      </c>
      <c r="M711" s="16">
        <v>7</v>
      </c>
      <c r="N711" s="16" t="s">
        <v>462</v>
      </c>
      <c r="O711" s="16" t="s">
        <v>606</v>
      </c>
      <c r="P711" s="16" t="s">
        <v>6285</v>
      </c>
      <c r="Q711" s="16" t="s">
        <v>465</v>
      </c>
      <c r="R711" s="16" t="s">
        <v>466</v>
      </c>
      <c r="S711" s="16" t="s">
        <v>6286</v>
      </c>
      <c r="T711" s="16" t="s">
        <v>664</v>
      </c>
      <c r="U711" s="16">
        <v>46272.974305555559</v>
      </c>
      <c r="V711" s="16" t="s">
        <v>469</v>
      </c>
      <c r="W711" s="16" t="s">
        <v>651</v>
      </c>
      <c r="X711" s="16" t="s">
        <v>652</v>
      </c>
      <c r="Y711" s="16" t="s">
        <v>653</v>
      </c>
      <c r="Z711" s="16" t="s">
        <v>665</v>
      </c>
      <c r="AA711" s="16" t="s">
        <v>474</v>
      </c>
      <c r="AB711" s="16" t="s">
        <v>666</v>
      </c>
      <c r="AC711" s="16" t="s">
        <v>640</v>
      </c>
      <c r="AD711" s="16">
        <v>135598093</v>
      </c>
      <c r="AE711" s="16">
        <v>1508266347</v>
      </c>
      <c r="AF711" s="16">
        <v>1962480319</v>
      </c>
      <c r="AG711" s="16">
        <v>2.54202535822322E+16</v>
      </c>
      <c r="AH711" s="16"/>
      <c r="AI711" s="16" t="s">
        <v>19</v>
      </c>
      <c r="AJ711" s="16" t="s">
        <v>481</v>
      </c>
      <c r="AK711" s="16" t="s">
        <v>6287</v>
      </c>
      <c r="AL711" s="16">
        <v>3825</v>
      </c>
      <c r="AM711" s="16"/>
      <c r="AN711" s="16"/>
      <c r="AO711" s="16" t="s">
        <v>1133</v>
      </c>
      <c r="AP711" s="16" t="s">
        <v>485</v>
      </c>
      <c r="AQ711" s="16" t="s">
        <v>6288</v>
      </c>
      <c r="AR711" s="3">
        <v>46273</v>
      </c>
      <c r="AS711" s="16" t="s">
        <v>19</v>
      </c>
      <c r="AT711" s="16" t="s">
        <v>516</v>
      </c>
      <c r="AU711" s="16"/>
      <c r="AV711" s="16" t="s">
        <v>1235</v>
      </c>
      <c r="AW711" s="16"/>
      <c r="AX711" s="16"/>
      <c r="AY711" s="16"/>
      <c r="AZ711" s="16"/>
      <c r="BA711" s="16"/>
      <c r="BB711" s="16"/>
      <c r="BC711" s="16"/>
      <c r="BD711" s="16" t="s">
        <v>19</v>
      </c>
      <c r="BE711" s="16">
        <v>9</v>
      </c>
      <c r="BF711" s="16"/>
      <c r="BG711" s="16"/>
      <c r="BH711" s="16" t="s">
        <v>658</v>
      </c>
      <c r="BI711" s="16" t="s">
        <v>6285</v>
      </c>
      <c r="BJ711" s="16"/>
      <c r="BK711" s="16"/>
      <c r="BL711" s="16"/>
      <c r="BM711" s="16"/>
      <c r="BN711" s="16"/>
      <c r="BO711" s="16"/>
      <c r="BP711" s="16"/>
      <c r="BQ711" s="16"/>
      <c r="BR711" s="16"/>
      <c r="BS711" s="16"/>
      <c r="BT711" s="16"/>
      <c r="BU711" s="16"/>
      <c r="BV711" s="16"/>
      <c r="BW711" s="16"/>
      <c r="BX711" s="16"/>
      <c r="BY711" s="16"/>
      <c r="BZ711" s="16"/>
      <c r="CA711" s="190">
        <v>46280</v>
      </c>
      <c r="CB711" s="3"/>
      <c r="CC711" s="16"/>
      <c r="CD711" s="16"/>
      <c r="CE711" s="16"/>
      <c r="CF711" s="16"/>
      <c r="CG711" s="16"/>
      <c r="CH711" s="16"/>
      <c r="CI711" s="16" t="s">
        <v>6289</v>
      </c>
    </row>
    <row r="712" spans="1:87">
      <c r="A712" s="16"/>
      <c r="B712" s="16"/>
      <c r="C712" s="3">
        <v>46281</v>
      </c>
      <c r="D712" s="16" t="s">
        <v>14</v>
      </c>
      <c r="E712" s="16" t="s">
        <v>6290</v>
      </c>
      <c r="F712" s="16">
        <v>2026246250196</v>
      </c>
      <c r="G712" s="16">
        <v>30</v>
      </c>
      <c r="H712" s="16">
        <v>12</v>
      </c>
      <c r="I712" s="16" t="s">
        <v>647</v>
      </c>
      <c r="J712" s="16" t="s">
        <v>6290</v>
      </c>
      <c r="K712" s="16" t="s">
        <v>3617</v>
      </c>
      <c r="L712" s="16" t="s">
        <v>16</v>
      </c>
      <c r="M712" s="16">
        <v>8</v>
      </c>
      <c r="N712" s="16" t="s">
        <v>561</v>
      </c>
      <c r="O712" s="16" t="s">
        <v>497</v>
      </c>
      <c r="P712" s="16">
        <v>804712494</v>
      </c>
      <c r="Q712" s="16" t="s">
        <v>465</v>
      </c>
      <c r="R712" s="16" t="s">
        <v>466</v>
      </c>
      <c r="S712" s="16" t="s">
        <v>6291</v>
      </c>
      <c r="T712" s="16">
        <v>173323</v>
      </c>
      <c r="U712" s="16">
        <v>46272.465277777781</v>
      </c>
      <c r="V712" s="16" t="s">
        <v>469</v>
      </c>
      <c r="W712" s="16" t="s">
        <v>651</v>
      </c>
      <c r="X712" s="16" t="s">
        <v>652</v>
      </c>
      <c r="Y712" s="16" t="s">
        <v>653</v>
      </c>
      <c r="Z712" s="16" t="s">
        <v>590</v>
      </c>
      <c r="AA712" s="16" t="s">
        <v>474</v>
      </c>
      <c r="AB712" s="16" t="s">
        <v>2303</v>
      </c>
      <c r="AC712" s="16" t="s">
        <v>592</v>
      </c>
      <c r="AD712" s="16">
        <v>840405257</v>
      </c>
      <c r="AE712" s="16">
        <v>1164430567</v>
      </c>
      <c r="AF712" s="16"/>
      <c r="AG712" s="16">
        <v>5120250150138600</v>
      </c>
      <c r="AH712" s="16" t="s">
        <v>1076</v>
      </c>
      <c r="AI712" s="16" t="s">
        <v>1076</v>
      </c>
      <c r="AJ712" s="16" t="s">
        <v>481</v>
      </c>
      <c r="AK712" s="16" t="s">
        <v>6292</v>
      </c>
      <c r="AL712" s="16">
        <v>31482.36</v>
      </c>
      <c r="AM712" s="16"/>
      <c r="AN712" s="16"/>
      <c r="AO712" s="16">
        <v>804</v>
      </c>
      <c r="AP712" s="16" t="s">
        <v>485</v>
      </c>
      <c r="AQ712" s="16" t="s">
        <v>6293</v>
      </c>
      <c r="AR712" s="3">
        <v>46272</v>
      </c>
      <c r="AS712" s="16" t="s">
        <v>201</v>
      </c>
      <c r="AT712" s="16" t="s">
        <v>6294</v>
      </c>
      <c r="AU712" s="16"/>
      <c r="AV712" s="16" t="s">
        <v>6295</v>
      </c>
      <c r="AW712" s="16"/>
      <c r="AX712" s="16"/>
      <c r="AY712" s="16"/>
      <c r="AZ712" s="16"/>
      <c r="BA712" s="16"/>
      <c r="BB712" s="16"/>
      <c r="BC712" s="16"/>
      <c r="BD712" s="16" t="s">
        <v>1076</v>
      </c>
      <c r="BE712" s="16">
        <v>12</v>
      </c>
      <c r="BF712" s="16"/>
      <c r="BG712" s="16"/>
      <c r="BH712" s="16" t="s">
        <v>658</v>
      </c>
      <c r="BI712" s="16">
        <v>804712494</v>
      </c>
      <c r="BJ712" s="16"/>
      <c r="BK712" s="16"/>
      <c r="BL712" s="16"/>
      <c r="BM712" s="16"/>
      <c r="BN712" s="16"/>
      <c r="BO712" s="16"/>
      <c r="BP712" s="16"/>
      <c r="BQ712" s="16"/>
      <c r="BR712" s="16"/>
      <c r="BS712" s="16"/>
      <c r="BT712" s="16"/>
      <c r="BU712" s="16"/>
      <c r="BV712" s="16"/>
      <c r="BW712" s="16"/>
      <c r="BX712" s="16"/>
      <c r="BY712" s="16"/>
      <c r="BZ712" s="16"/>
      <c r="CA712" s="190">
        <v>46280</v>
      </c>
      <c r="CB712" s="3"/>
      <c r="CC712" s="16"/>
      <c r="CD712" s="16"/>
      <c r="CE712" s="16"/>
      <c r="CF712" s="16"/>
      <c r="CG712" s="16"/>
      <c r="CH712" s="16"/>
      <c r="CI712" s="16" t="s">
        <v>6296</v>
      </c>
    </row>
    <row r="713" spans="1:87">
      <c r="A713" s="16" t="s">
        <v>5</v>
      </c>
      <c r="B713" s="16" t="s">
        <v>4111</v>
      </c>
      <c r="C713" s="3">
        <v>46281</v>
      </c>
      <c r="D713" s="16" t="s">
        <v>14</v>
      </c>
      <c r="E713" s="16" t="s">
        <v>6297</v>
      </c>
      <c r="F713" s="16">
        <v>2026243970303</v>
      </c>
      <c r="G713" s="16">
        <v>30</v>
      </c>
      <c r="H713" s="16">
        <v>15</v>
      </c>
      <c r="I713" s="16" t="s">
        <v>647</v>
      </c>
      <c r="J713" s="16" t="s">
        <v>6297</v>
      </c>
      <c r="K713" s="16" t="s">
        <v>662</v>
      </c>
      <c r="L713" s="16" t="s">
        <v>13</v>
      </c>
      <c r="M713" s="16">
        <v>11</v>
      </c>
      <c r="N713" s="16" t="s">
        <v>462</v>
      </c>
      <c r="O713" s="16" t="s">
        <v>606</v>
      </c>
      <c r="P713" s="16">
        <v>810808053</v>
      </c>
      <c r="Q713" s="16" t="s">
        <v>465</v>
      </c>
      <c r="R713" s="16" t="s">
        <v>466</v>
      </c>
      <c r="S713" s="16" t="s">
        <v>6298</v>
      </c>
      <c r="T713" s="16">
        <v>173325</v>
      </c>
      <c r="U713" s="16">
        <v>46268.780555555553</v>
      </c>
      <c r="V713" s="16" t="s">
        <v>469</v>
      </c>
      <c r="W713" s="16" t="s">
        <v>651</v>
      </c>
      <c r="X713" s="16" t="s">
        <v>652</v>
      </c>
      <c r="Y713" s="16" t="s">
        <v>653</v>
      </c>
      <c r="Z713" s="16" t="s">
        <v>731</v>
      </c>
      <c r="AA713" s="16" t="s">
        <v>474</v>
      </c>
      <c r="AB713" s="16" t="s">
        <v>732</v>
      </c>
      <c r="AC713" s="16" t="s">
        <v>733</v>
      </c>
      <c r="AD713" s="16">
        <v>430980256</v>
      </c>
      <c r="AE713" s="16">
        <v>1568481984</v>
      </c>
      <c r="AF713" s="16"/>
      <c r="AG713" s="16">
        <v>7.4820251960933408E+16</v>
      </c>
      <c r="AH713" s="16"/>
      <c r="AI713" s="16" t="s">
        <v>138</v>
      </c>
      <c r="AJ713" s="16" t="s">
        <v>481</v>
      </c>
      <c r="AK713" s="16" t="s">
        <v>6299</v>
      </c>
      <c r="AL713" s="16">
        <v>80066.39</v>
      </c>
      <c r="AM713" s="16"/>
      <c r="AN713" s="16"/>
      <c r="AO713" s="16">
        <v>810</v>
      </c>
      <c r="AP713" s="16" t="s">
        <v>485</v>
      </c>
      <c r="AQ713" s="16" t="s">
        <v>6300</v>
      </c>
      <c r="AR713" s="3">
        <v>46269</v>
      </c>
      <c r="AS713" s="16" t="s">
        <v>138</v>
      </c>
      <c r="AT713" s="16" t="s">
        <v>669</v>
      </c>
      <c r="AU713" s="16"/>
      <c r="AV713" s="16" t="s">
        <v>4762</v>
      </c>
      <c r="AW713" s="16"/>
      <c r="AX713" s="16"/>
      <c r="AY713" s="16"/>
      <c r="AZ713" s="16"/>
      <c r="BA713" s="16"/>
      <c r="BB713" s="16"/>
      <c r="BC713" s="16"/>
      <c r="BD713" s="16" t="s">
        <v>138</v>
      </c>
      <c r="BE713" s="16">
        <v>15</v>
      </c>
      <c r="BF713" s="16"/>
      <c r="BG713" s="16"/>
      <c r="BH713" s="16" t="s">
        <v>658</v>
      </c>
      <c r="BI713" s="16">
        <v>810808053</v>
      </c>
      <c r="BJ713" s="16"/>
      <c r="BK713" s="16"/>
      <c r="BL713" s="16"/>
      <c r="BM713" s="16"/>
      <c r="BN713" s="16"/>
      <c r="BO713" s="16"/>
      <c r="BP713" s="16"/>
      <c r="BQ713" s="16"/>
      <c r="BR713" s="16"/>
      <c r="BS713" s="16"/>
      <c r="BT713" s="16"/>
      <c r="BU713" s="16"/>
      <c r="BV713" s="16"/>
      <c r="BW713" s="16"/>
      <c r="BX713" s="16"/>
      <c r="BY713" s="16"/>
      <c r="BZ713" s="16"/>
      <c r="CA713" s="190">
        <v>46281.166666666701</v>
      </c>
      <c r="CB713" s="3"/>
      <c r="CC713" s="16"/>
      <c r="CD713" s="16"/>
      <c r="CE713" s="16"/>
      <c r="CF713" s="16"/>
      <c r="CG713" s="16"/>
      <c r="CH713" s="16"/>
      <c r="CI713" s="16" t="s">
        <v>6301</v>
      </c>
    </row>
    <row r="714" spans="1:87">
      <c r="A714" s="16"/>
      <c r="B714" s="16"/>
      <c r="C714" s="3">
        <v>46281</v>
      </c>
      <c r="D714" s="16" t="s">
        <v>14</v>
      </c>
      <c r="E714" s="16" t="s">
        <v>6302</v>
      </c>
      <c r="F714" s="16">
        <v>2026246620287</v>
      </c>
      <c r="G714" s="16">
        <v>30</v>
      </c>
      <c r="H714" s="16">
        <v>12</v>
      </c>
      <c r="I714" s="16" t="s">
        <v>647</v>
      </c>
      <c r="J714" s="16" t="s">
        <v>6302</v>
      </c>
      <c r="K714" s="16" t="s">
        <v>741</v>
      </c>
      <c r="L714" s="16" t="s">
        <v>13</v>
      </c>
      <c r="M714" s="16">
        <v>7</v>
      </c>
      <c r="N714" s="16" t="s">
        <v>462</v>
      </c>
      <c r="O714" s="16" t="s">
        <v>606</v>
      </c>
      <c r="P714" s="16">
        <v>919404208</v>
      </c>
      <c r="Q714" s="16" t="s">
        <v>465</v>
      </c>
      <c r="R714" s="16" t="s">
        <v>466</v>
      </c>
      <c r="S714" s="16" t="s">
        <v>6303</v>
      </c>
      <c r="T714" s="16">
        <v>173327</v>
      </c>
      <c r="U714" s="16">
        <v>46272.807638888888</v>
      </c>
      <c r="V714" s="16" t="s">
        <v>469</v>
      </c>
      <c r="W714" s="16" t="s">
        <v>651</v>
      </c>
      <c r="X714" s="16" t="s">
        <v>652</v>
      </c>
      <c r="Y714" s="16" t="s">
        <v>653</v>
      </c>
      <c r="Z714" s="16" t="s">
        <v>524</v>
      </c>
      <c r="AA714" s="16" t="s">
        <v>474</v>
      </c>
      <c r="AB714" s="16" t="s">
        <v>757</v>
      </c>
      <c r="AC714" s="16" t="s">
        <v>526</v>
      </c>
      <c r="AD714" s="16">
        <v>454976786</v>
      </c>
      <c r="AE714" s="16">
        <v>1306105150</v>
      </c>
      <c r="AF714" s="16">
        <v>1801157060</v>
      </c>
      <c r="AG714" s="16">
        <v>3.30202536433065E+16</v>
      </c>
      <c r="AH714" s="16"/>
      <c r="AI714" s="16" t="s">
        <v>290</v>
      </c>
      <c r="AJ714" s="16" t="s">
        <v>481</v>
      </c>
      <c r="AK714" s="16" t="s">
        <v>6304</v>
      </c>
      <c r="AL714" s="16">
        <v>34875</v>
      </c>
      <c r="AM714" s="16"/>
      <c r="AN714" s="16"/>
      <c r="AO714" s="16">
        <v>919</v>
      </c>
      <c r="AP714" s="16" t="s">
        <v>485</v>
      </c>
      <c r="AQ714" s="16" t="s">
        <v>6305</v>
      </c>
      <c r="AR714" s="3">
        <v>46273</v>
      </c>
      <c r="AS714" s="16" t="s">
        <v>290</v>
      </c>
      <c r="AT714" s="16" t="s">
        <v>516</v>
      </c>
      <c r="AU714" s="16"/>
      <c r="AV714" s="16" t="s">
        <v>6306</v>
      </c>
      <c r="AW714" s="16"/>
      <c r="AX714" s="16"/>
      <c r="AY714" s="16"/>
      <c r="AZ714" s="16"/>
      <c r="BA714" s="16"/>
      <c r="BB714" s="16"/>
      <c r="BC714" s="16"/>
      <c r="BD714" s="16" t="s">
        <v>290</v>
      </c>
      <c r="BE714" s="16">
        <v>12</v>
      </c>
      <c r="BF714" s="16"/>
      <c r="BG714" s="16"/>
      <c r="BH714" s="16" t="s">
        <v>658</v>
      </c>
      <c r="BI714" s="16">
        <v>919404208</v>
      </c>
      <c r="BJ714" s="16"/>
      <c r="BK714" s="16"/>
      <c r="BL714" s="16"/>
      <c r="BM714" s="16"/>
      <c r="BN714" s="16"/>
      <c r="BO714" s="16"/>
      <c r="BP714" s="16"/>
      <c r="BQ714" s="16"/>
      <c r="BR714" s="16"/>
      <c r="BS714" s="16"/>
      <c r="BT714" s="16"/>
      <c r="BU714" s="16"/>
      <c r="BV714" s="16"/>
      <c r="BW714" s="16"/>
      <c r="BX714" s="16"/>
      <c r="BY714" s="16"/>
      <c r="BZ714" s="16"/>
      <c r="CA714" s="190">
        <v>46280</v>
      </c>
      <c r="CB714" s="3"/>
      <c r="CC714" s="16"/>
      <c r="CD714" s="16"/>
      <c r="CE714" s="16"/>
      <c r="CF714" s="16"/>
      <c r="CG714" s="16"/>
      <c r="CH714" s="16"/>
      <c r="CI714" s="16" t="s">
        <v>6307</v>
      </c>
    </row>
    <row r="715" spans="1:87" ht="29.25">
      <c r="A715" s="16" t="s">
        <v>5</v>
      </c>
      <c r="B715" s="25" t="s">
        <v>3707</v>
      </c>
      <c r="C715" s="3">
        <v>46281</v>
      </c>
      <c r="D715" s="16" t="s">
        <v>14</v>
      </c>
      <c r="E715" s="16" t="s">
        <v>6308</v>
      </c>
      <c r="F715" s="16">
        <v>2026246780318</v>
      </c>
      <c r="G715" s="16">
        <v>30</v>
      </c>
      <c r="H715" s="16">
        <v>12</v>
      </c>
      <c r="I715" s="16" t="s">
        <v>647</v>
      </c>
      <c r="J715" s="16" t="s">
        <v>6308</v>
      </c>
      <c r="K715" s="16" t="s">
        <v>1555</v>
      </c>
      <c r="L715" s="16" t="s">
        <v>17</v>
      </c>
      <c r="M715" s="16">
        <v>11</v>
      </c>
      <c r="N715" s="16" t="s">
        <v>462</v>
      </c>
      <c r="O715" s="16" t="s">
        <v>606</v>
      </c>
      <c r="P715" s="16">
        <v>863284268</v>
      </c>
      <c r="Q715" s="16" t="s">
        <v>465</v>
      </c>
      <c r="R715" s="16" t="s">
        <v>466</v>
      </c>
      <c r="S715" s="16" t="s">
        <v>6309</v>
      </c>
      <c r="T715" s="16">
        <v>173326</v>
      </c>
      <c r="U715" s="16">
        <v>46269.0625</v>
      </c>
      <c r="V715" s="16" t="s">
        <v>469</v>
      </c>
      <c r="W715" s="16" t="s">
        <v>651</v>
      </c>
      <c r="X715" s="16" t="s">
        <v>652</v>
      </c>
      <c r="Y715" s="16" t="s">
        <v>653</v>
      </c>
      <c r="Z715" s="16" t="s">
        <v>473</v>
      </c>
      <c r="AA715" s="16" t="s">
        <v>474</v>
      </c>
      <c r="AB715" s="16" t="s">
        <v>684</v>
      </c>
      <c r="AC715" s="16" t="s">
        <v>476</v>
      </c>
      <c r="AD715" s="16">
        <v>391130341</v>
      </c>
      <c r="AE715" s="16">
        <v>1902850696</v>
      </c>
      <c r="AF715" s="16">
        <v>1568961720</v>
      </c>
      <c r="AG715" s="16">
        <v>4.5820252261217296E+16</v>
      </c>
      <c r="AH715" s="16"/>
      <c r="AI715" s="16" t="s">
        <v>32</v>
      </c>
      <c r="AJ715" s="16" t="s">
        <v>481</v>
      </c>
      <c r="AK715" s="16" t="s">
        <v>6310</v>
      </c>
      <c r="AL715" s="16">
        <v>14611</v>
      </c>
      <c r="AM715" s="16"/>
      <c r="AN715" s="16"/>
      <c r="AO715" s="16">
        <v>863</v>
      </c>
      <c r="AP715" s="16" t="s">
        <v>485</v>
      </c>
      <c r="AQ715" s="16" t="s">
        <v>6311</v>
      </c>
      <c r="AR715" s="3">
        <v>46269</v>
      </c>
      <c r="AS715" s="16" t="s">
        <v>32</v>
      </c>
      <c r="AT715" s="16" t="s">
        <v>1038</v>
      </c>
      <c r="AU715" s="16"/>
      <c r="AV715" s="16" t="s">
        <v>6312</v>
      </c>
      <c r="AW715" s="16"/>
      <c r="AX715" s="16"/>
      <c r="AY715" s="16"/>
      <c r="AZ715" s="16"/>
      <c r="BA715" s="16"/>
      <c r="BB715" s="16"/>
      <c r="BC715" s="16"/>
      <c r="BD715" s="16" t="s">
        <v>32</v>
      </c>
      <c r="BE715" s="16">
        <v>12</v>
      </c>
      <c r="BF715" s="16"/>
      <c r="BG715" s="16"/>
      <c r="BH715" s="16" t="s">
        <v>658</v>
      </c>
      <c r="BI715" s="16">
        <v>863284268</v>
      </c>
      <c r="BJ715" s="16"/>
      <c r="BK715" s="16"/>
      <c r="BL715" s="16"/>
      <c r="BM715" s="16"/>
      <c r="BN715" s="16"/>
      <c r="BO715" s="16"/>
      <c r="BP715" s="16"/>
      <c r="BQ715" s="16"/>
      <c r="BR715" s="16"/>
      <c r="BS715" s="16"/>
      <c r="BT715" s="16"/>
      <c r="BU715" s="16"/>
      <c r="BV715" s="16"/>
      <c r="BW715" s="16"/>
      <c r="BX715" s="16"/>
      <c r="BY715" s="16"/>
      <c r="BZ715" s="16"/>
      <c r="CA715" s="190">
        <v>46285.666666666701</v>
      </c>
      <c r="CB715" s="3"/>
      <c r="CC715" s="16"/>
      <c r="CD715" s="16"/>
      <c r="CE715" s="16"/>
      <c r="CF715" s="16"/>
      <c r="CG715" s="16"/>
      <c r="CH715" s="16"/>
      <c r="CI715" s="16" t="s">
        <v>6313</v>
      </c>
    </row>
    <row r="716" spans="1:87">
      <c r="A716" s="16"/>
      <c r="B716" s="16"/>
      <c r="C716" s="3">
        <v>46281</v>
      </c>
      <c r="D716" s="16" t="s">
        <v>14</v>
      </c>
      <c r="E716" s="16" t="s">
        <v>6314</v>
      </c>
      <c r="F716" s="16">
        <v>2026246180416</v>
      </c>
      <c r="G716" s="16">
        <v>30</v>
      </c>
      <c r="H716" s="16">
        <v>12</v>
      </c>
      <c r="I716" s="16" t="s">
        <v>647</v>
      </c>
      <c r="J716" s="16" t="s">
        <v>6314</v>
      </c>
      <c r="K716" s="16" t="s">
        <v>1040</v>
      </c>
      <c r="L716" s="16" t="s">
        <v>17</v>
      </c>
      <c r="M716" s="16">
        <v>9</v>
      </c>
      <c r="N716" s="16" t="s">
        <v>462</v>
      </c>
      <c r="O716" s="16" t="s">
        <v>606</v>
      </c>
      <c r="P716" s="16">
        <v>128390686</v>
      </c>
      <c r="Q716" s="16" t="s">
        <v>465</v>
      </c>
      <c r="R716" s="16" t="s">
        <v>466</v>
      </c>
      <c r="S716" s="16" t="s">
        <v>6315</v>
      </c>
      <c r="T716" s="16">
        <v>173327</v>
      </c>
      <c r="U716" s="16">
        <v>46269.057638888888</v>
      </c>
      <c r="V716" s="16" t="s">
        <v>469</v>
      </c>
      <c r="W716" s="16" t="s">
        <v>651</v>
      </c>
      <c r="X716" s="16" t="s">
        <v>652</v>
      </c>
      <c r="Y716" s="16" t="s">
        <v>653</v>
      </c>
      <c r="Z716" s="16" t="s">
        <v>524</v>
      </c>
      <c r="AA716" s="16" t="s">
        <v>474</v>
      </c>
      <c r="AB716" s="16" t="s">
        <v>757</v>
      </c>
      <c r="AC716" s="16" t="s">
        <v>526</v>
      </c>
      <c r="AD716" s="16">
        <v>341048666</v>
      </c>
      <c r="AE716" s="16">
        <v>1962458521</v>
      </c>
      <c r="AF716" s="16"/>
      <c r="AG716" s="16">
        <v>3.30202606306758E+16</v>
      </c>
      <c r="AH716" s="16"/>
      <c r="AI716" s="16" t="s">
        <v>173</v>
      </c>
      <c r="AJ716" s="16" t="s">
        <v>481</v>
      </c>
      <c r="AK716" s="16" t="s">
        <v>6316</v>
      </c>
      <c r="AL716" s="16">
        <v>50645.89</v>
      </c>
      <c r="AM716" s="16"/>
      <c r="AN716" s="16"/>
      <c r="AO716" s="16">
        <v>128</v>
      </c>
      <c r="AP716" s="16" t="s">
        <v>485</v>
      </c>
      <c r="AQ716" s="16" t="s">
        <v>6317</v>
      </c>
      <c r="AR716" s="3">
        <v>46271</v>
      </c>
      <c r="AS716" s="16" t="s">
        <v>1040</v>
      </c>
      <c r="AT716" s="16" t="s">
        <v>1047</v>
      </c>
      <c r="AU716" s="16"/>
      <c r="AV716" s="16" t="s">
        <v>2936</v>
      </c>
      <c r="AW716" s="16"/>
      <c r="AX716" s="16"/>
      <c r="AY716" s="16"/>
      <c r="AZ716" s="16"/>
      <c r="BA716" s="16"/>
      <c r="BB716" s="16"/>
      <c r="BC716" s="16"/>
      <c r="BD716" s="16" t="s">
        <v>173</v>
      </c>
      <c r="BE716" s="16">
        <v>12</v>
      </c>
      <c r="BF716" s="16"/>
      <c r="BG716" s="16"/>
      <c r="BH716" s="16" t="s">
        <v>658</v>
      </c>
      <c r="BI716" s="16">
        <v>128390686</v>
      </c>
      <c r="BJ716" s="16"/>
      <c r="BK716" s="16"/>
      <c r="BL716" s="16"/>
      <c r="BM716" s="16"/>
      <c r="BN716" s="16"/>
      <c r="BO716" s="16"/>
      <c r="BP716" s="16"/>
      <c r="BQ716" s="16"/>
      <c r="BR716" s="16"/>
      <c r="BS716" s="16"/>
      <c r="BT716" s="16"/>
      <c r="BU716" s="16"/>
      <c r="BV716" s="16"/>
      <c r="BW716" s="16"/>
      <c r="BX716" s="16"/>
      <c r="BY716" s="16"/>
      <c r="BZ716" s="16"/>
      <c r="CA716" s="190">
        <v>46280</v>
      </c>
      <c r="CB716" s="3"/>
      <c r="CC716" s="16"/>
      <c r="CD716" s="16"/>
      <c r="CE716" s="16"/>
      <c r="CF716" s="16"/>
      <c r="CG716" s="16"/>
      <c r="CH716" s="16"/>
      <c r="CI716" s="16" t="s">
        <v>6318</v>
      </c>
    </row>
    <row r="717" spans="1:87">
      <c r="A717" s="16"/>
      <c r="B717" s="16"/>
      <c r="C717" s="3">
        <v>46281</v>
      </c>
      <c r="D717" s="16" t="s">
        <v>14</v>
      </c>
      <c r="E717" s="16" t="s">
        <v>6319</v>
      </c>
      <c r="F717" s="16">
        <v>2026245220111</v>
      </c>
      <c r="G717" s="16">
        <v>30</v>
      </c>
      <c r="H717" s="16">
        <v>13</v>
      </c>
      <c r="I717" s="16" t="s">
        <v>647</v>
      </c>
      <c r="J717" s="16" t="s">
        <v>6319</v>
      </c>
      <c r="K717" s="16" t="s">
        <v>1083</v>
      </c>
      <c r="L717" s="16" t="s">
        <v>17</v>
      </c>
      <c r="M717" s="16">
        <v>11</v>
      </c>
      <c r="N717" s="16" t="s">
        <v>462</v>
      </c>
      <c r="O717" s="16" t="s">
        <v>606</v>
      </c>
      <c r="P717" s="16">
        <v>907675940</v>
      </c>
      <c r="Q717" s="16" t="s">
        <v>465</v>
      </c>
      <c r="R717" s="16" t="s">
        <v>466</v>
      </c>
      <c r="S717" s="16" t="s">
        <v>6320</v>
      </c>
      <c r="T717" s="16">
        <v>173326</v>
      </c>
      <c r="U717" s="16">
        <v>46267.163888888892</v>
      </c>
      <c r="V717" s="16" t="s">
        <v>469</v>
      </c>
      <c r="W717" s="16" t="s">
        <v>651</v>
      </c>
      <c r="X717" s="16" t="s">
        <v>652</v>
      </c>
      <c r="Y717" s="16" t="s">
        <v>653</v>
      </c>
      <c r="Z717" s="16" t="s">
        <v>473</v>
      </c>
      <c r="AA717" s="16" t="s">
        <v>474</v>
      </c>
      <c r="AB717" s="16" t="s">
        <v>684</v>
      </c>
      <c r="AC717" s="16" t="s">
        <v>476</v>
      </c>
      <c r="AD717" s="16">
        <v>390806261</v>
      </c>
      <c r="AE717" s="16">
        <v>1699720086</v>
      </c>
      <c r="AF717" s="16">
        <v>1770087454</v>
      </c>
      <c r="AG717" s="16">
        <v>4.5820252740748E+16</v>
      </c>
      <c r="AH717" s="16"/>
      <c r="AI717" s="16" t="s">
        <v>48</v>
      </c>
      <c r="AJ717" s="16" t="s">
        <v>481</v>
      </c>
      <c r="AK717" s="16" t="s">
        <v>6321</v>
      </c>
      <c r="AL717" s="16">
        <v>17364</v>
      </c>
      <c r="AM717" s="16"/>
      <c r="AN717" s="16"/>
      <c r="AO717" s="16">
        <v>907</v>
      </c>
      <c r="AP717" s="16" t="s">
        <v>485</v>
      </c>
      <c r="AQ717" s="16" t="s">
        <v>6322</v>
      </c>
      <c r="AR717" s="3">
        <v>46269</v>
      </c>
      <c r="AS717" s="16" t="s">
        <v>1083</v>
      </c>
      <c r="AT717" s="16" t="s">
        <v>516</v>
      </c>
      <c r="AU717" s="16"/>
      <c r="AV717" s="16" t="s">
        <v>2191</v>
      </c>
      <c r="AW717" s="16"/>
      <c r="AX717" s="16"/>
      <c r="AY717" s="16"/>
      <c r="AZ717" s="16"/>
      <c r="BA717" s="16"/>
      <c r="BB717" s="16"/>
      <c r="BC717" s="16"/>
      <c r="BD717" s="16" t="s">
        <v>48</v>
      </c>
      <c r="BE717" s="16">
        <v>13</v>
      </c>
      <c r="BF717" s="16"/>
      <c r="BG717" s="16"/>
      <c r="BH717" s="16" t="s">
        <v>658</v>
      </c>
      <c r="BI717" s="16">
        <v>907675940</v>
      </c>
      <c r="BJ717" s="16"/>
      <c r="BK717" s="16"/>
      <c r="BL717" s="16"/>
      <c r="BM717" s="16"/>
      <c r="BN717" s="16"/>
      <c r="BO717" s="16"/>
      <c r="BP717" s="16"/>
      <c r="BQ717" s="16"/>
      <c r="BR717" s="16"/>
      <c r="BS717" s="16"/>
      <c r="BT717" s="16"/>
      <c r="BU717" s="16"/>
      <c r="BV717" s="16"/>
      <c r="BW717" s="16"/>
      <c r="BX717" s="16"/>
      <c r="BY717" s="16"/>
      <c r="BZ717" s="16"/>
      <c r="CA717" s="190">
        <v>46280</v>
      </c>
      <c r="CB717" s="3"/>
      <c r="CC717" s="16"/>
      <c r="CD717" s="16"/>
      <c r="CE717" s="16"/>
      <c r="CF717" s="16"/>
      <c r="CG717" s="16"/>
      <c r="CH717" s="16"/>
      <c r="CI717" s="16" t="s">
        <v>6323</v>
      </c>
    </row>
    <row r="718" spans="1:87">
      <c r="A718" s="16"/>
      <c r="B718" s="16"/>
      <c r="C718" s="3">
        <v>46281</v>
      </c>
      <c r="D718" s="16" t="s">
        <v>14</v>
      </c>
      <c r="E718" s="16" t="s">
        <v>6324</v>
      </c>
      <c r="F718" s="16">
        <v>2026246960065</v>
      </c>
      <c r="G718" s="16">
        <v>30</v>
      </c>
      <c r="H718" s="16">
        <v>12</v>
      </c>
      <c r="I718" s="16" t="s">
        <v>647</v>
      </c>
      <c r="J718" s="16" t="s">
        <v>6324</v>
      </c>
      <c r="K718" s="16" t="s">
        <v>540</v>
      </c>
      <c r="L718" s="16" t="s">
        <v>18</v>
      </c>
      <c r="M718" s="16">
        <v>8</v>
      </c>
      <c r="N718" s="16" t="s">
        <v>462</v>
      </c>
      <c r="O718" s="16" t="s">
        <v>606</v>
      </c>
      <c r="P718" s="16">
        <v>919253336</v>
      </c>
      <c r="Q718" s="16" t="s">
        <v>465</v>
      </c>
      <c r="R718" s="16" t="s">
        <v>466</v>
      </c>
      <c r="S718" s="16" t="s">
        <v>6325</v>
      </c>
      <c r="T718" s="16">
        <v>173326</v>
      </c>
      <c r="U718" s="16">
        <v>46268.833333333336</v>
      </c>
      <c r="V718" s="16" t="s">
        <v>469</v>
      </c>
      <c r="W718" s="16" t="s">
        <v>651</v>
      </c>
      <c r="X718" s="16" t="s">
        <v>652</v>
      </c>
      <c r="Y718" s="16" t="s">
        <v>653</v>
      </c>
      <c r="Z718" s="16" t="s">
        <v>473</v>
      </c>
      <c r="AA718" s="16" t="s">
        <v>474</v>
      </c>
      <c r="AB718" s="16" t="s">
        <v>684</v>
      </c>
      <c r="AC718" s="16" t="s">
        <v>476</v>
      </c>
      <c r="AD718" s="16">
        <v>201759813</v>
      </c>
      <c r="AE718" s="16">
        <v>1689782427</v>
      </c>
      <c r="AF718" s="16">
        <v>1144045444</v>
      </c>
      <c r="AG718" s="16">
        <v>4.58202602303724E+16</v>
      </c>
      <c r="AH718" s="16"/>
      <c r="AI718" s="16" t="s">
        <v>31</v>
      </c>
      <c r="AJ718" s="16" t="s">
        <v>481</v>
      </c>
      <c r="AK718" s="16" t="s">
        <v>6326</v>
      </c>
      <c r="AL718" s="16">
        <v>5100</v>
      </c>
      <c r="AM718" s="16"/>
      <c r="AN718" s="16"/>
      <c r="AO718" s="16">
        <v>919</v>
      </c>
      <c r="AP718" s="16" t="s">
        <v>485</v>
      </c>
      <c r="AQ718" s="16" t="s">
        <v>6327</v>
      </c>
      <c r="AR718" s="3">
        <v>46272</v>
      </c>
      <c r="AS718" s="16" t="s">
        <v>31</v>
      </c>
      <c r="AT718" s="16" t="s">
        <v>516</v>
      </c>
      <c r="AU718" s="16"/>
      <c r="AV718" s="16" t="s">
        <v>6328</v>
      </c>
      <c r="AW718" s="16"/>
      <c r="AX718" s="16"/>
      <c r="AY718" s="16"/>
      <c r="AZ718" s="16"/>
      <c r="BA718" s="16"/>
      <c r="BB718" s="16"/>
      <c r="BC718" s="16"/>
      <c r="BD718" s="16" t="s">
        <v>31</v>
      </c>
      <c r="BE718" s="16">
        <v>12</v>
      </c>
      <c r="BF718" s="16"/>
      <c r="BG718" s="16"/>
      <c r="BH718" s="16" t="s">
        <v>658</v>
      </c>
      <c r="BI718" s="16">
        <v>919253336</v>
      </c>
      <c r="BJ718" s="16"/>
      <c r="BK718" s="16"/>
      <c r="BL718" s="16"/>
      <c r="BM718" s="16"/>
      <c r="BN718" s="16"/>
      <c r="BO718" s="16"/>
      <c r="BP718" s="16"/>
      <c r="BQ718" s="16"/>
      <c r="BR718" s="16"/>
      <c r="BS718" s="16"/>
      <c r="BT718" s="16"/>
      <c r="BU718" s="16"/>
      <c r="BV718" s="16"/>
      <c r="BW718" s="16"/>
      <c r="BX718" s="16"/>
      <c r="BY718" s="16"/>
      <c r="BZ718" s="16"/>
      <c r="CA718" s="190">
        <v>46280</v>
      </c>
      <c r="CB718" s="3"/>
      <c r="CC718" s="16"/>
      <c r="CD718" s="16"/>
      <c r="CE718" s="16"/>
      <c r="CF718" s="16"/>
      <c r="CG718" s="16"/>
      <c r="CH718" s="16"/>
      <c r="CI718" s="16" t="s">
        <v>6329</v>
      </c>
    </row>
    <row r="719" spans="1:87">
      <c r="A719" s="16"/>
      <c r="B719" s="16"/>
      <c r="C719" s="3">
        <v>46281</v>
      </c>
      <c r="D719" s="16" t="s">
        <v>14</v>
      </c>
      <c r="E719" s="16" t="s">
        <v>6330</v>
      </c>
      <c r="F719" s="16">
        <v>2026246110012</v>
      </c>
      <c r="G719" s="16">
        <v>30</v>
      </c>
      <c r="H719" s="16">
        <v>13</v>
      </c>
      <c r="I719" s="16" t="s">
        <v>647</v>
      </c>
      <c r="J719" s="16" t="s">
        <v>6330</v>
      </c>
      <c r="K719" s="16" t="s">
        <v>540</v>
      </c>
      <c r="L719" s="16" t="s">
        <v>18</v>
      </c>
      <c r="M719" s="16">
        <v>8</v>
      </c>
      <c r="N719" s="16" t="s">
        <v>462</v>
      </c>
      <c r="O719" s="16" t="s">
        <v>562</v>
      </c>
      <c r="P719" s="16">
        <v>102223954</v>
      </c>
      <c r="Q719" s="16" t="s">
        <v>465</v>
      </c>
      <c r="R719" s="16" t="s">
        <v>466</v>
      </c>
      <c r="S719" s="16" t="s">
        <v>6331</v>
      </c>
      <c r="T719" s="16" t="s">
        <v>928</v>
      </c>
      <c r="U719" s="16">
        <v>46272.386805555558</v>
      </c>
      <c r="V719" s="16" t="s">
        <v>469</v>
      </c>
      <c r="W719" s="16" t="s">
        <v>651</v>
      </c>
      <c r="X719" s="16" t="s">
        <v>652</v>
      </c>
      <c r="Y719" s="16" t="s">
        <v>653</v>
      </c>
      <c r="Z719" s="16" t="s">
        <v>544</v>
      </c>
      <c r="AA719" s="16" t="s">
        <v>474</v>
      </c>
      <c r="AB719" s="16" t="s">
        <v>929</v>
      </c>
      <c r="AC719" s="16" t="s">
        <v>546</v>
      </c>
      <c r="AD719" s="16">
        <v>871764620</v>
      </c>
      <c r="AE719" s="16">
        <v>1669110649</v>
      </c>
      <c r="AF719" s="16">
        <v>1902302821</v>
      </c>
      <c r="AG719" s="16">
        <v>1.02202602242947E+16</v>
      </c>
      <c r="AH719" s="16"/>
      <c r="AI719" s="16" t="s">
        <v>31</v>
      </c>
      <c r="AJ719" s="16" t="s">
        <v>481</v>
      </c>
      <c r="AK719" s="16" t="s">
        <v>6332</v>
      </c>
      <c r="AL719" s="16">
        <v>3225</v>
      </c>
      <c r="AM719" s="16"/>
      <c r="AN719" s="16"/>
      <c r="AO719" s="16">
        <v>102</v>
      </c>
      <c r="AP719" s="16" t="s">
        <v>485</v>
      </c>
      <c r="AQ719" s="16" t="s">
        <v>6333</v>
      </c>
      <c r="AR719" s="3">
        <v>46272</v>
      </c>
      <c r="AS719" s="16" t="s">
        <v>31</v>
      </c>
      <c r="AT719" s="16" t="s">
        <v>6334</v>
      </c>
      <c r="AU719" s="16"/>
      <c r="AV719" s="16" t="s">
        <v>6335</v>
      </c>
      <c r="AW719" s="16"/>
      <c r="AX719" s="16"/>
      <c r="AY719" s="16"/>
      <c r="AZ719" s="16"/>
      <c r="BA719" s="16"/>
      <c r="BB719" s="16"/>
      <c r="BC719" s="16"/>
      <c r="BD719" s="16" t="s">
        <v>31</v>
      </c>
      <c r="BE719" s="16">
        <v>12</v>
      </c>
      <c r="BF719" s="16"/>
      <c r="BG719" s="16"/>
      <c r="BH719" s="16" t="s">
        <v>658</v>
      </c>
      <c r="BI719" s="16">
        <v>102223954</v>
      </c>
      <c r="BJ719" s="16"/>
      <c r="BK719" s="16"/>
      <c r="BL719" s="16"/>
      <c r="BM719" s="16"/>
      <c r="BN719" s="16"/>
      <c r="BO719" s="16"/>
      <c r="BP719" s="16"/>
      <c r="BQ719" s="16"/>
      <c r="BR719" s="16"/>
      <c r="BS719" s="16"/>
      <c r="BT719" s="16"/>
      <c r="BU719" s="16"/>
      <c r="BV719" s="16"/>
      <c r="BW719" s="16"/>
      <c r="BX719" s="16"/>
      <c r="BY719" s="16"/>
      <c r="BZ719" s="16"/>
      <c r="CA719" s="190">
        <v>46280</v>
      </c>
      <c r="CB719" s="3"/>
      <c r="CC719" s="16"/>
      <c r="CD719" s="16"/>
      <c r="CE719" s="16"/>
      <c r="CF719" s="16"/>
      <c r="CG719" s="16"/>
      <c r="CH719" s="16"/>
      <c r="CI719" s="16" t="s">
        <v>6336</v>
      </c>
    </row>
    <row r="720" spans="1:87">
      <c r="A720" s="16" t="s">
        <v>5</v>
      </c>
      <c r="B720" s="16" t="s">
        <v>6337</v>
      </c>
      <c r="C720" s="3">
        <v>46281</v>
      </c>
      <c r="D720" s="16" t="s">
        <v>14</v>
      </c>
      <c r="E720" s="16" t="s">
        <v>6338</v>
      </c>
      <c r="F720" s="16" t="s">
        <v>6339</v>
      </c>
      <c r="G720" s="16">
        <v>30</v>
      </c>
      <c r="H720" s="16">
        <v>27</v>
      </c>
      <c r="I720" s="16" t="s">
        <v>809</v>
      </c>
      <c r="J720" s="16" t="s">
        <v>6338</v>
      </c>
      <c r="K720" s="16" t="s">
        <v>782</v>
      </c>
      <c r="L720" s="16" t="s">
        <v>18</v>
      </c>
      <c r="M720" s="16">
        <v>8</v>
      </c>
      <c r="N720" s="16" t="s">
        <v>462</v>
      </c>
      <c r="O720" s="16" t="s">
        <v>606</v>
      </c>
      <c r="P720" s="16" t="s">
        <v>6340</v>
      </c>
      <c r="Q720" s="16" t="s">
        <v>465</v>
      </c>
      <c r="R720" s="16" t="s">
        <v>1056</v>
      </c>
      <c r="S720" s="16" t="s">
        <v>6341</v>
      </c>
      <c r="T720" s="16" t="s">
        <v>6342</v>
      </c>
      <c r="U720" s="16">
        <v>46272.677083333336</v>
      </c>
      <c r="V720" s="16" t="s">
        <v>469</v>
      </c>
      <c r="W720" s="16" t="s">
        <v>568</v>
      </c>
      <c r="X720" s="16" t="s">
        <v>471</v>
      </c>
      <c r="Y720" s="16" t="s">
        <v>569</v>
      </c>
      <c r="Z720" s="16" t="s">
        <v>524</v>
      </c>
      <c r="AA720" s="16" t="s">
        <v>6343</v>
      </c>
      <c r="AB720" s="16" t="s">
        <v>6344</v>
      </c>
      <c r="AC720" s="16" t="s">
        <v>526</v>
      </c>
      <c r="AD720" s="16">
        <v>341768928</v>
      </c>
      <c r="AE720" s="16">
        <v>1720220098</v>
      </c>
      <c r="AF720" s="16">
        <v>1174714844</v>
      </c>
      <c r="AG720" s="16"/>
      <c r="AH720" s="16"/>
      <c r="AI720" s="16" t="s">
        <v>786</v>
      </c>
      <c r="AJ720" s="16" t="s">
        <v>481</v>
      </c>
      <c r="AK720" s="16" t="s">
        <v>6345</v>
      </c>
      <c r="AL720" s="16">
        <v>382</v>
      </c>
      <c r="AM720" s="16"/>
      <c r="AN720" s="16"/>
      <c r="AO720" s="16" t="s">
        <v>6346</v>
      </c>
      <c r="AP720" s="16" t="s">
        <v>485</v>
      </c>
      <c r="AQ720" s="16" t="s">
        <v>6347</v>
      </c>
      <c r="AR720" s="3">
        <v>46272</v>
      </c>
      <c r="AS720" s="16" t="s">
        <v>782</v>
      </c>
      <c r="AT720" s="16" t="s">
        <v>976</v>
      </c>
      <c r="AU720" s="16"/>
      <c r="AV720" s="16" t="s">
        <v>6348</v>
      </c>
      <c r="AW720" s="16" t="s">
        <v>6349</v>
      </c>
      <c r="AX720" s="16" t="s">
        <v>6350</v>
      </c>
      <c r="AY720" s="16" t="s">
        <v>6351</v>
      </c>
      <c r="AZ720" s="16"/>
      <c r="BA720" s="16"/>
      <c r="BB720" s="16"/>
      <c r="BC720" s="16"/>
      <c r="BD720" s="16" t="s">
        <v>786</v>
      </c>
      <c r="BE720" s="16">
        <v>27</v>
      </c>
      <c r="BF720" s="16" t="s">
        <v>6352</v>
      </c>
      <c r="BG720" s="16" t="s">
        <v>6353</v>
      </c>
      <c r="BH720" s="16" t="s">
        <v>491</v>
      </c>
      <c r="BI720" s="16">
        <v>298663614</v>
      </c>
      <c r="BJ720" s="16"/>
      <c r="BK720" s="16"/>
      <c r="BL720" s="16"/>
      <c r="BM720" s="16"/>
      <c r="BN720" s="16"/>
      <c r="BO720" s="16"/>
      <c r="BP720" s="16"/>
      <c r="BQ720" s="16"/>
      <c r="BR720" s="16"/>
      <c r="BS720" s="16"/>
      <c r="BT720" s="16"/>
      <c r="BU720" s="16"/>
      <c r="BV720" s="16"/>
      <c r="BW720" s="16"/>
      <c r="BX720" s="16"/>
      <c r="BY720" s="16"/>
      <c r="BZ720" s="16"/>
      <c r="CA720" s="190" t="s">
        <v>792</v>
      </c>
      <c r="CB720" s="3"/>
      <c r="CC720" s="16"/>
      <c r="CD720" s="16"/>
      <c r="CE720" s="16"/>
      <c r="CF720" s="16"/>
      <c r="CG720" s="16"/>
      <c r="CH720" s="16"/>
      <c r="CI720" s="16" t="s">
        <v>6354</v>
      </c>
    </row>
    <row r="721" spans="1:87">
      <c r="A721" s="16"/>
      <c r="B721" s="16"/>
      <c r="C721" s="3">
        <v>46281</v>
      </c>
      <c r="D721" s="16" t="s">
        <v>14</v>
      </c>
      <c r="E721" s="16" t="s">
        <v>6355</v>
      </c>
      <c r="F721" s="16">
        <v>2026239910763</v>
      </c>
      <c r="G721" s="16">
        <v>30</v>
      </c>
      <c r="H721" s="16">
        <v>19</v>
      </c>
      <c r="I721" s="16" t="s">
        <v>809</v>
      </c>
      <c r="J721" s="16" t="s">
        <v>6355</v>
      </c>
      <c r="K721" s="16" t="s">
        <v>682</v>
      </c>
      <c r="L721" s="16" t="s">
        <v>18</v>
      </c>
      <c r="M721" s="16">
        <v>10</v>
      </c>
      <c r="N721" s="16" t="s">
        <v>462</v>
      </c>
      <c r="O721" s="16" t="s">
        <v>606</v>
      </c>
      <c r="P721" s="16">
        <v>604887488</v>
      </c>
      <c r="Q721" s="16" t="s">
        <v>465</v>
      </c>
      <c r="R721" s="16" t="s">
        <v>466</v>
      </c>
      <c r="S721" s="16" t="s">
        <v>6356</v>
      </c>
      <c r="T721" s="16">
        <v>173327</v>
      </c>
      <c r="U721" s="16">
        <v>46262.324305555558</v>
      </c>
      <c r="V721" s="16" t="s">
        <v>469</v>
      </c>
      <c r="W721" s="16" t="s">
        <v>651</v>
      </c>
      <c r="X721" s="16" t="s">
        <v>652</v>
      </c>
      <c r="Y721" s="16" t="s">
        <v>653</v>
      </c>
      <c r="Z721" s="16" t="s">
        <v>524</v>
      </c>
      <c r="AA721" s="16" t="s">
        <v>474</v>
      </c>
      <c r="AB721" s="16" t="s">
        <v>757</v>
      </c>
      <c r="AC721" s="16" t="s">
        <v>526</v>
      </c>
      <c r="AD721" s="16">
        <v>302089017</v>
      </c>
      <c r="AE721" s="16">
        <v>1356771497</v>
      </c>
      <c r="AF721" s="16">
        <v>1356771497</v>
      </c>
      <c r="AG721" s="16">
        <v>3.30202432415398E+16</v>
      </c>
      <c r="AH721" s="16"/>
      <c r="AI721" s="16" t="s">
        <v>19</v>
      </c>
      <c r="AJ721" s="16" t="s">
        <v>481</v>
      </c>
      <c r="AK721" s="16" t="s">
        <v>6357</v>
      </c>
      <c r="AL721" s="16">
        <v>374</v>
      </c>
      <c r="AM721" s="16"/>
      <c r="AN721" s="16"/>
      <c r="AO721" s="16">
        <v>604</v>
      </c>
      <c r="AP721" s="16" t="s">
        <v>485</v>
      </c>
      <c r="AQ721" s="16" t="s">
        <v>6358</v>
      </c>
      <c r="AR721" s="3">
        <v>46270</v>
      </c>
      <c r="AS721" s="16" t="s">
        <v>2506</v>
      </c>
      <c r="AT721" s="16" t="s">
        <v>6359</v>
      </c>
      <c r="AU721" s="16"/>
      <c r="AV721" s="16" t="s">
        <v>6360</v>
      </c>
      <c r="AW721" s="16"/>
      <c r="AX721" s="16"/>
      <c r="AY721" s="16"/>
      <c r="AZ721" s="16"/>
      <c r="BA721" s="16"/>
      <c r="BB721" s="16"/>
      <c r="BC721" s="16"/>
      <c r="BD721" s="16" t="s">
        <v>19</v>
      </c>
      <c r="BE721" s="16">
        <v>19</v>
      </c>
      <c r="BF721" s="16"/>
      <c r="BG721" s="16"/>
      <c r="BH721" s="16" t="s">
        <v>658</v>
      </c>
      <c r="BI721" s="16">
        <v>604887488</v>
      </c>
      <c r="BJ721" s="16"/>
      <c r="BK721" s="16"/>
      <c r="BL721" s="16"/>
      <c r="BM721" s="16"/>
      <c r="BN721" s="16"/>
      <c r="BO721" s="16"/>
      <c r="BP721" s="16"/>
      <c r="BQ721" s="16"/>
      <c r="BR721" s="16"/>
      <c r="BS721" s="16"/>
      <c r="BT721" s="16"/>
      <c r="BU721" s="16"/>
      <c r="BV721" s="16"/>
      <c r="BW721" s="16"/>
      <c r="BX721" s="16"/>
      <c r="BY721" s="16"/>
      <c r="BZ721" s="16"/>
      <c r="CA721" s="190">
        <v>46280</v>
      </c>
      <c r="CB721" s="3"/>
      <c r="CC721" s="16"/>
      <c r="CD721" s="16"/>
      <c r="CE721" s="16"/>
      <c r="CF721" s="16"/>
      <c r="CG721" s="16"/>
      <c r="CH721" s="16"/>
      <c r="CI721" s="16" t="s">
        <v>6361</v>
      </c>
    </row>
    <row r="722" spans="1:87">
      <c r="A722" s="16" t="s">
        <v>5</v>
      </c>
      <c r="B722" s="16" t="s">
        <v>3518</v>
      </c>
      <c r="C722" s="3">
        <v>46281</v>
      </c>
      <c r="D722" s="16" t="s">
        <v>14</v>
      </c>
      <c r="E722" s="16" t="s">
        <v>6362</v>
      </c>
      <c r="F722" s="16" t="s">
        <v>6363</v>
      </c>
      <c r="G722" s="16">
        <v>30</v>
      </c>
      <c r="H722" s="16">
        <v>27</v>
      </c>
      <c r="I722" s="16" t="s">
        <v>809</v>
      </c>
      <c r="J722" s="16" t="s">
        <v>6362</v>
      </c>
      <c r="K722" s="16" t="s">
        <v>782</v>
      </c>
      <c r="L722" s="16" t="s">
        <v>18</v>
      </c>
      <c r="M722" s="16">
        <v>11</v>
      </c>
      <c r="N722" s="16" t="s">
        <v>462</v>
      </c>
      <c r="O722" s="16" t="s">
        <v>606</v>
      </c>
      <c r="P722" s="16" t="s">
        <v>6364</v>
      </c>
      <c r="Q722" s="16" t="s">
        <v>465</v>
      </c>
      <c r="R722" s="16" t="s">
        <v>1056</v>
      </c>
      <c r="S722" s="16" t="s">
        <v>6365</v>
      </c>
      <c r="T722" s="16" t="s">
        <v>6366</v>
      </c>
      <c r="U722" s="16">
        <v>46268.835416666669</v>
      </c>
      <c r="V722" s="16" t="s">
        <v>469</v>
      </c>
      <c r="W722" s="16" t="s">
        <v>568</v>
      </c>
      <c r="X722" s="16" t="s">
        <v>471</v>
      </c>
      <c r="Y722" s="16" t="s">
        <v>569</v>
      </c>
      <c r="Z722" s="16" t="s">
        <v>544</v>
      </c>
      <c r="AA722" s="16" t="s">
        <v>6343</v>
      </c>
      <c r="AB722" s="16" t="s">
        <v>6367</v>
      </c>
      <c r="AC722" s="16" t="s">
        <v>546</v>
      </c>
      <c r="AD722" s="16">
        <v>472863935</v>
      </c>
      <c r="AE722" s="16">
        <v>1114317062</v>
      </c>
      <c r="AF722" s="16">
        <v>1134295165</v>
      </c>
      <c r="AG722" s="16"/>
      <c r="AH722" s="16"/>
      <c r="AI722" s="16" t="s">
        <v>786</v>
      </c>
      <c r="AJ722" s="16" t="s">
        <v>481</v>
      </c>
      <c r="AK722" s="16" t="s">
        <v>6368</v>
      </c>
      <c r="AL722" s="16">
        <v>8588.01</v>
      </c>
      <c r="AM722" s="16"/>
      <c r="AN722" s="16"/>
      <c r="AO722" s="16" t="s">
        <v>6369</v>
      </c>
      <c r="AP722" s="16" t="s">
        <v>485</v>
      </c>
      <c r="AQ722" s="16" t="s">
        <v>6370</v>
      </c>
      <c r="AR722" s="3">
        <v>46269</v>
      </c>
      <c r="AS722" s="16" t="s">
        <v>782</v>
      </c>
      <c r="AT722" s="16" t="s">
        <v>976</v>
      </c>
      <c r="AU722" s="16"/>
      <c r="AV722" s="16" t="s">
        <v>6371</v>
      </c>
      <c r="AW722" s="16" t="s">
        <v>6349</v>
      </c>
      <c r="AX722" s="16" t="s">
        <v>6350</v>
      </c>
      <c r="AY722" s="16" t="s">
        <v>6351</v>
      </c>
      <c r="AZ722" s="16"/>
      <c r="BA722" s="16"/>
      <c r="BB722" s="16"/>
      <c r="BC722" s="16"/>
      <c r="BD722" s="16" t="s">
        <v>786</v>
      </c>
      <c r="BE722" s="16">
        <v>27</v>
      </c>
      <c r="BF722" s="16" t="s">
        <v>6372</v>
      </c>
      <c r="BG722" s="16" t="s">
        <v>6353</v>
      </c>
      <c r="BH722" s="16" t="s">
        <v>491</v>
      </c>
      <c r="BI722" s="16">
        <v>673365628</v>
      </c>
      <c r="BJ722" s="16"/>
      <c r="BK722" s="16"/>
      <c r="BL722" s="16"/>
      <c r="BM722" s="16"/>
      <c r="BN722" s="16"/>
      <c r="BO722" s="16"/>
      <c r="BP722" s="16"/>
      <c r="BQ722" s="16"/>
      <c r="BR722" s="16"/>
      <c r="BS722" s="16"/>
      <c r="BT722" s="16"/>
      <c r="BU722" s="16"/>
      <c r="BV722" s="16"/>
      <c r="BW722" s="16"/>
      <c r="BX722" s="16"/>
      <c r="BY722" s="16"/>
      <c r="BZ722" s="16"/>
      <c r="CA722" s="190" t="s">
        <v>792</v>
      </c>
      <c r="CB722" s="3"/>
      <c r="CC722" s="16"/>
      <c r="CD722" s="16"/>
      <c r="CE722" s="16"/>
      <c r="CF722" s="16"/>
      <c r="CG722" s="16"/>
      <c r="CH722" s="16"/>
      <c r="CI722" s="16" t="s">
        <v>6373</v>
      </c>
    </row>
    <row r="723" spans="1:87">
      <c r="A723" s="16"/>
      <c r="B723" s="16"/>
      <c r="C723" s="3">
        <v>46281</v>
      </c>
      <c r="D723" s="16" t="s">
        <v>14</v>
      </c>
      <c r="E723" s="16" t="s">
        <v>6374</v>
      </c>
      <c r="F723" s="16">
        <v>2026228430017</v>
      </c>
      <c r="G723" s="16">
        <v>30</v>
      </c>
      <c r="H723" s="16">
        <v>30</v>
      </c>
      <c r="I723" s="16" t="s">
        <v>809</v>
      </c>
      <c r="J723" s="16" t="s">
        <v>6374</v>
      </c>
      <c r="K723" s="16" t="s">
        <v>1083</v>
      </c>
      <c r="L723" s="16" t="s">
        <v>17</v>
      </c>
      <c r="M723" s="16">
        <v>7</v>
      </c>
      <c r="N723" s="16" t="s">
        <v>462</v>
      </c>
      <c r="O723" s="16" t="s">
        <v>606</v>
      </c>
      <c r="P723" s="16" t="s">
        <v>6375</v>
      </c>
      <c r="Q723" s="16" t="s">
        <v>465</v>
      </c>
      <c r="R723" s="16" t="s">
        <v>466</v>
      </c>
      <c r="S723" s="16" t="s">
        <v>6376</v>
      </c>
      <c r="T723" s="16" t="s">
        <v>2771</v>
      </c>
      <c r="U723" s="16">
        <v>46273.615972222222</v>
      </c>
      <c r="V723" s="16" t="s">
        <v>469</v>
      </c>
      <c r="W723" s="16" t="s">
        <v>651</v>
      </c>
      <c r="X723" s="16" t="s">
        <v>652</v>
      </c>
      <c r="Y723" s="16" t="s">
        <v>653</v>
      </c>
      <c r="Z723" s="16" t="s">
        <v>1338</v>
      </c>
      <c r="AA723" s="16" t="s">
        <v>474</v>
      </c>
      <c r="AB723" s="16" t="s">
        <v>2772</v>
      </c>
      <c r="AC723" s="16" t="s">
        <v>1429</v>
      </c>
      <c r="AD723" s="16">
        <v>371911194</v>
      </c>
      <c r="AE723" s="16">
        <v>1023584216</v>
      </c>
      <c r="AF723" s="16">
        <v>1083859649</v>
      </c>
      <c r="AG723" s="16">
        <v>6220251160485100</v>
      </c>
      <c r="AH723" s="16"/>
      <c r="AI723" s="16" t="s">
        <v>48</v>
      </c>
      <c r="AJ723" s="16" t="s">
        <v>481</v>
      </c>
      <c r="AK723" s="16" t="s">
        <v>6377</v>
      </c>
      <c r="AL723" s="16">
        <v>9865</v>
      </c>
      <c r="AM723" s="16"/>
      <c r="AN723" s="16"/>
      <c r="AO723" s="16" t="s">
        <v>6378</v>
      </c>
      <c r="AP723" s="16" t="s">
        <v>485</v>
      </c>
      <c r="AQ723" s="16" t="s">
        <v>6379</v>
      </c>
      <c r="AR723" s="3">
        <v>46273</v>
      </c>
      <c r="AS723" s="16" t="s">
        <v>48</v>
      </c>
      <c r="AT723" s="16" t="s">
        <v>516</v>
      </c>
      <c r="AU723" s="16"/>
      <c r="AV723" s="16" t="s">
        <v>6380</v>
      </c>
      <c r="AW723" s="16"/>
      <c r="AX723" s="16"/>
      <c r="AY723" s="16"/>
      <c r="AZ723" s="16"/>
      <c r="BA723" s="16"/>
      <c r="BB723" s="16"/>
      <c r="BC723" s="16"/>
      <c r="BD723" s="16" t="s">
        <v>48</v>
      </c>
      <c r="BE723" s="16">
        <v>30</v>
      </c>
      <c r="BF723" s="16"/>
      <c r="BG723" s="16" t="s">
        <v>490</v>
      </c>
      <c r="BH723" s="16" t="s">
        <v>658</v>
      </c>
      <c r="BI723" s="16" t="s">
        <v>6375</v>
      </c>
      <c r="BJ723" s="16"/>
      <c r="BK723" s="16"/>
      <c r="BL723" s="16"/>
      <c r="BM723" s="16"/>
      <c r="BN723" s="16"/>
      <c r="BO723" s="16"/>
      <c r="BP723" s="16"/>
      <c r="BQ723" s="16"/>
      <c r="BR723" s="16"/>
      <c r="BS723" s="16"/>
      <c r="BT723" s="16"/>
      <c r="BU723" s="16"/>
      <c r="BV723" s="16"/>
      <c r="BW723" s="16"/>
      <c r="BX723" s="16"/>
      <c r="BY723" s="16"/>
      <c r="BZ723" s="16"/>
      <c r="CA723" s="190">
        <v>46280</v>
      </c>
      <c r="CB723" s="3"/>
      <c r="CC723" s="16"/>
      <c r="CD723" s="16"/>
      <c r="CE723" s="16"/>
      <c r="CF723" s="16"/>
      <c r="CG723" s="16"/>
      <c r="CH723" s="16"/>
      <c r="CI723" s="16" t="s">
        <v>6381</v>
      </c>
    </row>
    <row r="724" spans="1:87">
      <c r="A724" s="16"/>
      <c r="B724" s="16"/>
      <c r="C724" s="3">
        <v>46281</v>
      </c>
      <c r="D724" s="16" t="s">
        <v>14</v>
      </c>
      <c r="E724" s="16" t="s">
        <v>6382</v>
      </c>
      <c r="F724" s="16">
        <v>2026229700057</v>
      </c>
      <c r="G724" s="16">
        <v>30</v>
      </c>
      <c r="H724" s="16">
        <v>29</v>
      </c>
      <c r="I724" s="16" t="s">
        <v>809</v>
      </c>
      <c r="J724" s="16" t="s">
        <v>6382</v>
      </c>
      <c r="K724" s="16" t="s">
        <v>810</v>
      </c>
      <c r="L724" s="16" t="s">
        <v>17</v>
      </c>
      <c r="M724" s="16">
        <v>7</v>
      </c>
      <c r="N724" s="16" t="s">
        <v>462</v>
      </c>
      <c r="O724" s="16" t="s">
        <v>606</v>
      </c>
      <c r="P724" s="16" t="s">
        <v>6383</v>
      </c>
      <c r="Q724" s="16" t="s">
        <v>465</v>
      </c>
      <c r="R724" s="16" t="s">
        <v>466</v>
      </c>
      <c r="S724" s="16" t="s">
        <v>6384</v>
      </c>
      <c r="T724" s="16">
        <v>174651</v>
      </c>
      <c r="U724" s="16">
        <v>46273.643750000003</v>
      </c>
      <c r="V724" s="16" t="s">
        <v>469</v>
      </c>
      <c r="W724" s="16" t="s">
        <v>568</v>
      </c>
      <c r="X724" s="16" t="s">
        <v>471</v>
      </c>
      <c r="Y724" s="16" t="s">
        <v>1724</v>
      </c>
      <c r="Z724" s="16" t="s">
        <v>544</v>
      </c>
      <c r="AA724" s="16" t="s">
        <v>474</v>
      </c>
      <c r="AB724" s="16" t="s">
        <v>6385</v>
      </c>
      <c r="AC724" s="16" t="s">
        <v>546</v>
      </c>
      <c r="AD724" s="16">
        <v>30482395</v>
      </c>
      <c r="AE724" s="16">
        <v>1982618294</v>
      </c>
      <c r="AF724" s="16">
        <v>1659533545</v>
      </c>
      <c r="AG724" s="16"/>
      <c r="AH724" s="16"/>
      <c r="AI724" s="16" t="s">
        <v>37</v>
      </c>
      <c r="AJ724" s="16" t="s">
        <v>481</v>
      </c>
      <c r="AK724" s="16" t="s">
        <v>6386</v>
      </c>
      <c r="AL724" s="16">
        <v>2129</v>
      </c>
      <c r="AM724" s="16"/>
      <c r="AN724" s="16"/>
      <c r="AO724" s="16">
        <v>694</v>
      </c>
      <c r="AP724" s="16" t="s">
        <v>485</v>
      </c>
      <c r="AQ724" s="16" t="s">
        <v>6387</v>
      </c>
      <c r="AR724" s="3">
        <v>46273</v>
      </c>
      <c r="AS724" s="16" t="s">
        <v>37</v>
      </c>
      <c r="AT724" s="16" t="s">
        <v>1119</v>
      </c>
      <c r="AU724" s="16"/>
      <c r="AV724" s="16" t="s">
        <v>6388</v>
      </c>
      <c r="AW724" s="16"/>
      <c r="AX724" s="16"/>
      <c r="AY724" s="16"/>
      <c r="AZ724" s="16"/>
      <c r="BA724" s="16"/>
      <c r="BB724" s="16"/>
      <c r="BC724" s="16"/>
      <c r="BD724" s="16" t="s">
        <v>37</v>
      </c>
      <c r="BE724" s="16">
        <v>29</v>
      </c>
      <c r="BF724" s="16"/>
      <c r="BG724" s="16" t="s">
        <v>490</v>
      </c>
      <c r="BH724" s="16" t="s">
        <v>491</v>
      </c>
      <c r="BI724" s="16">
        <v>647341623</v>
      </c>
      <c r="BJ724" s="16"/>
      <c r="BK724" s="16"/>
      <c r="BL724" s="16"/>
      <c r="BM724" s="16"/>
      <c r="BN724" s="16"/>
      <c r="BO724" s="16"/>
      <c r="BP724" s="16"/>
      <c r="BQ724" s="16"/>
      <c r="BR724" s="16"/>
      <c r="BS724" s="16"/>
      <c r="BT724" s="16"/>
      <c r="BU724" s="16"/>
      <c r="BV724" s="16"/>
      <c r="BW724" s="16"/>
      <c r="BX724" s="16"/>
      <c r="BY724" s="16"/>
      <c r="BZ724" s="16"/>
      <c r="CA724" s="190">
        <v>46280</v>
      </c>
      <c r="CB724" s="3"/>
      <c r="CC724" s="16"/>
      <c r="CD724" s="16"/>
      <c r="CE724" s="16"/>
      <c r="CF724" s="16"/>
      <c r="CG724" s="16"/>
      <c r="CH724" s="16"/>
      <c r="CI724" s="16" t="s">
        <v>6389</v>
      </c>
    </row>
    <row r="725" spans="1:87">
      <c r="A725" s="16"/>
      <c r="B725" s="16"/>
      <c r="C725" s="3">
        <v>46281</v>
      </c>
      <c r="D725" s="16" t="s">
        <v>14</v>
      </c>
      <c r="E725" s="16" t="s">
        <v>6390</v>
      </c>
      <c r="F725" s="16">
        <v>2026229490044</v>
      </c>
      <c r="G725" s="16">
        <v>30</v>
      </c>
      <c r="H725" s="16">
        <v>29</v>
      </c>
      <c r="I725" s="16" t="s">
        <v>809</v>
      </c>
      <c r="J725" s="16" t="s">
        <v>6390</v>
      </c>
      <c r="K725" s="16" t="s">
        <v>3969</v>
      </c>
      <c r="L725" s="16" t="s">
        <v>1760</v>
      </c>
      <c r="M725" s="16">
        <v>7</v>
      </c>
      <c r="N725" s="16" t="s">
        <v>462</v>
      </c>
      <c r="O725" s="16" t="s">
        <v>606</v>
      </c>
      <c r="P725" s="16">
        <v>806496186</v>
      </c>
      <c r="Q725" s="16" t="s">
        <v>465</v>
      </c>
      <c r="R725" s="16" t="s">
        <v>466</v>
      </c>
      <c r="S725" s="16" t="s">
        <v>6391</v>
      </c>
      <c r="T725" s="16">
        <v>173325</v>
      </c>
      <c r="U725" s="16">
        <v>46273.638194444444</v>
      </c>
      <c r="V725" s="16" t="s">
        <v>469</v>
      </c>
      <c r="W725" s="16" t="s">
        <v>651</v>
      </c>
      <c r="X725" s="16" t="s">
        <v>652</v>
      </c>
      <c r="Y725" s="16" t="s">
        <v>653</v>
      </c>
      <c r="Z725" s="16" t="s">
        <v>731</v>
      </c>
      <c r="AA725" s="16" t="s">
        <v>474</v>
      </c>
      <c r="AB725" s="16" t="s">
        <v>732</v>
      </c>
      <c r="AC725" s="16" t="s">
        <v>733</v>
      </c>
      <c r="AD725" s="16">
        <v>440552485</v>
      </c>
      <c r="AE725" s="16">
        <v>1578504056</v>
      </c>
      <c r="AF725" s="16"/>
      <c r="AG725" s="16">
        <v>7.4820251960950896E+16</v>
      </c>
      <c r="AH725" s="16"/>
      <c r="AI725" s="16" t="s">
        <v>3972</v>
      </c>
      <c r="AJ725" s="16" t="s">
        <v>481</v>
      </c>
      <c r="AK725" s="16" t="s">
        <v>6392</v>
      </c>
      <c r="AL725" s="16">
        <v>47173.7</v>
      </c>
      <c r="AM725" s="16"/>
      <c r="AN725" s="16"/>
      <c r="AO725" s="16">
        <v>806</v>
      </c>
      <c r="AP725" s="16" t="s">
        <v>485</v>
      </c>
      <c r="AQ725" s="16" t="s">
        <v>6393</v>
      </c>
      <c r="AR725" s="3">
        <v>46273</v>
      </c>
      <c r="AS725" s="16" t="s">
        <v>3972</v>
      </c>
      <c r="AT725" s="16" t="s">
        <v>516</v>
      </c>
      <c r="AU725" s="16"/>
      <c r="AV725" s="16" t="s">
        <v>6394</v>
      </c>
      <c r="AW725" s="16"/>
      <c r="AX725" s="16"/>
      <c r="AY725" s="16"/>
      <c r="AZ725" s="16"/>
      <c r="BA725" s="16"/>
      <c r="BB725" s="16"/>
      <c r="BC725" s="16"/>
      <c r="BD725" s="16" t="s">
        <v>3972</v>
      </c>
      <c r="BE725" s="16">
        <v>29</v>
      </c>
      <c r="BF725" s="16"/>
      <c r="BG725" s="16"/>
      <c r="BH725" s="16" t="s">
        <v>658</v>
      </c>
      <c r="BI725" s="16">
        <v>806496186</v>
      </c>
      <c r="BJ725" s="16"/>
      <c r="BK725" s="16"/>
      <c r="BL725" s="16"/>
      <c r="BM725" s="16"/>
      <c r="BN725" s="16"/>
      <c r="BO725" s="16"/>
      <c r="BP725" s="16"/>
      <c r="BQ725" s="16"/>
      <c r="BR725" s="16"/>
      <c r="BS725" s="16"/>
      <c r="BT725" s="16"/>
      <c r="BU725" s="16"/>
      <c r="BV725" s="16"/>
      <c r="BW725" s="16"/>
      <c r="BX725" s="16"/>
      <c r="BY725" s="16"/>
      <c r="BZ725" s="16"/>
      <c r="CA725" s="190">
        <v>46280</v>
      </c>
      <c r="CB725" s="3"/>
      <c r="CC725" s="16"/>
      <c r="CD725" s="16"/>
      <c r="CE725" s="16"/>
      <c r="CF725" s="16"/>
      <c r="CG725" s="16"/>
      <c r="CH725" s="16"/>
      <c r="CI725" s="16" t="s">
        <v>6395</v>
      </c>
    </row>
    <row r="726" spans="1:87">
      <c r="A726" s="16" t="s">
        <v>5</v>
      </c>
      <c r="B726" s="16" t="s">
        <v>6396</v>
      </c>
      <c r="C726" s="3">
        <v>46281</v>
      </c>
      <c r="D726" s="16" t="s">
        <v>14</v>
      </c>
      <c r="E726" s="16" t="s">
        <v>6397</v>
      </c>
      <c r="F726" s="16">
        <v>2026229640084</v>
      </c>
      <c r="G726" s="16">
        <v>30</v>
      </c>
      <c r="H726" s="16">
        <v>29</v>
      </c>
      <c r="I726" s="16" t="s">
        <v>809</v>
      </c>
      <c r="J726" s="16" t="s">
        <v>6397</v>
      </c>
      <c r="K726" s="16" t="s">
        <v>1348</v>
      </c>
      <c r="L726" s="16" t="s">
        <v>17</v>
      </c>
      <c r="M726" s="16">
        <v>7</v>
      </c>
      <c r="N726" s="16" t="s">
        <v>462</v>
      </c>
      <c r="O726" s="16" t="s">
        <v>606</v>
      </c>
      <c r="P726" s="16" t="s">
        <v>6398</v>
      </c>
      <c r="Q726" s="16" t="s">
        <v>465</v>
      </c>
      <c r="R726" s="16" t="s">
        <v>466</v>
      </c>
      <c r="S726" s="16" t="s">
        <v>6399</v>
      </c>
      <c r="T726" s="16">
        <v>174577</v>
      </c>
      <c r="U726" s="16">
        <v>46273.663194444445</v>
      </c>
      <c r="V726" s="16" t="s">
        <v>469</v>
      </c>
      <c r="W726" s="16" t="s">
        <v>568</v>
      </c>
      <c r="X726" s="16" t="s">
        <v>471</v>
      </c>
      <c r="Y726" s="16" t="s">
        <v>1985</v>
      </c>
      <c r="Z726" s="16" t="s">
        <v>544</v>
      </c>
      <c r="AA726" s="16" t="s">
        <v>474</v>
      </c>
      <c r="AB726" s="16" t="s">
        <v>6400</v>
      </c>
      <c r="AC726" s="16" t="s">
        <v>546</v>
      </c>
      <c r="AD726" s="16">
        <v>30482395</v>
      </c>
      <c r="AE726" s="16">
        <v>1982618294</v>
      </c>
      <c r="AF726" s="16">
        <v>1659533545</v>
      </c>
      <c r="AG726" s="16"/>
      <c r="AH726" s="16"/>
      <c r="AI726" s="16" t="s">
        <v>267</v>
      </c>
      <c r="AJ726" s="16" t="s">
        <v>481</v>
      </c>
      <c r="AK726" s="16" t="s">
        <v>6401</v>
      </c>
      <c r="AL726" s="16">
        <v>1772.41</v>
      </c>
      <c r="AM726" s="16"/>
      <c r="AN726" s="16"/>
      <c r="AO726" s="16">
        <v>620</v>
      </c>
      <c r="AP726" s="16" t="s">
        <v>485</v>
      </c>
      <c r="AQ726" s="16" t="s">
        <v>6402</v>
      </c>
      <c r="AR726" s="3">
        <v>46273</v>
      </c>
      <c r="AS726" s="16" t="s">
        <v>267</v>
      </c>
      <c r="AT726" s="16" t="s">
        <v>976</v>
      </c>
      <c r="AU726" s="16"/>
      <c r="AV726" s="16" t="s">
        <v>6388</v>
      </c>
      <c r="AW726" s="16"/>
      <c r="AX726" s="16"/>
      <c r="AY726" s="16"/>
      <c r="AZ726" s="16"/>
      <c r="BA726" s="16"/>
      <c r="BB726" s="16"/>
      <c r="BC726" s="16"/>
      <c r="BD726" s="16" t="s">
        <v>267</v>
      </c>
      <c r="BE726" s="16">
        <v>29</v>
      </c>
      <c r="BF726" s="16"/>
      <c r="BG726" s="16" t="s">
        <v>490</v>
      </c>
      <c r="BH726" s="16" t="s">
        <v>491</v>
      </c>
      <c r="BI726" s="16">
        <v>430637512</v>
      </c>
      <c r="BJ726" s="16"/>
      <c r="BK726" s="16"/>
      <c r="BL726" s="16"/>
      <c r="BM726" s="16"/>
      <c r="BN726" s="16"/>
      <c r="BO726" s="16"/>
      <c r="BP726" s="16"/>
      <c r="BQ726" s="16"/>
      <c r="BR726" s="16"/>
      <c r="BS726" s="16"/>
      <c r="BT726" s="16"/>
      <c r="BU726" s="16"/>
      <c r="BV726" s="16"/>
      <c r="BW726" s="16"/>
      <c r="BX726" s="16"/>
      <c r="BY726" s="16"/>
      <c r="BZ726" s="16"/>
      <c r="CA726" s="190">
        <v>46285.666666666701</v>
      </c>
      <c r="CB726" s="3"/>
      <c r="CC726" s="16"/>
      <c r="CD726" s="16"/>
      <c r="CE726" s="16"/>
      <c r="CF726" s="16"/>
      <c r="CG726" s="16"/>
      <c r="CH726" s="16"/>
      <c r="CI726" s="16" t="s">
        <v>6403</v>
      </c>
    </row>
    <row r="727" spans="1:87">
      <c r="A727" s="16" t="s">
        <v>5</v>
      </c>
      <c r="B727" s="16" t="s">
        <v>516</v>
      </c>
      <c r="C727" s="3">
        <v>46281</v>
      </c>
      <c r="D727" s="16" t="s">
        <v>14</v>
      </c>
      <c r="E727" s="16" t="s">
        <v>6404</v>
      </c>
      <c r="F727" s="16">
        <v>2026229660172</v>
      </c>
      <c r="G727" s="16">
        <v>30</v>
      </c>
      <c r="H727" s="16">
        <v>29</v>
      </c>
      <c r="I727" s="16" t="s">
        <v>809</v>
      </c>
      <c r="J727" s="16" t="s">
        <v>6404</v>
      </c>
      <c r="K727" s="16" t="s">
        <v>518</v>
      </c>
      <c r="L727" s="16" t="s">
        <v>17</v>
      </c>
      <c r="M727" s="16">
        <v>7</v>
      </c>
      <c r="N727" s="16" t="s">
        <v>462</v>
      </c>
      <c r="O727" s="16" t="s">
        <v>606</v>
      </c>
      <c r="P727" s="16" t="s">
        <v>6405</v>
      </c>
      <c r="Q727" s="16" t="s">
        <v>465</v>
      </c>
      <c r="R727" s="16" t="s">
        <v>466</v>
      </c>
      <c r="S727" s="16" t="s">
        <v>6406</v>
      </c>
      <c r="T727" s="16" t="s">
        <v>6407</v>
      </c>
      <c r="U727" s="16">
        <v>46273.697916666664</v>
      </c>
      <c r="V727" s="16" t="s">
        <v>469</v>
      </c>
      <c r="W727" s="16" t="s">
        <v>470</v>
      </c>
      <c r="X727" s="16" t="s">
        <v>471</v>
      </c>
      <c r="Y727" s="16" t="s">
        <v>472</v>
      </c>
      <c r="Z727" s="16" t="s">
        <v>524</v>
      </c>
      <c r="AA727" s="16" t="s">
        <v>474</v>
      </c>
      <c r="AB727" s="16" t="s">
        <v>6408</v>
      </c>
      <c r="AC727" s="16" t="s">
        <v>526</v>
      </c>
      <c r="AD727" s="16">
        <v>311480941</v>
      </c>
      <c r="AE727" s="16">
        <v>1598868655</v>
      </c>
      <c r="AF727" s="16"/>
      <c r="AG727" s="16"/>
      <c r="AH727" s="16"/>
      <c r="AI727" s="16" t="s">
        <v>87</v>
      </c>
      <c r="AJ727" s="16" t="s">
        <v>481</v>
      </c>
      <c r="AK727" s="16" t="s">
        <v>6409</v>
      </c>
      <c r="AL727" s="16">
        <v>13899.34</v>
      </c>
      <c r="AM727" s="16"/>
      <c r="AN727" s="16"/>
      <c r="AO727" s="16">
        <v>115</v>
      </c>
      <c r="AP727" s="16" t="s">
        <v>485</v>
      </c>
      <c r="AQ727" s="16" t="s">
        <v>6410</v>
      </c>
      <c r="AR727" s="3">
        <v>46273</v>
      </c>
      <c r="AS727" s="16" t="s">
        <v>87</v>
      </c>
      <c r="AT727" s="16" t="s">
        <v>516</v>
      </c>
      <c r="AU727" s="16"/>
      <c r="AV727" s="16" t="s">
        <v>6411</v>
      </c>
      <c r="AW727" s="16"/>
      <c r="AX727" s="16"/>
      <c r="AY727" s="16"/>
      <c r="AZ727" s="16"/>
      <c r="BA727" s="16"/>
      <c r="BB727" s="16"/>
      <c r="BC727" s="16"/>
      <c r="BD727" s="16" t="s">
        <v>87</v>
      </c>
      <c r="BE727" s="16">
        <v>29</v>
      </c>
      <c r="BF727" s="16"/>
      <c r="BG727" s="16"/>
      <c r="BH727" s="16" t="s">
        <v>491</v>
      </c>
      <c r="BI727" s="16" t="s">
        <v>6412</v>
      </c>
      <c r="BJ727" s="16"/>
      <c r="BK727" s="16"/>
      <c r="BL727" s="16"/>
      <c r="BM727" s="16"/>
      <c r="BN727" s="16"/>
      <c r="BO727" s="16"/>
      <c r="BP727" s="16"/>
      <c r="BQ727" s="16"/>
      <c r="BR727" s="16"/>
      <c r="BS727" s="16"/>
      <c r="BT727" s="16"/>
      <c r="BU727" s="16"/>
      <c r="BV727" s="16"/>
      <c r="BW727" s="16"/>
      <c r="BX727" s="16"/>
      <c r="BY727" s="16"/>
      <c r="BZ727" s="16"/>
      <c r="CA727" s="190">
        <v>46285.666666666701</v>
      </c>
      <c r="CB727" s="3"/>
      <c r="CC727" s="16"/>
      <c r="CD727" s="16"/>
      <c r="CE727" s="16"/>
      <c r="CF727" s="16"/>
      <c r="CG727" s="16"/>
      <c r="CH727" s="16"/>
      <c r="CI727" s="16" t="s">
        <v>6413</v>
      </c>
    </row>
    <row r="728" spans="1:87">
      <c r="A728" s="16" t="s">
        <v>5</v>
      </c>
      <c r="B728" s="16" t="s">
        <v>6414</v>
      </c>
      <c r="C728" s="3">
        <v>46281</v>
      </c>
      <c r="D728" s="16" t="s">
        <v>14</v>
      </c>
      <c r="E728" s="16" t="s">
        <v>6415</v>
      </c>
      <c r="F728" s="16">
        <v>2026229730078</v>
      </c>
      <c r="G728" s="16">
        <v>30</v>
      </c>
      <c r="H728" s="16">
        <v>29</v>
      </c>
      <c r="I728" s="16" t="s">
        <v>809</v>
      </c>
      <c r="J728" s="16" t="s">
        <v>6415</v>
      </c>
      <c r="K728" s="16" t="s">
        <v>1371</v>
      </c>
      <c r="L728" s="16" t="s">
        <v>17</v>
      </c>
      <c r="M728" s="16">
        <v>7</v>
      </c>
      <c r="N728" s="16" t="s">
        <v>462</v>
      </c>
      <c r="O728" s="16" t="s">
        <v>606</v>
      </c>
      <c r="P728" s="16">
        <v>815814788</v>
      </c>
      <c r="Q728" s="16" t="s">
        <v>465</v>
      </c>
      <c r="R728" s="16" t="s">
        <v>466</v>
      </c>
      <c r="S728" s="16" t="s">
        <v>6416</v>
      </c>
      <c r="T728" s="16">
        <v>173326</v>
      </c>
      <c r="U728" s="16">
        <v>46273.661805555559</v>
      </c>
      <c r="V728" s="16" t="s">
        <v>469</v>
      </c>
      <c r="W728" s="16" t="s">
        <v>651</v>
      </c>
      <c r="X728" s="16" t="s">
        <v>652</v>
      </c>
      <c r="Y728" s="16" t="s">
        <v>653</v>
      </c>
      <c r="Z728" s="16" t="s">
        <v>473</v>
      </c>
      <c r="AA728" s="16" t="s">
        <v>474</v>
      </c>
      <c r="AB728" s="16" t="s">
        <v>2129</v>
      </c>
      <c r="AC728" s="16" t="s">
        <v>476</v>
      </c>
      <c r="AD728" s="16">
        <v>390806261</v>
      </c>
      <c r="AE728" s="16">
        <v>1699720086</v>
      </c>
      <c r="AF728" s="16">
        <v>1053694760</v>
      </c>
      <c r="AG728" s="16">
        <v>4.58202522011362E+16</v>
      </c>
      <c r="AH728" s="16"/>
      <c r="AI728" s="16" t="s">
        <v>164</v>
      </c>
      <c r="AJ728" s="16" t="s">
        <v>481</v>
      </c>
      <c r="AK728" s="16" t="s">
        <v>6417</v>
      </c>
      <c r="AL728" s="16">
        <v>37222</v>
      </c>
      <c r="AM728" s="16"/>
      <c r="AN728" s="16"/>
      <c r="AO728" s="16">
        <v>815</v>
      </c>
      <c r="AP728" s="16" t="s">
        <v>485</v>
      </c>
      <c r="AQ728" s="16" t="s">
        <v>6418</v>
      </c>
      <c r="AR728" s="3">
        <v>46273</v>
      </c>
      <c r="AS728" s="16" t="s">
        <v>164</v>
      </c>
      <c r="AT728" s="16" t="s">
        <v>516</v>
      </c>
      <c r="AU728" s="16"/>
      <c r="AV728" s="16" t="s">
        <v>6419</v>
      </c>
      <c r="AW728" s="16"/>
      <c r="AX728" s="16"/>
      <c r="AY728" s="16"/>
      <c r="AZ728" s="16"/>
      <c r="BA728" s="16"/>
      <c r="BB728" s="16"/>
      <c r="BC728" s="16"/>
      <c r="BD728" s="16" t="s">
        <v>164</v>
      </c>
      <c r="BE728" s="16">
        <v>29</v>
      </c>
      <c r="BF728" s="16"/>
      <c r="BG728" s="16"/>
      <c r="BH728" s="16" t="s">
        <v>658</v>
      </c>
      <c r="BI728" s="16">
        <v>815814788</v>
      </c>
      <c r="BJ728" s="16"/>
      <c r="BK728" s="16"/>
      <c r="BL728" s="16"/>
      <c r="BM728" s="16"/>
      <c r="BN728" s="16"/>
      <c r="BO728" s="16"/>
      <c r="BP728" s="16"/>
      <c r="BQ728" s="16"/>
      <c r="BR728" s="16"/>
      <c r="BS728" s="16"/>
      <c r="BT728" s="16"/>
      <c r="BU728" s="16"/>
      <c r="BV728" s="16"/>
      <c r="BW728" s="16"/>
      <c r="BX728" s="16"/>
      <c r="BY728" s="16"/>
      <c r="BZ728" s="16"/>
      <c r="CA728" s="190">
        <v>46281.666666666701</v>
      </c>
      <c r="CB728" s="3"/>
      <c r="CC728" s="16"/>
      <c r="CD728" s="16"/>
      <c r="CE728" s="16"/>
      <c r="CF728" s="16"/>
      <c r="CG728" s="16"/>
      <c r="CH728" s="16"/>
      <c r="CI728" s="16" t="s">
        <v>6420</v>
      </c>
    </row>
    <row r="729" spans="1:87">
      <c r="A729" s="16" t="s">
        <v>5</v>
      </c>
      <c r="B729" s="16" t="s">
        <v>606</v>
      </c>
      <c r="C729" s="3">
        <v>46281</v>
      </c>
      <c r="D729" s="16" t="s">
        <v>14</v>
      </c>
      <c r="E729" s="16" t="s">
        <v>6421</v>
      </c>
      <c r="F729" s="16">
        <v>2026229890139</v>
      </c>
      <c r="G729" s="16">
        <v>30</v>
      </c>
      <c r="H729" s="16">
        <v>29</v>
      </c>
      <c r="I729" s="16" t="s">
        <v>809</v>
      </c>
      <c r="J729" s="16" t="s">
        <v>6421</v>
      </c>
      <c r="K729" s="16" t="s">
        <v>496</v>
      </c>
      <c r="L729" s="16" t="s">
        <v>17</v>
      </c>
      <c r="M729" s="16">
        <v>7</v>
      </c>
      <c r="N729" s="16" t="s">
        <v>462</v>
      </c>
      <c r="O729" s="16" t="s">
        <v>606</v>
      </c>
      <c r="P729" s="16">
        <v>846604819</v>
      </c>
      <c r="Q729" s="16" t="s">
        <v>465</v>
      </c>
      <c r="R729" s="16" t="s">
        <v>466</v>
      </c>
      <c r="S729" s="16" t="s">
        <v>6422</v>
      </c>
      <c r="T729" s="16">
        <v>173326</v>
      </c>
      <c r="U729" s="16">
        <v>46273.68472222222</v>
      </c>
      <c r="V729" s="16" t="s">
        <v>469</v>
      </c>
      <c r="W729" s="16" t="s">
        <v>651</v>
      </c>
      <c r="X729" s="16" t="s">
        <v>652</v>
      </c>
      <c r="Y729" s="16" t="s">
        <v>653</v>
      </c>
      <c r="Z729" s="16" t="s">
        <v>473</v>
      </c>
      <c r="AA729" s="16" t="s">
        <v>474</v>
      </c>
      <c r="AB729" s="16" t="s">
        <v>684</v>
      </c>
      <c r="AC729" s="16" t="s">
        <v>476</v>
      </c>
      <c r="AD729" s="16">
        <v>391824445</v>
      </c>
      <c r="AE729" s="16">
        <v>1598784555</v>
      </c>
      <c r="AF729" s="16">
        <v>1649234204</v>
      </c>
      <c r="AG729" s="16">
        <v>4.5820253081765904E+16</v>
      </c>
      <c r="AH729" s="16"/>
      <c r="AI729" s="16" t="s">
        <v>91</v>
      </c>
      <c r="AJ729" s="16" t="s">
        <v>481</v>
      </c>
      <c r="AK729" s="16" t="s">
        <v>6423</v>
      </c>
      <c r="AL729" s="16">
        <v>15077</v>
      </c>
      <c r="AM729" s="16"/>
      <c r="AN729" s="16"/>
      <c r="AO729" s="16">
        <v>846</v>
      </c>
      <c r="AP729" s="16" t="s">
        <v>485</v>
      </c>
      <c r="AQ729" s="16" t="s">
        <v>6424</v>
      </c>
      <c r="AR729" s="3">
        <v>46273</v>
      </c>
      <c r="AS729" s="16" t="s">
        <v>91</v>
      </c>
      <c r="AT729" s="16" t="s">
        <v>516</v>
      </c>
      <c r="AU729" s="16"/>
      <c r="AV729" s="16" t="s">
        <v>4674</v>
      </c>
      <c r="AW729" s="16"/>
      <c r="AX729" s="16"/>
      <c r="AY729" s="16"/>
      <c r="AZ729" s="16"/>
      <c r="BA729" s="16"/>
      <c r="BB729" s="16"/>
      <c r="BC729" s="16"/>
      <c r="BD729" s="16" t="s">
        <v>91</v>
      </c>
      <c r="BE729" s="16">
        <v>29</v>
      </c>
      <c r="BF729" s="16"/>
      <c r="BG729" s="16"/>
      <c r="BH729" s="16" t="s">
        <v>658</v>
      </c>
      <c r="BI729" s="16">
        <v>846604819</v>
      </c>
      <c r="BJ729" s="16"/>
      <c r="BK729" s="16"/>
      <c r="BL729" s="16"/>
      <c r="BM729" s="16"/>
      <c r="BN729" s="16"/>
      <c r="BO729" s="16"/>
      <c r="BP729" s="16"/>
      <c r="BQ729" s="16"/>
      <c r="BR729" s="16"/>
      <c r="BS729" s="16"/>
      <c r="BT729" s="16"/>
      <c r="BU729" s="16"/>
      <c r="BV729" s="16"/>
      <c r="BW729" s="16"/>
      <c r="BX729" s="16"/>
      <c r="BY729" s="16"/>
      <c r="BZ729" s="16"/>
      <c r="CA729" s="190">
        <v>46281.666666666701</v>
      </c>
      <c r="CB729" s="3"/>
      <c r="CC729" s="16"/>
      <c r="CD729" s="16"/>
      <c r="CE729" s="16"/>
      <c r="CF729" s="16"/>
      <c r="CG729" s="16"/>
      <c r="CH729" s="16"/>
      <c r="CI729" s="16" t="s">
        <v>6425</v>
      </c>
    </row>
    <row r="730" spans="1:87">
      <c r="A730" s="16" t="s">
        <v>5</v>
      </c>
      <c r="B730" s="16" t="s">
        <v>992</v>
      </c>
      <c r="C730" s="3">
        <v>46281</v>
      </c>
      <c r="D730" s="16" t="s">
        <v>14</v>
      </c>
      <c r="E730" s="16" t="s">
        <v>6426</v>
      </c>
      <c r="F730" s="16">
        <v>2026229280198</v>
      </c>
      <c r="G730" s="16">
        <v>30</v>
      </c>
      <c r="H730" s="16">
        <v>29</v>
      </c>
      <c r="I730" s="16" t="s">
        <v>809</v>
      </c>
      <c r="J730" s="16" t="s">
        <v>6426</v>
      </c>
      <c r="K730" s="16" t="s">
        <v>461</v>
      </c>
      <c r="L730" s="16" t="s">
        <v>17</v>
      </c>
      <c r="M730" s="16">
        <v>11</v>
      </c>
      <c r="N730" s="16" t="s">
        <v>462</v>
      </c>
      <c r="O730" s="16" t="s">
        <v>606</v>
      </c>
      <c r="P730" s="16" t="s">
        <v>6427</v>
      </c>
      <c r="Q730" s="16" t="s">
        <v>465</v>
      </c>
      <c r="R730" s="16" t="s">
        <v>466</v>
      </c>
      <c r="S730" s="16" t="s">
        <v>6428</v>
      </c>
      <c r="T730" s="16">
        <v>173326</v>
      </c>
      <c r="U730" s="16">
        <v>46268.884722222225</v>
      </c>
      <c r="V730" s="16" t="s">
        <v>469</v>
      </c>
      <c r="W730" s="16" t="s">
        <v>651</v>
      </c>
      <c r="X730" s="16" t="s">
        <v>652</v>
      </c>
      <c r="Y730" s="16" t="s">
        <v>653</v>
      </c>
      <c r="Z730" s="16" t="s">
        <v>473</v>
      </c>
      <c r="AA730" s="16" t="s">
        <v>474</v>
      </c>
      <c r="AB730" s="16" t="s">
        <v>684</v>
      </c>
      <c r="AC730" s="16" t="s">
        <v>476</v>
      </c>
      <c r="AD730" s="16">
        <v>391824445</v>
      </c>
      <c r="AE730" s="16">
        <v>1598784555</v>
      </c>
      <c r="AF730" s="16">
        <v>1356432553</v>
      </c>
      <c r="AG730" s="16">
        <v>4.58202528310592E+16</v>
      </c>
      <c r="AH730" s="16"/>
      <c r="AI730" s="16" t="s">
        <v>67</v>
      </c>
      <c r="AJ730" s="16" t="s">
        <v>481</v>
      </c>
      <c r="AK730" s="16" t="s">
        <v>6429</v>
      </c>
      <c r="AL730" s="16">
        <v>15824</v>
      </c>
      <c r="AM730" s="16"/>
      <c r="AN730" s="16"/>
      <c r="AO730" s="16" t="s">
        <v>2154</v>
      </c>
      <c r="AP730" s="16" t="s">
        <v>485</v>
      </c>
      <c r="AQ730" s="16" t="s">
        <v>6430</v>
      </c>
      <c r="AR730" s="3">
        <v>46269</v>
      </c>
      <c r="AS730" s="16" t="s">
        <v>67</v>
      </c>
      <c r="AT730" s="16" t="s">
        <v>719</v>
      </c>
      <c r="AU730" s="16"/>
      <c r="AV730" s="16" t="s">
        <v>6431</v>
      </c>
      <c r="AW730" s="16"/>
      <c r="AX730" s="16"/>
      <c r="AY730" s="16"/>
      <c r="AZ730" s="16"/>
      <c r="BA730" s="16"/>
      <c r="BB730" s="16"/>
      <c r="BC730" s="16"/>
      <c r="BD730" s="16" t="s">
        <v>67</v>
      </c>
      <c r="BE730" s="16">
        <v>29</v>
      </c>
      <c r="BF730" s="16"/>
      <c r="BG730" s="16"/>
      <c r="BH730" s="16" t="s">
        <v>658</v>
      </c>
      <c r="BI730" s="16" t="s">
        <v>6427</v>
      </c>
      <c r="BJ730" s="16"/>
      <c r="BK730" s="16"/>
      <c r="BL730" s="16"/>
      <c r="BM730" s="16"/>
      <c r="BN730" s="16"/>
      <c r="BO730" s="16"/>
      <c r="BP730" s="16"/>
      <c r="BQ730" s="16"/>
      <c r="BR730" s="16"/>
      <c r="BS730" s="16"/>
      <c r="BT730" s="16"/>
      <c r="BU730" s="16"/>
      <c r="BV730" s="16"/>
      <c r="BW730" s="16"/>
      <c r="BX730" s="16"/>
      <c r="BY730" s="16"/>
      <c r="BZ730" s="16"/>
      <c r="CA730" s="190">
        <v>46282.166666666701</v>
      </c>
      <c r="CB730" s="3"/>
      <c r="CC730" s="16"/>
      <c r="CD730" s="16"/>
      <c r="CE730" s="16"/>
      <c r="CF730" s="16"/>
      <c r="CG730" s="16"/>
      <c r="CH730" s="16"/>
      <c r="CI730" s="16" t="s">
        <v>6432</v>
      </c>
    </row>
    <row r="731" spans="1:87">
      <c r="A731" s="16" t="s">
        <v>4</v>
      </c>
      <c r="B731" s="16" t="s">
        <v>6433</v>
      </c>
      <c r="C731" s="3">
        <v>46281</v>
      </c>
      <c r="D731" s="16" t="s">
        <v>14</v>
      </c>
      <c r="E731" s="16" t="s">
        <v>6434</v>
      </c>
      <c r="F731" s="16">
        <v>2026229110168</v>
      </c>
      <c r="G731" s="16">
        <v>30</v>
      </c>
      <c r="H731" s="16">
        <v>29</v>
      </c>
      <c r="I731" s="16" t="s">
        <v>809</v>
      </c>
      <c r="J731" s="16" t="s">
        <v>6434</v>
      </c>
      <c r="K731" s="16" t="s">
        <v>1348</v>
      </c>
      <c r="L731" s="16" t="s">
        <v>17</v>
      </c>
      <c r="M731" s="16">
        <v>7</v>
      </c>
      <c r="N731" s="16" t="s">
        <v>462</v>
      </c>
      <c r="O731" s="16" t="s">
        <v>606</v>
      </c>
      <c r="P731" s="16">
        <v>973625317</v>
      </c>
      <c r="Q731" s="16" t="s">
        <v>465</v>
      </c>
      <c r="R731" s="16" t="s">
        <v>466</v>
      </c>
      <c r="S731" s="16" t="s">
        <v>6435</v>
      </c>
      <c r="T731" s="16">
        <v>4715</v>
      </c>
      <c r="U731" s="16">
        <v>46273.695833333331</v>
      </c>
      <c r="V731" s="16" t="s">
        <v>469</v>
      </c>
      <c r="W731" s="16" t="s">
        <v>470</v>
      </c>
      <c r="X731" s="16" t="s">
        <v>471</v>
      </c>
      <c r="Y731" s="16" t="s">
        <v>628</v>
      </c>
      <c r="Z731" s="16" t="s">
        <v>1338</v>
      </c>
      <c r="AA731" s="16" t="s">
        <v>474</v>
      </c>
      <c r="AB731" s="16" t="s">
        <v>6436</v>
      </c>
      <c r="AC731" s="16" t="s">
        <v>1429</v>
      </c>
      <c r="AD731" s="16">
        <v>61072598</v>
      </c>
      <c r="AE731" s="16">
        <v>1740313568</v>
      </c>
      <c r="AF731" s="16">
        <v>1124592274</v>
      </c>
      <c r="AG731" s="16"/>
      <c r="AH731" s="16"/>
      <c r="AI731" s="16" t="s">
        <v>267</v>
      </c>
      <c r="AJ731" s="16" t="s">
        <v>481</v>
      </c>
      <c r="AK731" s="16" t="s">
        <v>6437</v>
      </c>
      <c r="AL731" s="16">
        <v>225</v>
      </c>
      <c r="AM731" s="16"/>
      <c r="AN731" s="16"/>
      <c r="AO731" s="16">
        <v>973</v>
      </c>
      <c r="AP731" s="16" t="s">
        <v>485</v>
      </c>
      <c r="AQ731" s="16" t="s">
        <v>6438</v>
      </c>
      <c r="AR731" s="3">
        <v>46273</v>
      </c>
      <c r="AS731" s="16" t="s">
        <v>267</v>
      </c>
      <c r="AT731" s="16" t="s">
        <v>976</v>
      </c>
      <c r="AU731" s="16"/>
      <c r="AV731" s="16" t="s">
        <v>6439</v>
      </c>
      <c r="AW731" s="16"/>
      <c r="AX731" s="16"/>
      <c r="AY731" s="16"/>
      <c r="AZ731" s="16"/>
      <c r="BA731" s="16"/>
      <c r="BB731" s="16"/>
      <c r="BC731" s="16"/>
      <c r="BD731" s="16" t="s">
        <v>267</v>
      </c>
      <c r="BE731" s="16">
        <v>29</v>
      </c>
      <c r="BF731" s="16"/>
      <c r="BG731" s="16"/>
      <c r="BH731" s="16" t="s">
        <v>491</v>
      </c>
      <c r="BI731" s="16">
        <v>41966504</v>
      </c>
      <c r="BJ731" s="16"/>
      <c r="BK731" s="16"/>
      <c r="BL731" s="16"/>
      <c r="BM731" s="16"/>
      <c r="BN731" s="16"/>
      <c r="BO731" s="16"/>
      <c r="BP731" s="16"/>
      <c r="BQ731" s="16"/>
      <c r="BR731" s="16"/>
      <c r="BS731" s="16"/>
      <c r="BT731" s="16"/>
      <c r="BU731" s="16"/>
      <c r="BV731" s="16"/>
      <c r="BW731" s="16"/>
      <c r="BX731" s="16"/>
      <c r="BY731" s="16"/>
      <c r="BZ731" s="16"/>
      <c r="CA731" s="190">
        <v>46285.666666666701</v>
      </c>
      <c r="CB731" s="3"/>
      <c r="CC731" s="16"/>
      <c r="CD731" s="16"/>
      <c r="CE731" s="16"/>
      <c r="CF731" s="16"/>
      <c r="CG731" s="16"/>
      <c r="CH731" s="16"/>
      <c r="CI731" s="16" t="s">
        <v>6440</v>
      </c>
    </row>
    <row r="732" spans="1:87">
      <c r="A732" s="16"/>
      <c r="B732" s="16"/>
      <c r="C732" s="3">
        <v>46281</v>
      </c>
      <c r="D732" s="16" t="s">
        <v>14</v>
      </c>
      <c r="E732" s="16" t="s">
        <v>6441</v>
      </c>
      <c r="F732" s="16"/>
      <c r="G732" s="16">
        <v>100</v>
      </c>
      <c r="H732" s="16">
        <v>20</v>
      </c>
      <c r="I732" s="16" t="s">
        <v>809</v>
      </c>
      <c r="J732" s="16" t="s">
        <v>6441</v>
      </c>
      <c r="K732" s="16" t="s">
        <v>540</v>
      </c>
      <c r="L732" s="16" t="s">
        <v>18</v>
      </c>
      <c r="M732" s="16">
        <v>8</v>
      </c>
      <c r="N732" s="16" t="s">
        <v>462</v>
      </c>
      <c r="O732" s="16" t="s">
        <v>562</v>
      </c>
      <c r="P732" s="16" t="s">
        <v>6442</v>
      </c>
      <c r="Q732" s="16" t="s">
        <v>1055</v>
      </c>
      <c r="R732" s="16" t="s">
        <v>1350</v>
      </c>
      <c r="S732" s="16">
        <v>2026173772361</v>
      </c>
      <c r="T732" s="16" t="s">
        <v>6443</v>
      </c>
      <c r="U732" s="16">
        <v>46266.351388888892</v>
      </c>
      <c r="V732" s="16" t="s">
        <v>3257</v>
      </c>
      <c r="W732" s="16" t="s">
        <v>470</v>
      </c>
      <c r="X732" s="16" t="s">
        <v>471</v>
      </c>
      <c r="Y732" s="16" t="s">
        <v>523</v>
      </c>
      <c r="Z732" s="16" t="s">
        <v>731</v>
      </c>
      <c r="AA732" s="16" t="s">
        <v>1354</v>
      </c>
      <c r="AB732" s="16" t="s">
        <v>6444</v>
      </c>
      <c r="AC732" s="16" t="s">
        <v>733</v>
      </c>
      <c r="AD732" s="16">
        <v>431383893</v>
      </c>
      <c r="AE732" s="16">
        <v>1972559532</v>
      </c>
      <c r="AF732" s="16">
        <v>1952062689</v>
      </c>
      <c r="AG732" s="16"/>
      <c r="AH732" s="16"/>
      <c r="AI732" s="16" t="s">
        <v>31</v>
      </c>
      <c r="AJ732" s="16" t="s">
        <v>481</v>
      </c>
      <c r="AK732" s="16" t="s">
        <v>6445</v>
      </c>
      <c r="AL732" s="16">
        <v>32</v>
      </c>
      <c r="AM732" s="16"/>
      <c r="AN732" s="16"/>
      <c r="AO732" s="16">
        <v>596</v>
      </c>
      <c r="AP732" s="16" t="s">
        <v>1063</v>
      </c>
      <c r="AQ732" s="16" t="s">
        <v>6446</v>
      </c>
      <c r="AR732" s="3">
        <v>46272</v>
      </c>
      <c r="AS732" s="16" t="s">
        <v>31</v>
      </c>
      <c r="AT732" s="16" t="s">
        <v>4703</v>
      </c>
      <c r="AU732" s="16"/>
      <c r="AV732" s="16" t="s">
        <v>6447</v>
      </c>
      <c r="AW732" s="16"/>
      <c r="AX732" s="16"/>
      <c r="AY732" s="16"/>
      <c r="AZ732" s="16"/>
      <c r="BA732" s="16"/>
      <c r="BB732" s="16"/>
      <c r="BC732" s="16"/>
      <c r="BD732" s="16" t="s">
        <v>31</v>
      </c>
      <c r="BE732" s="16">
        <v>20</v>
      </c>
      <c r="BF732" s="16"/>
      <c r="BG732" s="16" t="s">
        <v>6448</v>
      </c>
      <c r="BH732" s="16" t="s">
        <v>491</v>
      </c>
      <c r="BI732" s="16">
        <v>495021073</v>
      </c>
      <c r="BJ732" s="16"/>
      <c r="BK732" s="16"/>
      <c r="BL732" s="16"/>
      <c r="BM732" s="16"/>
      <c r="BN732" s="16"/>
      <c r="BO732" s="16"/>
      <c r="BP732" s="16"/>
      <c r="BQ732" s="16"/>
      <c r="BR732" s="16"/>
      <c r="BS732" s="16"/>
      <c r="BT732" s="16"/>
      <c r="BU732" s="16"/>
      <c r="BV732" s="16"/>
      <c r="BW732" s="16"/>
      <c r="BX732" s="16"/>
      <c r="BY732" s="16"/>
      <c r="BZ732" s="16"/>
      <c r="CA732" s="190">
        <v>46280</v>
      </c>
      <c r="CB732" s="3"/>
      <c r="CC732" s="16"/>
      <c r="CD732" s="16"/>
      <c r="CE732" s="16"/>
      <c r="CF732" s="16"/>
      <c r="CG732" s="16"/>
      <c r="CH732" s="16"/>
      <c r="CI732" s="16" t="s">
        <v>6449</v>
      </c>
    </row>
    <row r="733" spans="1:87">
      <c r="A733" s="16" t="s">
        <v>4</v>
      </c>
      <c r="B733" s="16" t="s">
        <v>6450</v>
      </c>
      <c r="C733" s="3">
        <v>46282</v>
      </c>
      <c r="D733" s="16" t="s">
        <v>1</v>
      </c>
      <c r="E733" s="16" t="s">
        <v>6451</v>
      </c>
      <c r="F733" s="16">
        <v>2026218890109</v>
      </c>
      <c r="G733" s="16">
        <v>40</v>
      </c>
      <c r="H733" s="16">
        <v>41</v>
      </c>
      <c r="I733" s="16" t="s">
        <v>460</v>
      </c>
      <c r="J733" s="16" t="s">
        <v>6451</v>
      </c>
      <c r="K733" s="16" t="s">
        <v>1824</v>
      </c>
      <c r="L733" s="16" t="s">
        <v>17</v>
      </c>
      <c r="M733" s="16">
        <v>9</v>
      </c>
      <c r="N733" s="16" t="s">
        <v>561</v>
      </c>
      <c r="O733" s="16" t="s">
        <v>5206</v>
      </c>
      <c r="P733" s="16" t="s">
        <v>6452</v>
      </c>
      <c r="Q733" s="16" t="s">
        <v>465</v>
      </c>
      <c r="R733" s="16" t="s">
        <v>466</v>
      </c>
      <c r="S733" s="16" t="s">
        <v>6453</v>
      </c>
      <c r="T733" s="16">
        <v>377269</v>
      </c>
      <c r="U733" s="16"/>
      <c r="V733" s="16" t="s">
        <v>469</v>
      </c>
      <c r="W733" s="16" t="s">
        <v>1752</v>
      </c>
      <c r="X733" s="16" t="s">
        <v>471</v>
      </c>
      <c r="Y733" s="16" t="s">
        <v>628</v>
      </c>
      <c r="Z733" s="16" t="s">
        <v>665</v>
      </c>
      <c r="AA733" s="16" t="s">
        <v>474</v>
      </c>
      <c r="AB733" s="16" t="s">
        <v>6454</v>
      </c>
      <c r="AC733" s="16" t="s">
        <v>640</v>
      </c>
      <c r="AD733" s="16">
        <v>832941937</v>
      </c>
      <c r="AE733" s="16">
        <v>1295494359</v>
      </c>
      <c r="AF733" s="16"/>
      <c r="AG733" s="16"/>
      <c r="AH733" s="16" t="s">
        <v>1076</v>
      </c>
      <c r="AI733" s="16" t="s">
        <v>247</v>
      </c>
      <c r="AJ733" s="16" t="s">
        <v>481</v>
      </c>
      <c r="AK733" s="16" t="s">
        <v>6455</v>
      </c>
      <c r="AL733" s="16">
        <v>1600</v>
      </c>
      <c r="AM733" s="16"/>
      <c r="AN733" s="16"/>
      <c r="AO733" s="16">
        <v>972</v>
      </c>
      <c r="AP733" s="16" t="s">
        <v>485</v>
      </c>
      <c r="AQ733" s="16" t="s">
        <v>6456</v>
      </c>
      <c r="AR733" s="3">
        <v>46272</v>
      </c>
      <c r="AS733" s="16" t="s">
        <v>1824</v>
      </c>
      <c r="AT733" s="16" t="s">
        <v>6457</v>
      </c>
      <c r="AU733" s="16"/>
      <c r="AV733" s="16" t="s">
        <v>6458</v>
      </c>
      <c r="AW733" s="16"/>
      <c r="AX733" s="16"/>
      <c r="AY733" s="16"/>
      <c r="AZ733" s="16"/>
      <c r="BA733" s="16"/>
      <c r="BB733" s="16"/>
      <c r="BC733" s="16"/>
      <c r="BD733" s="16" t="s">
        <v>247</v>
      </c>
      <c r="BE733" s="16">
        <v>41</v>
      </c>
      <c r="BF733" s="16"/>
      <c r="BG733" s="16" t="s">
        <v>490</v>
      </c>
      <c r="BH733" s="16" t="s">
        <v>491</v>
      </c>
      <c r="BI733" s="16">
        <v>71744868</v>
      </c>
      <c r="BJ733" s="16"/>
      <c r="BK733" s="16"/>
      <c r="BL733" s="16"/>
      <c r="BM733" s="16"/>
      <c r="BN733" s="16"/>
      <c r="BO733" s="16"/>
      <c r="BP733" s="16"/>
      <c r="BQ733" s="16"/>
      <c r="BR733" s="16"/>
      <c r="BS733" s="16"/>
      <c r="BT733" s="16"/>
      <c r="BU733" s="16"/>
      <c r="BV733" s="16"/>
      <c r="BW733" s="16"/>
      <c r="BX733" s="16"/>
      <c r="BY733" s="16"/>
      <c r="BZ733" s="16"/>
      <c r="CA733" s="190">
        <v>46285.666666666701</v>
      </c>
      <c r="CB733" s="3"/>
      <c r="CC733" s="16"/>
      <c r="CD733" s="16"/>
      <c r="CE733" s="16"/>
      <c r="CF733" s="16"/>
      <c r="CG733" s="16"/>
      <c r="CH733" s="16"/>
      <c r="CI733" s="16" t="s">
        <v>6459</v>
      </c>
    </row>
    <row r="734" spans="1:87">
      <c r="A734" s="16"/>
      <c r="B734" s="16"/>
      <c r="C734" s="3">
        <v>46282</v>
      </c>
      <c r="D734" s="16" t="s">
        <v>1</v>
      </c>
      <c r="E734" s="16" t="s">
        <v>6460</v>
      </c>
      <c r="F734" s="16">
        <v>2026228820261</v>
      </c>
      <c r="G734" s="16">
        <v>40</v>
      </c>
      <c r="H734" s="16">
        <v>31</v>
      </c>
      <c r="I734" s="16" t="s">
        <v>460</v>
      </c>
      <c r="J734" s="16" t="s">
        <v>6460</v>
      </c>
      <c r="K734" s="16" t="s">
        <v>662</v>
      </c>
      <c r="L734" s="16" t="s">
        <v>13</v>
      </c>
      <c r="M734" s="16">
        <v>7</v>
      </c>
      <c r="N734" s="16" t="s">
        <v>462</v>
      </c>
      <c r="O734" s="16" t="s">
        <v>606</v>
      </c>
      <c r="P734" s="16" t="s">
        <v>6461</v>
      </c>
      <c r="Q734" s="16" t="s">
        <v>564</v>
      </c>
      <c r="R734" s="16" t="s">
        <v>466</v>
      </c>
      <c r="S734" s="16" t="s">
        <v>6462</v>
      </c>
      <c r="T734" s="16" t="s">
        <v>6463</v>
      </c>
      <c r="U734" s="16">
        <v>46273.726388888892</v>
      </c>
      <c r="V734" s="16" t="s">
        <v>469</v>
      </c>
      <c r="W734" s="16" t="s">
        <v>568</v>
      </c>
      <c r="X734" s="16" t="s">
        <v>471</v>
      </c>
      <c r="Y734" s="16" t="s">
        <v>1724</v>
      </c>
      <c r="Z734" s="16" t="s">
        <v>570</v>
      </c>
      <c r="AA734" s="16" t="s">
        <v>474</v>
      </c>
      <c r="AB734" s="16" t="s">
        <v>6464</v>
      </c>
      <c r="AC734" s="16" t="s">
        <v>572</v>
      </c>
      <c r="AD734" s="16">
        <v>260403802</v>
      </c>
      <c r="AE734" s="16">
        <v>1669670279</v>
      </c>
      <c r="AF734" s="16">
        <v>1497770432</v>
      </c>
      <c r="AG734" s="16"/>
      <c r="AH734" s="16"/>
      <c r="AI734" s="16" t="s">
        <v>138</v>
      </c>
      <c r="AJ734" s="16" t="s">
        <v>481</v>
      </c>
      <c r="AK734" s="16" t="s">
        <v>6465</v>
      </c>
      <c r="AL734" s="16">
        <v>1650</v>
      </c>
      <c r="AM734" s="16"/>
      <c r="AN734" s="16"/>
      <c r="AO734" s="16">
        <v>513</v>
      </c>
      <c r="AP734" s="16" t="s">
        <v>485</v>
      </c>
      <c r="AQ734" s="16" t="s">
        <v>6466</v>
      </c>
      <c r="AR734" s="3">
        <v>46274</v>
      </c>
      <c r="AS734" s="16" t="s">
        <v>138</v>
      </c>
      <c r="AT734" s="16" t="s">
        <v>814</v>
      </c>
      <c r="AU734" s="16"/>
      <c r="AV734" s="16" t="s">
        <v>4118</v>
      </c>
      <c r="AW734" s="16"/>
      <c r="AX734" s="16"/>
      <c r="AY734" s="16"/>
      <c r="AZ734" s="16"/>
      <c r="BA734" s="16"/>
      <c r="BB734" s="16"/>
      <c r="BC734" s="16"/>
      <c r="BD734" s="16" t="s">
        <v>138</v>
      </c>
      <c r="BE734" s="16">
        <v>31</v>
      </c>
      <c r="BF734" s="16"/>
      <c r="BG734" s="16" t="s">
        <v>490</v>
      </c>
      <c r="BH734" s="16" t="s">
        <v>491</v>
      </c>
      <c r="BI734" s="16">
        <v>559378050</v>
      </c>
      <c r="BJ734" s="16"/>
      <c r="BK734" s="16"/>
      <c r="BL734" s="16"/>
      <c r="BM734" s="16"/>
      <c r="BN734" s="16"/>
      <c r="BO734" s="16"/>
      <c r="BP734" s="16"/>
      <c r="BQ734" s="16"/>
      <c r="BR734" s="16"/>
      <c r="BS734" s="16"/>
      <c r="BT734" s="16"/>
      <c r="BU734" s="16"/>
      <c r="BV734" s="16"/>
      <c r="BW734" s="16"/>
      <c r="BX734" s="16"/>
      <c r="BY734" s="16"/>
      <c r="BZ734" s="16"/>
      <c r="CA734" s="190">
        <v>46281</v>
      </c>
      <c r="CB734" s="3"/>
      <c r="CC734" s="16"/>
      <c r="CD734" s="16"/>
      <c r="CE734" s="16"/>
      <c r="CF734" s="16"/>
      <c r="CG734" s="16"/>
      <c r="CH734" s="16"/>
      <c r="CI734" s="16" t="s">
        <v>6467</v>
      </c>
    </row>
    <row r="735" spans="1:87">
      <c r="A735" s="16" t="s">
        <v>5</v>
      </c>
      <c r="B735" s="16" t="s">
        <v>6468</v>
      </c>
      <c r="C735" s="3">
        <v>46282</v>
      </c>
      <c r="D735" s="16" t="s">
        <v>1</v>
      </c>
      <c r="E735" s="16" t="s">
        <v>6469</v>
      </c>
      <c r="F735" s="16">
        <v>2026228870090</v>
      </c>
      <c r="G735" s="16">
        <v>40</v>
      </c>
      <c r="H735" s="16">
        <v>31</v>
      </c>
      <c r="I735" s="16" t="s">
        <v>460</v>
      </c>
      <c r="J735" s="16" t="s">
        <v>6469</v>
      </c>
      <c r="K735" s="181" t="s">
        <v>6470</v>
      </c>
      <c r="L735" s="16" t="s">
        <v>13</v>
      </c>
      <c r="M735" s="16">
        <v>6</v>
      </c>
      <c r="N735" s="16" t="s">
        <v>462</v>
      </c>
      <c r="O735" s="16" t="s">
        <v>606</v>
      </c>
      <c r="P735" s="16">
        <v>20058352</v>
      </c>
      <c r="Q735" s="16" t="s">
        <v>465</v>
      </c>
      <c r="R735" s="16" t="s">
        <v>466</v>
      </c>
      <c r="S735" s="16" t="s">
        <v>6471</v>
      </c>
      <c r="T735" s="16" t="s">
        <v>664</v>
      </c>
      <c r="U735" s="16">
        <v>46275.057638888888</v>
      </c>
      <c r="V735" s="16" t="s">
        <v>469</v>
      </c>
      <c r="W735" s="16" t="s">
        <v>651</v>
      </c>
      <c r="X735" s="16" t="s">
        <v>652</v>
      </c>
      <c r="Y735" s="16" t="s">
        <v>653</v>
      </c>
      <c r="Z735" s="16" t="s">
        <v>665</v>
      </c>
      <c r="AA735" s="16" t="s">
        <v>474</v>
      </c>
      <c r="AB735" s="16" t="s">
        <v>666</v>
      </c>
      <c r="AC735" s="16" t="s">
        <v>640</v>
      </c>
      <c r="AD735" s="16">
        <v>135598093</v>
      </c>
      <c r="AE735" s="16">
        <v>1508266347</v>
      </c>
      <c r="AF735" s="16">
        <v>1376749606</v>
      </c>
      <c r="AG735" s="16">
        <v>2.54202526304958E+16</v>
      </c>
      <c r="AH735" s="16" t="s">
        <v>1076</v>
      </c>
      <c r="AI735" s="16" t="s">
        <v>6472</v>
      </c>
      <c r="AJ735" s="16" t="s">
        <v>481</v>
      </c>
      <c r="AK735" s="16" t="s">
        <v>6473</v>
      </c>
      <c r="AL735" s="16">
        <v>8460</v>
      </c>
      <c r="AM735" s="16"/>
      <c r="AN735" s="16"/>
      <c r="AO735" s="16">
        <v>20</v>
      </c>
      <c r="AP735" s="16" t="s">
        <v>485</v>
      </c>
      <c r="AQ735" s="16" t="s">
        <v>6474</v>
      </c>
      <c r="AR735" s="3">
        <v>46275</v>
      </c>
      <c r="AS735" s="16" t="s">
        <v>6472</v>
      </c>
      <c r="AT735" s="16" t="s">
        <v>6475</v>
      </c>
      <c r="AU735" s="16"/>
      <c r="AV735" s="16" t="s">
        <v>6136</v>
      </c>
      <c r="AW735" s="16"/>
      <c r="AX735" s="16"/>
      <c r="AY735" s="16"/>
      <c r="AZ735" s="16"/>
      <c r="BA735" s="16"/>
      <c r="BB735" s="16"/>
      <c r="BC735" s="16"/>
      <c r="BD735" s="16" t="s">
        <v>6472</v>
      </c>
      <c r="BE735" s="16">
        <v>31</v>
      </c>
      <c r="BF735" s="16"/>
      <c r="BG735" s="16" t="s">
        <v>490</v>
      </c>
      <c r="BH735" s="16" t="s">
        <v>658</v>
      </c>
      <c r="BI735" s="16">
        <v>20058352</v>
      </c>
      <c r="BJ735" s="16"/>
      <c r="BK735" s="16"/>
      <c r="BL735" s="16"/>
      <c r="BM735" s="16"/>
      <c r="BN735" s="16"/>
      <c r="BO735" s="16"/>
      <c r="BP735" s="16"/>
      <c r="BQ735" s="16"/>
      <c r="BR735" s="16"/>
      <c r="BS735" s="16"/>
      <c r="BT735" s="16"/>
      <c r="BU735" s="16"/>
      <c r="BV735" s="16"/>
      <c r="BW735" s="16"/>
      <c r="BX735" s="16"/>
      <c r="BY735" s="16"/>
      <c r="BZ735" s="16"/>
      <c r="CA735" s="190">
        <v>46282.166666666701</v>
      </c>
      <c r="CB735" s="3"/>
      <c r="CC735" s="16"/>
      <c r="CD735" s="16"/>
      <c r="CE735" s="16"/>
      <c r="CF735" s="16"/>
      <c r="CG735" s="16"/>
      <c r="CH735" s="16"/>
      <c r="CI735" s="16" t="s">
        <v>6476</v>
      </c>
    </row>
    <row r="736" spans="1:87">
      <c r="A736" s="16"/>
      <c r="B736" s="16"/>
      <c r="C736" s="3">
        <v>46282</v>
      </c>
      <c r="D736" s="16" t="s">
        <v>1</v>
      </c>
      <c r="E736" s="16" t="s">
        <v>6477</v>
      </c>
      <c r="F736" s="16">
        <v>2026228190092</v>
      </c>
      <c r="G736" s="16">
        <v>40</v>
      </c>
      <c r="H736" s="16">
        <v>31</v>
      </c>
      <c r="I736" s="16" t="s">
        <v>460</v>
      </c>
      <c r="J736" s="16" t="s">
        <v>6477</v>
      </c>
      <c r="K736" s="16" t="s">
        <v>560</v>
      </c>
      <c r="L736" s="16" t="s">
        <v>13</v>
      </c>
      <c r="M736" s="16">
        <v>0</v>
      </c>
      <c r="N736" s="16" t="s">
        <v>462</v>
      </c>
      <c r="O736" s="16" t="s">
        <v>606</v>
      </c>
      <c r="P736" s="16" t="s">
        <v>6478</v>
      </c>
      <c r="Q736" s="16" t="s">
        <v>465</v>
      </c>
      <c r="R736" s="16" t="s">
        <v>466</v>
      </c>
      <c r="S736" s="16" t="s">
        <v>6479</v>
      </c>
      <c r="T736" s="16" t="s">
        <v>664</v>
      </c>
      <c r="U736" s="16">
        <v>46280.770833333336</v>
      </c>
      <c r="V736" s="16" t="s">
        <v>469</v>
      </c>
      <c r="W736" s="16" t="s">
        <v>651</v>
      </c>
      <c r="X736" s="16" t="s">
        <v>652</v>
      </c>
      <c r="Y736" s="16" t="s">
        <v>653</v>
      </c>
      <c r="Z736" s="16" t="s">
        <v>665</v>
      </c>
      <c r="AA736" s="16" t="s">
        <v>474</v>
      </c>
      <c r="AB736" s="16" t="s">
        <v>666</v>
      </c>
      <c r="AC736" s="16" t="s">
        <v>640</v>
      </c>
      <c r="AD736" s="16">
        <v>135598093</v>
      </c>
      <c r="AE736" s="16">
        <v>1508266347</v>
      </c>
      <c r="AF736" s="16">
        <v>1518702653</v>
      </c>
      <c r="AG736" s="16">
        <v>2.54202530318743E+16</v>
      </c>
      <c r="AH736" s="16" t="s">
        <v>1076</v>
      </c>
      <c r="AI736" s="16" t="s">
        <v>59</v>
      </c>
      <c r="AJ736" s="16" t="s">
        <v>481</v>
      </c>
      <c r="AK736" s="16" t="s">
        <v>6480</v>
      </c>
      <c r="AL736" s="16">
        <v>27330</v>
      </c>
      <c r="AM736" s="16"/>
      <c r="AN736" s="16"/>
      <c r="AO736" s="16" t="s">
        <v>1133</v>
      </c>
      <c r="AP736" s="16" t="s">
        <v>485</v>
      </c>
      <c r="AQ736" s="16" t="s">
        <v>6481</v>
      </c>
      <c r="AR736" s="3">
        <v>46281</v>
      </c>
      <c r="AS736" s="16" t="s">
        <v>59</v>
      </c>
      <c r="AT736" s="16" t="s">
        <v>516</v>
      </c>
      <c r="AU736" s="16"/>
      <c r="AV736" s="16" t="s">
        <v>6173</v>
      </c>
      <c r="AW736" s="16"/>
      <c r="AX736" s="16"/>
      <c r="AY736" s="16"/>
      <c r="AZ736" s="16"/>
      <c r="BA736" s="16"/>
      <c r="BB736" s="16"/>
      <c r="BC736" s="16"/>
      <c r="BD736" s="16" t="s">
        <v>59</v>
      </c>
      <c r="BE736" s="16">
        <v>31</v>
      </c>
      <c r="BF736" s="16"/>
      <c r="BG736" s="16" t="s">
        <v>490</v>
      </c>
      <c r="BH736" s="16" t="s">
        <v>658</v>
      </c>
      <c r="BI736" s="16" t="s">
        <v>6478</v>
      </c>
      <c r="BJ736" s="16"/>
      <c r="BK736" s="16"/>
      <c r="BL736" s="16"/>
      <c r="BM736" s="16"/>
      <c r="BN736" s="16"/>
      <c r="BO736" s="16"/>
      <c r="BP736" s="16"/>
      <c r="BQ736" s="16"/>
      <c r="BR736" s="16"/>
      <c r="BS736" s="16"/>
      <c r="BT736" s="16"/>
      <c r="BU736" s="16"/>
      <c r="BV736" s="16"/>
      <c r="BW736" s="16"/>
      <c r="BX736" s="16"/>
      <c r="BY736" s="16"/>
      <c r="BZ736" s="16"/>
      <c r="CA736" s="190">
        <v>46281</v>
      </c>
      <c r="CB736" s="3"/>
      <c r="CC736" s="16"/>
      <c r="CD736" s="16"/>
      <c r="CE736" s="16"/>
      <c r="CF736" s="16"/>
      <c r="CG736" s="16"/>
      <c r="CH736" s="16"/>
      <c r="CI736" s="16" t="s">
        <v>6482</v>
      </c>
    </row>
    <row r="737" spans="1:87">
      <c r="A737" s="16"/>
      <c r="B737" s="16"/>
      <c r="C737" s="3">
        <v>46282</v>
      </c>
      <c r="D737" s="16" t="s">
        <v>1</v>
      </c>
      <c r="E737" s="16" t="s">
        <v>6483</v>
      </c>
      <c r="F737" s="16"/>
      <c r="G737" s="16">
        <v>40</v>
      </c>
      <c r="H737" s="16">
        <v>31</v>
      </c>
      <c r="I737" s="16" t="s">
        <v>460</v>
      </c>
      <c r="J737" s="16" t="s">
        <v>6483</v>
      </c>
      <c r="K737" s="16" t="s">
        <v>560</v>
      </c>
      <c r="L737" s="16" t="s">
        <v>13</v>
      </c>
      <c r="M737" s="16">
        <v>7</v>
      </c>
      <c r="N737" s="16" t="s">
        <v>462</v>
      </c>
      <c r="O737" s="16" t="s">
        <v>606</v>
      </c>
      <c r="P737" s="16">
        <v>812297753</v>
      </c>
      <c r="Q737" s="16" t="s">
        <v>1055</v>
      </c>
      <c r="R737" s="16" t="s">
        <v>466</v>
      </c>
      <c r="S737" s="16" t="s">
        <v>6484</v>
      </c>
      <c r="T737" s="16">
        <v>173323</v>
      </c>
      <c r="U737" s="16">
        <v>46273.978472222225</v>
      </c>
      <c r="V737" s="16" t="s">
        <v>469</v>
      </c>
      <c r="W737" s="16" t="s">
        <v>651</v>
      </c>
      <c r="X737" s="16" t="s">
        <v>652</v>
      </c>
      <c r="Y737" s="16" t="s">
        <v>653</v>
      </c>
      <c r="Z737" s="16" t="s">
        <v>590</v>
      </c>
      <c r="AA737" s="16" t="s">
        <v>474</v>
      </c>
      <c r="AB737" s="16" t="s">
        <v>2303</v>
      </c>
      <c r="AC737" s="16" t="s">
        <v>592</v>
      </c>
      <c r="AD737" s="16">
        <v>841415470</v>
      </c>
      <c r="AE737" s="16">
        <v>1952327835</v>
      </c>
      <c r="AF737" s="16">
        <v>1831327865</v>
      </c>
      <c r="AG737" s="16">
        <v>5120243120216500</v>
      </c>
      <c r="AH737" s="16" t="s">
        <v>1076</v>
      </c>
      <c r="AI737" s="16" t="s">
        <v>59</v>
      </c>
      <c r="AJ737" s="16" t="s">
        <v>481</v>
      </c>
      <c r="AK737" s="16" t="s">
        <v>6485</v>
      </c>
      <c r="AL737" s="16">
        <v>24428</v>
      </c>
      <c r="AM737" s="16"/>
      <c r="AN737" s="16"/>
      <c r="AO737" s="16">
        <v>812</v>
      </c>
      <c r="AP737" s="16" t="s">
        <v>485</v>
      </c>
      <c r="AQ737" s="16" t="s">
        <v>6486</v>
      </c>
      <c r="AR737" s="3">
        <v>46274</v>
      </c>
      <c r="AS737" s="16" t="s">
        <v>59</v>
      </c>
      <c r="AT737" s="16" t="s">
        <v>516</v>
      </c>
      <c r="AU737" s="16"/>
      <c r="AV737" s="16" t="s">
        <v>6487</v>
      </c>
      <c r="AW737" s="16"/>
      <c r="AX737" s="16"/>
      <c r="AY737" s="16"/>
      <c r="AZ737" s="16"/>
      <c r="BA737" s="16"/>
      <c r="BB737" s="16"/>
      <c r="BC737" s="16"/>
      <c r="BD737" s="16" t="s">
        <v>59</v>
      </c>
      <c r="BE737" s="16">
        <v>31</v>
      </c>
      <c r="BF737" s="16"/>
      <c r="BG737" s="16" t="s">
        <v>490</v>
      </c>
      <c r="BH737" s="16" t="s">
        <v>658</v>
      </c>
      <c r="BI737" s="16">
        <v>812297753</v>
      </c>
      <c r="BJ737" s="16"/>
      <c r="BK737" s="16"/>
      <c r="BL737" s="16"/>
      <c r="BM737" s="16"/>
      <c r="BN737" s="16"/>
      <c r="BO737" s="16"/>
      <c r="BP737" s="16"/>
      <c r="BQ737" s="16"/>
      <c r="BR737" s="16"/>
      <c r="BS737" s="16"/>
      <c r="BT737" s="16"/>
      <c r="BU737" s="16"/>
      <c r="BV737" s="16"/>
      <c r="BW737" s="16"/>
      <c r="BX737" s="16"/>
      <c r="BY737" s="16"/>
      <c r="BZ737" s="16"/>
      <c r="CA737" s="190">
        <v>46281</v>
      </c>
      <c r="CB737" s="3"/>
      <c r="CC737" s="16"/>
      <c r="CD737" s="16"/>
      <c r="CE737" s="16"/>
      <c r="CF737" s="16"/>
      <c r="CG737" s="16"/>
      <c r="CH737" s="16"/>
      <c r="CI737" s="16" t="s">
        <v>6488</v>
      </c>
    </row>
    <row r="738" spans="1:87">
      <c r="A738" s="16" t="s">
        <v>5</v>
      </c>
      <c r="B738" s="25" t="s">
        <v>5888</v>
      </c>
      <c r="C738" s="3">
        <v>46282</v>
      </c>
      <c r="D738" s="16" t="s">
        <v>1</v>
      </c>
      <c r="E738" s="16" t="s">
        <v>6489</v>
      </c>
      <c r="F738" s="16">
        <v>2026228350016</v>
      </c>
      <c r="G738" s="16">
        <v>40</v>
      </c>
      <c r="H738" s="16">
        <v>31</v>
      </c>
      <c r="I738" s="16" t="s">
        <v>460</v>
      </c>
      <c r="J738" s="16" t="s">
        <v>6489</v>
      </c>
      <c r="K738" s="16" t="s">
        <v>1201</v>
      </c>
      <c r="L738" s="16" t="s">
        <v>17</v>
      </c>
      <c r="M738" s="16">
        <v>7</v>
      </c>
      <c r="N738" s="16" t="s">
        <v>462</v>
      </c>
      <c r="O738" s="16" t="s">
        <v>606</v>
      </c>
      <c r="P738" s="16" t="s">
        <v>6490</v>
      </c>
      <c r="Q738" s="16" t="s">
        <v>465</v>
      </c>
      <c r="R738" s="16" t="s">
        <v>466</v>
      </c>
      <c r="S738" s="16" t="s">
        <v>6491</v>
      </c>
      <c r="T738" s="16" t="s">
        <v>465</v>
      </c>
      <c r="U738" s="16">
        <v>46273.912499999999</v>
      </c>
      <c r="V738" s="16" t="s">
        <v>469</v>
      </c>
      <c r="W738" s="16" t="s">
        <v>589</v>
      </c>
      <c r="X738" s="16" t="s">
        <v>471</v>
      </c>
      <c r="Y738" s="16" t="s">
        <v>472</v>
      </c>
      <c r="Z738" s="16" t="s">
        <v>590</v>
      </c>
      <c r="AA738" s="16" t="s">
        <v>474</v>
      </c>
      <c r="AB738" s="16" t="s">
        <v>6492</v>
      </c>
      <c r="AC738" s="16" t="s">
        <v>592</v>
      </c>
      <c r="AD738" s="16">
        <v>742161737</v>
      </c>
      <c r="AE738" s="16">
        <v>1962461889</v>
      </c>
      <c r="AF738" s="16">
        <v>1336612803</v>
      </c>
      <c r="AG738" s="16"/>
      <c r="AH738" s="16"/>
      <c r="AI738" s="16" t="s">
        <v>150</v>
      </c>
      <c r="AJ738" s="16" t="s">
        <v>481</v>
      </c>
      <c r="AK738" s="16" t="s">
        <v>6493</v>
      </c>
      <c r="AL738" s="16">
        <v>1858.75</v>
      </c>
      <c r="AM738" s="16"/>
      <c r="AN738" s="16"/>
      <c r="AO738" s="16">
        <v>169</v>
      </c>
      <c r="AP738" s="16" t="s">
        <v>485</v>
      </c>
      <c r="AQ738" s="16" t="s">
        <v>6494</v>
      </c>
      <c r="AR738" s="3">
        <v>46274</v>
      </c>
      <c r="AS738" s="16" t="s">
        <v>150</v>
      </c>
      <c r="AT738" s="16" t="s">
        <v>6495</v>
      </c>
      <c r="AU738" s="16"/>
      <c r="AV738" s="16" t="s">
        <v>6496</v>
      </c>
      <c r="AW738" s="16"/>
      <c r="AX738" s="16"/>
      <c r="AY738" s="16"/>
      <c r="AZ738" s="16"/>
      <c r="BA738" s="16"/>
      <c r="BB738" s="16"/>
      <c r="BC738" s="16"/>
      <c r="BD738" s="16" t="s">
        <v>150</v>
      </c>
      <c r="BE738" s="16">
        <v>31</v>
      </c>
      <c r="BF738" s="16"/>
      <c r="BG738" s="16"/>
      <c r="BH738" s="16" t="s">
        <v>491</v>
      </c>
      <c r="BI738" s="16">
        <v>650108099</v>
      </c>
      <c r="BJ738" s="16"/>
      <c r="BK738" s="16"/>
      <c r="BL738" s="16"/>
      <c r="BM738" s="16"/>
      <c r="BN738" s="16"/>
      <c r="BO738" s="16"/>
      <c r="BP738" s="16"/>
      <c r="BQ738" s="16"/>
      <c r="BR738" s="16"/>
      <c r="BS738" s="16"/>
      <c r="BT738" s="16"/>
      <c r="BU738" s="16"/>
      <c r="BV738" s="16"/>
      <c r="BW738" s="16"/>
      <c r="BX738" s="16"/>
      <c r="BY738" s="16"/>
      <c r="BZ738" s="16"/>
      <c r="CA738" s="190">
        <v>46285.166666666701</v>
      </c>
      <c r="CB738" s="3"/>
      <c r="CC738" s="16"/>
      <c r="CD738" s="16"/>
      <c r="CE738" s="16"/>
      <c r="CF738" s="16"/>
      <c r="CG738" s="16"/>
      <c r="CH738" s="16"/>
      <c r="CI738" s="16" t="s">
        <v>6497</v>
      </c>
    </row>
    <row r="739" spans="1:87">
      <c r="A739" s="16" t="s">
        <v>5</v>
      </c>
      <c r="B739" s="16" t="s">
        <v>6498</v>
      </c>
      <c r="C739" s="3">
        <v>46282</v>
      </c>
      <c r="D739" s="16" t="s">
        <v>1</v>
      </c>
      <c r="E739" s="16" t="s">
        <v>6499</v>
      </c>
      <c r="F739" s="16">
        <v>2026228650261</v>
      </c>
      <c r="G739" s="16">
        <v>40</v>
      </c>
      <c r="H739" s="16">
        <v>31</v>
      </c>
      <c r="I739" s="16" t="s">
        <v>460</v>
      </c>
      <c r="J739" s="16" t="s">
        <v>6499</v>
      </c>
      <c r="K739" s="16" t="s">
        <v>1874</v>
      </c>
      <c r="L739" s="16" t="s">
        <v>17</v>
      </c>
      <c r="M739" s="16">
        <v>0</v>
      </c>
      <c r="N739" s="16" t="s">
        <v>462</v>
      </c>
      <c r="O739" s="16" t="s">
        <v>497</v>
      </c>
      <c r="P739" s="16" t="s">
        <v>6500</v>
      </c>
      <c r="Q739" s="16" t="s">
        <v>465</v>
      </c>
      <c r="R739" s="16" t="s">
        <v>466</v>
      </c>
      <c r="S739" s="16" t="s">
        <v>6501</v>
      </c>
      <c r="T739" s="16" t="s">
        <v>465</v>
      </c>
      <c r="U739" s="16">
        <v>46280.72152777778</v>
      </c>
      <c r="V739" s="16" t="s">
        <v>469</v>
      </c>
      <c r="W739" s="16" t="s">
        <v>589</v>
      </c>
      <c r="X739" s="16" t="s">
        <v>471</v>
      </c>
      <c r="Y739" s="16" t="s">
        <v>472</v>
      </c>
      <c r="Z739" s="16" t="s">
        <v>590</v>
      </c>
      <c r="AA739" s="16" t="s">
        <v>474</v>
      </c>
      <c r="AB739" s="16" t="s">
        <v>6502</v>
      </c>
      <c r="AC739" s="16" t="s">
        <v>592</v>
      </c>
      <c r="AD739" s="16">
        <v>840469270</v>
      </c>
      <c r="AE739" s="16">
        <v>1497723407</v>
      </c>
      <c r="AF739" s="16"/>
      <c r="AG739" s="16"/>
      <c r="AH739" s="16" t="s">
        <v>1076</v>
      </c>
      <c r="AI739" s="16" t="s">
        <v>93</v>
      </c>
      <c r="AJ739" s="16" t="s">
        <v>481</v>
      </c>
      <c r="AK739" s="16" t="s">
        <v>6503</v>
      </c>
      <c r="AL739" s="16">
        <v>44969.48</v>
      </c>
      <c r="AM739" s="16"/>
      <c r="AN739" s="16"/>
      <c r="AO739" s="16">
        <v>932</v>
      </c>
      <c r="AP739" s="16" t="s">
        <v>485</v>
      </c>
      <c r="AQ739" s="16" t="s">
        <v>6504</v>
      </c>
      <c r="AR739" s="3">
        <v>46281</v>
      </c>
      <c r="AS739" s="16" t="s">
        <v>93</v>
      </c>
      <c r="AT739" s="16" t="s">
        <v>6505</v>
      </c>
      <c r="AU739" s="16"/>
      <c r="AV739" s="16" t="s">
        <v>6506</v>
      </c>
      <c r="AW739" s="16"/>
      <c r="AX739" s="16"/>
      <c r="AY739" s="16"/>
      <c r="AZ739" s="16"/>
      <c r="BA739" s="16"/>
      <c r="BB739" s="16"/>
      <c r="BC739" s="16"/>
      <c r="BD739" s="16" t="s">
        <v>93</v>
      </c>
      <c r="BE739" s="16">
        <v>31</v>
      </c>
      <c r="BF739" s="16"/>
      <c r="BG739" s="16" t="s">
        <v>490</v>
      </c>
      <c r="BH739" s="16" t="s">
        <v>491</v>
      </c>
      <c r="BI739" s="16">
        <v>160584855</v>
      </c>
      <c r="BJ739" s="16"/>
      <c r="BK739" s="16"/>
      <c r="BL739" s="16"/>
      <c r="BM739" s="16"/>
      <c r="BN739" s="16"/>
      <c r="BO739" s="16"/>
      <c r="BP739" s="16"/>
      <c r="BQ739" s="16"/>
      <c r="BR739" s="16"/>
      <c r="BS739" s="16"/>
      <c r="BT739" s="16"/>
      <c r="BU739" s="16"/>
      <c r="BV739" s="16"/>
      <c r="BW739" s="16"/>
      <c r="BX739" s="16"/>
      <c r="BY739" s="16"/>
      <c r="BZ739" s="16"/>
      <c r="CA739" s="190">
        <v>46285.666666666701</v>
      </c>
      <c r="CB739" s="3"/>
      <c r="CC739" s="16"/>
      <c r="CD739" s="16"/>
      <c r="CE739" s="16"/>
      <c r="CF739" s="16"/>
      <c r="CG739" s="16"/>
      <c r="CH739" s="16"/>
      <c r="CI739" s="16" t="s">
        <v>6507</v>
      </c>
    </row>
    <row r="740" spans="1:87">
      <c r="A740" s="16"/>
      <c r="B740" s="16"/>
      <c r="C740" s="3">
        <v>46282</v>
      </c>
      <c r="D740" s="16" t="s">
        <v>1</v>
      </c>
      <c r="E740" s="16" t="s">
        <v>6508</v>
      </c>
      <c r="F740" s="16">
        <v>2026228410092</v>
      </c>
      <c r="G740" s="16">
        <v>40</v>
      </c>
      <c r="H740" s="16">
        <v>31</v>
      </c>
      <c r="I740" s="16" t="s">
        <v>460</v>
      </c>
      <c r="J740" s="16" t="s">
        <v>6508</v>
      </c>
      <c r="K740" s="16" t="s">
        <v>560</v>
      </c>
      <c r="L740" s="16" t="s">
        <v>13</v>
      </c>
      <c r="M740" s="16">
        <v>0</v>
      </c>
      <c r="N740" s="16" t="s">
        <v>462</v>
      </c>
      <c r="O740" s="16" t="s">
        <v>606</v>
      </c>
      <c r="P740" s="16">
        <v>202033401</v>
      </c>
      <c r="Q740" s="16" t="s">
        <v>465</v>
      </c>
      <c r="R740" s="16" t="s">
        <v>466</v>
      </c>
      <c r="S740" s="16" t="s">
        <v>6509</v>
      </c>
      <c r="T740" s="16" t="s">
        <v>664</v>
      </c>
      <c r="U740" s="16">
        <v>46280.770138888889</v>
      </c>
      <c r="V740" s="16" t="s">
        <v>469</v>
      </c>
      <c r="W740" s="16" t="s">
        <v>651</v>
      </c>
      <c r="X740" s="16" t="s">
        <v>652</v>
      </c>
      <c r="Y740" s="16" t="s">
        <v>653</v>
      </c>
      <c r="Z740" s="16" t="s">
        <v>665</v>
      </c>
      <c r="AA740" s="16" t="s">
        <v>474</v>
      </c>
      <c r="AB740" s="16" t="s">
        <v>666</v>
      </c>
      <c r="AC740" s="16" t="s">
        <v>640</v>
      </c>
      <c r="AD740" s="16">
        <v>135598093</v>
      </c>
      <c r="AE740" s="16">
        <v>1508266347</v>
      </c>
      <c r="AF740" s="16">
        <v>1730364373</v>
      </c>
      <c r="AG740" s="16">
        <v>2.54202535323332E+16</v>
      </c>
      <c r="AH740" s="16" t="s">
        <v>1076</v>
      </c>
      <c r="AI740" s="16" t="s">
        <v>59</v>
      </c>
      <c r="AJ740" s="16" t="s">
        <v>481</v>
      </c>
      <c r="AK740" s="16" t="s">
        <v>6510</v>
      </c>
      <c r="AL740" s="16">
        <v>10000</v>
      </c>
      <c r="AM740" s="16"/>
      <c r="AN740" s="16"/>
      <c r="AO740" s="16">
        <v>202</v>
      </c>
      <c r="AP740" s="16" t="s">
        <v>485</v>
      </c>
      <c r="AQ740" s="16" t="s">
        <v>6511</v>
      </c>
      <c r="AR740" s="3">
        <v>46281</v>
      </c>
      <c r="AS740" s="16" t="s">
        <v>59</v>
      </c>
      <c r="AT740" s="16" t="s">
        <v>516</v>
      </c>
      <c r="AU740" s="16"/>
      <c r="AV740" s="16" t="s">
        <v>1215</v>
      </c>
      <c r="AW740" s="16"/>
      <c r="AX740" s="16"/>
      <c r="AY740" s="16"/>
      <c r="AZ740" s="16"/>
      <c r="BA740" s="16"/>
      <c r="BB740" s="16"/>
      <c r="BC740" s="16"/>
      <c r="BD740" s="16" t="s">
        <v>59</v>
      </c>
      <c r="BE740" s="16">
        <v>31</v>
      </c>
      <c r="BF740" s="16"/>
      <c r="BG740" s="16"/>
      <c r="BH740" s="16" t="s">
        <v>658</v>
      </c>
      <c r="BI740" s="16">
        <v>202033401</v>
      </c>
      <c r="BJ740" s="16"/>
      <c r="BK740" s="16"/>
      <c r="BL740" s="16"/>
      <c r="BM740" s="16"/>
      <c r="BN740" s="16"/>
      <c r="BO740" s="16"/>
      <c r="BP740" s="16"/>
      <c r="BQ740" s="16"/>
      <c r="BR740" s="16"/>
      <c r="BS740" s="16"/>
      <c r="BT740" s="16"/>
      <c r="BU740" s="16"/>
      <c r="BV740" s="16"/>
      <c r="BW740" s="16"/>
      <c r="BX740" s="16"/>
      <c r="BY740" s="16"/>
      <c r="BZ740" s="16"/>
      <c r="CA740" s="190">
        <v>46281</v>
      </c>
      <c r="CB740" s="3"/>
      <c r="CC740" s="16"/>
      <c r="CD740" s="16"/>
      <c r="CE740" s="16"/>
      <c r="CF740" s="16"/>
      <c r="CG740" s="16"/>
      <c r="CH740" s="16"/>
      <c r="CI740" s="16" t="s">
        <v>6512</v>
      </c>
    </row>
    <row r="741" spans="1:87">
      <c r="A741" s="16"/>
      <c r="B741" s="16"/>
      <c r="C741" s="3">
        <v>46282</v>
      </c>
      <c r="D741" s="16" t="s">
        <v>1</v>
      </c>
      <c r="E741" s="16" t="s">
        <v>6513</v>
      </c>
      <c r="F741" s="16">
        <v>2026228680210</v>
      </c>
      <c r="G741" s="16">
        <v>40</v>
      </c>
      <c r="H741" s="16">
        <v>31</v>
      </c>
      <c r="I741" s="16" t="s">
        <v>460</v>
      </c>
      <c r="J741" s="16" t="s">
        <v>6513</v>
      </c>
      <c r="K741" s="16" t="s">
        <v>560</v>
      </c>
      <c r="L741" s="16" t="s">
        <v>13</v>
      </c>
      <c r="M741" s="16">
        <v>0</v>
      </c>
      <c r="N741" s="16" t="s">
        <v>462</v>
      </c>
      <c r="O741" s="16" t="s">
        <v>606</v>
      </c>
      <c r="P741" s="16" t="s">
        <v>6514</v>
      </c>
      <c r="Q741" s="16" t="s">
        <v>465</v>
      </c>
      <c r="R741" s="16" t="s">
        <v>466</v>
      </c>
      <c r="S741" s="16" t="s">
        <v>6515</v>
      </c>
      <c r="T741" s="16">
        <v>212056</v>
      </c>
      <c r="U741" s="16">
        <v>46280.775000000001</v>
      </c>
      <c r="V741" s="16" t="s">
        <v>469</v>
      </c>
      <c r="W741" s="16" t="s">
        <v>568</v>
      </c>
      <c r="X741" s="16" t="s">
        <v>471</v>
      </c>
      <c r="Y741" s="16" t="s">
        <v>1724</v>
      </c>
      <c r="Z741" s="16" t="s">
        <v>524</v>
      </c>
      <c r="AA741" s="16" t="s">
        <v>474</v>
      </c>
      <c r="AB741" s="16" t="s">
        <v>6516</v>
      </c>
      <c r="AC741" s="16" t="s">
        <v>572</v>
      </c>
      <c r="AD741" s="16">
        <v>946030667</v>
      </c>
      <c r="AE741" s="16">
        <v>1780614685</v>
      </c>
      <c r="AF741" s="16"/>
      <c r="AG741" s="16"/>
      <c r="AH741" s="16" t="s">
        <v>1076</v>
      </c>
      <c r="AI741" s="16" t="s">
        <v>59</v>
      </c>
      <c r="AJ741" s="16" t="s">
        <v>481</v>
      </c>
      <c r="AK741" s="16" t="s">
        <v>6517</v>
      </c>
      <c r="AL741" s="16">
        <v>15480.45</v>
      </c>
      <c r="AM741" s="16"/>
      <c r="AN741" s="16"/>
      <c r="AO741" s="16">
        <v>727</v>
      </c>
      <c r="AP741" s="16" t="s">
        <v>485</v>
      </c>
      <c r="AQ741" s="16" t="s">
        <v>6518</v>
      </c>
      <c r="AR741" s="3">
        <v>46281</v>
      </c>
      <c r="AS741" s="16" t="s">
        <v>59</v>
      </c>
      <c r="AT741" s="16" t="s">
        <v>6519</v>
      </c>
      <c r="AU741" s="16"/>
      <c r="AV741" s="16" t="s">
        <v>6520</v>
      </c>
      <c r="AW741" s="16"/>
      <c r="AX741" s="16"/>
      <c r="AY741" s="16"/>
      <c r="AZ741" s="16"/>
      <c r="BA741" s="16"/>
      <c r="BB741" s="16"/>
      <c r="BC741" s="16"/>
      <c r="BD741" s="16" t="s">
        <v>59</v>
      </c>
      <c r="BE741" s="16">
        <v>31</v>
      </c>
      <c r="BF741" s="16"/>
      <c r="BG741" s="16"/>
      <c r="BH741" s="16" t="s">
        <v>491</v>
      </c>
      <c r="BI741" s="16">
        <v>556997104</v>
      </c>
      <c r="BJ741" s="16"/>
      <c r="BK741" s="16"/>
      <c r="BL741" s="16"/>
      <c r="BM741" s="16"/>
      <c r="BN741" s="16"/>
      <c r="BO741" s="16"/>
      <c r="BP741" s="16"/>
      <c r="BQ741" s="16"/>
      <c r="BR741" s="16"/>
      <c r="BS741" s="16"/>
      <c r="BT741" s="16"/>
      <c r="BU741" s="16"/>
      <c r="BV741" s="16"/>
      <c r="BW741" s="16"/>
      <c r="BX741" s="16"/>
      <c r="BY741" s="16"/>
      <c r="BZ741" s="16"/>
      <c r="CA741" s="190">
        <v>46281</v>
      </c>
      <c r="CB741" s="3"/>
      <c r="CC741" s="16"/>
      <c r="CD741" s="16"/>
      <c r="CE741" s="16"/>
      <c r="CF741" s="16"/>
      <c r="CG741" s="16"/>
      <c r="CH741" s="16"/>
      <c r="CI741" s="16" t="s">
        <v>6521</v>
      </c>
    </row>
    <row r="742" spans="1:87">
      <c r="A742" s="16"/>
      <c r="B742" s="16"/>
      <c r="C742" s="3">
        <v>46282</v>
      </c>
      <c r="D742" s="16" t="s">
        <v>1</v>
      </c>
      <c r="E742" s="16" t="s">
        <v>6522</v>
      </c>
      <c r="F742" s="16">
        <v>2026228910461</v>
      </c>
      <c r="G742" s="16">
        <v>40</v>
      </c>
      <c r="H742" s="16">
        <v>31</v>
      </c>
      <c r="I742" s="16" t="s">
        <v>460</v>
      </c>
      <c r="J742" s="16" t="s">
        <v>6522</v>
      </c>
      <c r="K742" s="16" t="s">
        <v>560</v>
      </c>
      <c r="L742" s="16" t="s">
        <v>13</v>
      </c>
      <c r="M742" s="16">
        <v>2</v>
      </c>
      <c r="N742" s="16" t="s">
        <v>462</v>
      </c>
      <c r="O742" s="16" t="s">
        <v>606</v>
      </c>
      <c r="P742" s="16" t="s">
        <v>6523</v>
      </c>
      <c r="Q742" s="16" t="s">
        <v>465</v>
      </c>
      <c r="R742" s="16" t="s">
        <v>466</v>
      </c>
      <c r="S742" s="16" t="s">
        <v>6524</v>
      </c>
      <c r="T742" s="16" t="s">
        <v>6525</v>
      </c>
      <c r="U742" s="16">
        <v>46275.179166666669</v>
      </c>
      <c r="V742" s="16" t="s">
        <v>469</v>
      </c>
      <c r="W742" s="16" t="s">
        <v>568</v>
      </c>
      <c r="X742" s="16" t="s">
        <v>471</v>
      </c>
      <c r="Y742" s="16" t="s">
        <v>628</v>
      </c>
      <c r="Z742" s="16" t="s">
        <v>731</v>
      </c>
      <c r="AA742" s="16" t="s">
        <v>474</v>
      </c>
      <c r="AB742" s="16" t="s">
        <v>6526</v>
      </c>
      <c r="AC742" s="16" t="s">
        <v>733</v>
      </c>
      <c r="AD742" s="16">
        <v>430653611</v>
      </c>
      <c r="AE742" s="16">
        <v>1174563662</v>
      </c>
      <c r="AF742" s="16">
        <v>1669853289</v>
      </c>
      <c r="AG742" s="16"/>
      <c r="AH742" s="16" t="s">
        <v>1076</v>
      </c>
      <c r="AI742" s="16" t="s">
        <v>59</v>
      </c>
      <c r="AJ742" s="16" t="s">
        <v>481</v>
      </c>
      <c r="AK742" s="16" t="s">
        <v>6527</v>
      </c>
      <c r="AL742" s="16">
        <v>4590</v>
      </c>
      <c r="AM742" s="16"/>
      <c r="AN742" s="16"/>
      <c r="AO742" s="16">
        <v>581</v>
      </c>
      <c r="AP742" s="16" t="s">
        <v>485</v>
      </c>
      <c r="AQ742" s="16" t="s">
        <v>6528</v>
      </c>
      <c r="AR742" s="3">
        <v>46279</v>
      </c>
      <c r="AS742" s="16" t="s">
        <v>2506</v>
      </c>
      <c r="AT742" s="16" t="s">
        <v>6529</v>
      </c>
      <c r="AU742" s="16"/>
      <c r="AV742" s="16" t="s">
        <v>6530</v>
      </c>
      <c r="AW742" s="16"/>
      <c r="AX742" s="16"/>
      <c r="AY742" s="16"/>
      <c r="AZ742" s="16"/>
      <c r="BA742" s="16"/>
      <c r="BB742" s="16"/>
      <c r="BC742" s="16"/>
      <c r="BD742" s="16" t="s">
        <v>59</v>
      </c>
      <c r="BE742" s="16">
        <v>31</v>
      </c>
      <c r="BF742" s="16"/>
      <c r="BG742" s="16" t="s">
        <v>490</v>
      </c>
      <c r="BH742" s="16" t="s">
        <v>491</v>
      </c>
      <c r="BI742" s="16">
        <v>493801612</v>
      </c>
      <c r="BJ742" s="16"/>
      <c r="BK742" s="16"/>
      <c r="BL742" s="16"/>
      <c r="BM742" s="16"/>
      <c r="BN742" s="16"/>
      <c r="BO742" s="16"/>
      <c r="BP742" s="16"/>
      <c r="BQ742" s="16"/>
      <c r="BR742" s="16"/>
      <c r="BS742" s="16"/>
      <c r="BT742" s="16"/>
      <c r="BU742" s="16"/>
      <c r="BV742" s="16"/>
      <c r="BW742" s="16"/>
      <c r="BX742" s="16"/>
      <c r="BY742" s="16"/>
      <c r="BZ742" s="16"/>
      <c r="CA742" s="190">
        <v>46281</v>
      </c>
      <c r="CB742" s="3"/>
      <c r="CC742" s="16"/>
      <c r="CD742" s="16"/>
      <c r="CE742" s="16"/>
      <c r="CF742" s="16"/>
      <c r="CG742" s="16"/>
      <c r="CH742" s="16"/>
      <c r="CI742" s="16" t="s">
        <v>6531</v>
      </c>
    </row>
    <row r="743" spans="1:87">
      <c r="A743" s="16" t="s">
        <v>5</v>
      </c>
      <c r="B743" s="16" t="s">
        <v>1872</v>
      </c>
      <c r="C743" s="3">
        <v>46282</v>
      </c>
      <c r="D743" s="16" t="s">
        <v>1</v>
      </c>
      <c r="E743" s="16" t="s">
        <v>6532</v>
      </c>
      <c r="F743" s="16">
        <v>2026228220212</v>
      </c>
      <c r="G743" s="16">
        <v>40</v>
      </c>
      <c r="H743" s="16">
        <v>31</v>
      </c>
      <c r="I743" s="16" t="s">
        <v>460</v>
      </c>
      <c r="J743" s="16" t="s">
        <v>6532</v>
      </c>
      <c r="K743" s="16" t="s">
        <v>1874</v>
      </c>
      <c r="L743" s="16" t="s">
        <v>17</v>
      </c>
      <c r="M743" s="16">
        <v>6</v>
      </c>
      <c r="N743" s="16" t="s">
        <v>462</v>
      </c>
      <c r="O743" s="16" t="s">
        <v>606</v>
      </c>
      <c r="P743" s="16" t="s">
        <v>6533</v>
      </c>
      <c r="Q743" s="16" t="s">
        <v>564</v>
      </c>
      <c r="R743" s="16" t="s">
        <v>466</v>
      </c>
      <c r="S743" s="16" t="s">
        <v>6534</v>
      </c>
      <c r="T743" s="16" t="s">
        <v>6535</v>
      </c>
      <c r="U743" s="16">
        <v>46274.845138888886</v>
      </c>
      <c r="V743" s="16" t="s">
        <v>469</v>
      </c>
      <c r="W743" s="16" t="s">
        <v>470</v>
      </c>
      <c r="X743" s="16" t="s">
        <v>471</v>
      </c>
      <c r="Y743" s="16" t="s">
        <v>472</v>
      </c>
      <c r="Z743" s="16" t="s">
        <v>590</v>
      </c>
      <c r="AA743" s="16" t="s">
        <v>474</v>
      </c>
      <c r="AB743" s="16" t="s">
        <v>6536</v>
      </c>
      <c r="AC743" s="16" t="s">
        <v>592</v>
      </c>
      <c r="AD743" s="16">
        <v>841415470</v>
      </c>
      <c r="AE743" s="16">
        <v>1952327835</v>
      </c>
      <c r="AF743" s="16">
        <v>1831327865</v>
      </c>
      <c r="AG743" s="16"/>
      <c r="AH743" s="16" t="s">
        <v>1076</v>
      </c>
      <c r="AI743" s="16" t="s">
        <v>93</v>
      </c>
      <c r="AJ743" s="16" t="s">
        <v>481</v>
      </c>
      <c r="AK743" s="16" t="s">
        <v>6537</v>
      </c>
      <c r="AL743" s="16">
        <v>13942</v>
      </c>
      <c r="AM743" s="16"/>
      <c r="AN743" s="16"/>
      <c r="AO743" s="16">
        <v>811</v>
      </c>
      <c r="AP743" s="16" t="s">
        <v>485</v>
      </c>
      <c r="AQ743" s="16" t="s">
        <v>6538</v>
      </c>
      <c r="AR743" s="3">
        <v>46275</v>
      </c>
      <c r="AS743" s="16" t="s">
        <v>93</v>
      </c>
      <c r="AT743" s="16" t="s">
        <v>1038</v>
      </c>
      <c r="AU743" s="16"/>
      <c r="AV743" s="16" t="s">
        <v>6487</v>
      </c>
      <c r="AW743" s="16"/>
      <c r="AX743" s="16"/>
      <c r="AY743" s="16"/>
      <c r="AZ743" s="16"/>
      <c r="BA743" s="16"/>
      <c r="BB743" s="16"/>
      <c r="BC743" s="16"/>
      <c r="BD743" s="16" t="s">
        <v>93</v>
      </c>
      <c r="BE743" s="16">
        <v>31</v>
      </c>
      <c r="BF743" s="16"/>
      <c r="BG743" s="16" t="s">
        <v>490</v>
      </c>
      <c r="BH743" s="16" t="s">
        <v>491</v>
      </c>
      <c r="BI743" s="16">
        <v>62566504</v>
      </c>
      <c r="BJ743" s="16"/>
      <c r="BK743" s="16"/>
      <c r="BL743" s="16"/>
      <c r="BM743" s="16"/>
      <c r="BN743" s="16"/>
      <c r="BO743" s="16"/>
      <c r="BP743" s="16"/>
      <c r="BQ743" s="16"/>
      <c r="BR743" s="16"/>
      <c r="BS743" s="16"/>
      <c r="BT743" s="16"/>
      <c r="BU743" s="16"/>
      <c r="BV743" s="16"/>
      <c r="BW743" s="16"/>
      <c r="BX743" s="16"/>
      <c r="BY743" s="16"/>
      <c r="BZ743" s="16"/>
      <c r="CA743" s="190">
        <v>46285.666666666701</v>
      </c>
      <c r="CB743" s="3"/>
      <c r="CC743" s="16"/>
      <c r="CD743" s="16"/>
      <c r="CE743" s="16"/>
      <c r="CF743" s="16"/>
      <c r="CG743" s="16"/>
      <c r="CH743" s="16"/>
      <c r="CI743" s="16" t="s">
        <v>6539</v>
      </c>
    </row>
    <row r="744" spans="1:87">
      <c r="A744" s="16" t="s">
        <v>4</v>
      </c>
      <c r="B744" s="16" t="s">
        <v>6540</v>
      </c>
      <c r="C744" s="3">
        <v>46282</v>
      </c>
      <c r="D744" s="16" t="s">
        <v>1</v>
      </c>
      <c r="E744" s="16" t="s">
        <v>6541</v>
      </c>
      <c r="F744" s="16">
        <v>2026223120379</v>
      </c>
      <c r="G744" s="16">
        <v>40</v>
      </c>
      <c r="H744" s="16">
        <v>36</v>
      </c>
      <c r="I744" s="16" t="s">
        <v>460</v>
      </c>
      <c r="J744" s="16" t="e">
        <v>#N/A</v>
      </c>
      <c r="K744" s="16" t="s">
        <v>1824</v>
      </c>
      <c r="L744" s="16" t="s">
        <v>17</v>
      </c>
      <c r="M744" s="16">
        <v>0</v>
      </c>
      <c r="N744" s="16" t="s">
        <v>462</v>
      </c>
      <c r="O744" s="16" t="s">
        <v>606</v>
      </c>
      <c r="P744" s="16">
        <v>802932392</v>
      </c>
      <c r="Q744" s="16" t="s">
        <v>465</v>
      </c>
      <c r="R744" s="16" t="s">
        <v>466</v>
      </c>
      <c r="S744" s="16" t="s">
        <v>6542</v>
      </c>
      <c r="T744" s="16" t="s">
        <v>664</v>
      </c>
      <c r="U744" s="16">
        <v>46280.962500000001</v>
      </c>
      <c r="V744" s="16" t="s">
        <v>469</v>
      </c>
      <c r="W744" s="16" t="s">
        <v>651</v>
      </c>
      <c r="X744" s="16" t="s">
        <v>652</v>
      </c>
      <c r="Y744" s="16" t="s">
        <v>653</v>
      </c>
      <c r="Z744" s="16" t="s">
        <v>665</v>
      </c>
      <c r="AA744" s="16" t="s">
        <v>474</v>
      </c>
      <c r="AB744" s="16" t="s">
        <v>666</v>
      </c>
      <c r="AC744" s="16" t="s">
        <v>640</v>
      </c>
      <c r="AD744" s="16">
        <v>141338373</v>
      </c>
      <c r="AE744" s="16">
        <v>1528024718</v>
      </c>
      <c r="AF744" s="16"/>
      <c r="AG744" s="16">
        <v>2.54202513409924E+16</v>
      </c>
      <c r="AH744" s="16"/>
      <c r="AI744" s="16" t="s">
        <v>247</v>
      </c>
      <c r="AJ744" s="16" t="s">
        <v>481</v>
      </c>
      <c r="AK744" s="16" t="s">
        <v>6543</v>
      </c>
      <c r="AL744" s="16">
        <v>25517.71</v>
      </c>
      <c r="AM744" s="16"/>
      <c r="AN744" s="16"/>
      <c r="AO744" s="16">
        <v>802</v>
      </c>
      <c r="AP744" s="16" t="s">
        <v>485</v>
      </c>
      <c r="AQ744" s="16" t="s">
        <v>6544</v>
      </c>
      <c r="AR744" s="3">
        <v>46281</v>
      </c>
      <c r="AS744" s="16" t="s">
        <v>247</v>
      </c>
      <c r="AT744" s="16" t="s">
        <v>516</v>
      </c>
      <c r="AU744" s="16"/>
      <c r="AV744" s="16" t="s">
        <v>3602</v>
      </c>
      <c r="AW744" s="16"/>
      <c r="AX744" s="16"/>
      <c r="AY744" s="16"/>
      <c r="AZ744" s="16"/>
      <c r="BA744" s="16"/>
      <c r="BB744" s="16"/>
      <c r="BC744" s="16"/>
      <c r="BD744" s="16" t="s">
        <v>247</v>
      </c>
      <c r="BE744" s="16">
        <v>36</v>
      </c>
      <c r="BF744" s="16"/>
      <c r="BG744" s="16"/>
      <c r="BH744" s="16" t="s">
        <v>658</v>
      </c>
      <c r="BI744" s="16">
        <v>802932392</v>
      </c>
      <c r="BJ744" s="16"/>
      <c r="BK744" s="16"/>
      <c r="BL744" s="16"/>
      <c r="BM744" s="16"/>
      <c r="BN744" s="16"/>
      <c r="BO744" s="16"/>
      <c r="BP744" s="16"/>
      <c r="BQ744" s="16"/>
      <c r="BR744" s="16"/>
      <c r="BS744" s="16"/>
      <c r="BT744" s="16"/>
      <c r="BU744" s="16"/>
      <c r="BV744" s="16"/>
      <c r="BW744" s="16"/>
      <c r="BX744" s="16"/>
      <c r="BY744" s="16"/>
      <c r="BZ744" s="16"/>
      <c r="CA744" s="190">
        <v>46285.666666666701</v>
      </c>
      <c r="CB744" s="3"/>
      <c r="CC744" s="16"/>
      <c r="CD744" s="16"/>
      <c r="CE744" s="16"/>
      <c r="CF744" s="16"/>
      <c r="CG744" s="16"/>
      <c r="CH744" s="16"/>
      <c r="CI744" s="16" t="s">
        <v>6545</v>
      </c>
    </row>
    <row r="745" spans="1:87">
      <c r="A745" s="16"/>
      <c r="B745" s="16"/>
      <c r="C745" s="3">
        <v>46282</v>
      </c>
      <c r="D745" s="16" t="s">
        <v>1</v>
      </c>
      <c r="E745" s="16" t="s">
        <v>6546</v>
      </c>
      <c r="F745" s="16">
        <v>2026226820523</v>
      </c>
      <c r="G745" s="16">
        <v>40</v>
      </c>
      <c r="H745" s="16">
        <v>33</v>
      </c>
      <c r="I745" s="16" t="s">
        <v>460</v>
      </c>
      <c r="J745" s="16" t="e">
        <v>#N/A</v>
      </c>
      <c r="K745" s="16" t="s">
        <v>682</v>
      </c>
      <c r="L745" s="16" t="s">
        <v>18</v>
      </c>
      <c r="M745" s="16">
        <v>0</v>
      </c>
      <c r="N745" s="16" t="s">
        <v>462</v>
      </c>
      <c r="O745" s="16" t="s">
        <v>6547</v>
      </c>
      <c r="P745" s="16" t="s">
        <v>6548</v>
      </c>
      <c r="Q745" s="16" t="s">
        <v>465</v>
      </c>
      <c r="R745" s="16" t="s">
        <v>466</v>
      </c>
      <c r="S745" s="16" t="s">
        <v>6549</v>
      </c>
      <c r="T745" s="16" t="s">
        <v>6550</v>
      </c>
      <c r="U745" s="16">
        <v>46281.310416666667</v>
      </c>
      <c r="V745" s="16" t="s">
        <v>469</v>
      </c>
      <c r="W745" s="16" t="s">
        <v>470</v>
      </c>
      <c r="X745" s="16" t="s">
        <v>471</v>
      </c>
      <c r="Y745" s="16" t="s">
        <v>1724</v>
      </c>
      <c r="Z745" s="16" t="s">
        <v>570</v>
      </c>
      <c r="AA745" s="16" t="s">
        <v>474</v>
      </c>
      <c r="AB745" s="16" t="s">
        <v>6551</v>
      </c>
      <c r="AC745" s="16"/>
      <c r="AD745" s="16"/>
      <c r="AE745" s="16"/>
      <c r="AF745" s="16"/>
      <c r="AG745" s="16"/>
      <c r="AH745" s="16"/>
      <c r="AI745" s="16" t="s">
        <v>19</v>
      </c>
      <c r="AJ745" s="16" t="s">
        <v>481</v>
      </c>
      <c r="AK745" s="16" t="s">
        <v>6552</v>
      </c>
      <c r="AL745" s="16">
        <v>0</v>
      </c>
      <c r="AM745" s="16"/>
      <c r="AN745" s="16"/>
      <c r="AO745" s="16">
        <v>746</v>
      </c>
      <c r="AP745" s="16" t="s">
        <v>485</v>
      </c>
      <c r="AQ745" s="16" t="s">
        <v>6553</v>
      </c>
      <c r="AR745" s="3">
        <v>46281</v>
      </c>
      <c r="AS745" s="16" t="s">
        <v>682</v>
      </c>
      <c r="AT745" s="16" t="s">
        <v>6554</v>
      </c>
      <c r="AU745" s="16"/>
      <c r="AV745" s="16"/>
      <c r="AW745" s="16"/>
      <c r="AX745" s="16"/>
      <c r="AY745" s="16"/>
      <c r="AZ745" s="16"/>
      <c r="BA745" s="16"/>
      <c r="BB745" s="16"/>
      <c r="BC745" s="16"/>
      <c r="BD745" s="16" t="s">
        <v>19</v>
      </c>
      <c r="BE745" s="16">
        <v>33</v>
      </c>
      <c r="BF745" s="16"/>
      <c r="BG745" s="16" t="s">
        <v>490</v>
      </c>
      <c r="BH745" s="16"/>
      <c r="BI745" s="16">
        <v>111669528</v>
      </c>
      <c r="BJ745" s="16"/>
      <c r="BK745" s="16"/>
      <c r="BL745" s="16"/>
      <c r="BM745" s="16"/>
      <c r="BN745" s="16"/>
      <c r="BO745" s="16"/>
      <c r="BP745" s="16"/>
      <c r="BQ745" s="16"/>
      <c r="BR745" s="16"/>
      <c r="BS745" s="16"/>
      <c r="BT745" s="16"/>
      <c r="BU745" s="16"/>
      <c r="BV745" s="16"/>
      <c r="BW745" s="16"/>
      <c r="BX745" s="16"/>
      <c r="BY745" s="16"/>
      <c r="BZ745" s="16"/>
      <c r="CA745" s="190">
        <v>46281</v>
      </c>
      <c r="CB745" s="3"/>
      <c r="CC745" s="16"/>
      <c r="CD745" s="16"/>
      <c r="CE745" s="16"/>
      <c r="CF745" s="16"/>
      <c r="CG745" s="16"/>
      <c r="CH745" s="16"/>
      <c r="CI745" s="193" t="s">
        <v>6555</v>
      </c>
    </row>
    <row r="746" spans="1:87">
      <c r="A746" s="16" t="s">
        <v>5</v>
      </c>
      <c r="B746" s="16" t="s">
        <v>6556</v>
      </c>
      <c r="C746" s="3">
        <v>46282</v>
      </c>
      <c r="D746" s="16" t="s">
        <v>1</v>
      </c>
      <c r="E746" s="16" t="s">
        <v>6557</v>
      </c>
      <c r="F746" s="16" t="s">
        <v>6558</v>
      </c>
      <c r="G746" s="16">
        <v>50</v>
      </c>
      <c r="H746" s="16">
        <v>78</v>
      </c>
      <c r="I746" s="16" t="s">
        <v>3018</v>
      </c>
      <c r="J746" s="16" t="e">
        <v>#N/A</v>
      </c>
      <c r="K746" s="16" t="s">
        <v>1260</v>
      </c>
      <c r="L746" s="16" t="s">
        <v>13</v>
      </c>
      <c r="M746" s="16">
        <v>0</v>
      </c>
      <c r="N746" s="16" t="s">
        <v>462</v>
      </c>
      <c r="O746" s="16" t="s">
        <v>497</v>
      </c>
      <c r="P746" s="16" t="s">
        <v>6559</v>
      </c>
      <c r="Q746" s="16" t="s">
        <v>1055</v>
      </c>
      <c r="R746" s="16" t="s">
        <v>1056</v>
      </c>
      <c r="S746" s="16" t="s">
        <v>6560</v>
      </c>
      <c r="T746" s="16" t="s">
        <v>650</v>
      </c>
      <c r="U746" s="16">
        <v>46281.036805555559</v>
      </c>
      <c r="V746" s="16" t="s">
        <v>469</v>
      </c>
      <c r="W746" s="16" t="s">
        <v>651</v>
      </c>
      <c r="X746" s="16" t="s">
        <v>652</v>
      </c>
      <c r="Y746" s="16" t="s">
        <v>653</v>
      </c>
      <c r="Z746" s="16" t="s">
        <v>501</v>
      </c>
      <c r="AA746" s="16" t="s">
        <v>1059</v>
      </c>
      <c r="AB746" s="16" t="s">
        <v>654</v>
      </c>
      <c r="AC746" s="16" t="s">
        <v>503</v>
      </c>
      <c r="AD746" s="16">
        <v>540506331</v>
      </c>
      <c r="AE746" s="16">
        <v>1780694372</v>
      </c>
      <c r="AF746" s="16"/>
      <c r="AG746" s="16">
        <v>4.25202519100118E+16</v>
      </c>
      <c r="AH746" s="16" t="s">
        <v>3619</v>
      </c>
      <c r="AI746" s="16" t="s">
        <v>30</v>
      </c>
      <c r="AJ746" s="16" t="s">
        <v>481</v>
      </c>
      <c r="AK746" s="16" t="s">
        <v>6561</v>
      </c>
      <c r="AL746" s="16">
        <v>37389.1</v>
      </c>
      <c r="AM746" s="16">
        <v>521</v>
      </c>
      <c r="AN746" s="16">
        <v>152</v>
      </c>
      <c r="AO746" s="16" t="s">
        <v>6562</v>
      </c>
      <c r="AP746" s="16" t="s">
        <v>485</v>
      </c>
      <c r="AQ746" s="16" t="s">
        <v>6563</v>
      </c>
      <c r="AR746" s="3">
        <v>46281</v>
      </c>
      <c r="AS746" s="16" t="s">
        <v>30</v>
      </c>
      <c r="AT746" s="16" t="s">
        <v>6564</v>
      </c>
      <c r="AU746" s="16"/>
      <c r="AV746" s="16" t="s">
        <v>6565</v>
      </c>
      <c r="AW746" s="16"/>
      <c r="AX746" s="16"/>
      <c r="AY746" s="16"/>
      <c r="AZ746" s="16"/>
      <c r="BA746" s="16" t="s">
        <v>6566</v>
      </c>
      <c r="BB746" s="16"/>
      <c r="BC746" s="16"/>
      <c r="BD746" s="16" t="s">
        <v>30</v>
      </c>
      <c r="BE746" s="16">
        <v>78</v>
      </c>
      <c r="BF746" s="16"/>
      <c r="BG746" s="16" t="s">
        <v>1067</v>
      </c>
      <c r="BH746" s="16" t="s">
        <v>658</v>
      </c>
      <c r="BI746" s="16" t="s">
        <v>6567</v>
      </c>
      <c r="BJ746" s="16"/>
      <c r="BK746" s="16"/>
      <c r="BL746" s="16"/>
      <c r="BM746" s="16"/>
      <c r="BN746" s="16"/>
      <c r="BO746" s="16"/>
      <c r="BP746" s="16"/>
      <c r="BQ746" s="16"/>
      <c r="BR746" s="16"/>
      <c r="BS746" s="16"/>
      <c r="BT746" s="16"/>
      <c r="BU746" s="16"/>
      <c r="BV746" s="16"/>
      <c r="BW746" s="16"/>
      <c r="BX746" s="16"/>
      <c r="BY746" s="16"/>
      <c r="BZ746" s="16"/>
      <c r="CA746" s="190">
        <v>46282.666666666701</v>
      </c>
      <c r="CB746" s="3"/>
      <c r="CC746" s="16"/>
      <c r="CD746" s="16"/>
      <c r="CE746" s="16"/>
      <c r="CF746" s="16"/>
      <c r="CG746" s="16"/>
      <c r="CH746" s="16"/>
      <c r="CI746" s="16" t="s">
        <v>6568</v>
      </c>
    </row>
    <row r="747" spans="1:87">
      <c r="A747" s="16"/>
      <c r="B747" s="16"/>
      <c r="C747" s="3">
        <v>46282</v>
      </c>
      <c r="D747" s="16" t="s">
        <v>14</v>
      </c>
      <c r="E747" s="16" t="s">
        <v>6569</v>
      </c>
      <c r="F747" s="16">
        <v>2026251220248</v>
      </c>
      <c r="G747" s="16">
        <v>20</v>
      </c>
      <c r="H747" s="16">
        <v>8</v>
      </c>
      <c r="I747" s="16" t="s">
        <v>647</v>
      </c>
      <c r="J747" s="16" t="s">
        <v>6569</v>
      </c>
      <c r="K747" s="16" t="s">
        <v>1040</v>
      </c>
      <c r="L747" s="16" t="s">
        <v>17</v>
      </c>
      <c r="M747" s="16">
        <v>7</v>
      </c>
      <c r="N747" s="16" t="s">
        <v>462</v>
      </c>
      <c r="O747" s="16" t="s">
        <v>606</v>
      </c>
      <c r="P747" s="16" t="s">
        <v>6570</v>
      </c>
      <c r="Q747" s="16" t="s">
        <v>465</v>
      </c>
      <c r="R747" s="16" t="s">
        <v>466</v>
      </c>
      <c r="S747" s="16" t="s">
        <v>6571</v>
      </c>
      <c r="T747" s="16">
        <v>173327</v>
      </c>
      <c r="U747" s="16">
        <v>46274.084027777775</v>
      </c>
      <c r="V747" s="16" t="s">
        <v>469</v>
      </c>
      <c r="W747" s="16" t="s">
        <v>651</v>
      </c>
      <c r="X747" s="16" t="s">
        <v>652</v>
      </c>
      <c r="Y747" s="16" t="s">
        <v>653</v>
      </c>
      <c r="Z747" s="16" t="s">
        <v>524</v>
      </c>
      <c r="AA747" s="16" t="s">
        <v>474</v>
      </c>
      <c r="AB747" s="16" t="s">
        <v>757</v>
      </c>
      <c r="AC747" s="16" t="s">
        <v>526</v>
      </c>
      <c r="AD747" s="16">
        <v>204881619</v>
      </c>
      <c r="AE747" s="16">
        <v>1669499414</v>
      </c>
      <c r="AF747" s="16">
        <v>1144549031</v>
      </c>
      <c r="AG747" s="16">
        <v>3.30202532600036E+16</v>
      </c>
      <c r="AH747" s="16"/>
      <c r="AI747" s="16" t="s">
        <v>173</v>
      </c>
      <c r="AJ747" s="16" t="s">
        <v>481</v>
      </c>
      <c r="AK747" s="16" t="s">
        <v>6572</v>
      </c>
      <c r="AL747" s="16">
        <v>9844</v>
      </c>
      <c r="AM747" s="16"/>
      <c r="AN747" s="16"/>
      <c r="AO747" s="16" t="s">
        <v>6573</v>
      </c>
      <c r="AP747" s="16" t="s">
        <v>485</v>
      </c>
      <c r="AQ747" s="16" t="s">
        <v>6574</v>
      </c>
      <c r="AR747" s="3">
        <v>46274</v>
      </c>
      <c r="AS747" s="16" t="s">
        <v>1040</v>
      </c>
      <c r="AT747" s="16" t="s">
        <v>1047</v>
      </c>
      <c r="AU747" s="16"/>
      <c r="AV747" s="16" t="s">
        <v>1450</v>
      </c>
      <c r="AW747" s="16"/>
      <c r="AX747" s="16"/>
      <c r="AY747" s="16"/>
      <c r="AZ747" s="16"/>
      <c r="BA747" s="16"/>
      <c r="BB747" s="16"/>
      <c r="BC747" s="16"/>
      <c r="BD747" s="16" t="s">
        <v>173</v>
      </c>
      <c r="BE747" s="16">
        <v>8</v>
      </c>
      <c r="BF747" s="16"/>
      <c r="BG747" s="16"/>
      <c r="BH747" s="16" t="s">
        <v>658</v>
      </c>
      <c r="BI747" s="16" t="s">
        <v>6570</v>
      </c>
      <c r="BJ747" s="16"/>
      <c r="BK747" s="16"/>
      <c r="BL747" s="16"/>
      <c r="BM747" s="16"/>
      <c r="BN747" s="16"/>
      <c r="BO747" s="16"/>
      <c r="BP747" s="16"/>
      <c r="BQ747" s="16"/>
      <c r="BR747" s="16"/>
      <c r="BS747" s="16"/>
      <c r="BT747" s="16"/>
      <c r="BU747" s="16"/>
      <c r="BV747" s="16"/>
      <c r="BW747" s="16"/>
      <c r="BX747" s="16"/>
      <c r="BY747" s="16"/>
      <c r="BZ747" s="16"/>
      <c r="CA747" s="190">
        <v>46281</v>
      </c>
      <c r="CB747" s="3"/>
      <c r="CC747" s="16"/>
      <c r="CD747" s="16"/>
      <c r="CE747" s="16"/>
      <c r="CF747" s="16"/>
      <c r="CG747" s="16"/>
      <c r="CH747" s="16"/>
      <c r="CI747" s="16" t="s">
        <v>6575</v>
      </c>
    </row>
    <row r="748" spans="1:87">
      <c r="A748" s="16"/>
      <c r="B748" s="16"/>
      <c r="C748" s="3">
        <v>46282</v>
      </c>
      <c r="D748" s="16" t="s">
        <v>14</v>
      </c>
      <c r="E748" s="16" t="s">
        <v>6576</v>
      </c>
      <c r="F748" s="16">
        <v>2026251550339</v>
      </c>
      <c r="G748" s="16">
        <v>20</v>
      </c>
      <c r="H748" s="16">
        <v>8</v>
      </c>
      <c r="I748" s="16" t="s">
        <v>647</v>
      </c>
      <c r="J748" s="16" t="s">
        <v>6576</v>
      </c>
      <c r="K748" s="16" t="s">
        <v>741</v>
      </c>
      <c r="L748" s="16" t="s">
        <v>13</v>
      </c>
      <c r="M748" s="16">
        <v>7</v>
      </c>
      <c r="N748" s="16" t="s">
        <v>462</v>
      </c>
      <c r="O748" s="16" t="s">
        <v>606</v>
      </c>
      <c r="P748" s="16">
        <v>910535854</v>
      </c>
      <c r="Q748" s="16" t="s">
        <v>465</v>
      </c>
      <c r="R748" s="16" t="s">
        <v>466</v>
      </c>
      <c r="S748" s="16" t="s">
        <v>6577</v>
      </c>
      <c r="T748" s="16">
        <v>173326</v>
      </c>
      <c r="U748" s="16">
        <v>46274.649305555555</v>
      </c>
      <c r="V748" s="16" t="s">
        <v>469</v>
      </c>
      <c r="W748" s="16" t="s">
        <v>651</v>
      </c>
      <c r="X748" s="16" t="s">
        <v>652</v>
      </c>
      <c r="Y748" s="16" t="s">
        <v>653</v>
      </c>
      <c r="Z748" s="16" t="s">
        <v>473</v>
      </c>
      <c r="AA748" s="16" t="s">
        <v>474</v>
      </c>
      <c r="AB748" s="16" t="s">
        <v>684</v>
      </c>
      <c r="AC748" s="16" t="s">
        <v>476</v>
      </c>
      <c r="AD748" s="16">
        <v>390806374</v>
      </c>
      <c r="AE748" s="16">
        <v>1629056049</v>
      </c>
      <c r="AF748" s="16">
        <v>1417552696</v>
      </c>
      <c r="AG748" s="16">
        <v>4.58202532921896E+16</v>
      </c>
      <c r="AH748" s="16"/>
      <c r="AI748" s="16" t="s">
        <v>290</v>
      </c>
      <c r="AJ748" s="16" t="s">
        <v>481</v>
      </c>
      <c r="AK748" s="16" t="s">
        <v>6578</v>
      </c>
      <c r="AL748" s="16">
        <v>14845</v>
      </c>
      <c r="AM748" s="16"/>
      <c r="AN748" s="16"/>
      <c r="AO748" s="16">
        <v>910</v>
      </c>
      <c r="AP748" s="16" t="s">
        <v>485</v>
      </c>
      <c r="AQ748" s="16" t="s">
        <v>6579</v>
      </c>
      <c r="AR748" s="3">
        <v>46274</v>
      </c>
      <c r="AS748" s="16" t="s">
        <v>290</v>
      </c>
      <c r="AT748" s="16" t="s">
        <v>516</v>
      </c>
      <c r="AU748" s="16"/>
      <c r="AV748" s="16" t="s">
        <v>6580</v>
      </c>
      <c r="AW748" s="16"/>
      <c r="AX748" s="16"/>
      <c r="AY748" s="16"/>
      <c r="AZ748" s="16"/>
      <c r="BA748" s="16"/>
      <c r="BB748" s="16"/>
      <c r="BC748" s="16"/>
      <c r="BD748" s="16" t="s">
        <v>290</v>
      </c>
      <c r="BE748" s="16">
        <v>8</v>
      </c>
      <c r="BF748" s="16"/>
      <c r="BG748" s="16"/>
      <c r="BH748" s="16" t="s">
        <v>658</v>
      </c>
      <c r="BI748" s="16">
        <v>910535854</v>
      </c>
      <c r="BJ748" s="16"/>
      <c r="BK748" s="16"/>
      <c r="BL748" s="16"/>
      <c r="BM748" s="16"/>
      <c r="BN748" s="16"/>
      <c r="BO748" s="16"/>
      <c r="BP748" s="16"/>
      <c r="BQ748" s="16"/>
      <c r="BR748" s="16"/>
      <c r="BS748" s="16"/>
      <c r="BT748" s="16"/>
      <c r="BU748" s="16"/>
      <c r="BV748" s="16"/>
      <c r="BW748" s="16"/>
      <c r="BX748" s="16"/>
      <c r="BY748" s="16"/>
      <c r="BZ748" s="16"/>
      <c r="CA748" s="190">
        <v>46281</v>
      </c>
      <c r="CB748" s="3"/>
      <c r="CC748" s="16"/>
      <c r="CD748" s="16"/>
      <c r="CE748" s="16"/>
      <c r="CF748" s="16"/>
      <c r="CG748" s="16"/>
      <c r="CH748" s="16"/>
      <c r="CI748" s="16" t="s">
        <v>6581</v>
      </c>
    </row>
    <row r="749" spans="1:87">
      <c r="A749" s="16"/>
      <c r="B749" s="16"/>
      <c r="C749" s="3">
        <v>46282</v>
      </c>
      <c r="D749" s="16" t="s">
        <v>14</v>
      </c>
      <c r="E749" s="16" t="s">
        <v>6582</v>
      </c>
      <c r="F749" s="16">
        <v>2026246390183</v>
      </c>
      <c r="G749" s="16">
        <v>30</v>
      </c>
      <c r="H749" s="16">
        <v>13</v>
      </c>
      <c r="I749" s="16" t="s">
        <v>647</v>
      </c>
      <c r="J749" s="16" t="s">
        <v>6582</v>
      </c>
      <c r="K749" s="16" t="s">
        <v>662</v>
      </c>
      <c r="L749" s="16" t="s">
        <v>13</v>
      </c>
      <c r="M749" s="16">
        <v>7</v>
      </c>
      <c r="N749" s="16" t="s">
        <v>462</v>
      </c>
      <c r="O749" s="16" t="s">
        <v>606</v>
      </c>
      <c r="P749" s="16">
        <v>919404208</v>
      </c>
      <c r="Q749" s="16" t="s">
        <v>465</v>
      </c>
      <c r="R749" s="16" t="s">
        <v>466</v>
      </c>
      <c r="S749" s="16" t="s">
        <v>6583</v>
      </c>
      <c r="T749" s="16">
        <v>173327</v>
      </c>
      <c r="U749" s="16">
        <v>46274.622916666667</v>
      </c>
      <c r="V749" s="16" t="s">
        <v>469</v>
      </c>
      <c r="W749" s="16" t="s">
        <v>651</v>
      </c>
      <c r="X749" s="16" t="s">
        <v>652</v>
      </c>
      <c r="Y749" s="16" t="s">
        <v>653</v>
      </c>
      <c r="Z749" s="16" t="s">
        <v>524</v>
      </c>
      <c r="AA749" s="16" t="s">
        <v>474</v>
      </c>
      <c r="AB749" s="16" t="s">
        <v>757</v>
      </c>
      <c r="AC749" s="16" t="s">
        <v>526</v>
      </c>
      <c r="AD749" s="16">
        <v>454976786</v>
      </c>
      <c r="AE749" s="16">
        <v>1306105150</v>
      </c>
      <c r="AF749" s="16">
        <v>1437511680</v>
      </c>
      <c r="AG749" s="16">
        <v>3.30202536433075E+16</v>
      </c>
      <c r="AH749" s="16"/>
      <c r="AI749" s="16" t="s">
        <v>138</v>
      </c>
      <c r="AJ749" s="16" t="s">
        <v>481</v>
      </c>
      <c r="AK749" s="16" t="s">
        <v>6584</v>
      </c>
      <c r="AL749" s="16">
        <v>8952</v>
      </c>
      <c r="AM749" s="16"/>
      <c r="AN749" s="16"/>
      <c r="AO749" s="16">
        <v>919</v>
      </c>
      <c r="AP749" s="16" t="s">
        <v>485</v>
      </c>
      <c r="AQ749" s="16" t="s">
        <v>6585</v>
      </c>
      <c r="AR749" s="3">
        <v>46274</v>
      </c>
      <c r="AS749" s="16" t="s">
        <v>138</v>
      </c>
      <c r="AT749" s="16" t="s">
        <v>6586</v>
      </c>
      <c r="AU749" s="16"/>
      <c r="AV749" s="16" t="s">
        <v>6587</v>
      </c>
      <c r="AW749" s="16"/>
      <c r="AX749" s="16"/>
      <c r="AY749" s="16"/>
      <c r="AZ749" s="16"/>
      <c r="BA749" s="16"/>
      <c r="BB749" s="16"/>
      <c r="BC749" s="16"/>
      <c r="BD749" s="16" t="s">
        <v>138</v>
      </c>
      <c r="BE749" s="16">
        <v>13</v>
      </c>
      <c r="BF749" s="16"/>
      <c r="BG749" s="16"/>
      <c r="BH749" s="16" t="s">
        <v>658</v>
      </c>
      <c r="BI749" s="16">
        <v>919404208</v>
      </c>
      <c r="BJ749" s="16"/>
      <c r="BK749" s="16"/>
      <c r="BL749" s="16"/>
      <c r="BM749" s="16"/>
      <c r="BN749" s="16"/>
      <c r="BO749" s="16"/>
      <c r="BP749" s="16"/>
      <c r="BQ749" s="16"/>
      <c r="BR749" s="16"/>
      <c r="BS749" s="16"/>
      <c r="BT749" s="16"/>
      <c r="BU749" s="16"/>
      <c r="BV749" s="16"/>
      <c r="BW749" s="16"/>
      <c r="BX749" s="16"/>
      <c r="BY749" s="16"/>
      <c r="BZ749" s="16"/>
      <c r="CA749" s="190">
        <v>46281</v>
      </c>
      <c r="CB749" s="3"/>
      <c r="CC749" s="16"/>
      <c r="CD749" s="16"/>
      <c r="CE749" s="16"/>
      <c r="CF749" s="16"/>
      <c r="CG749" s="16"/>
      <c r="CH749" s="16"/>
      <c r="CI749" s="16" t="s">
        <v>6588</v>
      </c>
    </row>
    <row r="750" spans="1:87">
      <c r="A750" s="16"/>
      <c r="B750" s="16"/>
      <c r="C750" s="3">
        <v>46282</v>
      </c>
      <c r="D750" s="16" t="s">
        <v>14</v>
      </c>
      <c r="E750" s="16" t="s">
        <v>6589</v>
      </c>
      <c r="F750" s="16">
        <v>2026247690424</v>
      </c>
      <c r="G750" s="16">
        <v>30</v>
      </c>
      <c r="H750" s="16">
        <v>12</v>
      </c>
      <c r="I750" s="16" t="s">
        <v>647</v>
      </c>
      <c r="J750" s="16" t="s">
        <v>6589</v>
      </c>
      <c r="K750" s="16" t="s">
        <v>782</v>
      </c>
      <c r="L750" s="16" t="s">
        <v>18</v>
      </c>
      <c r="M750" s="16">
        <v>7</v>
      </c>
      <c r="N750" s="16" t="s">
        <v>462</v>
      </c>
      <c r="O750" s="16" t="s">
        <v>606</v>
      </c>
      <c r="P750" s="16" t="s">
        <v>6590</v>
      </c>
      <c r="Q750" s="16" t="s">
        <v>465</v>
      </c>
      <c r="R750" s="16" t="s">
        <v>466</v>
      </c>
      <c r="S750" s="16" t="s">
        <v>6591</v>
      </c>
      <c r="T750" s="16" t="s">
        <v>6592</v>
      </c>
      <c r="U750" s="16">
        <v>46274.68472222222</v>
      </c>
      <c r="V750" s="16" t="s">
        <v>469</v>
      </c>
      <c r="W750" s="16" t="s">
        <v>568</v>
      </c>
      <c r="X750" s="16" t="s">
        <v>471</v>
      </c>
      <c r="Y750" s="16" t="s">
        <v>569</v>
      </c>
      <c r="Z750" s="16" t="s">
        <v>590</v>
      </c>
      <c r="AA750" s="16" t="s">
        <v>474</v>
      </c>
      <c r="AB750" s="16" t="s">
        <v>6593</v>
      </c>
      <c r="AC750" s="16" t="s">
        <v>546</v>
      </c>
      <c r="AD750" s="16">
        <v>352228583</v>
      </c>
      <c r="AE750" s="16">
        <v>1780643411</v>
      </c>
      <c r="AF750" s="16"/>
      <c r="AG750" s="16"/>
      <c r="AH750" s="16"/>
      <c r="AI750" s="16" t="s">
        <v>786</v>
      </c>
      <c r="AJ750" s="16" t="s">
        <v>481</v>
      </c>
      <c r="AK750" s="16" t="s">
        <v>6594</v>
      </c>
      <c r="AL750" s="16">
        <v>36379.74</v>
      </c>
      <c r="AM750" s="16"/>
      <c r="AN750" s="16"/>
      <c r="AO750" s="16">
        <v>353</v>
      </c>
      <c r="AP750" s="16" t="s">
        <v>485</v>
      </c>
      <c r="AQ750" s="16" t="s">
        <v>6595</v>
      </c>
      <c r="AR750" s="3">
        <v>46274</v>
      </c>
      <c r="AS750" s="16" t="s">
        <v>786</v>
      </c>
      <c r="AT750" s="16" t="s">
        <v>976</v>
      </c>
      <c r="AU750" s="16"/>
      <c r="AV750" s="16" t="s">
        <v>6157</v>
      </c>
      <c r="AW750" s="16"/>
      <c r="AX750" s="16"/>
      <c r="AY750" s="16"/>
      <c r="AZ750" s="16"/>
      <c r="BA750" s="16"/>
      <c r="BB750" s="16"/>
      <c r="BC750" s="16"/>
      <c r="BD750" s="16" t="s">
        <v>786</v>
      </c>
      <c r="BE750" s="16">
        <v>12</v>
      </c>
      <c r="BF750" s="16" t="s">
        <v>5331</v>
      </c>
      <c r="BG750" s="16" t="s">
        <v>490</v>
      </c>
      <c r="BH750" s="16" t="s">
        <v>491</v>
      </c>
      <c r="BI750" s="16">
        <v>256519515</v>
      </c>
      <c r="BJ750" s="16"/>
      <c r="BK750" s="16"/>
      <c r="BL750" s="16"/>
      <c r="BM750" s="16"/>
      <c r="BN750" s="16"/>
      <c r="BO750" s="16"/>
      <c r="BP750" s="16"/>
      <c r="BQ750" s="16"/>
      <c r="BR750" s="16"/>
      <c r="BS750" s="16"/>
      <c r="BT750" s="16"/>
      <c r="BU750" s="16"/>
      <c r="BV750" s="16"/>
      <c r="BW750" s="16"/>
      <c r="BX750" s="16"/>
      <c r="BY750" s="16"/>
      <c r="BZ750" s="16"/>
      <c r="CA750" s="190">
        <v>46281</v>
      </c>
      <c r="CB750" s="3"/>
      <c r="CC750" s="16"/>
      <c r="CD750" s="16"/>
      <c r="CE750" s="16"/>
      <c r="CF750" s="16"/>
      <c r="CG750" s="16"/>
      <c r="CH750" s="16"/>
      <c r="CI750" s="16" t="s">
        <v>6596</v>
      </c>
    </row>
    <row r="751" spans="1:87">
      <c r="A751" s="16"/>
      <c r="B751" s="16"/>
      <c r="C751" s="3">
        <v>46282</v>
      </c>
      <c r="D751" s="16" t="s">
        <v>14</v>
      </c>
      <c r="E751" s="16" t="s">
        <v>6597</v>
      </c>
      <c r="F751" s="16">
        <v>2026230450325</v>
      </c>
      <c r="G751" s="16">
        <v>30</v>
      </c>
      <c r="H751" s="16">
        <v>29</v>
      </c>
      <c r="I751" s="16" t="s">
        <v>809</v>
      </c>
      <c r="J751" s="16" t="s">
        <v>6597</v>
      </c>
      <c r="K751" s="16" t="s">
        <v>3969</v>
      </c>
      <c r="L751" s="16" t="s">
        <v>1760</v>
      </c>
      <c r="M751" s="16">
        <v>7</v>
      </c>
      <c r="N751" s="16" t="s">
        <v>462</v>
      </c>
      <c r="O751" s="16" t="s">
        <v>606</v>
      </c>
      <c r="P751" s="16" t="s">
        <v>6598</v>
      </c>
      <c r="Q751" s="16" t="s">
        <v>465</v>
      </c>
      <c r="R751" s="16" t="s">
        <v>466</v>
      </c>
      <c r="S751" s="16" t="s">
        <v>6599</v>
      </c>
      <c r="T751" s="16" t="s">
        <v>6600</v>
      </c>
      <c r="U751" s="16">
        <v>46274.638888888891</v>
      </c>
      <c r="V751" s="16" t="s">
        <v>469</v>
      </c>
      <c r="W751" s="16" t="s">
        <v>470</v>
      </c>
      <c r="X751" s="16" t="s">
        <v>471</v>
      </c>
      <c r="Y751" s="16" t="s">
        <v>523</v>
      </c>
      <c r="Z751" s="16" t="s">
        <v>524</v>
      </c>
      <c r="AA751" s="16" t="s">
        <v>474</v>
      </c>
      <c r="AB751" s="16" t="s">
        <v>6601</v>
      </c>
      <c r="AC751" s="16" t="s">
        <v>526</v>
      </c>
      <c r="AD751" s="16">
        <v>314379441</v>
      </c>
      <c r="AE751" s="16">
        <v>1134152986</v>
      </c>
      <c r="AF751" s="16"/>
      <c r="AG751" s="16"/>
      <c r="AH751" s="16"/>
      <c r="AI751" s="16" t="s">
        <v>3972</v>
      </c>
      <c r="AJ751" s="16" t="s">
        <v>481</v>
      </c>
      <c r="AK751" s="16" t="s">
        <v>6602</v>
      </c>
      <c r="AL751" s="16">
        <v>214249.34</v>
      </c>
      <c r="AM751" s="16"/>
      <c r="AN751" s="16"/>
      <c r="AO751" s="16">
        <v>762</v>
      </c>
      <c r="AP751" s="16" t="s">
        <v>485</v>
      </c>
      <c r="AQ751" s="16" t="s">
        <v>6603</v>
      </c>
      <c r="AR751" s="3">
        <v>46274</v>
      </c>
      <c r="AS751" s="16" t="s">
        <v>3972</v>
      </c>
      <c r="AT751" s="16" t="s">
        <v>516</v>
      </c>
      <c r="AU751" s="16"/>
      <c r="AV751" s="16" t="s">
        <v>4439</v>
      </c>
      <c r="AW751" s="16"/>
      <c r="AX751" s="16"/>
      <c r="AY751" s="16"/>
      <c r="AZ751" s="16"/>
      <c r="BA751" s="16"/>
      <c r="BB751" s="16"/>
      <c r="BC751" s="16"/>
      <c r="BD751" s="16" t="s">
        <v>3972</v>
      </c>
      <c r="BE751" s="16">
        <v>29</v>
      </c>
      <c r="BF751" s="16"/>
      <c r="BG751" s="16"/>
      <c r="BH751" s="16" t="s">
        <v>491</v>
      </c>
      <c r="BI751" s="16">
        <v>286968784</v>
      </c>
      <c r="BJ751" s="16"/>
      <c r="BK751" s="16"/>
      <c r="BL751" s="16"/>
      <c r="BM751" s="16"/>
      <c r="BN751" s="16"/>
      <c r="BO751" s="16"/>
      <c r="BP751" s="16"/>
      <c r="BQ751" s="16"/>
      <c r="BR751" s="16"/>
      <c r="BS751" s="16"/>
      <c r="BT751" s="16"/>
      <c r="BU751" s="16"/>
      <c r="BV751" s="16"/>
      <c r="BW751" s="16"/>
      <c r="BX751" s="16"/>
      <c r="BY751" s="16"/>
      <c r="BZ751" s="16"/>
      <c r="CA751" s="190">
        <v>46281</v>
      </c>
      <c r="CB751" s="3"/>
      <c r="CC751" s="16"/>
      <c r="CD751" s="16"/>
      <c r="CE751" s="16"/>
      <c r="CF751" s="16"/>
      <c r="CG751" s="16"/>
      <c r="CH751" s="16"/>
      <c r="CI751" s="16" t="s">
        <v>6604</v>
      </c>
    </row>
    <row r="752" spans="1:87">
      <c r="A752" s="16"/>
      <c r="B752" s="16"/>
      <c r="C752" s="3">
        <v>46282</v>
      </c>
      <c r="D752" s="16" t="s">
        <v>14</v>
      </c>
      <c r="E752" s="16" t="s">
        <v>6605</v>
      </c>
      <c r="F752" s="16">
        <v>2026230700355</v>
      </c>
      <c r="G752" s="16">
        <v>30</v>
      </c>
      <c r="H752" s="16">
        <v>29</v>
      </c>
      <c r="I752" s="16" t="s">
        <v>809</v>
      </c>
      <c r="J752" s="16" t="s">
        <v>6605</v>
      </c>
      <c r="K752" s="16" t="s">
        <v>1083</v>
      </c>
      <c r="L752" s="16" t="s">
        <v>17</v>
      </c>
      <c r="M752" s="16">
        <v>7</v>
      </c>
      <c r="N752" s="16" t="s">
        <v>462</v>
      </c>
      <c r="O752" s="16" t="s">
        <v>606</v>
      </c>
      <c r="P752" s="16" t="s">
        <v>6606</v>
      </c>
      <c r="Q752" s="16" t="s">
        <v>465</v>
      </c>
      <c r="R752" s="16" t="s">
        <v>466</v>
      </c>
      <c r="S752" s="16" t="s">
        <v>6607</v>
      </c>
      <c r="T752" s="16" t="s">
        <v>6608</v>
      </c>
      <c r="U752" s="16">
        <v>46274.638888888891</v>
      </c>
      <c r="V752" s="16" t="s">
        <v>469</v>
      </c>
      <c r="W752" s="16" t="s">
        <v>470</v>
      </c>
      <c r="X752" s="16" t="s">
        <v>471</v>
      </c>
      <c r="Y752" s="16" t="s">
        <v>523</v>
      </c>
      <c r="Z752" s="16" t="s">
        <v>544</v>
      </c>
      <c r="AA752" s="16" t="s">
        <v>474</v>
      </c>
      <c r="AB752" s="16" t="s">
        <v>6609</v>
      </c>
      <c r="AC752" s="16" t="s">
        <v>546</v>
      </c>
      <c r="AD752" s="16">
        <v>581954432</v>
      </c>
      <c r="AE752" s="16">
        <v>1457396079</v>
      </c>
      <c r="AF752" s="16"/>
      <c r="AG752" s="16"/>
      <c r="AH752" s="16"/>
      <c r="AI752" s="16" t="s">
        <v>48</v>
      </c>
      <c r="AJ752" s="16" t="s">
        <v>481</v>
      </c>
      <c r="AK752" s="16" t="s">
        <v>6610</v>
      </c>
      <c r="AL752" s="16">
        <v>94356.5</v>
      </c>
      <c r="AM752" s="16"/>
      <c r="AN752" s="16"/>
      <c r="AO752" s="16">
        <v>581</v>
      </c>
      <c r="AP752" s="16" t="s">
        <v>485</v>
      </c>
      <c r="AQ752" s="16" t="s">
        <v>6611</v>
      </c>
      <c r="AR752" s="3">
        <v>46274</v>
      </c>
      <c r="AS752" s="16" t="s">
        <v>48</v>
      </c>
      <c r="AT752" s="16" t="s">
        <v>516</v>
      </c>
      <c r="AU752" s="16"/>
      <c r="AV752" s="16" t="s">
        <v>6612</v>
      </c>
      <c r="AW752" s="16"/>
      <c r="AX752" s="16"/>
      <c r="AY752" s="16"/>
      <c r="AZ752" s="16"/>
      <c r="BA752" s="16"/>
      <c r="BB752" s="16"/>
      <c r="BC752" s="16"/>
      <c r="BD752" s="16" t="s">
        <v>48</v>
      </c>
      <c r="BE752" s="16">
        <v>29</v>
      </c>
      <c r="BF752" s="16"/>
      <c r="BG752" s="16" t="s">
        <v>490</v>
      </c>
      <c r="BH752" s="16" t="s">
        <v>491</v>
      </c>
      <c r="BI752" s="16">
        <v>267897120</v>
      </c>
      <c r="BJ752" s="16"/>
      <c r="BK752" s="16"/>
      <c r="BL752" s="16"/>
      <c r="BM752" s="16"/>
      <c r="BN752" s="16"/>
      <c r="BO752" s="16"/>
      <c r="BP752" s="16"/>
      <c r="BQ752" s="16"/>
      <c r="BR752" s="16"/>
      <c r="BS752" s="16"/>
      <c r="BT752" s="16"/>
      <c r="BU752" s="16"/>
      <c r="BV752" s="16"/>
      <c r="BW752" s="16"/>
      <c r="BX752" s="16"/>
      <c r="BY752" s="16"/>
      <c r="BZ752" s="16"/>
      <c r="CA752" s="190">
        <v>46281</v>
      </c>
      <c r="CB752" s="3"/>
      <c r="CC752" s="16"/>
      <c r="CD752" s="16"/>
      <c r="CE752" s="16"/>
      <c r="CF752" s="16"/>
      <c r="CG752" s="16"/>
      <c r="CH752" s="16"/>
      <c r="CI752" s="16" t="s">
        <v>6613</v>
      </c>
    </row>
    <row r="753" spans="1:87">
      <c r="A753" s="16" t="s">
        <v>5</v>
      </c>
      <c r="B753" s="16" t="s">
        <v>606</v>
      </c>
      <c r="C753" s="3">
        <v>46282</v>
      </c>
      <c r="D753" s="16" t="s">
        <v>14</v>
      </c>
      <c r="E753" s="16" t="s">
        <v>6614</v>
      </c>
      <c r="F753" s="16">
        <v>2026229810147</v>
      </c>
      <c r="G753" s="16">
        <v>30</v>
      </c>
      <c r="H753" s="16">
        <v>30</v>
      </c>
      <c r="I753" s="16" t="s">
        <v>809</v>
      </c>
      <c r="J753" s="16" t="s">
        <v>6614</v>
      </c>
      <c r="K753" s="16" t="s">
        <v>496</v>
      </c>
      <c r="L753" s="16" t="s">
        <v>17</v>
      </c>
      <c r="M753" s="16">
        <v>7</v>
      </c>
      <c r="N753" s="16" t="s">
        <v>462</v>
      </c>
      <c r="O753" s="16" t="s">
        <v>606</v>
      </c>
      <c r="P753" s="16" t="s">
        <v>6615</v>
      </c>
      <c r="Q753" s="16" t="s">
        <v>564</v>
      </c>
      <c r="R753" s="16" t="s">
        <v>466</v>
      </c>
      <c r="S753" s="16" t="s">
        <v>6616</v>
      </c>
      <c r="T753" s="16" t="s">
        <v>6617</v>
      </c>
      <c r="U753" s="16">
        <v>46273.855555555558</v>
      </c>
      <c r="V753" s="16" t="s">
        <v>469</v>
      </c>
      <c r="W753" s="16" t="s">
        <v>470</v>
      </c>
      <c r="X753" s="16" t="s">
        <v>471</v>
      </c>
      <c r="Y753" s="16" t="s">
        <v>523</v>
      </c>
      <c r="Z753" s="16" t="s">
        <v>590</v>
      </c>
      <c r="AA753" s="16" t="s">
        <v>474</v>
      </c>
      <c r="AB753" s="16" t="s">
        <v>6618</v>
      </c>
      <c r="AC753" s="16" t="s">
        <v>1932</v>
      </c>
      <c r="AD753" s="16">
        <v>880455713</v>
      </c>
      <c r="AE753" s="16">
        <v>1770626426</v>
      </c>
      <c r="AF753" s="16"/>
      <c r="AG753" s="16"/>
      <c r="AH753" s="16"/>
      <c r="AI753" s="16" t="s">
        <v>91</v>
      </c>
      <c r="AJ753" s="16" t="s">
        <v>481</v>
      </c>
      <c r="AK753" s="16" t="s">
        <v>6619</v>
      </c>
      <c r="AL753" s="16">
        <v>210229</v>
      </c>
      <c r="AM753" s="16"/>
      <c r="AN753" s="16"/>
      <c r="AO753" s="16">
        <v>420</v>
      </c>
      <c r="AP753" s="16" t="s">
        <v>485</v>
      </c>
      <c r="AQ753" s="16" t="s">
        <v>6620</v>
      </c>
      <c r="AR753" s="3">
        <v>46274</v>
      </c>
      <c r="AS753" s="16" t="s">
        <v>91</v>
      </c>
      <c r="AT753" s="16" t="s">
        <v>516</v>
      </c>
      <c r="AU753" s="16"/>
      <c r="AV753" s="16" t="s">
        <v>6271</v>
      </c>
      <c r="AW753" s="16"/>
      <c r="AX753" s="16"/>
      <c r="AY753" s="16"/>
      <c r="AZ753" s="16"/>
      <c r="BA753" s="16"/>
      <c r="BB753" s="16"/>
      <c r="BC753" s="16"/>
      <c r="BD753" s="16" t="s">
        <v>91</v>
      </c>
      <c r="BE753" s="16">
        <v>28</v>
      </c>
      <c r="BF753" s="16"/>
      <c r="BG753" s="16" t="s">
        <v>490</v>
      </c>
      <c r="BH753" s="16" t="s">
        <v>491</v>
      </c>
      <c r="BI753" s="16">
        <v>262912148</v>
      </c>
      <c r="BJ753" s="16"/>
      <c r="BK753" s="16"/>
      <c r="BL753" s="16"/>
      <c r="BM753" s="16"/>
      <c r="BN753" s="16"/>
      <c r="BO753" s="16"/>
      <c r="BP753" s="16"/>
      <c r="BQ753" s="16"/>
      <c r="BR753" s="16"/>
      <c r="BS753" s="16"/>
      <c r="BT753" s="16"/>
      <c r="BU753" s="16"/>
      <c r="BV753" s="16"/>
      <c r="BW753" s="16"/>
      <c r="BX753" s="16"/>
      <c r="BY753" s="16"/>
      <c r="BZ753" s="16"/>
      <c r="CA753" s="190">
        <v>46281.666666666701</v>
      </c>
      <c r="CB753" s="3"/>
      <c r="CC753" s="16"/>
      <c r="CD753" s="16"/>
      <c r="CE753" s="16"/>
      <c r="CF753" s="16"/>
      <c r="CG753" s="16"/>
      <c r="CH753" s="16"/>
      <c r="CI753" s="16" t="s">
        <v>6621</v>
      </c>
    </row>
    <row r="754" spans="1:87">
      <c r="A754" s="16"/>
      <c r="B754" s="16"/>
      <c r="C754" s="3">
        <v>46282</v>
      </c>
      <c r="D754" s="16" t="s">
        <v>14</v>
      </c>
      <c r="E754" s="16" t="s">
        <v>6622</v>
      </c>
      <c r="F754" s="16">
        <v>2026230000208</v>
      </c>
      <c r="G754" s="16">
        <v>30</v>
      </c>
      <c r="H754" s="16">
        <v>29</v>
      </c>
      <c r="I754" s="16" t="s">
        <v>809</v>
      </c>
      <c r="J754" s="16" t="s">
        <v>6622</v>
      </c>
      <c r="K754" s="16" t="s">
        <v>1083</v>
      </c>
      <c r="L754" s="16" t="s">
        <v>17</v>
      </c>
      <c r="M754" s="16">
        <v>7</v>
      </c>
      <c r="N754" s="16" t="s">
        <v>462</v>
      </c>
      <c r="O754" s="16" t="s">
        <v>606</v>
      </c>
      <c r="P754" s="16">
        <v>967182827</v>
      </c>
      <c r="Q754" s="16" t="s">
        <v>465</v>
      </c>
      <c r="R754" s="16" t="s">
        <v>466</v>
      </c>
      <c r="S754" s="16" t="s">
        <v>6623</v>
      </c>
      <c r="T754" s="16">
        <v>173326</v>
      </c>
      <c r="U754" s="16">
        <v>46273.96875</v>
      </c>
      <c r="V754" s="16" t="s">
        <v>469</v>
      </c>
      <c r="W754" s="16" t="s">
        <v>651</v>
      </c>
      <c r="X754" s="16" t="s">
        <v>652</v>
      </c>
      <c r="Y754" s="16" t="s">
        <v>653</v>
      </c>
      <c r="Z754" s="16" t="s">
        <v>473</v>
      </c>
      <c r="AA754" s="16" t="s">
        <v>474</v>
      </c>
      <c r="AB754" s="16" t="s">
        <v>2129</v>
      </c>
      <c r="AC754" s="16" t="s">
        <v>476</v>
      </c>
      <c r="AD754" s="16">
        <v>390808480</v>
      </c>
      <c r="AE754" s="16">
        <v>1275799413</v>
      </c>
      <c r="AF754" s="16">
        <v>1760488647</v>
      </c>
      <c r="AG754" s="16">
        <v>4.5820253221287696E+16</v>
      </c>
      <c r="AH754" s="16"/>
      <c r="AI754" s="16" t="s">
        <v>48</v>
      </c>
      <c r="AJ754" s="16" t="s">
        <v>481</v>
      </c>
      <c r="AK754" s="16" t="s">
        <v>6624</v>
      </c>
      <c r="AL754" s="16">
        <v>1135</v>
      </c>
      <c r="AM754" s="16"/>
      <c r="AN754" s="16"/>
      <c r="AO754" s="16">
        <v>967</v>
      </c>
      <c r="AP754" s="16" t="s">
        <v>485</v>
      </c>
      <c r="AQ754" s="16" t="s">
        <v>6625</v>
      </c>
      <c r="AR754" s="3">
        <v>46274</v>
      </c>
      <c r="AS754" s="16" t="s">
        <v>48</v>
      </c>
      <c r="AT754" s="16" t="s">
        <v>516</v>
      </c>
      <c r="AU754" s="16"/>
      <c r="AV754" s="16" t="s">
        <v>6626</v>
      </c>
      <c r="AW754" s="16"/>
      <c r="AX754" s="16"/>
      <c r="AY754" s="16"/>
      <c r="AZ754" s="16"/>
      <c r="BA754" s="16"/>
      <c r="BB754" s="16"/>
      <c r="BC754" s="16"/>
      <c r="BD754" s="16" t="s">
        <v>48</v>
      </c>
      <c r="BE754" s="16">
        <v>29</v>
      </c>
      <c r="BF754" s="16"/>
      <c r="BG754" s="16"/>
      <c r="BH754" s="16" t="s">
        <v>658</v>
      </c>
      <c r="BI754" s="16">
        <v>967182827</v>
      </c>
      <c r="BJ754" s="16"/>
      <c r="BK754" s="16"/>
      <c r="BL754" s="16"/>
      <c r="BM754" s="16"/>
      <c r="BN754" s="16"/>
      <c r="BO754" s="16"/>
      <c r="BP754" s="16"/>
      <c r="BQ754" s="16"/>
      <c r="BR754" s="16"/>
      <c r="BS754" s="16"/>
      <c r="BT754" s="16"/>
      <c r="BU754" s="16"/>
      <c r="BV754" s="16"/>
      <c r="BW754" s="16"/>
      <c r="BX754" s="16"/>
      <c r="BY754" s="16"/>
      <c r="BZ754" s="16"/>
      <c r="CA754" s="190">
        <v>46281</v>
      </c>
      <c r="CB754" s="3"/>
      <c r="CC754" s="16"/>
      <c r="CD754" s="16"/>
      <c r="CE754" s="16"/>
      <c r="CF754" s="16"/>
      <c r="CG754" s="16"/>
      <c r="CH754" s="16"/>
      <c r="CI754" s="16" t="s">
        <v>6627</v>
      </c>
    </row>
    <row r="755" spans="1:87">
      <c r="A755" s="16" t="s">
        <v>5</v>
      </c>
      <c r="B755" s="16" t="s">
        <v>976</v>
      </c>
      <c r="C755" s="3">
        <v>46282</v>
      </c>
      <c r="D755" s="16" t="s">
        <v>14</v>
      </c>
      <c r="E755" s="16" t="s">
        <v>6628</v>
      </c>
      <c r="F755" s="16">
        <v>2026230280300</v>
      </c>
      <c r="G755" s="16">
        <v>30</v>
      </c>
      <c r="H755" s="16">
        <v>29</v>
      </c>
      <c r="I755" s="16" t="s">
        <v>809</v>
      </c>
      <c r="J755" s="16" t="s">
        <v>6628</v>
      </c>
      <c r="K755" s="16" t="s">
        <v>496</v>
      </c>
      <c r="L755" s="16" t="s">
        <v>17</v>
      </c>
      <c r="M755" s="16">
        <v>7</v>
      </c>
      <c r="N755" s="16" t="s">
        <v>462</v>
      </c>
      <c r="O755" s="16" t="s">
        <v>606</v>
      </c>
      <c r="P755" s="16" t="s">
        <v>6629</v>
      </c>
      <c r="Q755" s="16" t="s">
        <v>465</v>
      </c>
      <c r="R755" s="16" t="s">
        <v>466</v>
      </c>
      <c r="S755" s="16" t="s">
        <v>6630</v>
      </c>
      <c r="T755" s="16" t="s">
        <v>6631</v>
      </c>
      <c r="U755" s="16">
        <v>46274.425694444442</v>
      </c>
      <c r="V755" s="16" t="s">
        <v>469</v>
      </c>
      <c r="W755" s="16" t="s">
        <v>470</v>
      </c>
      <c r="X755" s="16" t="s">
        <v>471</v>
      </c>
      <c r="Y755" s="16" t="s">
        <v>523</v>
      </c>
      <c r="Z755" s="16" t="s">
        <v>473</v>
      </c>
      <c r="AA755" s="16" t="s">
        <v>474</v>
      </c>
      <c r="AB755" s="16" t="s">
        <v>6632</v>
      </c>
      <c r="AC755" s="16" t="s">
        <v>476</v>
      </c>
      <c r="AD755" s="16">
        <v>810977948</v>
      </c>
      <c r="AE755" s="16">
        <v>1316416035</v>
      </c>
      <c r="AF755" s="16">
        <v>1265001622</v>
      </c>
      <c r="AG755" s="16"/>
      <c r="AH755" s="16"/>
      <c r="AI755" s="16" t="s">
        <v>91</v>
      </c>
      <c r="AJ755" s="16" t="s">
        <v>481</v>
      </c>
      <c r="AK755" s="16" t="s">
        <v>6633</v>
      </c>
      <c r="AL755" s="16">
        <v>15311</v>
      </c>
      <c r="AM755" s="16"/>
      <c r="AN755" s="16"/>
      <c r="AO755" s="16">
        <v>127</v>
      </c>
      <c r="AP755" s="16" t="s">
        <v>485</v>
      </c>
      <c r="AQ755" s="16" t="s">
        <v>6634</v>
      </c>
      <c r="AR755" s="3">
        <v>46274</v>
      </c>
      <c r="AS755" s="16" t="s">
        <v>91</v>
      </c>
      <c r="AT755" s="16" t="s">
        <v>976</v>
      </c>
      <c r="AU755" s="16"/>
      <c r="AV755" s="16" t="s">
        <v>6635</v>
      </c>
      <c r="AW755" s="16"/>
      <c r="AX755" s="16"/>
      <c r="AY755" s="16"/>
      <c r="AZ755" s="16"/>
      <c r="BA755" s="16"/>
      <c r="BB755" s="16"/>
      <c r="BC755" s="16"/>
      <c r="BD755" s="16" t="s">
        <v>91</v>
      </c>
      <c r="BE755" s="16">
        <v>29</v>
      </c>
      <c r="BF755" s="16"/>
      <c r="BG755" s="16"/>
      <c r="BH755" s="16" t="s">
        <v>491</v>
      </c>
      <c r="BI755" s="16">
        <v>392969852</v>
      </c>
      <c r="BJ755" s="16"/>
      <c r="BK755" s="16"/>
      <c r="BL755" s="16"/>
      <c r="BM755" s="16"/>
      <c r="BN755" s="16"/>
      <c r="BO755" s="16"/>
      <c r="BP755" s="16"/>
      <c r="BQ755" s="16"/>
      <c r="BR755" s="16"/>
      <c r="BS755" s="16"/>
      <c r="BT755" s="16"/>
      <c r="BU755" s="16"/>
      <c r="BV755" s="16"/>
      <c r="BW755" s="16"/>
      <c r="BX755" s="16"/>
      <c r="BY755" s="16"/>
      <c r="BZ755" s="16"/>
      <c r="CA755" s="190">
        <v>46281.666666666701</v>
      </c>
      <c r="CB755" s="3"/>
      <c r="CC755" s="16"/>
      <c r="CD755" s="16"/>
      <c r="CE755" s="16"/>
      <c r="CF755" s="16"/>
      <c r="CG755" s="16"/>
      <c r="CH755" s="16"/>
      <c r="CI755" s="16" t="s">
        <v>6636</v>
      </c>
    </row>
    <row r="756" spans="1:87">
      <c r="A756" s="16"/>
      <c r="B756" s="16"/>
      <c r="C756" s="3">
        <v>46282</v>
      </c>
      <c r="D756" s="16" t="s">
        <v>14</v>
      </c>
      <c r="E756" s="16" t="s">
        <v>6637</v>
      </c>
      <c r="F756" s="16">
        <v>2026230300268</v>
      </c>
      <c r="G756" s="16">
        <v>30</v>
      </c>
      <c r="H756" s="16">
        <v>29</v>
      </c>
      <c r="I756" s="16" t="s">
        <v>809</v>
      </c>
      <c r="J756" s="16" t="s">
        <v>6637</v>
      </c>
      <c r="K756" s="16" t="s">
        <v>721</v>
      </c>
      <c r="L756" s="16" t="s">
        <v>13</v>
      </c>
      <c r="M756" s="16">
        <v>7</v>
      </c>
      <c r="N756" s="16" t="s">
        <v>462</v>
      </c>
      <c r="O756" s="16" t="s">
        <v>606</v>
      </c>
      <c r="P756" s="16" t="s">
        <v>6638</v>
      </c>
      <c r="Q756" s="16" t="s">
        <v>465</v>
      </c>
      <c r="R756" s="16" t="s">
        <v>466</v>
      </c>
      <c r="S756" s="16" t="s">
        <v>6639</v>
      </c>
      <c r="T756" s="16" t="s">
        <v>6640</v>
      </c>
      <c r="U756" s="16">
        <v>46274.004861111112</v>
      </c>
      <c r="V756" s="16" t="s">
        <v>469</v>
      </c>
      <c r="W756" s="16" t="s">
        <v>470</v>
      </c>
      <c r="X756" s="16" t="s">
        <v>471</v>
      </c>
      <c r="Y756" s="16" t="s">
        <v>628</v>
      </c>
      <c r="Z756" s="16" t="s">
        <v>570</v>
      </c>
      <c r="AA756" s="16" t="s">
        <v>474</v>
      </c>
      <c r="AB756" s="16" t="s">
        <v>6641</v>
      </c>
      <c r="AC756" s="16" t="s">
        <v>546</v>
      </c>
      <c r="AD756" s="16">
        <v>581661116</v>
      </c>
      <c r="AE756" s="16">
        <v>1386697928</v>
      </c>
      <c r="AF756" s="16">
        <v>1942592613</v>
      </c>
      <c r="AG756" s="16"/>
      <c r="AH756" s="16"/>
      <c r="AI756" s="16" t="s">
        <v>75</v>
      </c>
      <c r="AJ756" s="16" t="s">
        <v>481</v>
      </c>
      <c r="AK756" s="16" t="s">
        <v>6642</v>
      </c>
      <c r="AL756" s="16">
        <v>33579</v>
      </c>
      <c r="AM756" s="16"/>
      <c r="AN756" s="16"/>
      <c r="AO756" s="16">
        <v>154</v>
      </c>
      <c r="AP756" s="16" t="s">
        <v>485</v>
      </c>
      <c r="AQ756" s="16" t="s">
        <v>6643</v>
      </c>
      <c r="AR756" s="3">
        <v>46274</v>
      </c>
      <c r="AS756" s="16" t="s">
        <v>75</v>
      </c>
      <c r="AT756" s="16" t="s">
        <v>516</v>
      </c>
      <c r="AU756" s="16"/>
      <c r="AV756" s="16" t="s">
        <v>4819</v>
      </c>
      <c r="AW756" s="16"/>
      <c r="AX756" s="16"/>
      <c r="AY756" s="16"/>
      <c r="AZ756" s="16"/>
      <c r="BA756" s="16"/>
      <c r="BB756" s="16"/>
      <c r="BC756" s="16"/>
      <c r="BD756" s="16" t="s">
        <v>75</v>
      </c>
      <c r="BE756" s="16">
        <v>29</v>
      </c>
      <c r="BF756" s="16"/>
      <c r="BG756" s="16"/>
      <c r="BH756" s="16" t="s">
        <v>491</v>
      </c>
      <c r="BI756" s="16">
        <v>408497693</v>
      </c>
      <c r="BJ756" s="16"/>
      <c r="BK756" s="16"/>
      <c r="BL756" s="16"/>
      <c r="BM756" s="16"/>
      <c r="BN756" s="16"/>
      <c r="BO756" s="16"/>
      <c r="BP756" s="16"/>
      <c r="BQ756" s="16"/>
      <c r="BR756" s="16"/>
      <c r="BS756" s="16"/>
      <c r="BT756" s="16"/>
      <c r="BU756" s="16"/>
      <c r="BV756" s="16"/>
      <c r="BW756" s="16"/>
      <c r="BX756" s="16"/>
      <c r="BY756" s="16"/>
      <c r="BZ756" s="16"/>
      <c r="CA756" s="190">
        <v>46281</v>
      </c>
      <c r="CB756" s="3"/>
      <c r="CC756" s="16"/>
      <c r="CD756" s="16"/>
      <c r="CE756" s="16"/>
      <c r="CF756" s="16"/>
      <c r="CG756" s="16"/>
      <c r="CH756" s="16"/>
      <c r="CI756" s="16" t="s">
        <v>6644</v>
      </c>
    </row>
    <row r="757" spans="1:87">
      <c r="A757" s="16"/>
      <c r="B757" s="16"/>
      <c r="C757" s="3">
        <v>46282</v>
      </c>
      <c r="D757" s="16" t="s">
        <v>14</v>
      </c>
      <c r="E757" s="16" t="s">
        <v>6645</v>
      </c>
      <c r="F757" s="16">
        <v>2026230810264</v>
      </c>
      <c r="G757" s="16">
        <v>30</v>
      </c>
      <c r="H757" s="16">
        <v>29</v>
      </c>
      <c r="I757" s="16" t="s">
        <v>809</v>
      </c>
      <c r="J757" s="16" t="s">
        <v>6645</v>
      </c>
      <c r="K757" s="16" t="s">
        <v>1040</v>
      </c>
      <c r="L757" s="16" t="s">
        <v>17</v>
      </c>
      <c r="M757" s="16">
        <v>7</v>
      </c>
      <c r="N757" s="16" t="s">
        <v>462</v>
      </c>
      <c r="O757" s="16" t="s">
        <v>606</v>
      </c>
      <c r="P757" s="16">
        <v>100010695</v>
      </c>
      <c r="Q757" s="16" t="s">
        <v>465</v>
      </c>
      <c r="R757" s="16" t="s">
        <v>466</v>
      </c>
      <c r="S757" s="16" t="s">
        <v>6646</v>
      </c>
      <c r="T757" s="16">
        <v>173326</v>
      </c>
      <c r="U757" s="16">
        <v>46274.001388888886</v>
      </c>
      <c r="V757" s="16" t="s">
        <v>469</v>
      </c>
      <c r="W757" s="16" t="s">
        <v>651</v>
      </c>
      <c r="X757" s="16" t="s">
        <v>652</v>
      </c>
      <c r="Y757" s="16" t="s">
        <v>653</v>
      </c>
      <c r="Z757" s="16" t="s">
        <v>473</v>
      </c>
      <c r="AA757" s="16" t="s">
        <v>474</v>
      </c>
      <c r="AB757" s="16" t="s">
        <v>684</v>
      </c>
      <c r="AC757" s="16" t="s">
        <v>476</v>
      </c>
      <c r="AD757" s="16">
        <v>391245484</v>
      </c>
      <c r="AE757" s="16">
        <v>1144274390</v>
      </c>
      <c r="AF757" s="16">
        <v>1689825630</v>
      </c>
      <c r="AG757" s="16">
        <v>4.58202602615466E+16</v>
      </c>
      <c r="AH757" s="16"/>
      <c r="AI757" s="16" t="s">
        <v>173</v>
      </c>
      <c r="AJ757" s="16" t="s">
        <v>481</v>
      </c>
      <c r="AK757" s="16" t="s">
        <v>6647</v>
      </c>
      <c r="AL757" s="16">
        <v>13972</v>
      </c>
      <c r="AM757" s="16"/>
      <c r="AN757" s="16"/>
      <c r="AO757" s="16">
        <v>100</v>
      </c>
      <c r="AP757" s="16" t="s">
        <v>485</v>
      </c>
      <c r="AQ757" s="16" t="s">
        <v>6648</v>
      </c>
      <c r="AR757" s="3">
        <v>46274</v>
      </c>
      <c r="AS757" s="16" t="s">
        <v>173</v>
      </c>
      <c r="AT757" s="16" t="s">
        <v>1047</v>
      </c>
      <c r="AU757" s="16"/>
      <c r="AV757" s="16" t="s">
        <v>6649</v>
      </c>
      <c r="AW757" s="16"/>
      <c r="AX757" s="16"/>
      <c r="AY757" s="16"/>
      <c r="AZ757" s="16"/>
      <c r="BA757" s="16"/>
      <c r="BB757" s="16"/>
      <c r="BC757" s="16"/>
      <c r="BD757" s="16" t="s">
        <v>173</v>
      </c>
      <c r="BE757" s="16">
        <v>29</v>
      </c>
      <c r="BF757" s="16"/>
      <c r="BG757" s="16" t="s">
        <v>490</v>
      </c>
      <c r="BH757" s="16" t="s">
        <v>658</v>
      </c>
      <c r="BI757" s="16">
        <v>100010695</v>
      </c>
      <c r="BJ757" s="16"/>
      <c r="BK757" s="16"/>
      <c r="BL757" s="16"/>
      <c r="BM757" s="16"/>
      <c r="BN757" s="16"/>
      <c r="BO757" s="16"/>
      <c r="BP757" s="16"/>
      <c r="BQ757" s="16"/>
      <c r="BR757" s="16"/>
      <c r="BS757" s="16"/>
      <c r="BT757" s="16"/>
      <c r="BU757" s="16"/>
      <c r="BV757" s="16"/>
      <c r="BW757" s="16"/>
      <c r="BX757" s="16"/>
      <c r="BY757" s="16"/>
      <c r="BZ757" s="16"/>
      <c r="CA757" s="190">
        <v>46281</v>
      </c>
      <c r="CB757" s="3"/>
      <c r="CC757" s="16"/>
      <c r="CD757" s="16"/>
      <c r="CE757" s="16"/>
      <c r="CF757" s="16"/>
      <c r="CG757" s="16"/>
      <c r="CH757" s="16"/>
      <c r="CI757" s="16" t="s">
        <v>6650</v>
      </c>
    </row>
    <row r="758" spans="1:87">
      <c r="A758" s="16" t="s">
        <v>5</v>
      </c>
      <c r="B758" s="16" t="s">
        <v>1107</v>
      </c>
      <c r="C758" s="3">
        <v>46282</v>
      </c>
      <c r="D758" s="16" t="s">
        <v>14</v>
      </c>
      <c r="E758" s="16" t="s">
        <v>6651</v>
      </c>
      <c r="F758" s="16">
        <v>2026230220378</v>
      </c>
      <c r="G758" s="16">
        <v>30</v>
      </c>
      <c r="H758" s="16">
        <v>29</v>
      </c>
      <c r="I758" s="16" t="s">
        <v>809</v>
      </c>
      <c r="J758" s="16" t="s">
        <v>6651</v>
      </c>
      <c r="K758" s="16" t="s">
        <v>1109</v>
      </c>
      <c r="L758" s="16" t="s">
        <v>17</v>
      </c>
      <c r="M758" s="16">
        <v>7</v>
      </c>
      <c r="N758" s="16" t="s">
        <v>462</v>
      </c>
      <c r="O758" s="16" t="s">
        <v>606</v>
      </c>
      <c r="P758" s="16" t="s">
        <v>6652</v>
      </c>
      <c r="Q758" s="16" t="s">
        <v>465</v>
      </c>
      <c r="R758" s="16" t="s">
        <v>466</v>
      </c>
      <c r="S758" s="16" t="s">
        <v>6653</v>
      </c>
      <c r="T758" s="16" t="s">
        <v>6654</v>
      </c>
      <c r="U758" s="16">
        <v>46274.661111111112</v>
      </c>
      <c r="V758" s="16" t="s">
        <v>469</v>
      </c>
      <c r="W758" s="16" t="s">
        <v>470</v>
      </c>
      <c r="X758" s="16" t="s">
        <v>471</v>
      </c>
      <c r="Y758" s="16" t="s">
        <v>523</v>
      </c>
      <c r="Z758" s="16" t="s">
        <v>524</v>
      </c>
      <c r="AA758" s="16" t="s">
        <v>474</v>
      </c>
      <c r="AB758" s="16" t="s">
        <v>6655</v>
      </c>
      <c r="AC758" s="16" t="s">
        <v>526</v>
      </c>
      <c r="AD758" s="16">
        <v>261564768</v>
      </c>
      <c r="AE758" s="16">
        <v>1164671343</v>
      </c>
      <c r="AF758" s="16">
        <v>1831721257</v>
      </c>
      <c r="AG758" s="16"/>
      <c r="AH758" s="16"/>
      <c r="AI758" s="16" t="s">
        <v>25</v>
      </c>
      <c r="AJ758" s="16" t="s">
        <v>481</v>
      </c>
      <c r="AK758" s="16" t="s">
        <v>6656</v>
      </c>
      <c r="AL758" s="16">
        <v>141293.29999999999</v>
      </c>
      <c r="AM758" s="16"/>
      <c r="AN758" s="16"/>
      <c r="AO758" s="16">
        <v>921</v>
      </c>
      <c r="AP758" s="16" t="s">
        <v>485</v>
      </c>
      <c r="AQ758" s="16" t="s">
        <v>6657</v>
      </c>
      <c r="AR758" s="3">
        <v>46274</v>
      </c>
      <c r="AS758" s="16" t="s">
        <v>25</v>
      </c>
      <c r="AT758" s="16" t="s">
        <v>516</v>
      </c>
      <c r="AU758" s="16"/>
      <c r="AV758" s="16" t="s">
        <v>6658</v>
      </c>
      <c r="AW758" s="16"/>
      <c r="AX758" s="16"/>
      <c r="AY758" s="16"/>
      <c r="AZ758" s="16"/>
      <c r="BA758" s="16"/>
      <c r="BB758" s="16"/>
      <c r="BC758" s="16"/>
      <c r="BD758" s="16" t="s">
        <v>25</v>
      </c>
      <c r="BE758" s="16">
        <v>29</v>
      </c>
      <c r="BF758" s="16"/>
      <c r="BG758" s="16" t="s">
        <v>490</v>
      </c>
      <c r="BH758" s="16" t="s">
        <v>491</v>
      </c>
      <c r="BI758" s="16">
        <v>298881193</v>
      </c>
      <c r="BJ758" s="16"/>
      <c r="BK758" s="16"/>
      <c r="BL758" s="16"/>
      <c r="BM758" s="16"/>
      <c r="BN758" s="16"/>
      <c r="BO758" s="16"/>
      <c r="BP758" s="16"/>
      <c r="BQ758" s="16"/>
      <c r="BR758" s="16"/>
      <c r="BS758" s="16"/>
      <c r="BT758" s="16"/>
      <c r="BU758" s="16"/>
      <c r="BV758" s="16"/>
      <c r="BW758" s="16"/>
      <c r="BX758" s="16"/>
      <c r="BY758" s="16"/>
      <c r="BZ758" s="16"/>
      <c r="CA758" s="190">
        <v>46281.666666666701</v>
      </c>
      <c r="CB758" s="3"/>
      <c r="CC758" s="16"/>
      <c r="CD758" s="16"/>
      <c r="CE758" s="16"/>
      <c r="CF758" s="16"/>
      <c r="CG758" s="16"/>
      <c r="CH758" s="16"/>
      <c r="CI758" s="16" t="s">
        <v>6659</v>
      </c>
    </row>
    <row r="759" spans="1:87" ht="29.25">
      <c r="A759" s="16" t="s">
        <v>5</v>
      </c>
      <c r="B759" s="25" t="s">
        <v>3707</v>
      </c>
      <c r="C759" s="3">
        <v>46282</v>
      </c>
      <c r="D759" s="16" t="s">
        <v>14</v>
      </c>
      <c r="E759" s="16" t="s">
        <v>6660</v>
      </c>
      <c r="F759" s="16">
        <v>2026230330262</v>
      </c>
      <c r="G759" s="16">
        <v>30</v>
      </c>
      <c r="H759" s="16">
        <v>29</v>
      </c>
      <c r="I759" s="16" t="s">
        <v>809</v>
      </c>
      <c r="J759" s="16" t="s">
        <v>6660</v>
      </c>
      <c r="K759" s="16" t="s">
        <v>1555</v>
      </c>
      <c r="L759" s="16" t="s">
        <v>17</v>
      </c>
      <c r="M759" s="16">
        <v>7</v>
      </c>
      <c r="N759" s="16" t="s">
        <v>462</v>
      </c>
      <c r="O759" s="16" t="s">
        <v>606</v>
      </c>
      <c r="P759" s="16">
        <v>105231154</v>
      </c>
      <c r="Q759" s="16" t="s">
        <v>465</v>
      </c>
      <c r="R759" s="16" t="s">
        <v>466</v>
      </c>
      <c r="S759" s="16" t="s">
        <v>6661</v>
      </c>
      <c r="T759" s="16">
        <v>173327</v>
      </c>
      <c r="U759" s="16">
        <v>46274.026388888888</v>
      </c>
      <c r="V759" s="16" t="s">
        <v>469</v>
      </c>
      <c r="W759" s="16" t="s">
        <v>651</v>
      </c>
      <c r="X759" s="16" t="s">
        <v>652</v>
      </c>
      <c r="Y759" s="16" t="s">
        <v>653</v>
      </c>
      <c r="Z759" s="16" t="s">
        <v>524</v>
      </c>
      <c r="AA759" s="16" t="s">
        <v>474</v>
      </c>
      <c r="AB759" s="16" t="s">
        <v>757</v>
      </c>
      <c r="AC759" s="16" t="s">
        <v>526</v>
      </c>
      <c r="AD759" s="16">
        <v>310564121</v>
      </c>
      <c r="AE759" s="16">
        <v>1053339507</v>
      </c>
      <c r="AF759" s="16"/>
      <c r="AG759" s="16">
        <v>3.30202528118448E+16</v>
      </c>
      <c r="AH759" s="16"/>
      <c r="AI759" s="16" t="s">
        <v>32</v>
      </c>
      <c r="AJ759" s="16" t="s">
        <v>481</v>
      </c>
      <c r="AK759" s="16" t="s">
        <v>6662</v>
      </c>
      <c r="AL759" s="16">
        <v>152523.32999999999</v>
      </c>
      <c r="AM759" s="16"/>
      <c r="AN759" s="16"/>
      <c r="AO759" s="16">
        <v>105</v>
      </c>
      <c r="AP759" s="16" t="s">
        <v>485</v>
      </c>
      <c r="AQ759" s="16" t="s">
        <v>6663</v>
      </c>
      <c r="AR759" s="3">
        <v>46274</v>
      </c>
      <c r="AS759" s="16" t="s">
        <v>32</v>
      </c>
      <c r="AT759" s="16" t="s">
        <v>1038</v>
      </c>
      <c r="AU759" s="16"/>
      <c r="AV759" s="16" t="s">
        <v>6664</v>
      </c>
      <c r="AW759" s="16"/>
      <c r="AX759" s="16"/>
      <c r="AY759" s="16"/>
      <c r="AZ759" s="16"/>
      <c r="BA759" s="16"/>
      <c r="BB759" s="16"/>
      <c r="BC759" s="16"/>
      <c r="BD759" s="16" t="s">
        <v>32</v>
      </c>
      <c r="BE759" s="16">
        <v>29</v>
      </c>
      <c r="BF759" s="16"/>
      <c r="BG759" s="16" t="s">
        <v>490</v>
      </c>
      <c r="BH759" s="16" t="s">
        <v>658</v>
      </c>
      <c r="BI759" s="16">
        <v>105231154</v>
      </c>
      <c r="BJ759" s="16"/>
      <c r="BK759" s="16"/>
      <c r="BL759" s="16"/>
      <c r="BM759" s="16"/>
      <c r="BN759" s="16"/>
      <c r="BO759" s="16"/>
      <c r="BP759" s="16"/>
      <c r="BQ759" s="16"/>
      <c r="BR759" s="16"/>
      <c r="BS759" s="16"/>
      <c r="BT759" s="16"/>
      <c r="BU759" s="16"/>
      <c r="BV759" s="16"/>
      <c r="BW759" s="16"/>
      <c r="BX759" s="16"/>
      <c r="BY759" s="16"/>
      <c r="BZ759" s="16"/>
      <c r="CA759" s="190">
        <v>46285.666666666701</v>
      </c>
      <c r="CB759" s="3"/>
      <c r="CC759" s="16"/>
      <c r="CD759" s="16"/>
      <c r="CE759" s="16"/>
      <c r="CF759" s="16"/>
      <c r="CG759" s="16"/>
      <c r="CH759" s="16"/>
      <c r="CI759" s="16" t="s">
        <v>6665</v>
      </c>
    </row>
    <row r="760" spans="1:87">
      <c r="A760" s="16" t="s">
        <v>5</v>
      </c>
      <c r="B760" s="16" t="s">
        <v>6666</v>
      </c>
      <c r="C760" s="3">
        <v>46282</v>
      </c>
      <c r="D760" s="16" t="s">
        <v>14</v>
      </c>
      <c r="E760" s="16" t="s">
        <v>6667</v>
      </c>
      <c r="F760" s="16">
        <v>2026230930407</v>
      </c>
      <c r="G760" s="16">
        <v>30</v>
      </c>
      <c r="H760" s="16">
        <v>29</v>
      </c>
      <c r="I760" s="16" t="s">
        <v>809</v>
      </c>
      <c r="J760" s="16" t="s">
        <v>6667</v>
      </c>
      <c r="K760" s="16" t="s">
        <v>1371</v>
      </c>
      <c r="L760" s="16" t="s">
        <v>17</v>
      </c>
      <c r="M760" s="16">
        <v>7</v>
      </c>
      <c r="N760" s="16" t="s">
        <v>462</v>
      </c>
      <c r="O760" s="16" t="s">
        <v>606</v>
      </c>
      <c r="P760" s="16">
        <v>140086771</v>
      </c>
      <c r="Q760" s="16" t="s">
        <v>465</v>
      </c>
      <c r="R760" s="16" t="s">
        <v>466</v>
      </c>
      <c r="S760" s="16" t="s">
        <v>6668</v>
      </c>
      <c r="T760" s="16" t="s">
        <v>664</v>
      </c>
      <c r="U760" s="16">
        <v>46274.669444444444</v>
      </c>
      <c r="V760" s="16" t="s">
        <v>469</v>
      </c>
      <c r="W760" s="16" t="s">
        <v>651</v>
      </c>
      <c r="X760" s="16" t="s">
        <v>652</v>
      </c>
      <c r="Y760" s="16" t="s">
        <v>653</v>
      </c>
      <c r="Z760" s="16" t="s">
        <v>665</v>
      </c>
      <c r="AA760" s="16" t="s">
        <v>474</v>
      </c>
      <c r="AB760" s="16" t="s">
        <v>666</v>
      </c>
      <c r="AC760" s="16" t="s">
        <v>640</v>
      </c>
      <c r="AD760" s="16">
        <v>134010372</v>
      </c>
      <c r="AE760" s="16">
        <v>1699766261</v>
      </c>
      <c r="AF760" s="16">
        <v>1043479983</v>
      </c>
      <c r="AG760" s="16">
        <v>2.54202525320414E+16</v>
      </c>
      <c r="AH760" s="16"/>
      <c r="AI760" s="16" t="s">
        <v>164</v>
      </c>
      <c r="AJ760" s="16" t="s">
        <v>481</v>
      </c>
      <c r="AK760" s="16" t="s">
        <v>6669</v>
      </c>
      <c r="AL760" s="16">
        <v>2233.6</v>
      </c>
      <c r="AM760" s="16"/>
      <c r="AN760" s="16"/>
      <c r="AO760" s="16">
        <v>140</v>
      </c>
      <c r="AP760" s="16" t="s">
        <v>485</v>
      </c>
      <c r="AQ760" s="16" t="s">
        <v>6670</v>
      </c>
      <c r="AR760" s="3">
        <v>46274</v>
      </c>
      <c r="AS760" s="16" t="s">
        <v>164</v>
      </c>
      <c r="AT760" s="16" t="s">
        <v>516</v>
      </c>
      <c r="AU760" s="16"/>
      <c r="AV760" s="16" t="s">
        <v>6671</v>
      </c>
      <c r="AW760" s="16"/>
      <c r="AX760" s="16"/>
      <c r="AY760" s="16"/>
      <c r="AZ760" s="16"/>
      <c r="BA760" s="16"/>
      <c r="BB760" s="16"/>
      <c r="BC760" s="16"/>
      <c r="BD760" s="16" t="s">
        <v>164</v>
      </c>
      <c r="BE760" s="16">
        <v>29</v>
      </c>
      <c r="BF760" s="16"/>
      <c r="BG760" s="16" t="s">
        <v>490</v>
      </c>
      <c r="BH760" s="16" t="s">
        <v>658</v>
      </c>
      <c r="BI760" s="16">
        <v>140086771</v>
      </c>
      <c r="BJ760" s="16"/>
      <c r="BK760" s="16"/>
      <c r="BL760" s="16"/>
      <c r="BM760" s="16"/>
      <c r="BN760" s="16"/>
      <c r="BO760" s="16"/>
      <c r="BP760" s="16"/>
      <c r="BQ760" s="16"/>
      <c r="BR760" s="16"/>
      <c r="BS760" s="16"/>
      <c r="BT760" s="16"/>
      <c r="BU760" s="16"/>
      <c r="BV760" s="16"/>
      <c r="BW760" s="16"/>
      <c r="BX760" s="16"/>
      <c r="BY760" s="16"/>
      <c r="BZ760" s="16"/>
      <c r="CA760" s="190">
        <v>46281.666666666701</v>
      </c>
      <c r="CB760" s="3"/>
      <c r="CC760" s="16"/>
      <c r="CD760" s="16"/>
      <c r="CE760" s="16"/>
      <c r="CF760" s="16"/>
      <c r="CG760" s="16"/>
      <c r="CH760" s="16"/>
      <c r="CI760" s="16" t="s">
        <v>6672</v>
      </c>
    </row>
    <row r="761" spans="1:87">
      <c r="A761" s="16"/>
      <c r="B761" s="16"/>
      <c r="C761" s="3">
        <v>46282</v>
      </c>
      <c r="D761" s="16" t="s">
        <v>14</v>
      </c>
      <c r="E761" s="16" t="s">
        <v>6673</v>
      </c>
      <c r="F761" s="16">
        <v>2026229490350</v>
      </c>
      <c r="G761" s="16">
        <v>30</v>
      </c>
      <c r="H761" s="16">
        <v>30</v>
      </c>
      <c r="I761" s="16" t="s">
        <v>809</v>
      </c>
      <c r="J761" s="16" t="s">
        <v>6673</v>
      </c>
      <c r="K761" s="16" t="s">
        <v>6674</v>
      </c>
      <c r="L761" s="16" t="s">
        <v>1760</v>
      </c>
      <c r="M761" s="16">
        <v>7</v>
      </c>
      <c r="N761" s="16" t="s">
        <v>462</v>
      </c>
      <c r="O761" s="16" t="s">
        <v>606</v>
      </c>
      <c r="P761" s="16" t="s">
        <v>6675</v>
      </c>
      <c r="Q761" s="16" t="s">
        <v>465</v>
      </c>
      <c r="R761" s="16" t="s">
        <v>466</v>
      </c>
      <c r="S761" s="16" t="s">
        <v>6676</v>
      </c>
      <c r="T761" s="16" t="s">
        <v>6677</v>
      </c>
      <c r="U761" s="16">
        <v>46273.935416666667</v>
      </c>
      <c r="V761" s="16" t="s">
        <v>469</v>
      </c>
      <c r="W761" s="16" t="s">
        <v>470</v>
      </c>
      <c r="X761" s="16" t="s">
        <v>471</v>
      </c>
      <c r="Y761" s="16" t="s">
        <v>628</v>
      </c>
      <c r="Z761" s="16" t="s">
        <v>473</v>
      </c>
      <c r="AA761" s="16" t="s">
        <v>474</v>
      </c>
      <c r="AB761" s="16" t="s">
        <v>6678</v>
      </c>
      <c r="AC761" s="16" t="s">
        <v>476</v>
      </c>
      <c r="AD761" s="16">
        <v>390824015</v>
      </c>
      <c r="AE761" s="16">
        <v>1740920909</v>
      </c>
      <c r="AF761" s="16"/>
      <c r="AG761" s="16"/>
      <c r="AH761" s="16"/>
      <c r="AI761" s="16" t="s">
        <v>6679</v>
      </c>
      <c r="AJ761" s="16" t="s">
        <v>481</v>
      </c>
      <c r="AK761" s="16" t="s">
        <v>6680</v>
      </c>
      <c r="AL761" s="16">
        <v>40494.410000000003</v>
      </c>
      <c r="AM761" s="16"/>
      <c r="AN761" s="16"/>
      <c r="AO761" s="16">
        <v>650</v>
      </c>
      <c r="AP761" s="16" t="s">
        <v>485</v>
      </c>
      <c r="AQ761" s="16" t="s">
        <v>6681</v>
      </c>
      <c r="AR761" s="3">
        <v>46274</v>
      </c>
      <c r="AS761" s="16" t="s">
        <v>6679</v>
      </c>
      <c r="AT761" s="16" t="s">
        <v>516</v>
      </c>
      <c r="AU761" s="16"/>
      <c r="AV761" s="16" t="s">
        <v>6682</v>
      </c>
      <c r="AW761" s="16"/>
      <c r="AX761" s="16"/>
      <c r="AY761" s="16"/>
      <c r="AZ761" s="16"/>
      <c r="BA761" s="16"/>
      <c r="BB761" s="16"/>
      <c r="BC761" s="16"/>
      <c r="BD761" s="16" t="s">
        <v>6679</v>
      </c>
      <c r="BE761" s="16">
        <v>16</v>
      </c>
      <c r="BF761" s="16"/>
      <c r="BG761" s="16" t="s">
        <v>490</v>
      </c>
      <c r="BH761" s="16" t="s">
        <v>491</v>
      </c>
      <c r="BI761" s="16">
        <v>396701384</v>
      </c>
      <c r="BJ761" s="16"/>
      <c r="BK761" s="16"/>
      <c r="BL761" s="16"/>
      <c r="BM761" s="16"/>
      <c r="BN761" s="16"/>
      <c r="BO761" s="16"/>
      <c r="BP761" s="16"/>
      <c r="BQ761" s="16"/>
      <c r="BR761" s="16"/>
      <c r="BS761" s="16"/>
      <c r="BT761" s="16"/>
      <c r="BU761" s="16"/>
      <c r="BV761" s="16"/>
      <c r="BW761" s="16"/>
      <c r="BX761" s="16"/>
      <c r="BY761" s="16"/>
      <c r="BZ761" s="16"/>
      <c r="CA761" s="190">
        <v>46281</v>
      </c>
      <c r="CB761" s="3"/>
      <c r="CC761" s="16"/>
      <c r="CD761" s="16"/>
      <c r="CE761" s="16"/>
      <c r="CF761" s="16"/>
      <c r="CG761" s="16"/>
      <c r="CH761" s="16"/>
      <c r="CI761" s="16" t="s">
        <v>6683</v>
      </c>
    </row>
    <row r="762" spans="1:87">
      <c r="A762" s="16" t="s">
        <v>5</v>
      </c>
      <c r="B762" s="16" t="s">
        <v>1872</v>
      </c>
      <c r="C762" s="3">
        <v>46282</v>
      </c>
      <c r="D762" s="16" t="s">
        <v>14</v>
      </c>
      <c r="E762" s="16" t="s">
        <v>6684</v>
      </c>
      <c r="F762" s="16">
        <v>2026229780009</v>
      </c>
      <c r="G762" s="16">
        <v>30</v>
      </c>
      <c r="H762" s="16">
        <v>30</v>
      </c>
      <c r="I762" s="16" t="s">
        <v>809</v>
      </c>
      <c r="J762" s="16" t="s">
        <v>6684</v>
      </c>
      <c r="K762" s="16" t="s">
        <v>1874</v>
      </c>
      <c r="L762" s="16" t="s">
        <v>17</v>
      </c>
      <c r="M762" s="16">
        <v>7</v>
      </c>
      <c r="N762" s="16" t="s">
        <v>462</v>
      </c>
      <c r="O762" s="16" t="s">
        <v>606</v>
      </c>
      <c r="P762" s="16" t="s">
        <v>6685</v>
      </c>
      <c r="Q762" s="16" t="s">
        <v>465</v>
      </c>
      <c r="R762" s="16" t="s">
        <v>466</v>
      </c>
      <c r="S762" s="16" t="s">
        <v>6686</v>
      </c>
      <c r="T762" s="16" t="s">
        <v>6687</v>
      </c>
      <c r="U762" s="16">
        <v>46274.674305555556</v>
      </c>
      <c r="V762" s="16" t="s">
        <v>469</v>
      </c>
      <c r="W762" s="16" t="s">
        <v>568</v>
      </c>
      <c r="X762" s="16" t="s">
        <v>471</v>
      </c>
      <c r="Y762" s="16" t="s">
        <v>628</v>
      </c>
      <c r="Z762" s="16" t="s">
        <v>731</v>
      </c>
      <c r="AA762" s="16" t="s">
        <v>474</v>
      </c>
      <c r="AB762" s="16" t="s">
        <v>6688</v>
      </c>
      <c r="AC762" s="16" t="s">
        <v>733</v>
      </c>
      <c r="AD762" s="16">
        <v>430653611</v>
      </c>
      <c r="AE762" s="16">
        <v>1487694337</v>
      </c>
      <c r="AF762" s="16">
        <v>1134428758</v>
      </c>
      <c r="AG762" s="16"/>
      <c r="AH762" s="16" t="s">
        <v>1076</v>
      </c>
      <c r="AI762" s="16" t="s">
        <v>93</v>
      </c>
      <c r="AJ762" s="16" t="s">
        <v>481</v>
      </c>
      <c r="AK762" s="16" t="s">
        <v>6689</v>
      </c>
      <c r="AL762" s="16">
        <v>13440</v>
      </c>
      <c r="AM762" s="16"/>
      <c r="AN762" s="16"/>
      <c r="AO762" s="16">
        <v>10</v>
      </c>
      <c r="AP762" s="16" t="s">
        <v>485</v>
      </c>
      <c r="AQ762" s="16" t="s">
        <v>6690</v>
      </c>
      <c r="AR762" s="3">
        <v>46274</v>
      </c>
      <c r="AS762" s="16" t="s">
        <v>93</v>
      </c>
      <c r="AT762" s="16" t="s">
        <v>1038</v>
      </c>
      <c r="AU762" s="16"/>
      <c r="AV762" s="16" t="s">
        <v>6691</v>
      </c>
      <c r="AW762" s="16"/>
      <c r="AX762" s="16"/>
      <c r="AY762" s="16"/>
      <c r="AZ762" s="16"/>
      <c r="BA762" s="16"/>
      <c r="BB762" s="16"/>
      <c r="BC762" s="16"/>
      <c r="BD762" s="16" t="s">
        <v>93</v>
      </c>
      <c r="BE762" s="16">
        <v>30</v>
      </c>
      <c r="BF762" s="16"/>
      <c r="BG762" s="16" t="s">
        <v>490</v>
      </c>
      <c r="BH762" s="16" t="s">
        <v>491</v>
      </c>
      <c r="BI762" s="16">
        <v>490900899</v>
      </c>
      <c r="BJ762" s="16"/>
      <c r="BK762" s="16"/>
      <c r="BL762" s="16"/>
      <c r="BM762" s="16"/>
      <c r="BN762" s="16"/>
      <c r="BO762" s="16"/>
      <c r="BP762" s="16"/>
      <c r="BQ762" s="16"/>
      <c r="BR762" s="16"/>
      <c r="BS762" s="16"/>
      <c r="BT762" s="16"/>
      <c r="BU762" s="16"/>
      <c r="BV762" s="16"/>
      <c r="BW762" s="16"/>
      <c r="BX762" s="16"/>
      <c r="BY762" s="16"/>
      <c r="BZ762" s="16"/>
      <c r="CA762" s="190">
        <v>46285.666666666701</v>
      </c>
      <c r="CB762" s="3"/>
      <c r="CC762" s="16"/>
      <c r="CD762" s="16"/>
      <c r="CE762" s="16"/>
      <c r="CF762" s="16"/>
      <c r="CG762" s="16"/>
      <c r="CH762" s="16"/>
      <c r="CI762" s="16" t="s">
        <v>6692</v>
      </c>
    </row>
    <row r="763" spans="1:87">
      <c r="A763" s="16" t="s">
        <v>5</v>
      </c>
      <c r="B763" s="16" t="s">
        <v>516</v>
      </c>
      <c r="C763" s="3">
        <v>46282</v>
      </c>
      <c r="D763" s="16" t="s">
        <v>14</v>
      </c>
      <c r="E763" s="16" t="s">
        <v>6693</v>
      </c>
      <c r="F763" s="16">
        <v>2026229870429</v>
      </c>
      <c r="G763" s="16">
        <v>30</v>
      </c>
      <c r="H763" s="16">
        <v>30</v>
      </c>
      <c r="I763" s="16" t="s">
        <v>809</v>
      </c>
      <c r="J763" s="16" t="s">
        <v>6693</v>
      </c>
      <c r="K763" s="16" t="s">
        <v>518</v>
      </c>
      <c r="L763" s="16" t="s">
        <v>17</v>
      </c>
      <c r="M763" s="16">
        <v>7</v>
      </c>
      <c r="N763" s="16" t="s">
        <v>462</v>
      </c>
      <c r="O763" s="16" t="s">
        <v>606</v>
      </c>
      <c r="P763" s="16" t="s">
        <v>6694</v>
      </c>
      <c r="Q763" s="16" t="s">
        <v>465</v>
      </c>
      <c r="R763" s="16" t="s">
        <v>466</v>
      </c>
      <c r="S763" s="16" t="s">
        <v>6695</v>
      </c>
      <c r="T763" s="16">
        <v>720097</v>
      </c>
      <c r="U763" s="16">
        <v>46273.852083333331</v>
      </c>
      <c r="V763" s="16" t="s">
        <v>469</v>
      </c>
      <c r="W763" s="16" t="s">
        <v>1752</v>
      </c>
      <c r="X763" s="16" t="s">
        <v>471</v>
      </c>
      <c r="Y763" s="16" t="s">
        <v>628</v>
      </c>
      <c r="Z763" s="16" t="s">
        <v>665</v>
      </c>
      <c r="AA763" s="16" t="s">
        <v>474</v>
      </c>
      <c r="AB763" s="16" t="s">
        <v>3102</v>
      </c>
      <c r="AC763" s="16" t="s">
        <v>1867</v>
      </c>
      <c r="AD763" s="16">
        <v>862921356</v>
      </c>
      <c r="AE763" s="16">
        <v>1306193156</v>
      </c>
      <c r="AF763" s="16">
        <v>1306193156</v>
      </c>
      <c r="AG763" s="16"/>
      <c r="AH763" s="16"/>
      <c r="AI763" s="16" t="s">
        <v>87</v>
      </c>
      <c r="AJ763" s="16" t="s">
        <v>481</v>
      </c>
      <c r="AK763" s="16" t="s">
        <v>6696</v>
      </c>
      <c r="AL763" s="16">
        <v>29055</v>
      </c>
      <c r="AM763" s="16"/>
      <c r="AN763" s="16"/>
      <c r="AO763" s="16">
        <v>823</v>
      </c>
      <c r="AP763" s="16" t="s">
        <v>485</v>
      </c>
      <c r="AQ763" s="16" t="s">
        <v>6697</v>
      </c>
      <c r="AR763" s="3">
        <v>46274</v>
      </c>
      <c r="AS763" s="16" t="s">
        <v>87</v>
      </c>
      <c r="AT763" s="16" t="s">
        <v>516</v>
      </c>
      <c r="AU763" s="16"/>
      <c r="AV763" s="16" t="s">
        <v>6698</v>
      </c>
      <c r="AW763" s="16"/>
      <c r="AX763" s="16"/>
      <c r="AY763" s="16"/>
      <c r="AZ763" s="16"/>
      <c r="BA763" s="16"/>
      <c r="BB763" s="16"/>
      <c r="BC763" s="16"/>
      <c r="BD763" s="16" t="s">
        <v>87</v>
      </c>
      <c r="BE763" s="16">
        <v>29</v>
      </c>
      <c r="BF763" s="16"/>
      <c r="BG763" s="16"/>
      <c r="BH763" s="16" t="s">
        <v>491</v>
      </c>
      <c r="BI763" s="16">
        <v>152688175</v>
      </c>
      <c r="BJ763" s="16"/>
      <c r="BK763" s="16"/>
      <c r="BL763" s="16"/>
      <c r="BM763" s="16"/>
      <c r="BN763" s="16"/>
      <c r="BO763" s="16"/>
      <c r="BP763" s="16"/>
      <c r="BQ763" s="16"/>
      <c r="BR763" s="16"/>
      <c r="BS763" s="16"/>
      <c r="BT763" s="16"/>
      <c r="BU763" s="16"/>
      <c r="BV763" s="16"/>
      <c r="BW763" s="16"/>
      <c r="BX763" s="16"/>
      <c r="BY763" s="16"/>
      <c r="BZ763" s="16"/>
      <c r="CA763" s="190">
        <v>46285.666666666701</v>
      </c>
      <c r="CB763" s="3"/>
      <c r="CC763" s="16"/>
      <c r="CD763" s="16"/>
      <c r="CE763" s="16"/>
      <c r="CF763" s="16"/>
      <c r="CG763" s="16"/>
      <c r="CH763" s="16"/>
      <c r="CI763" s="16" t="s">
        <v>6699</v>
      </c>
    </row>
    <row r="764" spans="1:87">
      <c r="A764" s="16" t="s">
        <v>5</v>
      </c>
      <c r="B764" s="16" t="s">
        <v>5888</v>
      </c>
      <c r="C764" s="3">
        <v>46282</v>
      </c>
      <c r="D764" s="16" t="s">
        <v>14</v>
      </c>
      <c r="E764" s="16" t="s">
        <v>6700</v>
      </c>
      <c r="F764" s="16">
        <v>2026229420270</v>
      </c>
      <c r="G764" s="16">
        <v>30</v>
      </c>
      <c r="H764" s="16">
        <v>30</v>
      </c>
      <c r="I764" s="16" t="s">
        <v>809</v>
      </c>
      <c r="J764" s="16" t="s">
        <v>6700</v>
      </c>
      <c r="K764" s="16" t="s">
        <v>1201</v>
      </c>
      <c r="L764" s="16" t="s">
        <v>17</v>
      </c>
      <c r="M764" s="16">
        <v>7</v>
      </c>
      <c r="N764" s="16" t="s">
        <v>462</v>
      </c>
      <c r="O764" s="16" t="s">
        <v>606</v>
      </c>
      <c r="P764" s="16" t="s">
        <v>6701</v>
      </c>
      <c r="Q764" s="16" t="s">
        <v>465</v>
      </c>
      <c r="R764" s="16" t="s">
        <v>466</v>
      </c>
      <c r="S764" s="16" t="s">
        <v>6702</v>
      </c>
      <c r="T764" s="16">
        <v>270142</v>
      </c>
      <c r="U764" s="16">
        <v>46273.920138888891</v>
      </c>
      <c r="V764" s="16" t="s">
        <v>469</v>
      </c>
      <c r="W764" s="16" t="s">
        <v>568</v>
      </c>
      <c r="X764" s="16" t="s">
        <v>471</v>
      </c>
      <c r="Y764" s="16" t="s">
        <v>1724</v>
      </c>
      <c r="Z764" s="16" t="s">
        <v>1338</v>
      </c>
      <c r="AA764" s="16" t="s">
        <v>474</v>
      </c>
      <c r="AB764" s="16" t="s">
        <v>6703</v>
      </c>
      <c r="AC764" s="16" t="s">
        <v>476</v>
      </c>
      <c r="AD764" s="16">
        <v>391990012</v>
      </c>
      <c r="AE764" s="16">
        <v>1942970405</v>
      </c>
      <c r="AF764" s="16">
        <v>1942719166</v>
      </c>
      <c r="AG764" s="16"/>
      <c r="AH764" s="16"/>
      <c r="AI764" s="16" t="s">
        <v>150</v>
      </c>
      <c r="AJ764" s="16" t="s">
        <v>481</v>
      </c>
      <c r="AK764" s="16" t="s">
        <v>6704</v>
      </c>
      <c r="AL764" s="16">
        <v>9502</v>
      </c>
      <c r="AM764" s="16"/>
      <c r="AN764" s="16"/>
      <c r="AO764" s="16">
        <v>408</v>
      </c>
      <c r="AP764" s="16" t="s">
        <v>485</v>
      </c>
      <c r="AQ764" s="16" t="s">
        <v>6705</v>
      </c>
      <c r="AR764" s="3">
        <v>46274</v>
      </c>
      <c r="AS764" s="16" t="s">
        <v>150</v>
      </c>
      <c r="AT764" s="16" t="s">
        <v>6706</v>
      </c>
      <c r="AU764" s="16"/>
      <c r="AV764" s="16" t="s">
        <v>6707</v>
      </c>
      <c r="AW764" s="16"/>
      <c r="AX764" s="16"/>
      <c r="AY764" s="16"/>
      <c r="AZ764" s="16"/>
      <c r="BA764" s="16"/>
      <c r="BB764" s="16"/>
      <c r="BC764" s="16"/>
      <c r="BD764" s="16" t="s">
        <v>150</v>
      </c>
      <c r="BE764" s="16">
        <v>30</v>
      </c>
      <c r="BF764" s="16"/>
      <c r="BG764" s="16"/>
      <c r="BH764" s="16" t="s">
        <v>491</v>
      </c>
      <c r="BI764" s="16">
        <v>393133004</v>
      </c>
      <c r="BJ764" s="16"/>
      <c r="BK764" s="16"/>
      <c r="BL764" s="16"/>
      <c r="BM764" s="16"/>
      <c r="BN764" s="16"/>
      <c r="BO764" s="16"/>
      <c r="BP764" s="16"/>
      <c r="BQ764" s="16"/>
      <c r="BR764" s="16"/>
      <c r="BS764" s="16"/>
      <c r="BT764" s="16"/>
      <c r="BU764" s="16"/>
      <c r="BV764" s="16"/>
      <c r="BW764" s="16"/>
      <c r="BX764" s="16"/>
      <c r="BY764" s="16"/>
      <c r="BZ764" s="16"/>
      <c r="CA764" s="190">
        <v>46285.166666666701</v>
      </c>
      <c r="CB764" s="3"/>
      <c r="CC764" s="16"/>
      <c r="CD764" s="16"/>
      <c r="CE764" s="16"/>
      <c r="CF764" s="16"/>
      <c r="CG764" s="16"/>
      <c r="CH764" s="16"/>
      <c r="CI764" s="16" t="s">
        <v>6708</v>
      </c>
    </row>
    <row r="765" spans="1:87">
      <c r="A765" s="16" t="s">
        <v>4</v>
      </c>
      <c r="B765" s="16" t="s">
        <v>6709</v>
      </c>
      <c r="C765" s="3">
        <v>46282</v>
      </c>
      <c r="D765" s="16" t="s">
        <v>14</v>
      </c>
      <c r="E765" s="16" t="s">
        <v>6710</v>
      </c>
      <c r="F765" s="16">
        <v>2026230290025</v>
      </c>
      <c r="G765" s="16">
        <v>30</v>
      </c>
      <c r="H765" s="16">
        <v>29</v>
      </c>
      <c r="I765" s="16" t="s">
        <v>809</v>
      </c>
      <c r="J765" s="16" t="s">
        <v>6710</v>
      </c>
      <c r="K765" s="16" t="s">
        <v>994</v>
      </c>
      <c r="L765" s="16" t="s">
        <v>17</v>
      </c>
      <c r="M765" s="16">
        <v>7</v>
      </c>
      <c r="N765" s="16" t="s">
        <v>462</v>
      </c>
      <c r="O765" s="16" t="s">
        <v>606</v>
      </c>
      <c r="P765" s="16" t="s">
        <v>6711</v>
      </c>
      <c r="Q765" s="16" t="s">
        <v>465</v>
      </c>
      <c r="R765" s="16" t="s">
        <v>466</v>
      </c>
      <c r="S765" s="16" t="s">
        <v>6712</v>
      </c>
      <c r="T765" s="16" t="s">
        <v>465</v>
      </c>
      <c r="U765" s="16">
        <v>46273.874305555553</v>
      </c>
      <c r="V765" s="16" t="s">
        <v>469</v>
      </c>
      <c r="W765" s="16" t="s">
        <v>470</v>
      </c>
      <c r="X765" s="16" t="s">
        <v>471</v>
      </c>
      <c r="Y765" s="16" t="s">
        <v>472</v>
      </c>
      <c r="Z765" s="16" t="s">
        <v>612</v>
      </c>
      <c r="AA765" s="16" t="s">
        <v>474</v>
      </c>
      <c r="AB765" s="16" t="s">
        <v>6713</v>
      </c>
      <c r="AC765" s="16" t="s">
        <v>614</v>
      </c>
      <c r="AD765" s="16">
        <v>933864892</v>
      </c>
      <c r="AE765" s="16">
        <v>1154102242</v>
      </c>
      <c r="AF765" s="16">
        <v>1265094940</v>
      </c>
      <c r="AG765" s="16"/>
      <c r="AH765" s="16"/>
      <c r="AI765" s="16" t="s">
        <v>107</v>
      </c>
      <c r="AJ765" s="16" t="s">
        <v>481</v>
      </c>
      <c r="AK765" s="16" t="s">
        <v>6714</v>
      </c>
      <c r="AL765" s="16">
        <v>334.08</v>
      </c>
      <c r="AM765" s="16"/>
      <c r="AN765" s="16"/>
      <c r="AO765" s="16">
        <v>276</v>
      </c>
      <c r="AP765" s="16" t="s">
        <v>485</v>
      </c>
      <c r="AQ765" s="16" t="s">
        <v>6715</v>
      </c>
      <c r="AR765" s="3">
        <v>46274</v>
      </c>
      <c r="AS765" s="16" t="s">
        <v>107</v>
      </c>
      <c r="AT765" s="16" t="s">
        <v>516</v>
      </c>
      <c r="AU765" s="16"/>
      <c r="AV765" s="16" t="s">
        <v>6716</v>
      </c>
      <c r="AW765" s="16"/>
      <c r="AX765" s="16"/>
      <c r="AY765" s="16"/>
      <c r="AZ765" s="16"/>
      <c r="BA765" s="16"/>
      <c r="BB765" s="16"/>
      <c r="BC765" s="16"/>
      <c r="BD765" s="16" t="s">
        <v>107</v>
      </c>
      <c r="BE765" s="16">
        <v>29</v>
      </c>
      <c r="BF765" s="16"/>
      <c r="BG765" s="16"/>
      <c r="BH765" s="16" t="s">
        <v>491</v>
      </c>
      <c r="BI765" s="16">
        <v>1580319</v>
      </c>
      <c r="BJ765" s="16"/>
      <c r="BK765" s="16"/>
      <c r="BL765" s="16"/>
      <c r="BM765" s="16"/>
      <c r="BN765" s="16"/>
      <c r="BO765" s="16"/>
      <c r="BP765" s="16"/>
      <c r="BQ765" s="16"/>
      <c r="BR765" s="16"/>
      <c r="BS765" s="16"/>
      <c r="BT765" s="16"/>
      <c r="BU765" s="16"/>
      <c r="BV765" s="16"/>
      <c r="BW765" s="16"/>
      <c r="BX765" s="16"/>
      <c r="BY765" s="16"/>
      <c r="BZ765" s="16"/>
      <c r="CA765" s="190">
        <v>46285.666666666701</v>
      </c>
      <c r="CB765" s="3"/>
      <c r="CC765" s="16"/>
      <c r="CD765" s="16"/>
      <c r="CE765" s="16"/>
      <c r="CF765" s="16"/>
      <c r="CG765" s="16"/>
      <c r="CH765" s="16"/>
      <c r="CI765" s="16" t="s">
        <v>6717</v>
      </c>
    </row>
    <row r="766" spans="1:87" ht="29.25">
      <c r="A766" s="16" t="s">
        <v>5</v>
      </c>
      <c r="B766" s="25" t="s">
        <v>3331</v>
      </c>
      <c r="C766" s="3">
        <v>46282</v>
      </c>
      <c r="D766" s="16" t="s">
        <v>14</v>
      </c>
      <c r="E766" s="16" t="s">
        <v>6718</v>
      </c>
      <c r="F766" s="16">
        <v>2026229040207</v>
      </c>
      <c r="G766" s="16">
        <v>30</v>
      </c>
      <c r="H766" s="16">
        <v>30</v>
      </c>
      <c r="I766" s="16" t="s">
        <v>809</v>
      </c>
      <c r="J766" s="16" t="s">
        <v>6718</v>
      </c>
      <c r="K766" s="16" t="s">
        <v>1348</v>
      </c>
      <c r="L766" s="16" t="s">
        <v>17</v>
      </c>
      <c r="M766" s="16">
        <v>7</v>
      </c>
      <c r="N766" s="16" t="s">
        <v>462</v>
      </c>
      <c r="O766" s="16" t="s">
        <v>606</v>
      </c>
      <c r="P766" s="16">
        <v>601552230</v>
      </c>
      <c r="Q766" s="16" t="s">
        <v>465</v>
      </c>
      <c r="R766" s="16" t="s">
        <v>466</v>
      </c>
      <c r="S766" s="16" t="s">
        <v>6719</v>
      </c>
      <c r="T766" s="16" t="s">
        <v>664</v>
      </c>
      <c r="U766" s="16">
        <v>46273.72152777778</v>
      </c>
      <c r="V766" s="16" t="s">
        <v>469</v>
      </c>
      <c r="W766" s="16" t="s">
        <v>651</v>
      </c>
      <c r="X766" s="16" t="s">
        <v>652</v>
      </c>
      <c r="Y766" s="16" t="s">
        <v>653</v>
      </c>
      <c r="Z766" s="16" t="s">
        <v>665</v>
      </c>
      <c r="AA766" s="16" t="s">
        <v>474</v>
      </c>
      <c r="AB766" s="16" t="s">
        <v>666</v>
      </c>
      <c r="AC766" s="16" t="s">
        <v>640</v>
      </c>
      <c r="AD766" s="16">
        <v>830535258</v>
      </c>
      <c r="AE766" s="16">
        <v>1841767274</v>
      </c>
      <c r="AF766" s="16">
        <v>1851618060</v>
      </c>
      <c r="AG766" s="16">
        <v>2.5420253494354E+16</v>
      </c>
      <c r="AH766" s="16"/>
      <c r="AI766" s="16" t="s">
        <v>267</v>
      </c>
      <c r="AJ766" s="16" t="s">
        <v>481</v>
      </c>
      <c r="AK766" s="16" t="s">
        <v>6720</v>
      </c>
      <c r="AL766" s="16">
        <v>3313.66</v>
      </c>
      <c r="AM766" s="16"/>
      <c r="AN766" s="16"/>
      <c r="AO766" s="16">
        <v>601</v>
      </c>
      <c r="AP766" s="16" t="s">
        <v>485</v>
      </c>
      <c r="AQ766" s="16" t="s">
        <v>6721</v>
      </c>
      <c r="AR766" s="3">
        <v>46274</v>
      </c>
      <c r="AS766" s="16" t="s">
        <v>267</v>
      </c>
      <c r="AT766" s="16" t="s">
        <v>976</v>
      </c>
      <c r="AU766" s="16"/>
      <c r="AV766" s="16" t="s">
        <v>6722</v>
      </c>
      <c r="AW766" s="16"/>
      <c r="AX766" s="16"/>
      <c r="AY766" s="16"/>
      <c r="AZ766" s="16"/>
      <c r="BA766" s="16"/>
      <c r="BB766" s="16"/>
      <c r="BC766" s="16"/>
      <c r="BD766" s="16" t="s">
        <v>267</v>
      </c>
      <c r="BE766" s="16">
        <v>30</v>
      </c>
      <c r="BF766" s="16"/>
      <c r="BG766" s="16" t="s">
        <v>490</v>
      </c>
      <c r="BH766" s="16" t="s">
        <v>658</v>
      </c>
      <c r="BI766" s="16">
        <v>601552230</v>
      </c>
      <c r="BJ766" s="16"/>
      <c r="BK766" s="16"/>
      <c r="BL766" s="16"/>
      <c r="BM766" s="16"/>
      <c r="BN766" s="16"/>
      <c r="BO766" s="16"/>
      <c r="BP766" s="16"/>
      <c r="BQ766" s="16"/>
      <c r="BR766" s="16"/>
      <c r="BS766" s="16"/>
      <c r="BT766" s="16"/>
      <c r="BU766" s="16"/>
      <c r="BV766" s="16"/>
      <c r="BW766" s="16"/>
      <c r="BX766" s="16"/>
      <c r="BY766" s="16"/>
      <c r="BZ766" s="16"/>
      <c r="CA766" s="190">
        <v>46285.666666666701</v>
      </c>
      <c r="CB766" s="3"/>
      <c r="CC766" s="16"/>
      <c r="CD766" s="16"/>
      <c r="CE766" s="16"/>
      <c r="CF766" s="16"/>
      <c r="CG766" s="16"/>
      <c r="CH766" s="16"/>
      <c r="CI766" s="16" t="s">
        <v>6723</v>
      </c>
    </row>
    <row r="767" spans="1:87" ht="29.25">
      <c r="A767" s="16" t="s">
        <v>5</v>
      </c>
      <c r="B767" s="25" t="s">
        <v>5229</v>
      </c>
      <c r="C767" s="3">
        <v>46282</v>
      </c>
      <c r="D767" s="16" t="s">
        <v>14</v>
      </c>
      <c r="E767" s="16" t="s">
        <v>6724</v>
      </c>
      <c r="F767" s="16">
        <v>2026229450186</v>
      </c>
      <c r="G767" s="16">
        <v>30</v>
      </c>
      <c r="H767" s="16">
        <v>30</v>
      </c>
      <c r="I767" s="16" t="s">
        <v>809</v>
      </c>
      <c r="J767" s="16" t="s">
        <v>6724</v>
      </c>
      <c r="K767" s="16" t="s">
        <v>5231</v>
      </c>
      <c r="L767" s="16" t="s">
        <v>17</v>
      </c>
      <c r="M767" s="16">
        <v>7</v>
      </c>
      <c r="N767" s="16" t="s">
        <v>462</v>
      </c>
      <c r="O767" s="16" t="s">
        <v>606</v>
      </c>
      <c r="P767" s="16">
        <v>909891260</v>
      </c>
      <c r="Q767" s="16" t="s">
        <v>465</v>
      </c>
      <c r="R767" s="16" t="s">
        <v>466</v>
      </c>
      <c r="S767" s="16" t="s">
        <v>6725</v>
      </c>
      <c r="T767" s="16">
        <v>173326</v>
      </c>
      <c r="U767" s="16">
        <v>46273.809027777781</v>
      </c>
      <c r="V767" s="16" t="s">
        <v>469</v>
      </c>
      <c r="W767" s="16" t="s">
        <v>651</v>
      </c>
      <c r="X767" s="16" t="s">
        <v>652</v>
      </c>
      <c r="Y767" s="16" t="s">
        <v>653</v>
      </c>
      <c r="Z767" s="16" t="s">
        <v>473</v>
      </c>
      <c r="AA767" s="16" t="s">
        <v>474</v>
      </c>
      <c r="AB767" s="16" t="s">
        <v>684</v>
      </c>
      <c r="AC767" s="16" t="s">
        <v>476</v>
      </c>
      <c r="AD767" s="16">
        <v>391824445</v>
      </c>
      <c r="AE767" s="16">
        <v>1598784555</v>
      </c>
      <c r="AF767" s="16">
        <v>1881940054</v>
      </c>
      <c r="AG767" s="16">
        <v>4.5820252810025104E+16</v>
      </c>
      <c r="AH767" s="16"/>
      <c r="AI767" s="16" t="s">
        <v>63</v>
      </c>
      <c r="AJ767" s="16" t="s">
        <v>481</v>
      </c>
      <c r="AK767" s="16" t="s">
        <v>6726</v>
      </c>
      <c r="AL767" s="16">
        <v>26672.5</v>
      </c>
      <c r="AM767" s="16"/>
      <c r="AN767" s="16"/>
      <c r="AO767" s="16">
        <v>909</v>
      </c>
      <c r="AP767" s="16" t="s">
        <v>485</v>
      </c>
      <c r="AQ767" s="16" t="s">
        <v>6727</v>
      </c>
      <c r="AR767" s="3">
        <v>46274</v>
      </c>
      <c r="AS767" s="16" t="s">
        <v>63</v>
      </c>
      <c r="AT767" s="16" t="s">
        <v>1038</v>
      </c>
      <c r="AU767" s="16"/>
      <c r="AV767" s="16" t="s">
        <v>6728</v>
      </c>
      <c r="AW767" s="16"/>
      <c r="AX767" s="16"/>
      <c r="AY767" s="16"/>
      <c r="AZ767" s="16"/>
      <c r="BA767" s="16"/>
      <c r="BB767" s="16"/>
      <c r="BC767" s="16"/>
      <c r="BD767" s="16" t="s">
        <v>63</v>
      </c>
      <c r="BE767" s="16">
        <v>30</v>
      </c>
      <c r="BF767" s="16"/>
      <c r="BG767" s="16"/>
      <c r="BH767" s="16" t="s">
        <v>658</v>
      </c>
      <c r="BI767" s="16">
        <v>909891260</v>
      </c>
      <c r="BJ767" s="16"/>
      <c r="BK767" s="16"/>
      <c r="BL767" s="16"/>
      <c r="BM767" s="16"/>
      <c r="BN767" s="16"/>
      <c r="BO767" s="16"/>
      <c r="BP767" s="16"/>
      <c r="BQ767" s="16"/>
      <c r="BR767" s="16"/>
      <c r="BS767" s="16"/>
      <c r="BT767" s="16"/>
      <c r="BU767" s="16"/>
      <c r="BV767" s="16"/>
      <c r="BW767" s="16"/>
      <c r="BX767" s="16"/>
      <c r="BY767" s="16"/>
      <c r="BZ767" s="16"/>
      <c r="CA767" s="190">
        <v>46282.666666666701</v>
      </c>
      <c r="CB767" s="3"/>
      <c r="CC767" s="16"/>
      <c r="CD767" s="16"/>
      <c r="CE767" s="16"/>
      <c r="CF767" s="16"/>
      <c r="CG767" s="16"/>
      <c r="CH767" s="16"/>
      <c r="CI767" s="16" t="s">
        <v>6729</v>
      </c>
    </row>
    <row r="768" spans="1:87">
      <c r="A768" s="16"/>
      <c r="B768" s="16"/>
      <c r="C768" s="3">
        <v>46282</v>
      </c>
      <c r="D768" s="16" t="s">
        <v>14</v>
      </c>
      <c r="E768" s="16" t="s">
        <v>6730</v>
      </c>
      <c r="F768" s="16">
        <v>2026229910462</v>
      </c>
      <c r="G768" s="16">
        <v>30</v>
      </c>
      <c r="H768" s="16">
        <v>30</v>
      </c>
      <c r="I768" s="16" t="s">
        <v>809</v>
      </c>
      <c r="J768" s="16" t="s">
        <v>6730</v>
      </c>
      <c r="K768" s="16" t="s">
        <v>1040</v>
      </c>
      <c r="L768" s="16" t="s">
        <v>17</v>
      </c>
      <c r="M768" s="16">
        <v>7</v>
      </c>
      <c r="N768" s="16" t="s">
        <v>462</v>
      </c>
      <c r="O768" s="16" t="s">
        <v>606</v>
      </c>
      <c r="P768" s="16" t="s">
        <v>6731</v>
      </c>
      <c r="Q768" s="16" t="s">
        <v>6732</v>
      </c>
      <c r="R768" s="16" t="s">
        <v>466</v>
      </c>
      <c r="S768" s="16" t="s">
        <v>6733</v>
      </c>
      <c r="T768" s="16" t="s">
        <v>6734</v>
      </c>
      <c r="U768" s="16">
        <v>46273.890972222223</v>
      </c>
      <c r="V768" s="16" t="s">
        <v>469</v>
      </c>
      <c r="W768" s="16" t="s">
        <v>470</v>
      </c>
      <c r="X768" s="16" t="s">
        <v>471</v>
      </c>
      <c r="Y768" s="16" t="s">
        <v>628</v>
      </c>
      <c r="Z768" s="16" t="s">
        <v>638</v>
      </c>
      <c r="AA768" s="16" t="s">
        <v>474</v>
      </c>
      <c r="AB768" s="16" t="s">
        <v>6735</v>
      </c>
      <c r="AC768" s="16" t="s">
        <v>465</v>
      </c>
      <c r="AD768" s="16">
        <v>350867958</v>
      </c>
      <c r="AE768" s="16">
        <v>1225195340</v>
      </c>
      <c r="AF768" s="16"/>
      <c r="AG768" s="16"/>
      <c r="AH768" s="16"/>
      <c r="AI768" s="16" t="s">
        <v>173</v>
      </c>
      <c r="AJ768" s="16" t="s">
        <v>481</v>
      </c>
      <c r="AK768" s="16" t="s">
        <v>6736</v>
      </c>
      <c r="AL768" s="16">
        <v>325575.33</v>
      </c>
      <c r="AM768" s="16"/>
      <c r="AN768" s="16"/>
      <c r="AO768" s="16">
        <v>225</v>
      </c>
      <c r="AP768" s="16" t="s">
        <v>485</v>
      </c>
      <c r="AQ768" s="16" t="s">
        <v>6737</v>
      </c>
      <c r="AR768" s="3">
        <v>46274</v>
      </c>
      <c r="AS768" s="16" t="s">
        <v>173</v>
      </c>
      <c r="AT768" s="16" t="s">
        <v>1047</v>
      </c>
      <c r="AU768" s="16"/>
      <c r="AV768" s="16" t="s">
        <v>4592</v>
      </c>
      <c r="AW768" s="16"/>
      <c r="AX768" s="16"/>
      <c r="AY768" s="16"/>
      <c r="AZ768" s="16"/>
      <c r="BA768" s="16"/>
      <c r="BB768" s="16"/>
      <c r="BC768" s="16"/>
      <c r="BD768" s="16" t="s">
        <v>173</v>
      </c>
      <c r="BE768" s="16">
        <v>29</v>
      </c>
      <c r="BF768" s="16"/>
      <c r="BG768" s="16" t="s">
        <v>6738</v>
      </c>
      <c r="BH768" s="16" t="s">
        <v>491</v>
      </c>
      <c r="BI768" s="16">
        <v>308845862</v>
      </c>
      <c r="BJ768" s="16"/>
      <c r="BK768" s="16"/>
      <c r="BL768" s="16"/>
      <c r="BM768" s="16"/>
      <c r="BN768" s="16"/>
      <c r="BO768" s="16"/>
      <c r="BP768" s="16"/>
      <c r="BQ768" s="16"/>
      <c r="BR768" s="16"/>
      <c r="BS768" s="16"/>
      <c r="BT768" s="16"/>
      <c r="BU768" s="16"/>
      <c r="BV768" s="16"/>
      <c r="BW768" s="16"/>
      <c r="BX768" s="16"/>
      <c r="BY768" s="16"/>
      <c r="BZ768" s="16"/>
      <c r="CA768" s="190">
        <v>46281</v>
      </c>
      <c r="CB768" s="3"/>
      <c r="CC768" s="16"/>
      <c r="CD768" s="16"/>
      <c r="CE768" s="16"/>
      <c r="CF768" s="16"/>
      <c r="CG768" s="16"/>
      <c r="CH768" s="16"/>
      <c r="CI768" s="16" t="s">
        <v>6739</v>
      </c>
    </row>
    <row r="769" spans="1:87">
      <c r="A769" s="16"/>
      <c r="B769" s="16"/>
      <c r="C769" s="3">
        <v>46282</v>
      </c>
      <c r="D769" s="16" t="s">
        <v>14</v>
      </c>
      <c r="E769" s="16" t="s">
        <v>6740</v>
      </c>
      <c r="F769" s="16">
        <v>2026229800413</v>
      </c>
      <c r="G769" s="16">
        <v>30</v>
      </c>
      <c r="H769" s="16">
        <v>30</v>
      </c>
      <c r="I769" s="16" t="s">
        <v>809</v>
      </c>
      <c r="J769" s="16" t="s">
        <v>6740</v>
      </c>
      <c r="K769" s="16" t="s">
        <v>810</v>
      </c>
      <c r="L769" s="16" t="s">
        <v>17</v>
      </c>
      <c r="M769" s="16">
        <v>7</v>
      </c>
      <c r="N769" s="16" t="s">
        <v>462</v>
      </c>
      <c r="O769" s="16" t="s">
        <v>606</v>
      </c>
      <c r="P769" s="16" t="s">
        <v>6741</v>
      </c>
      <c r="Q769" s="16" t="s">
        <v>465</v>
      </c>
      <c r="R769" s="16" t="s">
        <v>466</v>
      </c>
      <c r="S769" s="16" t="s">
        <v>6742</v>
      </c>
      <c r="T769" s="16" t="s">
        <v>2318</v>
      </c>
      <c r="U769" s="16">
        <v>46273.818055555559</v>
      </c>
      <c r="V769" s="16" t="s">
        <v>469</v>
      </c>
      <c r="W769" s="16" t="s">
        <v>470</v>
      </c>
      <c r="X769" s="16" t="s">
        <v>471</v>
      </c>
      <c r="Y769" s="16" t="s">
        <v>628</v>
      </c>
      <c r="Z769" s="16" t="s">
        <v>501</v>
      </c>
      <c r="AA769" s="16" t="s">
        <v>474</v>
      </c>
      <c r="AB769" s="16" t="s">
        <v>6743</v>
      </c>
      <c r="AC769" s="16" t="s">
        <v>503</v>
      </c>
      <c r="AD769" s="16">
        <v>540885859</v>
      </c>
      <c r="AE769" s="16">
        <v>1265470645</v>
      </c>
      <c r="AF769" s="16">
        <v>1306288816</v>
      </c>
      <c r="AG769" s="16"/>
      <c r="AH769" s="16"/>
      <c r="AI769" s="16" t="s">
        <v>37</v>
      </c>
      <c r="AJ769" s="16" t="s">
        <v>481</v>
      </c>
      <c r="AK769" s="16" t="s">
        <v>6744</v>
      </c>
      <c r="AL769" s="16">
        <v>15245</v>
      </c>
      <c r="AM769" s="16"/>
      <c r="AN769" s="16"/>
      <c r="AO769" s="16">
        <v>988</v>
      </c>
      <c r="AP769" s="16" t="s">
        <v>485</v>
      </c>
      <c r="AQ769" s="16" t="s">
        <v>6745</v>
      </c>
      <c r="AR769" s="3">
        <v>46274</v>
      </c>
      <c r="AS769" s="16" t="s">
        <v>37</v>
      </c>
      <c r="AT769" s="16" t="s">
        <v>1119</v>
      </c>
      <c r="AU769" s="16"/>
      <c r="AV769" s="16" t="s">
        <v>6746</v>
      </c>
      <c r="AW769" s="16"/>
      <c r="AX769" s="16"/>
      <c r="AY769" s="16"/>
      <c r="AZ769" s="16"/>
      <c r="BA769" s="16"/>
      <c r="BB769" s="16"/>
      <c r="BC769" s="16"/>
      <c r="BD769" s="16" t="s">
        <v>37</v>
      </c>
      <c r="BE769" s="16">
        <v>30</v>
      </c>
      <c r="BF769" s="16"/>
      <c r="BG769" s="16"/>
      <c r="BH769" s="16" t="s">
        <v>491</v>
      </c>
      <c r="BI769" s="16">
        <v>223786256</v>
      </c>
      <c r="BJ769" s="16"/>
      <c r="BK769" s="16"/>
      <c r="BL769" s="16"/>
      <c r="BM769" s="16"/>
      <c r="BN769" s="16"/>
      <c r="BO769" s="16"/>
      <c r="BP769" s="16"/>
      <c r="BQ769" s="16"/>
      <c r="BR769" s="16"/>
      <c r="BS769" s="16"/>
      <c r="BT769" s="16"/>
      <c r="BU769" s="16"/>
      <c r="BV769" s="16"/>
      <c r="BW769" s="16"/>
      <c r="BX769" s="16"/>
      <c r="BY769" s="16"/>
      <c r="BZ769" s="16"/>
      <c r="CA769" s="190">
        <v>46281</v>
      </c>
      <c r="CB769" s="3"/>
      <c r="CC769" s="16"/>
      <c r="CD769" s="16"/>
      <c r="CE769" s="16"/>
      <c r="CF769" s="16"/>
      <c r="CG769" s="16"/>
      <c r="CH769" s="16"/>
      <c r="CI769" s="16" t="s">
        <v>6747</v>
      </c>
    </row>
    <row r="770" spans="1:87">
      <c r="A770" s="16"/>
      <c r="B770" s="16"/>
      <c r="C770" s="3">
        <v>46282</v>
      </c>
      <c r="D770" s="16" t="s">
        <v>14</v>
      </c>
      <c r="E770" s="16" t="s">
        <v>6748</v>
      </c>
      <c r="F770" s="16">
        <v>2026229640398</v>
      </c>
      <c r="G770" s="16">
        <v>30</v>
      </c>
      <c r="H770" s="16">
        <v>30</v>
      </c>
      <c r="I770" s="16" t="s">
        <v>809</v>
      </c>
      <c r="J770" s="16" t="s">
        <v>6748</v>
      </c>
      <c r="K770" s="16" t="s">
        <v>662</v>
      </c>
      <c r="L770" s="16" t="s">
        <v>13</v>
      </c>
      <c r="M770" s="16">
        <v>7</v>
      </c>
      <c r="N770" s="16" t="s">
        <v>462</v>
      </c>
      <c r="O770" s="16" t="s">
        <v>606</v>
      </c>
      <c r="P770" s="16" t="s">
        <v>6749</v>
      </c>
      <c r="Q770" s="16" t="s">
        <v>465</v>
      </c>
      <c r="R770" s="16" t="s">
        <v>466</v>
      </c>
      <c r="S770" s="16" t="s">
        <v>6750</v>
      </c>
      <c r="T770" s="16" t="s">
        <v>465</v>
      </c>
      <c r="U770" s="16">
        <v>46273.813888888886</v>
      </c>
      <c r="V770" s="16" t="s">
        <v>469</v>
      </c>
      <c r="W770" s="16" t="s">
        <v>470</v>
      </c>
      <c r="X770" s="16" t="s">
        <v>471</v>
      </c>
      <c r="Y770" s="16" t="s">
        <v>472</v>
      </c>
      <c r="Z770" s="16" t="s">
        <v>731</v>
      </c>
      <c r="AA770" s="16" t="s">
        <v>474</v>
      </c>
      <c r="AB770" s="16" t="s">
        <v>6751</v>
      </c>
      <c r="AC770" s="16" t="s">
        <v>733</v>
      </c>
      <c r="AD770" s="16">
        <v>474196634</v>
      </c>
      <c r="AE770" s="16">
        <v>1942685920</v>
      </c>
      <c r="AF770" s="16"/>
      <c r="AG770" s="16"/>
      <c r="AH770" s="16"/>
      <c r="AI770" s="16" t="s">
        <v>138</v>
      </c>
      <c r="AJ770" s="16" t="s">
        <v>481</v>
      </c>
      <c r="AK770" s="16" t="s">
        <v>6752</v>
      </c>
      <c r="AL770" s="16">
        <v>212910.55</v>
      </c>
      <c r="AM770" s="16"/>
      <c r="AN770" s="16"/>
      <c r="AO770" s="16">
        <v>239</v>
      </c>
      <c r="AP770" s="16" t="s">
        <v>485</v>
      </c>
      <c r="AQ770" s="16" t="s">
        <v>6753</v>
      </c>
      <c r="AR770" s="3">
        <v>46274</v>
      </c>
      <c r="AS770" s="16" t="s">
        <v>138</v>
      </c>
      <c r="AT770" s="16" t="s">
        <v>1728</v>
      </c>
      <c r="AU770" s="16"/>
      <c r="AV770" s="16" t="s">
        <v>844</v>
      </c>
      <c r="AW770" s="16"/>
      <c r="AX770" s="16"/>
      <c r="AY770" s="16"/>
      <c r="AZ770" s="16"/>
      <c r="BA770" s="16"/>
      <c r="BB770" s="16"/>
      <c r="BC770" s="16"/>
      <c r="BD770" s="16" t="s">
        <v>138</v>
      </c>
      <c r="BE770" s="16">
        <v>30</v>
      </c>
      <c r="BF770" s="16"/>
      <c r="BG770" s="16"/>
      <c r="BH770" s="16" t="s">
        <v>491</v>
      </c>
      <c r="BI770" s="16">
        <v>499023839</v>
      </c>
      <c r="BJ770" s="16"/>
      <c r="BK770" s="16"/>
      <c r="BL770" s="16"/>
      <c r="BM770" s="16"/>
      <c r="BN770" s="16"/>
      <c r="BO770" s="16"/>
      <c r="BP770" s="16"/>
      <c r="BQ770" s="16"/>
      <c r="BR770" s="16"/>
      <c r="BS770" s="16"/>
      <c r="BT770" s="16"/>
      <c r="BU770" s="16"/>
      <c r="BV770" s="16"/>
      <c r="BW770" s="16"/>
      <c r="BX770" s="16"/>
      <c r="BY770" s="16"/>
      <c r="BZ770" s="16"/>
      <c r="CA770" s="190">
        <v>46281</v>
      </c>
      <c r="CB770" s="3"/>
      <c r="CC770" s="16"/>
      <c r="CD770" s="16"/>
      <c r="CE770" s="16"/>
      <c r="CF770" s="16"/>
      <c r="CG770" s="16"/>
      <c r="CH770" s="16"/>
      <c r="CI770" s="16" t="s">
        <v>6754</v>
      </c>
    </row>
    <row r="771" spans="1:87" ht="29.25">
      <c r="A771" s="16" t="s">
        <v>5</v>
      </c>
      <c r="B771" s="25" t="s">
        <v>3597</v>
      </c>
      <c r="C771" s="3">
        <v>46282</v>
      </c>
      <c r="D771" s="16" t="s">
        <v>14</v>
      </c>
      <c r="E771" s="16" t="s">
        <v>6755</v>
      </c>
      <c r="F771" s="16"/>
      <c r="G771" s="16">
        <v>30</v>
      </c>
      <c r="H771" s="16">
        <v>30</v>
      </c>
      <c r="I771" s="16" t="s">
        <v>809</v>
      </c>
      <c r="J771" s="16" t="s">
        <v>6755</v>
      </c>
      <c r="K771" s="16" t="s">
        <v>518</v>
      </c>
      <c r="L771" s="16" t="s">
        <v>17</v>
      </c>
      <c r="M771" s="16">
        <v>7</v>
      </c>
      <c r="N771" s="16" t="s">
        <v>462</v>
      </c>
      <c r="O771" s="16" t="s">
        <v>606</v>
      </c>
      <c r="P771" s="16">
        <v>971945159</v>
      </c>
      <c r="Q771" s="16" t="s">
        <v>465</v>
      </c>
      <c r="R771" s="16" t="s">
        <v>1056</v>
      </c>
      <c r="S771" s="16" t="s">
        <v>6756</v>
      </c>
      <c r="T771" s="16">
        <v>3563</v>
      </c>
      <c r="U771" s="16">
        <v>46273.742361111108</v>
      </c>
      <c r="V771" s="16" t="s">
        <v>469</v>
      </c>
      <c r="W771" s="16" t="s">
        <v>470</v>
      </c>
      <c r="X771" s="16" t="s">
        <v>471</v>
      </c>
      <c r="Y771" s="16" t="s">
        <v>628</v>
      </c>
      <c r="Z771" s="16" t="s">
        <v>1338</v>
      </c>
      <c r="AA771" s="16" t="s">
        <v>1354</v>
      </c>
      <c r="AB771" s="16" t="s">
        <v>6757</v>
      </c>
      <c r="AC771" s="16" t="s">
        <v>1429</v>
      </c>
      <c r="AD771" s="16">
        <v>510501263</v>
      </c>
      <c r="AE771" s="16">
        <v>1649209123</v>
      </c>
      <c r="AF771" s="16">
        <v>1649209123</v>
      </c>
      <c r="AG771" s="16"/>
      <c r="AH771" s="16"/>
      <c r="AI771" s="16" t="s">
        <v>87</v>
      </c>
      <c r="AJ771" s="16" t="s">
        <v>481</v>
      </c>
      <c r="AK771" s="16" t="s">
        <v>6758</v>
      </c>
      <c r="AL771" s="16">
        <v>245</v>
      </c>
      <c r="AM771" s="16"/>
      <c r="AN771" s="16"/>
      <c r="AO771" s="16">
        <v>97</v>
      </c>
      <c r="AP771" s="16" t="s">
        <v>1063</v>
      </c>
      <c r="AQ771" s="16" t="s">
        <v>6759</v>
      </c>
      <c r="AR771" s="3">
        <v>46274</v>
      </c>
      <c r="AS771" s="16" t="s">
        <v>87</v>
      </c>
      <c r="AT771" s="16" t="s">
        <v>516</v>
      </c>
      <c r="AU771" s="16"/>
      <c r="AV771" s="16" t="s">
        <v>3674</v>
      </c>
      <c r="AW771" s="16"/>
      <c r="AX771" s="16"/>
      <c r="AY771" s="16"/>
      <c r="AZ771" s="16"/>
      <c r="BA771" s="16"/>
      <c r="BB771" s="16"/>
      <c r="BC771" s="16"/>
      <c r="BD771" s="16" t="s">
        <v>87</v>
      </c>
      <c r="BE771" s="16">
        <v>30</v>
      </c>
      <c r="BF771" s="16"/>
      <c r="BG771" s="16" t="s">
        <v>490</v>
      </c>
      <c r="BH771" s="16" t="s">
        <v>491</v>
      </c>
      <c r="BI771" s="16">
        <v>40645980</v>
      </c>
      <c r="BJ771" s="16"/>
      <c r="BK771" s="16"/>
      <c r="BL771" s="16"/>
      <c r="BM771" s="16"/>
      <c r="BN771" s="16"/>
      <c r="BO771" s="16"/>
      <c r="BP771" s="16"/>
      <c r="BQ771" s="16"/>
      <c r="BR771" s="16"/>
      <c r="BS771" s="16"/>
      <c r="BT771" s="16"/>
      <c r="BU771" s="16"/>
      <c r="BV771" s="16"/>
      <c r="BW771" s="16"/>
      <c r="BX771" s="16"/>
      <c r="BY771" s="16"/>
      <c r="BZ771" s="16"/>
      <c r="CA771" s="190">
        <v>46285.666666666701</v>
      </c>
      <c r="CB771" s="3"/>
      <c r="CC771" s="16"/>
      <c r="CD771" s="16"/>
      <c r="CE771" s="16"/>
      <c r="CF771" s="16"/>
      <c r="CG771" s="16"/>
      <c r="CH771" s="16"/>
      <c r="CI771" s="16" t="s">
        <v>6760</v>
      </c>
    </row>
    <row r="772" spans="1:87">
      <c r="A772" s="16" t="s">
        <v>4</v>
      </c>
      <c r="B772" s="16" t="s">
        <v>4</v>
      </c>
      <c r="C772" s="3">
        <v>46282</v>
      </c>
      <c r="D772" s="16" t="s">
        <v>14</v>
      </c>
      <c r="E772" s="16" t="s">
        <v>6761</v>
      </c>
      <c r="F772" s="16">
        <v>2026230800130</v>
      </c>
      <c r="G772" s="16">
        <v>30</v>
      </c>
      <c r="H772" s="16">
        <v>29</v>
      </c>
      <c r="I772" s="16" t="s">
        <v>809</v>
      </c>
      <c r="J772" s="16" t="s">
        <v>6761</v>
      </c>
      <c r="K772" s="16" t="s">
        <v>518</v>
      </c>
      <c r="L772" s="16" t="s">
        <v>17</v>
      </c>
      <c r="M772" s="16">
        <v>7</v>
      </c>
      <c r="N772" s="16" t="s">
        <v>462</v>
      </c>
      <c r="O772" s="16" t="s">
        <v>606</v>
      </c>
      <c r="P772" s="16">
        <v>813654717</v>
      </c>
      <c r="Q772" s="16" t="s">
        <v>465</v>
      </c>
      <c r="R772" s="16" t="s">
        <v>466</v>
      </c>
      <c r="S772" s="16" t="s">
        <v>6762</v>
      </c>
      <c r="T772" s="16">
        <v>173327</v>
      </c>
      <c r="U772" s="16">
        <v>46273.933333333334</v>
      </c>
      <c r="V772" s="16" t="s">
        <v>469</v>
      </c>
      <c r="W772" s="16" t="s">
        <v>651</v>
      </c>
      <c r="X772" s="16" t="s">
        <v>652</v>
      </c>
      <c r="Y772" s="16" t="s">
        <v>653</v>
      </c>
      <c r="Z772" s="16" t="s">
        <v>524</v>
      </c>
      <c r="AA772" s="16" t="s">
        <v>474</v>
      </c>
      <c r="AB772" s="16" t="s">
        <v>757</v>
      </c>
      <c r="AC772" s="16" t="s">
        <v>526</v>
      </c>
      <c r="AD772" s="16">
        <v>932446694</v>
      </c>
      <c r="AE772" s="16">
        <v>1285400978</v>
      </c>
      <c r="AF772" s="16">
        <v>1902985583</v>
      </c>
      <c r="AG772" s="16">
        <v>3.30202532137007E+16</v>
      </c>
      <c r="AH772" s="16"/>
      <c r="AI772" s="16" t="s">
        <v>87</v>
      </c>
      <c r="AJ772" s="16" t="s">
        <v>481</v>
      </c>
      <c r="AK772" s="16" t="s">
        <v>6763</v>
      </c>
      <c r="AL772" s="16">
        <v>515</v>
      </c>
      <c r="AM772" s="16"/>
      <c r="AN772" s="16"/>
      <c r="AO772" s="16">
        <v>813</v>
      </c>
      <c r="AP772" s="16" t="s">
        <v>485</v>
      </c>
      <c r="AQ772" s="16" t="s">
        <v>6764</v>
      </c>
      <c r="AR772" s="3">
        <v>46274</v>
      </c>
      <c r="AS772" s="16" t="s">
        <v>87</v>
      </c>
      <c r="AT772" s="16" t="s">
        <v>516</v>
      </c>
      <c r="AU772" s="16"/>
      <c r="AV772" s="16" t="s">
        <v>6765</v>
      </c>
      <c r="AW772" s="16"/>
      <c r="AX772" s="16"/>
      <c r="AY772" s="16"/>
      <c r="AZ772" s="16"/>
      <c r="BA772" s="16"/>
      <c r="BB772" s="16"/>
      <c r="BC772" s="16"/>
      <c r="BD772" s="16" t="s">
        <v>87</v>
      </c>
      <c r="BE772" s="16">
        <v>29</v>
      </c>
      <c r="BF772" s="16"/>
      <c r="BG772" s="16" t="s">
        <v>490</v>
      </c>
      <c r="BH772" s="16" t="s">
        <v>658</v>
      </c>
      <c r="BI772" s="16">
        <v>813654717</v>
      </c>
      <c r="BJ772" s="16"/>
      <c r="BK772" s="16"/>
      <c r="BL772" s="16"/>
      <c r="BM772" s="16"/>
      <c r="BN772" s="16"/>
      <c r="BO772" s="16"/>
      <c r="BP772" s="16"/>
      <c r="BQ772" s="16"/>
      <c r="BR772" s="16"/>
      <c r="BS772" s="16"/>
      <c r="BT772" s="16"/>
      <c r="BU772" s="16"/>
      <c r="BV772" s="16"/>
      <c r="BW772" s="16"/>
      <c r="BX772" s="16"/>
      <c r="BY772" s="16"/>
      <c r="BZ772" s="16"/>
      <c r="CA772" s="190">
        <v>46285.666666666701</v>
      </c>
      <c r="CB772" s="3"/>
      <c r="CC772" s="16"/>
      <c r="CD772" s="16"/>
      <c r="CE772" s="16"/>
      <c r="CF772" s="16"/>
      <c r="CG772" s="16"/>
      <c r="CH772" s="16"/>
      <c r="CI772" s="16" t="s">
        <v>6766</v>
      </c>
    </row>
    <row r="773" spans="1:87">
      <c r="A773" s="16"/>
      <c r="B773" s="16"/>
      <c r="C773" s="3">
        <v>46282</v>
      </c>
      <c r="D773" s="16" t="s">
        <v>14</v>
      </c>
      <c r="E773" s="16" t="s">
        <v>6767</v>
      </c>
      <c r="F773" s="16">
        <v>2026229630468</v>
      </c>
      <c r="G773" s="16">
        <v>30</v>
      </c>
      <c r="H773" s="16">
        <v>30</v>
      </c>
      <c r="I773" s="16" t="s">
        <v>809</v>
      </c>
      <c r="J773" s="16" t="s">
        <v>6767</v>
      </c>
      <c r="K773" s="16" t="s">
        <v>1512</v>
      </c>
      <c r="L773" s="16" t="s">
        <v>17</v>
      </c>
      <c r="M773" s="16">
        <v>7</v>
      </c>
      <c r="N773" s="16" t="s">
        <v>462</v>
      </c>
      <c r="O773" s="16" t="s">
        <v>606</v>
      </c>
      <c r="P773" s="16">
        <v>805721986</v>
      </c>
      <c r="Q773" s="16" t="s">
        <v>465</v>
      </c>
      <c r="R773" s="16" t="s">
        <v>466</v>
      </c>
      <c r="S773" s="16" t="s">
        <v>6768</v>
      </c>
      <c r="T773" s="16" t="s">
        <v>664</v>
      </c>
      <c r="U773" s="16">
        <v>46273.84097222222</v>
      </c>
      <c r="V773" s="16" t="s">
        <v>469</v>
      </c>
      <c r="W773" s="16" t="s">
        <v>651</v>
      </c>
      <c r="X773" s="16" t="s">
        <v>652</v>
      </c>
      <c r="Y773" s="16" t="s">
        <v>653</v>
      </c>
      <c r="Z773" s="16" t="s">
        <v>665</v>
      </c>
      <c r="AA773" s="16" t="s">
        <v>474</v>
      </c>
      <c r="AB773" s="16" t="s">
        <v>666</v>
      </c>
      <c r="AC773" s="16" t="s">
        <v>640</v>
      </c>
      <c r="AD773" s="16">
        <v>135562308</v>
      </c>
      <c r="AE773" s="16">
        <v>1285826438</v>
      </c>
      <c r="AF773" s="16">
        <v>1194067322</v>
      </c>
      <c r="AG773" s="16">
        <v>2.54202521347545E+16</v>
      </c>
      <c r="AH773" s="16"/>
      <c r="AI773" s="16" t="s">
        <v>149</v>
      </c>
      <c r="AJ773" s="16" t="s">
        <v>481</v>
      </c>
      <c r="AK773" s="16" t="s">
        <v>6769</v>
      </c>
      <c r="AL773" s="16">
        <v>15375</v>
      </c>
      <c r="AM773" s="16"/>
      <c r="AN773" s="16"/>
      <c r="AO773" s="16">
        <v>805</v>
      </c>
      <c r="AP773" s="16" t="s">
        <v>485</v>
      </c>
      <c r="AQ773" s="16" t="s">
        <v>6770</v>
      </c>
      <c r="AR773" s="3">
        <v>46274</v>
      </c>
      <c r="AS773" s="16" t="s">
        <v>149</v>
      </c>
      <c r="AT773" s="16" t="s">
        <v>516</v>
      </c>
      <c r="AU773" s="16"/>
      <c r="AV773" s="16" t="s">
        <v>6771</v>
      </c>
      <c r="AW773" s="16"/>
      <c r="AX773" s="16"/>
      <c r="AY773" s="16"/>
      <c r="AZ773" s="16"/>
      <c r="BA773" s="16"/>
      <c r="BB773" s="16"/>
      <c r="BC773" s="16"/>
      <c r="BD773" s="16" t="s">
        <v>149</v>
      </c>
      <c r="BE773" s="16">
        <v>30</v>
      </c>
      <c r="BF773" s="16"/>
      <c r="BG773" s="16" t="s">
        <v>490</v>
      </c>
      <c r="BH773" s="16" t="s">
        <v>658</v>
      </c>
      <c r="BI773" s="16">
        <v>805721986</v>
      </c>
      <c r="BJ773" s="16"/>
      <c r="BK773" s="16"/>
      <c r="BL773" s="16"/>
      <c r="BM773" s="16"/>
      <c r="BN773" s="16"/>
      <c r="BO773" s="16"/>
      <c r="BP773" s="16"/>
      <c r="BQ773" s="16"/>
      <c r="BR773" s="16"/>
      <c r="BS773" s="16"/>
      <c r="BT773" s="16"/>
      <c r="BU773" s="16"/>
      <c r="BV773" s="16"/>
      <c r="BW773" s="16"/>
      <c r="BX773" s="16"/>
      <c r="BY773" s="16"/>
      <c r="BZ773" s="16"/>
      <c r="CA773" s="190">
        <v>46281</v>
      </c>
      <c r="CB773" s="3"/>
      <c r="CC773" s="16"/>
      <c r="CD773" s="16"/>
      <c r="CE773" s="16"/>
      <c r="CF773" s="16"/>
      <c r="CG773" s="16"/>
      <c r="CH773" s="16"/>
      <c r="CI773" s="16" t="s">
        <v>6772</v>
      </c>
    </row>
    <row r="774" spans="1:87">
      <c r="A774" s="16"/>
      <c r="B774" s="16"/>
      <c r="C774" s="3">
        <v>46282</v>
      </c>
      <c r="D774" s="16" t="s">
        <v>14</v>
      </c>
      <c r="E774" s="16" t="s">
        <v>6773</v>
      </c>
      <c r="F774" s="16">
        <v>2026229590413</v>
      </c>
      <c r="G774" s="16">
        <v>30</v>
      </c>
      <c r="H774" s="16">
        <v>30</v>
      </c>
      <c r="I774" s="16" t="s">
        <v>809</v>
      </c>
      <c r="J774" s="16" t="s">
        <v>6773</v>
      </c>
      <c r="K774" s="16" t="s">
        <v>1083</v>
      </c>
      <c r="L774" s="16" t="s">
        <v>17</v>
      </c>
      <c r="M774" s="16">
        <v>7</v>
      </c>
      <c r="N774" s="16" t="s">
        <v>462</v>
      </c>
      <c r="O774" s="16" t="s">
        <v>606</v>
      </c>
      <c r="P774" s="16" t="s">
        <v>6774</v>
      </c>
      <c r="Q774" s="16" t="s">
        <v>465</v>
      </c>
      <c r="R774" s="16" t="s">
        <v>466</v>
      </c>
      <c r="S774" s="16" t="s">
        <v>6775</v>
      </c>
      <c r="T774" s="16" t="s">
        <v>6776</v>
      </c>
      <c r="U774" s="16">
        <v>46273.806944444441</v>
      </c>
      <c r="V774" s="16" t="s">
        <v>469</v>
      </c>
      <c r="W774" s="16" t="s">
        <v>470</v>
      </c>
      <c r="X774" s="16" t="s">
        <v>471</v>
      </c>
      <c r="Y774" s="16" t="s">
        <v>472</v>
      </c>
      <c r="Z774" s="16" t="s">
        <v>590</v>
      </c>
      <c r="AA774" s="16" t="s">
        <v>474</v>
      </c>
      <c r="AB774" s="16" t="s">
        <v>6777</v>
      </c>
      <c r="AC774" s="16" t="s">
        <v>592</v>
      </c>
      <c r="AD774" s="16">
        <v>841415470</v>
      </c>
      <c r="AE774" s="16">
        <v>1952327835</v>
      </c>
      <c r="AF774" s="16">
        <v>1023421971</v>
      </c>
      <c r="AG774" s="16"/>
      <c r="AH774" s="16"/>
      <c r="AI774" s="16" t="s">
        <v>48</v>
      </c>
      <c r="AJ774" s="16" t="s">
        <v>481</v>
      </c>
      <c r="AK774" s="16" t="s">
        <v>6778</v>
      </c>
      <c r="AL774" s="16">
        <v>13942</v>
      </c>
      <c r="AM774" s="16"/>
      <c r="AN774" s="16"/>
      <c r="AO774" s="16">
        <v>865</v>
      </c>
      <c r="AP774" s="16" t="s">
        <v>485</v>
      </c>
      <c r="AQ774" s="16" t="s">
        <v>6779</v>
      </c>
      <c r="AR774" s="3">
        <v>46274</v>
      </c>
      <c r="AS774" s="16" t="s">
        <v>48</v>
      </c>
      <c r="AT774" s="16" t="s">
        <v>516</v>
      </c>
      <c r="AU774" s="16"/>
      <c r="AV774" s="16" t="s">
        <v>6780</v>
      </c>
      <c r="AW774" s="16"/>
      <c r="AX774" s="16"/>
      <c r="AY774" s="16"/>
      <c r="AZ774" s="16"/>
      <c r="BA774" s="16"/>
      <c r="BB774" s="16"/>
      <c r="BC774" s="16"/>
      <c r="BD774" s="16" t="s">
        <v>48</v>
      </c>
      <c r="BE774" s="16">
        <v>30</v>
      </c>
      <c r="BF774" s="16"/>
      <c r="BG774" s="16"/>
      <c r="BH774" s="16" t="s">
        <v>491</v>
      </c>
      <c r="BI774" s="16">
        <v>523969432</v>
      </c>
      <c r="BJ774" s="16"/>
      <c r="BK774" s="16"/>
      <c r="BL774" s="16"/>
      <c r="BM774" s="16"/>
      <c r="BN774" s="16"/>
      <c r="BO774" s="16"/>
      <c r="BP774" s="16"/>
      <c r="BQ774" s="16"/>
      <c r="BR774" s="16"/>
      <c r="BS774" s="16"/>
      <c r="BT774" s="16"/>
      <c r="BU774" s="16"/>
      <c r="BV774" s="16"/>
      <c r="BW774" s="16"/>
      <c r="BX774" s="16"/>
      <c r="BY774" s="16"/>
      <c r="BZ774" s="16"/>
      <c r="CA774" s="190">
        <v>46281</v>
      </c>
      <c r="CB774" s="3"/>
      <c r="CC774" s="16"/>
      <c r="CD774" s="16"/>
      <c r="CE774" s="16"/>
      <c r="CF774" s="16"/>
      <c r="CG774" s="16"/>
      <c r="CH774" s="16"/>
      <c r="CI774" s="16" t="s">
        <v>6781</v>
      </c>
    </row>
    <row r="775" spans="1:87">
      <c r="A775" s="16" t="s">
        <v>5</v>
      </c>
      <c r="B775" s="16" t="s">
        <v>6782</v>
      </c>
      <c r="C775" s="3">
        <v>46282</v>
      </c>
      <c r="D775" s="16" t="s">
        <v>14</v>
      </c>
      <c r="E775" s="16" t="s">
        <v>6783</v>
      </c>
      <c r="F775" s="16">
        <v>2026229160382</v>
      </c>
      <c r="G775" s="16">
        <v>30</v>
      </c>
      <c r="H775" s="16">
        <v>30</v>
      </c>
      <c r="I775" s="16" t="s">
        <v>809</v>
      </c>
      <c r="J775" s="16" t="s">
        <v>6783</v>
      </c>
      <c r="K775" s="16" t="s">
        <v>1348</v>
      </c>
      <c r="L775" s="16" t="s">
        <v>17</v>
      </c>
      <c r="M775" s="16">
        <v>7</v>
      </c>
      <c r="N775" s="16" t="s">
        <v>462</v>
      </c>
      <c r="O775" s="16" t="s">
        <v>606</v>
      </c>
      <c r="P775" s="16">
        <v>125236438</v>
      </c>
      <c r="Q775" s="16" t="s">
        <v>465</v>
      </c>
      <c r="R775" s="16" t="s">
        <v>466</v>
      </c>
      <c r="S775" s="16" t="s">
        <v>6784</v>
      </c>
      <c r="T775" s="16" t="s">
        <v>664</v>
      </c>
      <c r="U775" s="16">
        <v>46273.811111111114</v>
      </c>
      <c r="V775" s="16" t="s">
        <v>469</v>
      </c>
      <c r="W775" s="16" t="s">
        <v>651</v>
      </c>
      <c r="X775" s="16" t="s">
        <v>652</v>
      </c>
      <c r="Y775" s="16" t="s">
        <v>653</v>
      </c>
      <c r="Z775" s="16" t="s">
        <v>665</v>
      </c>
      <c r="AA775" s="16" t="s">
        <v>474</v>
      </c>
      <c r="AB775" s="16" t="s">
        <v>666</v>
      </c>
      <c r="AC775" s="16" t="s">
        <v>640</v>
      </c>
      <c r="AD775" s="16">
        <v>135562308</v>
      </c>
      <c r="AE775" s="16">
        <v>1285826438</v>
      </c>
      <c r="AF775" s="16">
        <v>1386650331</v>
      </c>
      <c r="AG775" s="16">
        <v>2.542025276256E+16</v>
      </c>
      <c r="AH775" s="16"/>
      <c r="AI775" s="16" t="s">
        <v>267</v>
      </c>
      <c r="AJ775" s="16" t="s">
        <v>481</v>
      </c>
      <c r="AK775" s="16" t="s">
        <v>6785</v>
      </c>
      <c r="AL775" s="16">
        <v>28563</v>
      </c>
      <c r="AM775" s="16"/>
      <c r="AN775" s="16"/>
      <c r="AO775" s="16">
        <v>125</v>
      </c>
      <c r="AP775" s="16" t="s">
        <v>485</v>
      </c>
      <c r="AQ775" s="16" t="s">
        <v>6786</v>
      </c>
      <c r="AR775" s="3">
        <v>46274</v>
      </c>
      <c r="AS775" s="16" t="s">
        <v>267</v>
      </c>
      <c r="AT775" s="16" t="s">
        <v>976</v>
      </c>
      <c r="AU775" s="16"/>
      <c r="AV775" s="16" t="s">
        <v>1747</v>
      </c>
      <c r="AW775" s="16"/>
      <c r="AX775" s="16"/>
      <c r="AY775" s="16"/>
      <c r="AZ775" s="16"/>
      <c r="BA775" s="16"/>
      <c r="BB775" s="16"/>
      <c r="BC775" s="16"/>
      <c r="BD775" s="16" t="s">
        <v>267</v>
      </c>
      <c r="BE775" s="16">
        <v>30</v>
      </c>
      <c r="BF775" s="16"/>
      <c r="BG775" s="16" t="s">
        <v>490</v>
      </c>
      <c r="BH775" s="16" t="s">
        <v>658</v>
      </c>
      <c r="BI775" s="16">
        <v>125236438</v>
      </c>
      <c r="BJ775" s="16"/>
      <c r="BK775" s="16"/>
      <c r="BL775" s="16"/>
      <c r="BM775" s="16"/>
      <c r="BN775" s="16"/>
      <c r="BO775" s="16"/>
      <c r="BP775" s="16"/>
      <c r="BQ775" s="16"/>
      <c r="BR775" s="16"/>
      <c r="BS775" s="16"/>
      <c r="BT775" s="16"/>
      <c r="BU775" s="16"/>
      <c r="BV775" s="16"/>
      <c r="BW775" s="16"/>
      <c r="BX775" s="16"/>
      <c r="BY775" s="16"/>
      <c r="BZ775" s="16"/>
      <c r="CA775" s="190">
        <v>46285.666666666701</v>
      </c>
      <c r="CB775" s="3"/>
      <c r="CC775" s="16"/>
      <c r="CD775" s="16"/>
      <c r="CE775" s="16"/>
      <c r="CF775" s="16"/>
      <c r="CG775" s="16"/>
      <c r="CH775" s="16"/>
      <c r="CI775" s="16" t="s">
        <v>6787</v>
      </c>
    </row>
    <row r="776" spans="1:87">
      <c r="A776" s="16" t="s">
        <v>5</v>
      </c>
      <c r="B776" s="16" t="s">
        <v>6788</v>
      </c>
      <c r="C776" s="3">
        <v>46282</v>
      </c>
      <c r="D776" s="16" t="s">
        <v>14</v>
      </c>
      <c r="E776" s="16" t="s">
        <v>6789</v>
      </c>
      <c r="F776" s="16">
        <v>2026229390422</v>
      </c>
      <c r="G776" s="16">
        <v>30</v>
      </c>
      <c r="H776" s="16">
        <v>30</v>
      </c>
      <c r="I776" s="16" t="s">
        <v>809</v>
      </c>
      <c r="J776" s="16" t="s">
        <v>6789</v>
      </c>
      <c r="K776" s="16" t="s">
        <v>585</v>
      </c>
      <c r="L776" s="16" t="s">
        <v>17</v>
      </c>
      <c r="M776" s="16">
        <v>7</v>
      </c>
      <c r="N776" s="16" t="s">
        <v>462</v>
      </c>
      <c r="O776" s="16" t="s">
        <v>606</v>
      </c>
      <c r="P776" s="16">
        <v>100011073</v>
      </c>
      <c r="Q776" s="16" t="s">
        <v>465</v>
      </c>
      <c r="R776" s="16" t="s">
        <v>466</v>
      </c>
      <c r="S776" s="16" t="s">
        <v>6790</v>
      </c>
      <c r="T776" s="16" t="s">
        <v>928</v>
      </c>
      <c r="U776" s="16">
        <v>46273.821527777778</v>
      </c>
      <c r="V776" s="16" t="s">
        <v>469</v>
      </c>
      <c r="W776" s="16" t="s">
        <v>651</v>
      </c>
      <c r="X776" s="16" t="s">
        <v>652</v>
      </c>
      <c r="Y776" s="16" t="s">
        <v>653</v>
      </c>
      <c r="Z776" s="16" t="s">
        <v>544</v>
      </c>
      <c r="AA776" s="16" t="s">
        <v>474</v>
      </c>
      <c r="AB776" s="16" t="s">
        <v>929</v>
      </c>
      <c r="AC776" s="16" t="s">
        <v>546</v>
      </c>
      <c r="AD776" s="16">
        <v>412279037</v>
      </c>
      <c r="AE776" s="16">
        <v>1952565210</v>
      </c>
      <c r="AF776" s="16">
        <v>1316128432</v>
      </c>
      <c r="AG776" s="16">
        <v>1.02202534955525E+16</v>
      </c>
      <c r="AH776" s="16"/>
      <c r="AI776" s="16" t="s">
        <v>22</v>
      </c>
      <c r="AJ776" s="16" t="s">
        <v>481</v>
      </c>
      <c r="AK776" s="16" t="s">
        <v>6791</v>
      </c>
      <c r="AL776" s="16">
        <v>5417</v>
      </c>
      <c r="AM776" s="16"/>
      <c r="AN776" s="16"/>
      <c r="AO776" s="16">
        <v>100</v>
      </c>
      <c r="AP776" s="16" t="s">
        <v>485</v>
      </c>
      <c r="AQ776" s="16" t="s">
        <v>6792</v>
      </c>
      <c r="AR776" s="3">
        <v>46274</v>
      </c>
      <c r="AS776" s="16" t="s">
        <v>22</v>
      </c>
      <c r="AT776" s="16" t="s">
        <v>6788</v>
      </c>
      <c r="AU776" s="16"/>
      <c r="AV776" s="16" t="s">
        <v>6793</v>
      </c>
      <c r="AW776" s="16"/>
      <c r="AX776" s="16"/>
      <c r="AY776" s="16"/>
      <c r="AZ776" s="16"/>
      <c r="BA776" s="16"/>
      <c r="BB776" s="16"/>
      <c r="BC776" s="16"/>
      <c r="BD776" s="16" t="s">
        <v>22</v>
      </c>
      <c r="BE776" s="16">
        <v>30</v>
      </c>
      <c r="BF776" s="16"/>
      <c r="BG776" s="16"/>
      <c r="BH776" s="16" t="s">
        <v>658</v>
      </c>
      <c r="BI776" s="16">
        <v>100011073</v>
      </c>
      <c r="BJ776" s="16"/>
      <c r="BK776" s="16"/>
      <c r="BL776" s="16"/>
      <c r="BM776" s="16"/>
      <c r="BN776" s="16"/>
      <c r="BO776" s="16"/>
      <c r="BP776" s="16"/>
      <c r="BQ776" s="16"/>
      <c r="BR776" s="16"/>
      <c r="BS776" s="16"/>
      <c r="BT776" s="16"/>
      <c r="BU776" s="16"/>
      <c r="BV776" s="16"/>
      <c r="BW776" s="16"/>
      <c r="BX776" s="16"/>
      <c r="BY776" s="16"/>
      <c r="BZ776" s="16"/>
      <c r="CA776" s="190">
        <v>46285.166666666701</v>
      </c>
      <c r="CB776" s="3"/>
      <c r="CC776" s="16"/>
      <c r="CD776" s="16"/>
      <c r="CE776" s="16"/>
      <c r="CF776" s="16"/>
      <c r="CG776" s="16"/>
      <c r="CH776" s="16"/>
      <c r="CI776" s="16" t="s">
        <v>6794</v>
      </c>
    </row>
    <row r="777" spans="1:87">
      <c r="A777" s="16" t="s">
        <v>5</v>
      </c>
      <c r="B777" s="16" t="s">
        <v>4364</v>
      </c>
      <c r="C777" s="3">
        <v>46282</v>
      </c>
      <c r="D777" s="16" t="s">
        <v>14</v>
      </c>
      <c r="E777" s="16" t="s">
        <v>6795</v>
      </c>
      <c r="F777" s="16" t="s">
        <v>6796</v>
      </c>
      <c r="G777" s="16">
        <v>30</v>
      </c>
      <c r="H777" s="16">
        <v>30</v>
      </c>
      <c r="I777" s="16" t="s">
        <v>809</v>
      </c>
      <c r="J777" s="16" t="s">
        <v>6795</v>
      </c>
      <c r="K777" s="16" t="s">
        <v>1824</v>
      </c>
      <c r="L777" s="16" t="s">
        <v>17</v>
      </c>
      <c r="M777" s="16">
        <v>7</v>
      </c>
      <c r="N777" s="16" t="s">
        <v>462</v>
      </c>
      <c r="O777" s="16" t="s">
        <v>606</v>
      </c>
      <c r="P777" s="16" t="s">
        <v>6797</v>
      </c>
      <c r="Q777" s="16" t="s">
        <v>1055</v>
      </c>
      <c r="R777" s="16" t="s">
        <v>1056</v>
      </c>
      <c r="S777" s="16" t="s">
        <v>6798</v>
      </c>
      <c r="T777" s="16">
        <v>214021</v>
      </c>
      <c r="U777" s="16">
        <v>46273.73333333333</v>
      </c>
      <c r="V777" s="16" t="s">
        <v>469</v>
      </c>
      <c r="W777" s="16" t="s">
        <v>568</v>
      </c>
      <c r="X777" s="16" t="s">
        <v>471</v>
      </c>
      <c r="Y777" s="16" t="s">
        <v>1887</v>
      </c>
      <c r="Z777" s="16" t="s">
        <v>1292</v>
      </c>
      <c r="AA777" s="16" t="s">
        <v>1059</v>
      </c>
      <c r="AB777" s="16" t="s">
        <v>6799</v>
      </c>
      <c r="AC777" s="16" t="s">
        <v>465</v>
      </c>
      <c r="AD777" s="16">
        <v>352062016</v>
      </c>
      <c r="AE777" s="16">
        <v>1306011796</v>
      </c>
      <c r="AF777" s="16">
        <v>1225296247</v>
      </c>
      <c r="AG777" s="16"/>
      <c r="AH777" s="16"/>
      <c r="AI777" s="16" t="s">
        <v>247</v>
      </c>
      <c r="AJ777" s="16" t="s">
        <v>481</v>
      </c>
      <c r="AK777" s="16" t="s">
        <v>6800</v>
      </c>
      <c r="AL777" s="16">
        <v>508</v>
      </c>
      <c r="AM777" s="16"/>
      <c r="AN777" s="16"/>
      <c r="AO777" s="16" t="s">
        <v>6801</v>
      </c>
      <c r="AP777" s="16" t="s">
        <v>1063</v>
      </c>
      <c r="AQ777" s="16" t="s">
        <v>6802</v>
      </c>
      <c r="AR777" s="3">
        <v>46274</v>
      </c>
      <c r="AS777" s="16" t="s">
        <v>247</v>
      </c>
      <c r="AT777" s="16" t="s">
        <v>516</v>
      </c>
      <c r="AU777" s="16"/>
      <c r="AV777" s="16" t="s">
        <v>6243</v>
      </c>
      <c r="AW777" s="16"/>
      <c r="AX777" s="16"/>
      <c r="AY777" s="16"/>
      <c r="AZ777" s="16"/>
      <c r="BA777" s="16"/>
      <c r="BB777" s="16" t="s">
        <v>6803</v>
      </c>
      <c r="BC777" s="16"/>
      <c r="BD777" s="16" t="s">
        <v>247</v>
      </c>
      <c r="BE777" s="16">
        <v>30</v>
      </c>
      <c r="BF777" s="16"/>
      <c r="BG777" s="16" t="s">
        <v>1067</v>
      </c>
      <c r="BH777" s="16" t="s">
        <v>491</v>
      </c>
      <c r="BI777" s="16">
        <v>317153512</v>
      </c>
      <c r="BJ777" s="16"/>
      <c r="BK777" s="16"/>
      <c r="BL777" s="16"/>
      <c r="BM777" s="16"/>
      <c r="BN777" s="16"/>
      <c r="BO777" s="16"/>
      <c r="BP777" s="16"/>
      <c r="BQ777" s="16"/>
      <c r="BR777" s="16"/>
      <c r="BS777" s="16"/>
      <c r="BT777" s="16"/>
      <c r="BU777" s="16"/>
      <c r="BV777" s="16"/>
      <c r="BW777" s="16"/>
      <c r="BX777" s="16"/>
      <c r="BY777" s="16"/>
      <c r="BZ777" s="16"/>
      <c r="CA777" s="190">
        <v>46285.666666666701</v>
      </c>
      <c r="CB777" s="3"/>
      <c r="CC777" s="16"/>
      <c r="CD777" s="16"/>
      <c r="CE777" s="16"/>
      <c r="CF777" s="16"/>
      <c r="CG777" s="16"/>
      <c r="CH777" s="16"/>
      <c r="CI777" s="16" t="s">
        <v>6804</v>
      </c>
    </row>
    <row r="778" spans="1:87">
      <c r="A778" s="16"/>
      <c r="B778" s="16"/>
      <c r="C778" s="3">
        <v>46282</v>
      </c>
      <c r="D778" s="16" t="s">
        <v>14</v>
      </c>
      <c r="E778" s="16" t="s">
        <v>6805</v>
      </c>
      <c r="F778" s="16">
        <v>2026229450546</v>
      </c>
      <c r="G778" s="16">
        <v>30</v>
      </c>
      <c r="H778" s="16">
        <v>30</v>
      </c>
      <c r="I778" s="16" t="s">
        <v>809</v>
      </c>
      <c r="J778" s="16" t="s">
        <v>6805</v>
      </c>
      <c r="K778" s="16" t="s">
        <v>691</v>
      </c>
      <c r="L778" s="16" t="s">
        <v>13</v>
      </c>
      <c r="M778" s="16">
        <v>7</v>
      </c>
      <c r="N778" s="16" t="s">
        <v>462</v>
      </c>
      <c r="O778" s="16" t="s">
        <v>606</v>
      </c>
      <c r="P778" s="16" t="s">
        <v>6806</v>
      </c>
      <c r="Q778" s="16" t="s">
        <v>465</v>
      </c>
      <c r="R778" s="16" t="s">
        <v>466</v>
      </c>
      <c r="S778" s="16" t="s">
        <v>6807</v>
      </c>
      <c r="T778" s="16" t="s">
        <v>6808</v>
      </c>
      <c r="U778" s="16">
        <v>46273.850694444445</v>
      </c>
      <c r="V778" s="16" t="s">
        <v>469</v>
      </c>
      <c r="W778" s="16" t="s">
        <v>568</v>
      </c>
      <c r="X778" s="16" t="s">
        <v>471</v>
      </c>
      <c r="Y778" s="16" t="s">
        <v>628</v>
      </c>
      <c r="Z778" s="16" t="s">
        <v>544</v>
      </c>
      <c r="AA778" s="16" t="s">
        <v>474</v>
      </c>
      <c r="AB778" s="16" t="s">
        <v>6809</v>
      </c>
      <c r="AC778" s="16" t="s">
        <v>546</v>
      </c>
      <c r="AD778" s="16">
        <v>581954432</v>
      </c>
      <c r="AE778" s="16">
        <v>1457396079</v>
      </c>
      <c r="AF778" s="16"/>
      <c r="AG778" s="16"/>
      <c r="AH778" s="16"/>
      <c r="AI778" s="16" t="s">
        <v>128</v>
      </c>
      <c r="AJ778" s="16" t="s">
        <v>481</v>
      </c>
      <c r="AK778" s="16" t="s">
        <v>6810</v>
      </c>
      <c r="AL778" s="16">
        <v>176437</v>
      </c>
      <c r="AM778" s="16"/>
      <c r="AN778" s="16"/>
      <c r="AO778" s="16">
        <v>412</v>
      </c>
      <c r="AP778" s="16" t="s">
        <v>485</v>
      </c>
      <c r="AQ778" s="16" t="s">
        <v>6811</v>
      </c>
      <c r="AR778" s="3">
        <v>46274</v>
      </c>
      <c r="AS778" s="16" t="s">
        <v>128</v>
      </c>
      <c r="AT778" s="16" t="s">
        <v>766</v>
      </c>
      <c r="AU778" s="16"/>
      <c r="AV778" s="16" t="s">
        <v>6612</v>
      </c>
      <c r="AW778" s="16"/>
      <c r="AX778" s="16"/>
      <c r="AY778" s="16"/>
      <c r="AZ778" s="16"/>
      <c r="BA778" s="16"/>
      <c r="BB778" s="16"/>
      <c r="BC778" s="16"/>
      <c r="BD778" s="16" t="s">
        <v>128</v>
      </c>
      <c r="BE778" s="16">
        <v>30</v>
      </c>
      <c r="BF778" s="16"/>
      <c r="BG778" s="16"/>
      <c r="BH778" s="16" t="s">
        <v>491</v>
      </c>
      <c r="BI778" s="16">
        <v>254215730</v>
      </c>
      <c r="BJ778" s="16"/>
      <c r="BK778" s="16"/>
      <c r="BL778" s="16"/>
      <c r="BM778" s="16"/>
      <c r="BN778" s="16"/>
      <c r="BO778" s="16"/>
      <c r="BP778" s="16"/>
      <c r="BQ778" s="16"/>
      <c r="BR778" s="16"/>
      <c r="BS778" s="16"/>
      <c r="BT778" s="16"/>
      <c r="BU778" s="16"/>
      <c r="BV778" s="16"/>
      <c r="BW778" s="16"/>
      <c r="BX778" s="16"/>
      <c r="BY778" s="16"/>
      <c r="BZ778" s="16"/>
      <c r="CA778" s="190">
        <v>46281</v>
      </c>
      <c r="CB778" s="3"/>
      <c r="CC778" s="16"/>
      <c r="CD778" s="16"/>
      <c r="CE778" s="16"/>
      <c r="CF778" s="16"/>
      <c r="CG778" s="16"/>
      <c r="CH778" s="16"/>
      <c r="CI778" s="16" t="s">
        <v>6812</v>
      </c>
    </row>
    <row r="779" spans="1:87">
      <c r="A779" s="16"/>
      <c r="B779" s="16"/>
      <c r="C779" s="3">
        <v>46282</v>
      </c>
      <c r="D779" s="16" t="s">
        <v>14</v>
      </c>
      <c r="E779" s="16" t="s">
        <v>6813</v>
      </c>
      <c r="F779" s="16">
        <v>2026230890161</v>
      </c>
      <c r="G779" s="16">
        <v>30</v>
      </c>
      <c r="H779" s="16">
        <v>29</v>
      </c>
      <c r="I779" s="16" t="s">
        <v>809</v>
      </c>
      <c r="J779" s="16" t="s">
        <v>6813</v>
      </c>
      <c r="K779" s="16" t="s">
        <v>1040</v>
      </c>
      <c r="L779" s="16" t="s">
        <v>17</v>
      </c>
      <c r="M779" s="16">
        <v>7</v>
      </c>
      <c r="N779" s="16" t="s">
        <v>462</v>
      </c>
      <c r="O779" s="16" t="s">
        <v>606</v>
      </c>
      <c r="P779" s="16">
        <v>813654717</v>
      </c>
      <c r="Q779" s="16" t="s">
        <v>465</v>
      </c>
      <c r="R779" s="16" t="s">
        <v>466</v>
      </c>
      <c r="S779" s="16" t="s">
        <v>6814</v>
      </c>
      <c r="T779" s="16">
        <v>173327</v>
      </c>
      <c r="U779" s="16">
        <v>46273.932638888888</v>
      </c>
      <c r="V779" s="16" t="s">
        <v>469</v>
      </c>
      <c r="W779" s="16" t="s">
        <v>651</v>
      </c>
      <c r="X779" s="16" t="s">
        <v>652</v>
      </c>
      <c r="Y779" s="16" t="s">
        <v>653</v>
      </c>
      <c r="Z779" s="16" t="s">
        <v>524</v>
      </c>
      <c r="AA779" s="16" t="s">
        <v>474</v>
      </c>
      <c r="AB779" s="16" t="s">
        <v>757</v>
      </c>
      <c r="AC779" s="16" t="s">
        <v>526</v>
      </c>
      <c r="AD779" s="16">
        <v>932446694</v>
      </c>
      <c r="AE779" s="16">
        <v>1285400978</v>
      </c>
      <c r="AF779" s="16">
        <v>1902985583</v>
      </c>
      <c r="AG779" s="16">
        <v>3.30202531408826E+16</v>
      </c>
      <c r="AH779" s="16"/>
      <c r="AI779" s="16" t="s">
        <v>173</v>
      </c>
      <c r="AJ779" s="16" t="s">
        <v>481</v>
      </c>
      <c r="AK779" s="16" t="s">
        <v>6815</v>
      </c>
      <c r="AL779" s="16">
        <v>515</v>
      </c>
      <c r="AM779" s="16"/>
      <c r="AN779" s="16"/>
      <c r="AO779" s="16">
        <v>813</v>
      </c>
      <c r="AP779" s="16" t="s">
        <v>485</v>
      </c>
      <c r="AQ779" s="16" t="s">
        <v>6816</v>
      </c>
      <c r="AR779" s="3">
        <v>46274</v>
      </c>
      <c r="AS779" s="16" t="s">
        <v>173</v>
      </c>
      <c r="AT779" s="16" t="s">
        <v>1047</v>
      </c>
      <c r="AU779" s="16"/>
      <c r="AV779" s="16" t="s">
        <v>6765</v>
      </c>
      <c r="AW779" s="16"/>
      <c r="AX779" s="16"/>
      <c r="AY779" s="16"/>
      <c r="AZ779" s="16"/>
      <c r="BA779" s="16"/>
      <c r="BB779" s="16"/>
      <c r="BC779" s="16"/>
      <c r="BD779" s="16" t="s">
        <v>173</v>
      </c>
      <c r="BE779" s="16">
        <v>29</v>
      </c>
      <c r="BF779" s="16"/>
      <c r="BG779" s="16" t="s">
        <v>490</v>
      </c>
      <c r="BH779" s="16" t="s">
        <v>658</v>
      </c>
      <c r="BI779" s="16">
        <v>813654717</v>
      </c>
      <c r="BJ779" s="16"/>
      <c r="BK779" s="16"/>
      <c r="BL779" s="16"/>
      <c r="BM779" s="16"/>
      <c r="BN779" s="16"/>
      <c r="BO779" s="16"/>
      <c r="BP779" s="16"/>
      <c r="BQ779" s="16"/>
      <c r="BR779" s="16"/>
      <c r="BS779" s="16"/>
      <c r="BT779" s="16"/>
      <c r="BU779" s="16"/>
      <c r="BV779" s="16"/>
      <c r="BW779" s="16"/>
      <c r="BX779" s="16"/>
      <c r="BY779" s="16"/>
      <c r="BZ779" s="16"/>
      <c r="CA779" s="190">
        <v>46281</v>
      </c>
      <c r="CB779" s="3"/>
      <c r="CC779" s="16"/>
      <c r="CD779" s="16"/>
      <c r="CE779" s="16"/>
      <c r="CF779" s="16"/>
      <c r="CG779" s="16"/>
      <c r="CH779" s="16"/>
      <c r="CI779" s="16" t="s">
        <v>6817</v>
      </c>
    </row>
    <row r="780" spans="1:87">
      <c r="A780" s="16" t="s">
        <v>5</v>
      </c>
      <c r="B780" s="16" t="s">
        <v>6818</v>
      </c>
      <c r="C780" s="3">
        <v>46282</v>
      </c>
      <c r="D780" s="16" t="s">
        <v>14</v>
      </c>
      <c r="E780" s="16" t="s">
        <v>6819</v>
      </c>
      <c r="F780" s="16">
        <v>2026229870445</v>
      </c>
      <c r="G780" s="16">
        <v>30</v>
      </c>
      <c r="H780" s="16">
        <v>30</v>
      </c>
      <c r="I780" s="16" t="s">
        <v>809</v>
      </c>
      <c r="J780" s="16" t="s">
        <v>6819</v>
      </c>
      <c r="K780" s="16" t="s">
        <v>1371</v>
      </c>
      <c r="L780" s="16" t="s">
        <v>17</v>
      </c>
      <c r="M780" s="16">
        <v>7</v>
      </c>
      <c r="N780" s="16" t="s">
        <v>462</v>
      </c>
      <c r="O780" s="16" t="s">
        <v>606</v>
      </c>
      <c r="P780" s="16">
        <v>136172122</v>
      </c>
      <c r="Q780" s="16" t="s">
        <v>465</v>
      </c>
      <c r="R780" s="16" t="s">
        <v>466</v>
      </c>
      <c r="S780" s="16" t="s">
        <v>6820</v>
      </c>
      <c r="T780" s="16" t="s">
        <v>928</v>
      </c>
      <c r="U780" s="16">
        <v>46273.843055555553</v>
      </c>
      <c r="V780" s="16" t="s">
        <v>469</v>
      </c>
      <c r="W780" s="16" t="s">
        <v>651</v>
      </c>
      <c r="X780" s="16" t="s">
        <v>652</v>
      </c>
      <c r="Y780" s="16" t="s">
        <v>653</v>
      </c>
      <c r="Z780" s="16" t="s">
        <v>544</v>
      </c>
      <c r="AA780" s="16" t="s">
        <v>474</v>
      </c>
      <c r="AB780" s="16" t="s">
        <v>929</v>
      </c>
      <c r="AC780" s="16" t="s">
        <v>546</v>
      </c>
      <c r="AD780" s="16">
        <v>30482395</v>
      </c>
      <c r="AE780" s="16">
        <v>1982618294</v>
      </c>
      <c r="AF780" s="16">
        <v>1659533545</v>
      </c>
      <c r="AG780" s="16">
        <v>1.02202523325367E+16</v>
      </c>
      <c r="AH780" s="16"/>
      <c r="AI780" s="16" t="s">
        <v>164</v>
      </c>
      <c r="AJ780" s="16" t="s">
        <v>481</v>
      </c>
      <c r="AK780" s="16" t="s">
        <v>6821</v>
      </c>
      <c r="AL780" s="16">
        <v>1655.41</v>
      </c>
      <c r="AM780" s="16"/>
      <c r="AN780" s="16"/>
      <c r="AO780" s="16">
        <v>136</v>
      </c>
      <c r="AP780" s="16" t="s">
        <v>485</v>
      </c>
      <c r="AQ780" s="16" t="s">
        <v>6822</v>
      </c>
      <c r="AR780" s="3">
        <v>46274</v>
      </c>
      <c r="AS780" s="16" t="s">
        <v>164</v>
      </c>
      <c r="AT780" s="16" t="s">
        <v>516</v>
      </c>
      <c r="AU780" s="16"/>
      <c r="AV780" s="16" t="s">
        <v>6388</v>
      </c>
      <c r="AW780" s="16"/>
      <c r="AX780" s="16"/>
      <c r="AY780" s="16"/>
      <c r="AZ780" s="16"/>
      <c r="BA780" s="16"/>
      <c r="BB780" s="16"/>
      <c r="BC780" s="16"/>
      <c r="BD780" s="16" t="s">
        <v>164</v>
      </c>
      <c r="BE780" s="16">
        <v>30</v>
      </c>
      <c r="BF780" s="16"/>
      <c r="BG780" s="16"/>
      <c r="BH780" s="16" t="s">
        <v>658</v>
      </c>
      <c r="BI780" s="16">
        <v>136172122</v>
      </c>
      <c r="BJ780" s="16"/>
      <c r="BK780" s="16"/>
      <c r="BL780" s="16"/>
      <c r="BM780" s="16"/>
      <c r="BN780" s="16"/>
      <c r="BO780" s="16"/>
      <c r="BP780" s="16"/>
      <c r="BQ780" s="16"/>
      <c r="BR780" s="16"/>
      <c r="BS780" s="16"/>
      <c r="BT780" s="16"/>
      <c r="BU780" s="16"/>
      <c r="BV780" s="16"/>
      <c r="BW780" s="16"/>
      <c r="BX780" s="16"/>
      <c r="BY780" s="16"/>
      <c r="BZ780" s="16"/>
      <c r="CA780" s="190">
        <v>46281.666666666701</v>
      </c>
      <c r="CB780" s="3"/>
      <c r="CC780" s="16"/>
      <c r="CD780" s="16"/>
      <c r="CE780" s="16"/>
      <c r="CF780" s="16"/>
      <c r="CG780" s="16"/>
      <c r="CH780" s="16"/>
      <c r="CI780" s="16" t="s">
        <v>6823</v>
      </c>
    </row>
    <row r="781" spans="1:87">
      <c r="A781" s="16"/>
      <c r="B781" s="16"/>
      <c r="C781" s="3">
        <v>46282</v>
      </c>
      <c r="D781" s="16" t="s">
        <v>14</v>
      </c>
      <c r="E781" s="16" t="s">
        <v>6824</v>
      </c>
      <c r="F781" s="16">
        <v>2026229260421</v>
      </c>
      <c r="G781" s="16">
        <v>30</v>
      </c>
      <c r="H781" s="16">
        <v>30</v>
      </c>
      <c r="I781" s="16" t="s">
        <v>809</v>
      </c>
      <c r="J781" s="16" t="s">
        <v>6824</v>
      </c>
      <c r="K781" s="16" t="s">
        <v>1512</v>
      </c>
      <c r="L781" s="16" t="s">
        <v>17</v>
      </c>
      <c r="M781" s="16">
        <v>7</v>
      </c>
      <c r="N781" s="16" t="s">
        <v>462</v>
      </c>
      <c r="O781" s="16" t="s">
        <v>606</v>
      </c>
      <c r="P781" s="16" t="s">
        <v>6825</v>
      </c>
      <c r="Q781" s="16" t="s">
        <v>465</v>
      </c>
      <c r="R781" s="16" t="s">
        <v>466</v>
      </c>
      <c r="S781" s="16" t="s">
        <v>6826</v>
      </c>
      <c r="T781" s="16" t="s">
        <v>6827</v>
      </c>
      <c r="U781" s="16">
        <v>46273.832638888889</v>
      </c>
      <c r="V781" s="16" t="s">
        <v>469</v>
      </c>
      <c r="W781" s="16" t="s">
        <v>470</v>
      </c>
      <c r="X781" s="16" t="s">
        <v>471</v>
      </c>
      <c r="Y781" s="16" t="s">
        <v>472</v>
      </c>
      <c r="Z781" s="16" t="s">
        <v>590</v>
      </c>
      <c r="AA781" s="16" t="s">
        <v>474</v>
      </c>
      <c r="AB781" s="16" t="s">
        <v>6828</v>
      </c>
      <c r="AC781" s="16" t="s">
        <v>1932</v>
      </c>
      <c r="AD781" s="16">
        <v>461203260</v>
      </c>
      <c r="AE781" s="16">
        <v>1336483742</v>
      </c>
      <c r="AF781" s="16">
        <v>1508322868</v>
      </c>
      <c r="AG781" s="16"/>
      <c r="AH781" s="16"/>
      <c r="AI781" s="16" t="s">
        <v>149</v>
      </c>
      <c r="AJ781" s="16" t="s">
        <v>481</v>
      </c>
      <c r="AK781" s="16" t="s">
        <v>6829</v>
      </c>
      <c r="AL781" s="16">
        <v>300.01</v>
      </c>
      <c r="AM781" s="16"/>
      <c r="AN781" s="16"/>
      <c r="AO781" s="16">
        <v>647</v>
      </c>
      <c r="AP781" s="16" t="s">
        <v>485</v>
      </c>
      <c r="AQ781" s="16" t="s">
        <v>6830</v>
      </c>
      <c r="AR781" s="3">
        <v>46274</v>
      </c>
      <c r="AS781" s="16" t="s">
        <v>149</v>
      </c>
      <c r="AT781" s="16" t="s">
        <v>516</v>
      </c>
      <c r="AU781" s="16"/>
      <c r="AV781" s="16" t="s">
        <v>6831</v>
      </c>
      <c r="AW781" s="16"/>
      <c r="AX781" s="16"/>
      <c r="AY781" s="16"/>
      <c r="AZ781" s="16"/>
      <c r="BA781" s="16"/>
      <c r="BB781" s="16"/>
      <c r="BC781" s="16"/>
      <c r="BD781" s="16" t="s">
        <v>149</v>
      </c>
      <c r="BE781" s="16">
        <v>30</v>
      </c>
      <c r="BF781" s="16"/>
      <c r="BG781" s="16"/>
      <c r="BH781" s="16" t="s">
        <v>491</v>
      </c>
      <c r="BI781" s="16">
        <v>611802379</v>
      </c>
      <c r="BJ781" s="16"/>
      <c r="BK781" s="16"/>
      <c r="BL781" s="16"/>
      <c r="BM781" s="16"/>
      <c r="BN781" s="16"/>
      <c r="BO781" s="16"/>
      <c r="BP781" s="16"/>
      <c r="BQ781" s="16"/>
      <c r="BR781" s="16"/>
      <c r="BS781" s="16"/>
      <c r="BT781" s="16"/>
      <c r="BU781" s="16"/>
      <c r="BV781" s="16"/>
      <c r="BW781" s="16"/>
      <c r="BX781" s="16"/>
      <c r="BY781" s="16"/>
      <c r="BZ781" s="16"/>
      <c r="CA781" s="190">
        <v>46281</v>
      </c>
      <c r="CB781" s="3"/>
      <c r="CC781" s="16"/>
      <c r="CD781" s="16"/>
      <c r="CE781" s="16"/>
      <c r="CF781" s="16"/>
      <c r="CG781" s="16"/>
      <c r="CH781" s="16"/>
      <c r="CI781" s="16" t="s">
        <v>6832</v>
      </c>
    </row>
    <row r="782" spans="1:87">
      <c r="A782" s="16"/>
      <c r="B782" s="16"/>
      <c r="C782" s="3">
        <v>46282</v>
      </c>
      <c r="D782" s="16" t="s">
        <v>14</v>
      </c>
      <c r="E782" s="16" t="s">
        <v>6833</v>
      </c>
      <c r="F782" s="16">
        <v>2026229830426</v>
      </c>
      <c r="G782" s="16">
        <v>30</v>
      </c>
      <c r="H782" s="16">
        <v>30</v>
      </c>
      <c r="I782" s="16" t="s">
        <v>809</v>
      </c>
      <c r="J782" s="16" t="s">
        <v>6833</v>
      </c>
      <c r="K782" s="16" t="s">
        <v>662</v>
      </c>
      <c r="L782" s="16" t="s">
        <v>13</v>
      </c>
      <c r="M782" s="16">
        <v>7</v>
      </c>
      <c r="N782" s="16" t="s">
        <v>462</v>
      </c>
      <c r="O782" s="16" t="s">
        <v>606</v>
      </c>
      <c r="P782" s="16">
        <v>123183954</v>
      </c>
      <c r="Q782" s="16" t="s">
        <v>465</v>
      </c>
      <c r="R782" s="16" t="s">
        <v>466</v>
      </c>
      <c r="S782" s="16" t="s">
        <v>6834</v>
      </c>
      <c r="T782" s="16">
        <v>173327</v>
      </c>
      <c r="U782" s="16">
        <v>46273.829861111109</v>
      </c>
      <c r="V782" s="16" t="s">
        <v>469</v>
      </c>
      <c r="W782" s="16" t="s">
        <v>651</v>
      </c>
      <c r="X782" s="16" t="s">
        <v>652</v>
      </c>
      <c r="Y782" s="16" t="s">
        <v>653</v>
      </c>
      <c r="Z782" s="16" t="s">
        <v>524</v>
      </c>
      <c r="AA782" s="16" t="s">
        <v>474</v>
      </c>
      <c r="AB782" s="16" t="s">
        <v>757</v>
      </c>
      <c r="AC782" s="16" t="s">
        <v>526</v>
      </c>
      <c r="AD782" s="16">
        <v>311483173</v>
      </c>
      <c r="AE782" s="16">
        <v>1386670065</v>
      </c>
      <c r="AF782" s="16">
        <v>1851886378</v>
      </c>
      <c r="AG782" s="16">
        <v>3.30202529440721E+16</v>
      </c>
      <c r="AH782" s="16"/>
      <c r="AI782" s="16" t="s">
        <v>138</v>
      </c>
      <c r="AJ782" s="16" t="s">
        <v>481</v>
      </c>
      <c r="AK782" s="16" t="s">
        <v>6835</v>
      </c>
      <c r="AL782" s="16">
        <v>1580</v>
      </c>
      <c r="AM782" s="16"/>
      <c r="AN782" s="16"/>
      <c r="AO782" s="16">
        <v>123</v>
      </c>
      <c r="AP782" s="16" t="s">
        <v>485</v>
      </c>
      <c r="AQ782" s="16" t="s">
        <v>6836</v>
      </c>
      <c r="AR782" s="3">
        <v>46274</v>
      </c>
      <c r="AS782" s="16" t="s">
        <v>138</v>
      </c>
      <c r="AT782" s="16" t="s">
        <v>669</v>
      </c>
      <c r="AU782" s="16"/>
      <c r="AV782" s="16" t="s">
        <v>6837</v>
      </c>
      <c r="AW782" s="16"/>
      <c r="AX782" s="16"/>
      <c r="AY782" s="16"/>
      <c r="AZ782" s="16"/>
      <c r="BA782" s="16"/>
      <c r="BB782" s="16"/>
      <c r="BC782" s="16"/>
      <c r="BD782" s="16" t="s">
        <v>138</v>
      </c>
      <c r="BE782" s="16">
        <v>30</v>
      </c>
      <c r="BF782" s="16"/>
      <c r="BG782" s="16"/>
      <c r="BH782" s="16" t="s">
        <v>658</v>
      </c>
      <c r="BI782" s="16">
        <v>123183954</v>
      </c>
      <c r="BJ782" s="16"/>
      <c r="BK782" s="16"/>
      <c r="BL782" s="16"/>
      <c r="BM782" s="16"/>
      <c r="BN782" s="16"/>
      <c r="BO782" s="16"/>
      <c r="BP782" s="16"/>
      <c r="BQ782" s="16"/>
      <c r="BR782" s="16"/>
      <c r="BS782" s="16"/>
      <c r="BT782" s="16"/>
      <c r="BU782" s="16"/>
      <c r="BV782" s="16"/>
      <c r="BW782" s="16"/>
      <c r="BX782" s="16"/>
      <c r="BY782" s="16"/>
      <c r="BZ782" s="16"/>
      <c r="CA782" s="190">
        <v>46281</v>
      </c>
      <c r="CB782" s="3"/>
      <c r="CC782" s="16"/>
      <c r="CD782" s="16"/>
      <c r="CE782" s="16"/>
      <c r="CF782" s="16"/>
      <c r="CG782" s="16"/>
      <c r="CH782" s="16"/>
      <c r="CI782" s="16" t="s">
        <v>6838</v>
      </c>
    </row>
    <row r="783" spans="1:87">
      <c r="A783" s="16"/>
      <c r="B783" s="16"/>
      <c r="C783" s="3">
        <v>46282</v>
      </c>
      <c r="D783" s="16" t="s">
        <v>14</v>
      </c>
      <c r="E783" s="16" t="s">
        <v>6839</v>
      </c>
      <c r="F783" s="16">
        <v>2026229270489</v>
      </c>
      <c r="G783" s="16">
        <v>30</v>
      </c>
      <c r="H783" s="16">
        <v>30</v>
      </c>
      <c r="I783" s="16" t="s">
        <v>809</v>
      </c>
      <c r="J783" s="16" t="s">
        <v>6839</v>
      </c>
      <c r="K783" s="16" t="s">
        <v>1040</v>
      </c>
      <c r="L783" s="16" t="s">
        <v>17</v>
      </c>
      <c r="M783" s="16">
        <v>7</v>
      </c>
      <c r="N783" s="16" t="s">
        <v>462</v>
      </c>
      <c r="O783" s="16" t="s">
        <v>606</v>
      </c>
      <c r="P783" s="16" t="s">
        <v>6840</v>
      </c>
      <c r="Q783" s="16" t="s">
        <v>465</v>
      </c>
      <c r="R783" s="16" t="s">
        <v>466</v>
      </c>
      <c r="S783" s="16" t="s">
        <v>6841</v>
      </c>
      <c r="T783" s="16">
        <v>174577</v>
      </c>
      <c r="U783" s="16">
        <v>46273.840277777781</v>
      </c>
      <c r="V783" s="16" t="s">
        <v>469</v>
      </c>
      <c r="W783" s="16" t="s">
        <v>568</v>
      </c>
      <c r="X783" s="16" t="s">
        <v>471</v>
      </c>
      <c r="Y783" s="16" t="s">
        <v>1985</v>
      </c>
      <c r="Z783" s="16" t="s">
        <v>544</v>
      </c>
      <c r="AA783" s="16" t="s">
        <v>474</v>
      </c>
      <c r="AB783" s="16" t="s">
        <v>3860</v>
      </c>
      <c r="AC783" s="16" t="s">
        <v>572</v>
      </c>
      <c r="AD783" s="16">
        <v>951643360</v>
      </c>
      <c r="AE783" s="16">
        <v>1992752315</v>
      </c>
      <c r="AF783" s="16"/>
      <c r="AG783" s="16"/>
      <c r="AH783" s="16"/>
      <c r="AI783" s="16" t="s">
        <v>173</v>
      </c>
      <c r="AJ783" s="16" t="s">
        <v>481</v>
      </c>
      <c r="AK783" s="16" t="s">
        <v>6842</v>
      </c>
      <c r="AL783" s="16">
        <v>315624.74</v>
      </c>
      <c r="AM783" s="16"/>
      <c r="AN783" s="16"/>
      <c r="AO783" s="16">
        <v>258</v>
      </c>
      <c r="AP783" s="16" t="s">
        <v>485</v>
      </c>
      <c r="AQ783" s="16" t="s">
        <v>6843</v>
      </c>
      <c r="AR783" s="3">
        <v>46274</v>
      </c>
      <c r="AS783" s="16" t="s">
        <v>173</v>
      </c>
      <c r="AT783" s="16" t="s">
        <v>1047</v>
      </c>
      <c r="AU783" s="16"/>
      <c r="AV783" s="16" t="s">
        <v>6844</v>
      </c>
      <c r="AW783" s="16"/>
      <c r="AX783" s="16"/>
      <c r="AY783" s="16"/>
      <c r="AZ783" s="16"/>
      <c r="BA783" s="16"/>
      <c r="BB783" s="16"/>
      <c r="BC783" s="16"/>
      <c r="BD783" s="16" t="s">
        <v>173</v>
      </c>
      <c r="BE783" s="16">
        <v>30</v>
      </c>
      <c r="BF783" s="16"/>
      <c r="BG783" s="16"/>
      <c r="BH783" s="16" t="s">
        <v>491</v>
      </c>
      <c r="BI783" s="16">
        <v>547924241</v>
      </c>
      <c r="BJ783" s="16"/>
      <c r="BK783" s="16"/>
      <c r="BL783" s="16"/>
      <c r="BM783" s="16"/>
      <c r="BN783" s="16"/>
      <c r="BO783" s="16"/>
      <c r="BP783" s="16"/>
      <c r="BQ783" s="16"/>
      <c r="BR783" s="16"/>
      <c r="BS783" s="16"/>
      <c r="BT783" s="16"/>
      <c r="BU783" s="16"/>
      <c r="BV783" s="16"/>
      <c r="BW783" s="16"/>
      <c r="BX783" s="16"/>
      <c r="BY783" s="16"/>
      <c r="BZ783" s="16"/>
      <c r="CA783" s="190">
        <v>46281</v>
      </c>
      <c r="CB783" s="3"/>
      <c r="CC783" s="16"/>
      <c r="CD783" s="16"/>
      <c r="CE783" s="16"/>
      <c r="CF783" s="16"/>
      <c r="CG783" s="16"/>
      <c r="CH783" s="16"/>
      <c r="CI783" s="16" t="s">
        <v>6845</v>
      </c>
    </row>
    <row r="784" spans="1:87">
      <c r="A784" s="16"/>
      <c r="B784" s="16"/>
      <c r="C784" s="3">
        <v>46282</v>
      </c>
      <c r="D784" s="16" t="s">
        <v>14</v>
      </c>
      <c r="E784" s="16" t="s">
        <v>6846</v>
      </c>
      <c r="F784" s="16">
        <v>2026229880385</v>
      </c>
      <c r="G784" s="16">
        <v>30</v>
      </c>
      <c r="H784" s="16">
        <v>30</v>
      </c>
      <c r="I784" s="16" t="s">
        <v>809</v>
      </c>
      <c r="J784" s="16" t="s">
        <v>6846</v>
      </c>
      <c r="K784" s="16" t="s">
        <v>960</v>
      </c>
      <c r="L784" s="16" t="s">
        <v>13</v>
      </c>
      <c r="M784" s="16">
        <v>7</v>
      </c>
      <c r="N784" s="16" t="s">
        <v>462</v>
      </c>
      <c r="O784" s="16" t="s">
        <v>606</v>
      </c>
      <c r="P784" s="16">
        <v>967568584</v>
      </c>
      <c r="Q784" s="16" t="s">
        <v>465</v>
      </c>
      <c r="R784" s="16" t="s">
        <v>466</v>
      </c>
      <c r="S784" s="16" t="s">
        <v>6847</v>
      </c>
      <c r="T784" s="16">
        <v>173323</v>
      </c>
      <c r="U784" s="16">
        <v>46273.804166666669</v>
      </c>
      <c r="V784" s="16" t="s">
        <v>469</v>
      </c>
      <c r="W784" s="16" t="s">
        <v>651</v>
      </c>
      <c r="X784" s="16" t="s">
        <v>652</v>
      </c>
      <c r="Y784" s="16" t="s">
        <v>653</v>
      </c>
      <c r="Z784" s="16" t="s">
        <v>590</v>
      </c>
      <c r="AA784" s="16" t="s">
        <v>474</v>
      </c>
      <c r="AB784" s="16" t="s">
        <v>2303</v>
      </c>
      <c r="AC784" s="16" t="s">
        <v>592</v>
      </c>
      <c r="AD784" s="16">
        <v>463676110</v>
      </c>
      <c r="AE784" s="16">
        <v>1225464399</v>
      </c>
      <c r="AF784" s="16">
        <v>1285739920</v>
      </c>
      <c r="AG784" s="16">
        <v>5120252630294200</v>
      </c>
      <c r="AH784" s="16"/>
      <c r="AI784" s="16" t="s">
        <v>55</v>
      </c>
      <c r="AJ784" s="16" t="s">
        <v>481</v>
      </c>
      <c r="AK784" s="16" t="s">
        <v>6848</v>
      </c>
      <c r="AL784" s="16">
        <v>342</v>
      </c>
      <c r="AM784" s="16"/>
      <c r="AN784" s="16"/>
      <c r="AO784" s="16">
        <v>967</v>
      </c>
      <c r="AP784" s="16" t="s">
        <v>485</v>
      </c>
      <c r="AQ784" s="16" t="s">
        <v>6849</v>
      </c>
      <c r="AR784" s="3">
        <v>46274</v>
      </c>
      <c r="AS784" s="16" t="s">
        <v>55</v>
      </c>
      <c r="AT784" s="16" t="s">
        <v>516</v>
      </c>
      <c r="AU784" s="16"/>
      <c r="AV784" s="16" t="s">
        <v>6850</v>
      </c>
      <c r="AW784" s="16"/>
      <c r="AX784" s="16"/>
      <c r="AY784" s="16"/>
      <c r="AZ784" s="16"/>
      <c r="BA784" s="16"/>
      <c r="BB784" s="16"/>
      <c r="BC784" s="16"/>
      <c r="BD784" s="16" t="s">
        <v>55</v>
      </c>
      <c r="BE784" s="16">
        <v>30</v>
      </c>
      <c r="BF784" s="16"/>
      <c r="BG784" s="16"/>
      <c r="BH784" s="16" t="s">
        <v>658</v>
      </c>
      <c r="BI784" s="16">
        <v>967568584</v>
      </c>
      <c r="BJ784" s="16"/>
      <c r="BK784" s="16"/>
      <c r="BL784" s="16"/>
      <c r="BM784" s="16"/>
      <c r="BN784" s="16"/>
      <c r="BO784" s="16"/>
      <c r="BP784" s="16"/>
      <c r="BQ784" s="16"/>
      <c r="BR784" s="16"/>
      <c r="BS784" s="16"/>
      <c r="BT784" s="16"/>
      <c r="BU784" s="16"/>
      <c r="BV784" s="16"/>
      <c r="BW784" s="16"/>
      <c r="BX784" s="16"/>
      <c r="BY784" s="16"/>
      <c r="BZ784" s="16"/>
      <c r="CA784" s="190">
        <v>46281</v>
      </c>
      <c r="CB784" s="3"/>
      <c r="CC784" s="16"/>
      <c r="CD784" s="16"/>
      <c r="CE784" s="16"/>
      <c r="CF784" s="16"/>
      <c r="CG784" s="16"/>
      <c r="CH784" s="16"/>
      <c r="CI784" s="16" t="s">
        <v>6851</v>
      </c>
    </row>
    <row r="785" spans="1:87">
      <c r="A785" s="16"/>
      <c r="B785" s="16"/>
      <c r="C785" s="3">
        <v>46282</v>
      </c>
      <c r="D785" s="16" t="s">
        <v>14</v>
      </c>
      <c r="E785" s="16" t="s">
        <v>6852</v>
      </c>
      <c r="F785" s="16">
        <v>2026230760090</v>
      </c>
      <c r="G785" s="16">
        <v>30</v>
      </c>
      <c r="H785" s="16">
        <v>29</v>
      </c>
      <c r="I785" s="16" t="s">
        <v>809</v>
      </c>
      <c r="J785" s="16" t="s">
        <v>6852</v>
      </c>
      <c r="K785" s="16" t="s">
        <v>2871</v>
      </c>
      <c r="L785" s="16" t="s">
        <v>18</v>
      </c>
      <c r="M785" s="16">
        <v>7</v>
      </c>
      <c r="N785" s="16" t="s">
        <v>462</v>
      </c>
      <c r="O785" s="16" t="s">
        <v>606</v>
      </c>
      <c r="P785" s="16">
        <v>295676870</v>
      </c>
      <c r="Q785" s="16" t="s">
        <v>465</v>
      </c>
      <c r="R785" s="16" t="s">
        <v>466</v>
      </c>
      <c r="S785" s="16" t="s">
        <v>6853</v>
      </c>
      <c r="T785" s="16" t="s">
        <v>664</v>
      </c>
      <c r="U785" s="16">
        <v>46273.898611111108</v>
      </c>
      <c r="V785" s="16" t="s">
        <v>469</v>
      </c>
      <c r="W785" s="16" t="s">
        <v>651</v>
      </c>
      <c r="X785" s="16" t="s">
        <v>652</v>
      </c>
      <c r="Y785" s="16" t="s">
        <v>653</v>
      </c>
      <c r="Z785" s="16" t="s">
        <v>665</v>
      </c>
      <c r="AA785" s="16" t="s">
        <v>474</v>
      </c>
      <c r="AB785" s="16" t="s">
        <v>666</v>
      </c>
      <c r="AC785" s="16" t="s">
        <v>640</v>
      </c>
      <c r="AD785" s="16">
        <v>135598093</v>
      </c>
      <c r="AE785" s="16">
        <v>1508266347</v>
      </c>
      <c r="AF785" s="16">
        <v>1255864369</v>
      </c>
      <c r="AG785" s="16">
        <v>2.54202534320278E+16</v>
      </c>
      <c r="AH785" s="16"/>
      <c r="AI785" s="16" t="s">
        <v>143</v>
      </c>
      <c r="AJ785" s="16" t="s">
        <v>481</v>
      </c>
      <c r="AK785" s="16" t="s">
        <v>6854</v>
      </c>
      <c r="AL785" s="16">
        <v>11305</v>
      </c>
      <c r="AM785" s="16"/>
      <c r="AN785" s="16"/>
      <c r="AO785" s="16">
        <v>295</v>
      </c>
      <c r="AP785" s="16" t="s">
        <v>485</v>
      </c>
      <c r="AQ785" s="16" t="s">
        <v>6855</v>
      </c>
      <c r="AR785" s="3">
        <v>46274</v>
      </c>
      <c r="AS785" s="16" t="s">
        <v>143</v>
      </c>
      <c r="AT785" s="16" t="s">
        <v>516</v>
      </c>
      <c r="AU785" s="16"/>
      <c r="AV785" s="16" t="s">
        <v>6856</v>
      </c>
      <c r="AW785" s="16"/>
      <c r="AX785" s="16"/>
      <c r="AY785" s="16"/>
      <c r="AZ785" s="16"/>
      <c r="BA785" s="16"/>
      <c r="BB785" s="16"/>
      <c r="BC785" s="16"/>
      <c r="BD785" s="16" t="s">
        <v>143</v>
      </c>
      <c r="BE785" s="16">
        <v>29</v>
      </c>
      <c r="BF785" s="16"/>
      <c r="BG785" s="16" t="s">
        <v>490</v>
      </c>
      <c r="BH785" s="16" t="s">
        <v>658</v>
      </c>
      <c r="BI785" s="16">
        <v>295676870</v>
      </c>
      <c r="BJ785" s="16"/>
      <c r="BK785" s="16"/>
      <c r="BL785" s="16"/>
      <c r="BM785" s="16"/>
      <c r="BN785" s="16"/>
      <c r="BO785" s="16"/>
      <c r="BP785" s="16"/>
      <c r="BQ785" s="16"/>
      <c r="BR785" s="16"/>
      <c r="BS785" s="16"/>
      <c r="BT785" s="16"/>
      <c r="BU785" s="16"/>
      <c r="BV785" s="16"/>
      <c r="BW785" s="16"/>
      <c r="BX785" s="16"/>
      <c r="BY785" s="16"/>
      <c r="BZ785" s="16"/>
      <c r="CA785" s="190">
        <v>46281</v>
      </c>
      <c r="CB785" s="3"/>
      <c r="CC785" s="16"/>
      <c r="CD785" s="16"/>
      <c r="CE785" s="16"/>
      <c r="CF785" s="16"/>
      <c r="CG785" s="16"/>
      <c r="CH785" s="16"/>
      <c r="CI785" s="16" t="s">
        <v>6857</v>
      </c>
    </row>
    <row r="786" spans="1:87" ht="29.25">
      <c r="A786" s="16" t="s">
        <v>5</v>
      </c>
      <c r="B786" s="25" t="s">
        <v>3493</v>
      </c>
      <c r="C786" s="3">
        <v>46282</v>
      </c>
      <c r="D786" s="16" t="s">
        <v>14</v>
      </c>
      <c r="E786" s="16" t="s">
        <v>6858</v>
      </c>
      <c r="F786" s="16">
        <v>2026230620147</v>
      </c>
      <c r="G786" s="16">
        <v>30</v>
      </c>
      <c r="H786" s="16">
        <v>29</v>
      </c>
      <c r="I786" s="16" t="s">
        <v>809</v>
      </c>
      <c r="J786" s="16" t="s">
        <v>6858</v>
      </c>
      <c r="K786" s="16" t="s">
        <v>461</v>
      </c>
      <c r="L786" s="16" t="s">
        <v>17</v>
      </c>
      <c r="M786" s="16">
        <v>7</v>
      </c>
      <c r="N786" s="16" t="s">
        <v>462</v>
      </c>
      <c r="O786" s="16" t="s">
        <v>606</v>
      </c>
      <c r="P786" s="16">
        <v>813654717</v>
      </c>
      <c r="Q786" s="16" t="s">
        <v>465</v>
      </c>
      <c r="R786" s="16" t="s">
        <v>466</v>
      </c>
      <c r="S786" s="16" t="s">
        <v>6859</v>
      </c>
      <c r="T786" s="16">
        <v>173327</v>
      </c>
      <c r="U786" s="16">
        <v>46273.931250000001</v>
      </c>
      <c r="V786" s="16" t="s">
        <v>469</v>
      </c>
      <c r="W786" s="16" t="s">
        <v>651</v>
      </c>
      <c r="X786" s="16" t="s">
        <v>652</v>
      </c>
      <c r="Y786" s="16" t="s">
        <v>653</v>
      </c>
      <c r="Z786" s="16" t="s">
        <v>524</v>
      </c>
      <c r="AA786" s="16" t="s">
        <v>474</v>
      </c>
      <c r="AB786" s="16" t="s">
        <v>757</v>
      </c>
      <c r="AC786" s="16" t="s">
        <v>526</v>
      </c>
      <c r="AD786" s="16">
        <v>932446694</v>
      </c>
      <c r="AE786" s="16">
        <v>1285400978</v>
      </c>
      <c r="AF786" s="16">
        <v>1902985583</v>
      </c>
      <c r="AG786" s="16">
        <v>3.30202602119532E+16</v>
      </c>
      <c r="AH786" s="16"/>
      <c r="AI786" s="16" t="s">
        <v>67</v>
      </c>
      <c r="AJ786" s="16" t="s">
        <v>481</v>
      </c>
      <c r="AK786" s="16" t="s">
        <v>6860</v>
      </c>
      <c r="AL786" s="16">
        <v>515</v>
      </c>
      <c r="AM786" s="16"/>
      <c r="AN786" s="16"/>
      <c r="AO786" s="16">
        <v>813</v>
      </c>
      <c r="AP786" s="16" t="s">
        <v>485</v>
      </c>
      <c r="AQ786" s="16" t="s">
        <v>6861</v>
      </c>
      <c r="AR786" s="3">
        <v>46274</v>
      </c>
      <c r="AS786" s="16" t="s">
        <v>67</v>
      </c>
      <c r="AT786" s="16" t="s">
        <v>976</v>
      </c>
      <c r="AU786" s="16"/>
      <c r="AV786" s="16" t="s">
        <v>6765</v>
      </c>
      <c r="AW786" s="16"/>
      <c r="AX786" s="16"/>
      <c r="AY786" s="16"/>
      <c r="AZ786" s="16"/>
      <c r="BA786" s="16"/>
      <c r="BB786" s="16"/>
      <c r="BC786" s="16"/>
      <c r="BD786" s="16" t="s">
        <v>67</v>
      </c>
      <c r="BE786" s="16">
        <v>29</v>
      </c>
      <c r="BF786" s="16"/>
      <c r="BG786" s="16" t="s">
        <v>490</v>
      </c>
      <c r="BH786" s="16" t="s">
        <v>658</v>
      </c>
      <c r="BI786" s="16">
        <v>813654717</v>
      </c>
      <c r="BJ786" s="16"/>
      <c r="BK786" s="16"/>
      <c r="BL786" s="16"/>
      <c r="BM786" s="16"/>
      <c r="BN786" s="16"/>
      <c r="BO786" s="16"/>
      <c r="BP786" s="16"/>
      <c r="BQ786" s="16"/>
      <c r="BR786" s="16"/>
      <c r="BS786" s="16"/>
      <c r="BT786" s="16"/>
      <c r="BU786" s="16"/>
      <c r="BV786" s="16"/>
      <c r="BW786" s="16"/>
      <c r="BX786" s="16"/>
      <c r="BY786" s="16"/>
      <c r="BZ786" s="16"/>
      <c r="CA786" s="190">
        <v>46282.166666666701</v>
      </c>
      <c r="CB786" s="3"/>
      <c r="CC786" s="16"/>
      <c r="CD786" s="16"/>
      <c r="CE786" s="16"/>
      <c r="CF786" s="16"/>
      <c r="CG786" s="16"/>
      <c r="CH786" s="16"/>
      <c r="CI786" s="16" t="s">
        <v>6862</v>
      </c>
    </row>
    <row r="787" spans="1:87">
      <c r="A787" s="16"/>
      <c r="B787" s="16"/>
      <c r="C787" s="3">
        <v>46282</v>
      </c>
      <c r="D787" s="16" t="s">
        <v>14</v>
      </c>
      <c r="E787" s="16" t="s">
        <v>6863</v>
      </c>
      <c r="F787" s="16">
        <v>2026230590155</v>
      </c>
      <c r="G787" s="16">
        <v>30</v>
      </c>
      <c r="H787" s="16">
        <v>29</v>
      </c>
      <c r="I787" s="16" t="s">
        <v>809</v>
      </c>
      <c r="J787" s="16" t="s">
        <v>6863</v>
      </c>
      <c r="K787" s="16" t="s">
        <v>625</v>
      </c>
      <c r="L787" s="16" t="s">
        <v>17</v>
      </c>
      <c r="M787" s="16">
        <v>7</v>
      </c>
      <c r="N787" s="16" t="s">
        <v>462</v>
      </c>
      <c r="O787" s="16" t="s">
        <v>606</v>
      </c>
      <c r="P787" s="16">
        <v>813654717</v>
      </c>
      <c r="Q787" s="16" t="s">
        <v>465</v>
      </c>
      <c r="R787" s="16" t="s">
        <v>466</v>
      </c>
      <c r="S787" s="16" t="s">
        <v>6864</v>
      </c>
      <c r="T787" s="16">
        <v>173327</v>
      </c>
      <c r="U787" s="16">
        <v>46273.938194444447</v>
      </c>
      <c r="V787" s="16" t="s">
        <v>469</v>
      </c>
      <c r="W787" s="16" t="s">
        <v>651</v>
      </c>
      <c r="X787" s="16" t="s">
        <v>652</v>
      </c>
      <c r="Y787" s="16" t="s">
        <v>653</v>
      </c>
      <c r="Z787" s="16" t="s">
        <v>524</v>
      </c>
      <c r="AA787" s="16" t="s">
        <v>474</v>
      </c>
      <c r="AB787" s="16" t="s">
        <v>757</v>
      </c>
      <c r="AC787" s="16" t="s">
        <v>526</v>
      </c>
      <c r="AD787" s="16">
        <v>932446694</v>
      </c>
      <c r="AE787" s="16">
        <v>1285400978</v>
      </c>
      <c r="AF787" s="16">
        <v>1902985583</v>
      </c>
      <c r="AG787" s="16">
        <v>3.30202535115817E+16</v>
      </c>
      <c r="AH787" s="16"/>
      <c r="AI787" s="16" t="s">
        <v>70</v>
      </c>
      <c r="AJ787" s="16" t="s">
        <v>481</v>
      </c>
      <c r="AK787" s="16" t="s">
        <v>6865</v>
      </c>
      <c r="AL787" s="16">
        <v>515</v>
      </c>
      <c r="AM787" s="16"/>
      <c r="AN787" s="16"/>
      <c r="AO787" s="16">
        <v>813</v>
      </c>
      <c r="AP787" s="16" t="s">
        <v>485</v>
      </c>
      <c r="AQ787" s="16" t="s">
        <v>6866</v>
      </c>
      <c r="AR787" s="3">
        <v>46274</v>
      </c>
      <c r="AS787" s="16" t="s">
        <v>70</v>
      </c>
      <c r="AT787" s="16" t="s">
        <v>643</v>
      </c>
      <c r="AU787" s="16"/>
      <c r="AV787" s="16" t="s">
        <v>6765</v>
      </c>
      <c r="AW787" s="16"/>
      <c r="AX787" s="16"/>
      <c r="AY787" s="16"/>
      <c r="AZ787" s="16"/>
      <c r="BA787" s="16"/>
      <c r="BB787" s="16"/>
      <c r="BC787" s="16"/>
      <c r="BD787" s="16" t="s">
        <v>70</v>
      </c>
      <c r="BE787" s="16">
        <v>29</v>
      </c>
      <c r="BF787" s="16"/>
      <c r="BG787" s="16" t="s">
        <v>490</v>
      </c>
      <c r="BH787" s="16" t="s">
        <v>658</v>
      </c>
      <c r="BI787" s="16">
        <v>813654717</v>
      </c>
      <c r="BJ787" s="16"/>
      <c r="BK787" s="16"/>
      <c r="BL787" s="16"/>
      <c r="BM787" s="16"/>
      <c r="BN787" s="16"/>
      <c r="BO787" s="16"/>
      <c r="BP787" s="16"/>
      <c r="BQ787" s="16"/>
      <c r="BR787" s="16"/>
      <c r="BS787" s="16"/>
      <c r="BT787" s="16"/>
      <c r="BU787" s="16"/>
      <c r="BV787" s="16"/>
      <c r="BW787" s="16"/>
      <c r="BX787" s="16"/>
      <c r="BY787" s="16"/>
      <c r="BZ787" s="16"/>
      <c r="CA787" s="190">
        <v>46281</v>
      </c>
      <c r="CB787" s="3"/>
      <c r="CC787" s="16"/>
      <c r="CD787" s="16"/>
      <c r="CE787" s="16"/>
      <c r="CF787" s="16"/>
      <c r="CG787" s="16"/>
      <c r="CH787" s="16"/>
      <c r="CI787" s="16" t="s">
        <v>6867</v>
      </c>
    </row>
    <row r="788" spans="1:87" ht="29.25">
      <c r="A788" s="16" t="s">
        <v>5</v>
      </c>
      <c r="B788" s="25" t="s">
        <v>3493</v>
      </c>
      <c r="C788" s="3">
        <v>46282</v>
      </c>
      <c r="D788" s="16" t="s">
        <v>14</v>
      </c>
      <c r="E788" s="16" t="s">
        <v>6868</v>
      </c>
      <c r="F788" s="16">
        <v>2026229690446</v>
      </c>
      <c r="G788" s="16">
        <v>30</v>
      </c>
      <c r="H788" s="16">
        <v>30</v>
      </c>
      <c r="I788" s="16" t="s">
        <v>809</v>
      </c>
      <c r="J788" s="16" t="s">
        <v>6868</v>
      </c>
      <c r="K788" s="16" t="s">
        <v>461</v>
      </c>
      <c r="L788" s="16" t="s">
        <v>17</v>
      </c>
      <c r="M788" s="16">
        <v>7</v>
      </c>
      <c r="N788" s="16" t="s">
        <v>462</v>
      </c>
      <c r="O788" s="16" t="s">
        <v>606</v>
      </c>
      <c r="P788" s="16" t="s">
        <v>6869</v>
      </c>
      <c r="Q788" s="16" t="s">
        <v>465</v>
      </c>
      <c r="R788" s="16" t="s">
        <v>466</v>
      </c>
      <c r="S788" s="16" t="s">
        <v>6870</v>
      </c>
      <c r="T788" s="16" t="s">
        <v>465</v>
      </c>
      <c r="U788" s="16">
        <v>46273.821527777778</v>
      </c>
      <c r="V788" s="16" t="s">
        <v>469</v>
      </c>
      <c r="W788" s="16" t="s">
        <v>589</v>
      </c>
      <c r="X788" s="16" t="s">
        <v>471</v>
      </c>
      <c r="Y788" s="16" t="s">
        <v>472</v>
      </c>
      <c r="Z788" s="16" t="s">
        <v>590</v>
      </c>
      <c r="AA788" s="16" t="s">
        <v>474</v>
      </c>
      <c r="AB788" s="16" t="s">
        <v>6871</v>
      </c>
      <c r="AC788" s="16" t="s">
        <v>592</v>
      </c>
      <c r="AD788" s="16">
        <v>841415470</v>
      </c>
      <c r="AE788" s="16">
        <v>1952327835</v>
      </c>
      <c r="AF788" s="16">
        <v>1831327865</v>
      </c>
      <c r="AG788" s="16"/>
      <c r="AH788" s="16"/>
      <c r="AI788" s="16" t="s">
        <v>67</v>
      </c>
      <c r="AJ788" s="16" t="s">
        <v>481</v>
      </c>
      <c r="AK788" s="16" t="s">
        <v>6872</v>
      </c>
      <c r="AL788" s="16">
        <v>25161</v>
      </c>
      <c r="AM788" s="16"/>
      <c r="AN788" s="16"/>
      <c r="AO788" s="16">
        <v>64</v>
      </c>
      <c r="AP788" s="16" t="s">
        <v>485</v>
      </c>
      <c r="AQ788" s="16" t="s">
        <v>6873</v>
      </c>
      <c r="AR788" s="3">
        <v>46274</v>
      </c>
      <c r="AS788" s="16" t="s">
        <v>67</v>
      </c>
      <c r="AT788" s="16" t="s">
        <v>976</v>
      </c>
      <c r="AU788" s="16"/>
      <c r="AV788" s="16" t="s">
        <v>6487</v>
      </c>
      <c r="AW788" s="16"/>
      <c r="AX788" s="16"/>
      <c r="AY788" s="16"/>
      <c r="AZ788" s="16"/>
      <c r="BA788" s="16"/>
      <c r="BB788" s="16"/>
      <c r="BC788" s="16"/>
      <c r="BD788" s="16" t="s">
        <v>67</v>
      </c>
      <c r="BE788" s="16">
        <v>30</v>
      </c>
      <c r="BF788" s="16"/>
      <c r="BG788" s="16" t="s">
        <v>490</v>
      </c>
      <c r="BH788" s="16" t="s">
        <v>491</v>
      </c>
      <c r="BI788" s="16">
        <v>452413963</v>
      </c>
      <c r="BJ788" s="16"/>
      <c r="BK788" s="16"/>
      <c r="BL788" s="16"/>
      <c r="BM788" s="16"/>
      <c r="BN788" s="16"/>
      <c r="BO788" s="16"/>
      <c r="BP788" s="16"/>
      <c r="BQ788" s="16"/>
      <c r="BR788" s="16"/>
      <c r="BS788" s="16"/>
      <c r="BT788" s="16"/>
      <c r="BU788" s="16"/>
      <c r="BV788" s="16"/>
      <c r="BW788" s="16"/>
      <c r="BX788" s="16"/>
      <c r="BY788" s="16"/>
      <c r="BZ788" s="16"/>
      <c r="CA788" s="190">
        <v>46282.166666666701</v>
      </c>
      <c r="CB788" s="3"/>
      <c r="CC788" s="16"/>
      <c r="CD788" s="16"/>
      <c r="CE788" s="16"/>
      <c r="CF788" s="16"/>
      <c r="CG788" s="16"/>
      <c r="CH788" s="16"/>
      <c r="CI788" s="16" t="s">
        <v>6874</v>
      </c>
    </row>
    <row r="789" spans="1:87">
      <c r="A789" s="16"/>
      <c r="B789" s="16"/>
      <c r="C789" s="3">
        <v>46282</v>
      </c>
      <c r="D789" s="16" t="s">
        <v>14</v>
      </c>
      <c r="E789" s="16" t="s">
        <v>6875</v>
      </c>
      <c r="F789" s="16">
        <v>2026230830138</v>
      </c>
      <c r="G789" s="16">
        <v>30</v>
      </c>
      <c r="H789" s="16">
        <v>29</v>
      </c>
      <c r="I789" s="16" t="s">
        <v>809</v>
      </c>
      <c r="J789" s="16" t="s">
        <v>6875</v>
      </c>
      <c r="K789" s="16" t="s">
        <v>691</v>
      </c>
      <c r="L789" s="16" t="s">
        <v>13</v>
      </c>
      <c r="M789" s="16">
        <v>7</v>
      </c>
      <c r="N789" s="16" t="s">
        <v>462</v>
      </c>
      <c r="O789" s="16" t="s">
        <v>606</v>
      </c>
      <c r="P789" s="16">
        <v>813654717</v>
      </c>
      <c r="Q789" s="16" t="s">
        <v>465</v>
      </c>
      <c r="R789" s="16" t="s">
        <v>466</v>
      </c>
      <c r="S789" s="16" t="s">
        <v>6876</v>
      </c>
      <c r="T789" s="16">
        <v>173327</v>
      </c>
      <c r="U789" s="16">
        <v>46273.984027777777</v>
      </c>
      <c r="V789" s="16" t="s">
        <v>469</v>
      </c>
      <c r="W789" s="16" t="s">
        <v>651</v>
      </c>
      <c r="X789" s="16" t="s">
        <v>652</v>
      </c>
      <c r="Y789" s="16" t="s">
        <v>653</v>
      </c>
      <c r="Z789" s="16" t="s">
        <v>524</v>
      </c>
      <c r="AA789" s="16" t="s">
        <v>474</v>
      </c>
      <c r="AB789" s="16" t="s">
        <v>757</v>
      </c>
      <c r="AC789" s="16" t="s">
        <v>526</v>
      </c>
      <c r="AD789" s="16">
        <v>932446694</v>
      </c>
      <c r="AE789" s="16">
        <v>1285400978</v>
      </c>
      <c r="AF789" s="16">
        <v>1902985583</v>
      </c>
      <c r="AG789" s="16">
        <v>3.30202534420934E+16</v>
      </c>
      <c r="AH789" s="16"/>
      <c r="AI789" s="16" t="s">
        <v>128</v>
      </c>
      <c r="AJ789" s="16" t="s">
        <v>481</v>
      </c>
      <c r="AK789" s="16" t="s">
        <v>6877</v>
      </c>
      <c r="AL789" s="16">
        <v>515</v>
      </c>
      <c r="AM789" s="16"/>
      <c r="AN789" s="16"/>
      <c r="AO789" s="16">
        <v>813</v>
      </c>
      <c r="AP789" s="16" t="s">
        <v>485</v>
      </c>
      <c r="AQ789" s="16" t="s">
        <v>6878</v>
      </c>
      <c r="AR789" s="3">
        <v>46274</v>
      </c>
      <c r="AS789" s="16" t="s">
        <v>128</v>
      </c>
      <c r="AT789" s="16" t="s">
        <v>766</v>
      </c>
      <c r="AU789" s="16"/>
      <c r="AV789" s="16" t="s">
        <v>6765</v>
      </c>
      <c r="AW789" s="16"/>
      <c r="AX789" s="16"/>
      <c r="AY789" s="16"/>
      <c r="AZ789" s="16"/>
      <c r="BA789" s="16"/>
      <c r="BB789" s="16"/>
      <c r="BC789" s="16"/>
      <c r="BD789" s="16" t="s">
        <v>128</v>
      </c>
      <c r="BE789" s="16">
        <v>29</v>
      </c>
      <c r="BF789" s="16"/>
      <c r="BG789" s="16" t="s">
        <v>490</v>
      </c>
      <c r="BH789" s="16" t="s">
        <v>658</v>
      </c>
      <c r="BI789" s="16">
        <v>813654717</v>
      </c>
      <c r="BJ789" s="16"/>
      <c r="BK789" s="16"/>
      <c r="BL789" s="16"/>
      <c r="BM789" s="16"/>
      <c r="BN789" s="16"/>
      <c r="BO789" s="16"/>
      <c r="BP789" s="16"/>
      <c r="BQ789" s="16"/>
      <c r="BR789" s="16"/>
      <c r="BS789" s="16"/>
      <c r="BT789" s="16"/>
      <c r="BU789" s="16"/>
      <c r="BV789" s="16"/>
      <c r="BW789" s="16"/>
      <c r="BX789" s="16"/>
      <c r="BY789" s="16"/>
      <c r="BZ789" s="16"/>
      <c r="CA789" s="190"/>
      <c r="CB789" s="3"/>
      <c r="CC789" s="16"/>
      <c r="CD789" s="16"/>
      <c r="CE789" s="16"/>
      <c r="CF789" s="16"/>
      <c r="CG789" s="16"/>
      <c r="CH789" s="16"/>
      <c r="CI789" s="16" t="s">
        <v>6879</v>
      </c>
    </row>
  </sheetData>
  <phoneticPr fontId="57" type="noConversion"/>
  <conditionalFormatting sqref="E355:E1048576 E1:E10">
    <cfRule type="duplicateValues" dxfId="118" priority="10194"/>
  </conditionalFormatting>
  <conditionalFormatting sqref="E2:E789">
    <cfRule type="duplicateValues" dxfId="117" priority="14584"/>
    <cfRule type="duplicateValues" dxfId="116" priority="14585"/>
    <cfRule type="duplicateValues" dxfId="115" priority="14586"/>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7D586-6037-4440-8CB6-FEC4C4002E45}">
  <dimension ref="A1:D5"/>
  <sheetViews>
    <sheetView workbookViewId="0"/>
  </sheetViews>
  <sheetFormatPr defaultRowHeight="15"/>
  <cols>
    <col min="1" max="1" width="16.5703125" customWidth="1"/>
    <col min="2" max="2" width="16.140625" customWidth="1"/>
    <col min="3" max="3" width="15.5703125" customWidth="1"/>
    <col min="4" max="4" width="17.7109375" customWidth="1"/>
  </cols>
  <sheetData>
    <row r="1" spans="1:4">
      <c r="A1" t="s">
        <v>6880</v>
      </c>
      <c r="B1" t="s">
        <v>17</v>
      </c>
      <c r="C1" t="s">
        <v>18</v>
      </c>
      <c r="D1" t="s">
        <v>16</v>
      </c>
    </row>
    <row r="2" spans="1:4">
      <c r="A2" t="s">
        <v>13</v>
      </c>
    </row>
    <row r="3" spans="1:4">
      <c r="A3" t="s">
        <v>17</v>
      </c>
    </row>
    <row r="4" spans="1:4">
      <c r="A4" t="s">
        <v>18</v>
      </c>
    </row>
    <row r="5" spans="1:4">
      <c r="A5"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D893E-0749-4533-9DD1-B45D153389CE}">
  <sheetPr>
    <tabColor theme="5" tint="-0.249977111117893"/>
  </sheetPr>
  <dimension ref="A1:L1053"/>
  <sheetViews>
    <sheetView tabSelected="1" workbookViewId="0">
      <pane ySplit="1" topLeftCell="A268" activePane="bottomLeft" state="frozen"/>
      <selection pane="bottomLeft" activeCell="R4" sqref="R4"/>
    </sheetView>
  </sheetViews>
  <sheetFormatPr defaultRowHeight="15"/>
  <cols>
    <col min="1" max="1" width="20.7109375" style="11" customWidth="1"/>
    <col min="2" max="2" width="27.42578125" style="11" bestFit="1" customWidth="1"/>
    <col min="3" max="3" width="20.7109375" style="11" customWidth="1"/>
    <col min="4" max="4" width="24.7109375" style="11" bestFit="1" customWidth="1"/>
    <col min="5" max="5" width="24.42578125" style="11" customWidth="1"/>
    <col min="6" max="6" width="190" style="12" bestFit="1" customWidth="1"/>
    <col min="7" max="7" width="20.7109375" style="11" customWidth="1"/>
    <col min="8" max="8" width="28.7109375" style="13" customWidth="1"/>
    <col min="9" max="9" width="19.5703125" style="10" customWidth="1"/>
    <col min="10" max="10" width="110.42578125" style="17" bestFit="1" customWidth="1"/>
    <col min="11" max="11" width="26.7109375" customWidth="1"/>
  </cols>
  <sheetData>
    <row r="1" spans="1:12" s="9" customFormat="1">
      <c r="A1" s="27" t="s">
        <v>374</v>
      </c>
      <c r="B1" s="27" t="s">
        <v>6881</v>
      </c>
      <c r="C1" s="27" t="s">
        <v>6882</v>
      </c>
      <c r="D1" s="27" t="s">
        <v>6883</v>
      </c>
      <c r="E1" s="27" t="s">
        <v>6884</v>
      </c>
      <c r="F1" s="28" t="s">
        <v>6885</v>
      </c>
      <c r="G1" s="27" t="s">
        <v>6886</v>
      </c>
      <c r="H1" s="28" t="s">
        <v>373</v>
      </c>
      <c r="I1" s="29" t="s">
        <v>6887</v>
      </c>
      <c r="J1" s="29" t="s">
        <v>6888</v>
      </c>
      <c r="K1" s="178" t="s">
        <v>3</v>
      </c>
      <c r="L1" s="178" t="s">
        <v>457</v>
      </c>
    </row>
    <row r="2" spans="1:12" ht="45">
      <c r="A2" s="10">
        <v>46169</v>
      </c>
      <c r="B2" s="30" t="s">
        <v>6889</v>
      </c>
      <c r="C2" s="11" t="s">
        <v>983</v>
      </c>
      <c r="D2" s="11" t="s">
        <v>6890</v>
      </c>
      <c r="E2" s="11" t="s">
        <v>17</v>
      </c>
      <c r="G2" s="11" t="s">
        <v>6891</v>
      </c>
      <c r="H2" s="13" t="s">
        <v>6892</v>
      </c>
      <c r="I2" s="10">
        <v>46170</v>
      </c>
      <c r="J2" s="10" t="s">
        <v>4916</v>
      </c>
      <c r="L2" t="s">
        <v>6893</v>
      </c>
    </row>
    <row r="3" spans="1:12" ht="45">
      <c r="A3" s="10">
        <v>46169</v>
      </c>
      <c r="B3" s="31" t="s">
        <v>6894</v>
      </c>
      <c r="C3" s="11" t="s">
        <v>983</v>
      </c>
      <c r="D3" s="11" t="s">
        <v>6890</v>
      </c>
      <c r="E3" s="11" t="s">
        <v>17</v>
      </c>
      <c r="G3" s="11" t="s">
        <v>6891</v>
      </c>
      <c r="H3" s="13" t="s">
        <v>6892</v>
      </c>
      <c r="I3" s="10">
        <v>46170</v>
      </c>
      <c r="J3" s="10" t="s">
        <v>4</v>
      </c>
      <c r="L3" t="s">
        <v>6895</v>
      </c>
    </row>
    <row r="4" spans="1:12" ht="90">
      <c r="A4" s="10">
        <v>46169</v>
      </c>
      <c r="B4" s="11" t="s">
        <v>6896</v>
      </c>
      <c r="C4" s="11" t="s">
        <v>1555</v>
      </c>
      <c r="D4" s="11" t="s">
        <v>6897</v>
      </c>
      <c r="E4" s="11" t="s">
        <v>17</v>
      </c>
      <c r="F4" s="12" t="s">
        <v>6898</v>
      </c>
      <c r="G4" s="11" t="s">
        <v>6899</v>
      </c>
      <c r="H4" s="13" t="s">
        <v>6900</v>
      </c>
      <c r="I4" s="10">
        <v>46169</v>
      </c>
      <c r="J4" s="10" t="s">
        <v>4</v>
      </c>
      <c r="L4" t="s">
        <v>6901</v>
      </c>
    </row>
    <row r="5" spans="1:12">
      <c r="A5" s="10">
        <v>46169</v>
      </c>
      <c r="B5" s="11" t="s">
        <v>6902</v>
      </c>
      <c r="C5" s="11" t="s">
        <v>1555</v>
      </c>
      <c r="D5" s="11" t="s">
        <v>6897</v>
      </c>
      <c r="E5" s="11" t="s">
        <v>17</v>
      </c>
      <c r="F5" s="12" t="s">
        <v>6898</v>
      </c>
      <c r="G5" s="11" t="s">
        <v>6899</v>
      </c>
      <c r="H5" s="13" t="s">
        <v>6903</v>
      </c>
      <c r="I5" s="10">
        <v>46169</v>
      </c>
      <c r="J5" s="10" t="s">
        <v>6904</v>
      </c>
      <c r="L5" t="s">
        <v>6905</v>
      </c>
    </row>
    <row r="6" spans="1:12">
      <c r="A6" s="10">
        <v>46169</v>
      </c>
      <c r="B6" s="11" t="s">
        <v>6906</v>
      </c>
      <c r="C6" s="11" t="s">
        <v>1555</v>
      </c>
      <c r="D6" s="11" t="s">
        <v>6897</v>
      </c>
      <c r="E6" s="11" t="s">
        <v>17</v>
      </c>
      <c r="F6" s="12" t="s">
        <v>6898</v>
      </c>
      <c r="G6" s="11" t="s">
        <v>6899</v>
      </c>
      <c r="H6" s="13" t="s">
        <v>6907</v>
      </c>
      <c r="I6" s="10">
        <v>46169</v>
      </c>
      <c r="J6" s="10" t="s">
        <v>6908</v>
      </c>
      <c r="L6" t="s">
        <v>6909</v>
      </c>
    </row>
    <row r="7" spans="1:12">
      <c r="A7" s="10">
        <v>46169</v>
      </c>
      <c r="B7" s="11" t="s">
        <v>6910</v>
      </c>
      <c r="C7" s="11" t="s">
        <v>1201</v>
      </c>
      <c r="D7" s="11" t="s">
        <v>6911</v>
      </c>
      <c r="E7" s="11" t="s">
        <v>17</v>
      </c>
      <c r="F7" s="12" t="s">
        <v>4</v>
      </c>
      <c r="G7" s="11" t="s">
        <v>6891</v>
      </c>
      <c r="H7" s="13" t="s">
        <v>6903</v>
      </c>
      <c r="I7" s="10">
        <v>46170</v>
      </c>
      <c r="J7" s="10" t="s">
        <v>4</v>
      </c>
      <c r="L7" t="s">
        <v>6912</v>
      </c>
    </row>
    <row r="8" spans="1:12">
      <c r="A8" s="10">
        <v>46169</v>
      </c>
      <c r="B8" s="11" t="s">
        <v>6913</v>
      </c>
      <c r="C8" s="11" t="s">
        <v>1201</v>
      </c>
      <c r="D8" s="11" t="s">
        <v>6911</v>
      </c>
      <c r="E8" s="11" t="s">
        <v>17</v>
      </c>
      <c r="F8" s="12" t="s">
        <v>4</v>
      </c>
      <c r="G8" s="11" t="s">
        <v>6891</v>
      </c>
      <c r="H8" s="13" t="s">
        <v>6903</v>
      </c>
      <c r="I8" s="10">
        <v>46170</v>
      </c>
      <c r="J8" s="10" t="s">
        <v>4</v>
      </c>
      <c r="L8" t="s">
        <v>6914</v>
      </c>
    </row>
    <row r="9" spans="1:12">
      <c r="A9" s="10">
        <v>46169</v>
      </c>
      <c r="B9" s="32" t="s">
        <v>6915</v>
      </c>
      <c r="C9" s="11" t="s">
        <v>518</v>
      </c>
      <c r="D9" s="11" t="s">
        <v>6916</v>
      </c>
      <c r="E9" s="11" t="s">
        <v>17</v>
      </c>
      <c r="F9" s="12" t="s">
        <v>6917</v>
      </c>
      <c r="G9" s="11" t="s">
        <v>6899</v>
      </c>
      <c r="H9" s="13" t="s">
        <v>6903</v>
      </c>
      <c r="I9" s="10">
        <v>46169</v>
      </c>
      <c r="J9" s="10" t="s">
        <v>4916</v>
      </c>
      <c r="L9" t="s">
        <v>6918</v>
      </c>
    </row>
    <row r="10" spans="1:12" ht="30">
      <c r="A10" s="10">
        <v>46169</v>
      </c>
      <c r="B10" s="11" t="s">
        <v>6919</v>
      </c>
      <c r="C10" s="11" t="s">
        <v>1436</v>
      </c>
      <c r="D10" s="11" t="s">
        <v>6920</v>
      </c>
      <c r="E10" s="11" t="s">
        <v>18</v>
      </c>
      <c r="F10" s="12" t="s">
        <v>6921</v>
      </c>
      <c r="G10" s="11" t="s">
        <v>6922</v>
      </c>
      <c r="H10" s="13" t="s">
        <v>6923</v>
      </c>
      <c r="I10" s="10">
        <v>46169</v>
      </c>
      <c r="J10" s="10" t="s">
        <v>6924</v>
      </c>
      <c r="L10" t="s">
        <v>6925</v>
      </c>
    </row>
    <row r="11" spans="1:12">
      <c r="A11" s="10">
        <v>46169</v>
      </c>
      <c r="B11" s="11" t="s">
        <v>6926</v>
      </c>
      <c r="C11" s="11" t="s">
        <v>1555</v>
      </c>
      <c r="D11" s="11" t="s">
        <v>6897</v>
      </c>
      <c r="E11" s="11" t="s">
        <v>17</v>
      </c>
      <c r="F11" s="12" t="s">
        <v>6898</v>
      </c>
      <c r="H11" s="13" t="s">
        <v>4</v>
      </c>
      <c r="J11" s="10" t="s">
        <v>6908</v>
      </c>
      <c r="L11" t="s">
        <v>6927</v>
      </c>
    </row>
    <row r="12" spans="1:12" ht="75">
      <c r="A12" s="10">
        <v>46169</v>
      </c>
      <c r="B12" s="11" t="s">
        <v>6928</v>
      </c>
      <c r="C12" s="11" t="s">
        <v>1555</v>
      </c>
      <c r="D12" s="11" t="s">
        <v>6897</v>
      </c>
      <c r="E12" s="11" t="s">
        <v>17</v>
      </c>
      <c r="F12" s="12" t="s">
        <v>6929</v>
      </c>
      <c r="G12" s="11" t="s">
        <v>6930</v>
      </c>
      <c r="H12" s="13" t="s">
        <v>6931</v>
      </c>
      <c r="I12" s="10">
        <v>46178</v>
      </c>
      <c r="J12" s="10" t="s">
        <v>6932</v>
      </c>
      <c r="L12" t="s">
        <v>6933</v>
      </c>
    </row>
    <row r="13" spans="1:12" ht="90">
      <c r="A13" s="10">
        <v>46169</v>
      </c>
      <c r="B13" s="11" t="s">
        <v>6934</v>
      </c>
      <c r="C13" s="11" t="s">
        <v>1555</v>
      </c>
      <c r="D13" s="11" t="s">
        <v>6897</v>
      </c>
      <c r="E13" s="11" t="s">
        <v>17</v>
      </c>
      <c r="F13" s="12" t="s">
        <v>6935</v>
      </c>
      <c r="G13" s="11" t="s">
        <v>6936</v>
      </c>
      <c r="H13" s="13" t="s">
        <v>6937</v>
      </c>
      <c r="I13" s="10">
        <v>46175</v>
      </c>
      <c r="J13" s="10" t="s">
        <v>6938</v>
      </c>
      <c r="L13" t="s">
        <v>6939</v>
      </c>
    </row>
    <row r="14" spans="1:12" ht="75">
      <c r="A14" s="10">
        <v>46169</v>
      </c>
      <c r="B14" s="11" t="s">
        <v>6940</v>
      </c>
      <c r="C14" s="11" t="s">
        <v>1555</v>
      </c>
      <c r="D14" s="11" t="s">
        <v>6897</v>
      </c>
      <c r="E14" s="11" t="s">
        <v>17</v>
      </c>
      <c r="F14" s="12" t="s">
        <v>6941</v>
      </c>
      <c r="G14" s="11" t="s">
        <v>6891</v>
      </c>
      <c r="H14" s="13" t="s">
        <v>6942</v>
      </c>
      <c r="I14" s="10">
        <v>46178</v>
      </c>
      <c r="J14" s="33" t="s">
        <v>6943</v>
      </c>
      <c r="L14" t="s">
        <v>6944</v>
      </c>
    </row>
    <row r="15" spans="1:12" ht="45">
      <c r="A15" s="10">
        <v>46169</v>
      </c>
      <c r="B15" s="11" t="s">
        <v>6945</v>
      </c>
      <c r="C15" s="11" t="s">
        <v>6946</v>
      </c>
      <c r="D15" s="11" t="s">
        <v>6947</v>
      </c>
      <c r="E15" s="11" t="s">
        <v>6948</v>
      </c>
      <c r="F15" s="12" t="s">
        <v>6898</v>
      </c>
      <c r="G15" s="11" t="s">
        <v>6899</v>
      </c>
      <c r="H15" s="13" t="s">
        <v>6949</v>
      </c>
      <c r="I15" s="10">
        <v>46169</v>
      </c>
      <c r="J15" s="10" t="s">
        <v>4</v>
      </c>
      <c r="L15" t="s">
        <v>6950</v>
      </c>
    </row>
    <row r="16" spans="1:12" ht="45">
      <c r="A16" s="10">
        <v>46169</v>
      </c>
      <c r="B16" s="11" t="s">
        <v>6951</v>
      </c>
      <c r="C16" s="11" t="s">
        <v>6946</v>
      </c>
      <c r="D16" s="11" t="s">
        <v>6947</v>
      </c>
      <c r="E16" s="11" t="s">
        <v>6948</v>
      </c>
      <c r="F16" s="12" t="s">
        <v>6898</v>
      </c>
      <c r="G16" s="11" t="s">
        <v>6899</v>
      </c>
      <c r="H16" s="13" t="s">
        <v>6952</v>
      </c>
      <c r="I16" s="10">
        <v>46169</v>
      </c>
      <c r="J16" s="10" t="s">
        <v>4</v>
      </c>
      <c r="L16" t="s">
        <v>6953</v>
      </c>
    </row>
    <row r="17" spans="1:12">
      <c r="A17" s="10">
        <v>46169</v>
      </c>
      <c r="B17" s="34" t="s">
        <v>6954</v>
      </c>
      <c r="C17" s="11" t="s">
        <v>6946</v>
      </c>
      <c r="D17" s="11" t="s">
        <v>6947</v>
      </c>
      <c r="E17" s="11" t="s">
        <v>6948</v>
      </c>
      <c r="F17" s="12" t="s">
        <v>6898</v>
      </c>
      <c r="G17" s="11" t="s">
        <v>6899</v>
      </c>
      <c r="H17" s="13" t="s">
        <v>6903</v>
      </c>
      <c r="I17" s="10">
        <v>46169</v>
      </c>
      <c r="J17" s="10" t="s">
        <v>6955</v>
      </c>
      <c r="L17" t="s">
        <v>6956</v>
      </c>
    </row>
    <row r="18" spans="1:12">
      <c r="A18" s="10">
        <v>46169</v>
      </c>
      <c r="B18" s="9" t="s">
        <v>6957</v>
      </c>
      <c r="C18" s="11" t="s">
        <v>6946</v>
      </c>
      <c r="D18" s="11" t="s">
        <v>6947</v>
      </c>
      <c r="E18" s="11" t="s">
        <v>6948</v>
      </c>
      <c r="F18" s="12" t="s">
        <v>6898</v>
      </c>
      <c r="G18" s="11" t="s">
        <v>6899</v>
      </c>
      <c r="H18" s="13" t="s">
        <v>6903</v>
      </c>
      <c r="I18" s="10">
        <v>46169</v>
      </c>
      <c r="J18" s="10" t="s">
        <v>6958</v>
      </c>
      <c r="L18" t="s">
        <v>6959</v>
      </c>
    </row>
    <row r="19" spans="1:12" ht="30">
      <c r="A19" s="10">
        <v>46169</v>
      </c>
      <c r="B19" s="11" t="s">
        <v>6960</v>
      </c>
      <c r="C19" s="11" t="s">
        <v>2369</v>
      </c>
      <c r="D19" s="11" t="s">
        <v>6961</v>
      </c>
      <c r="E19" s="11" t="s">
        <v>18</v>
      </c>
      <c r="F19" s="12" t="s">
        <v>6962</v>
      </c>
      <c r="G19" s="11" t="s">
        <v>6922</v>
      </c>
      <c r="H19" s="13" t="s">
        <v>6923</v>
      </c>
      <c r="I19" s="10">
        <v>46169</v>
      </c>
      <c r="J19" s="10" t="s">
        <v>4</v>
      </c>
      <c r="L19" t="s">
        <v>6963</v>
      </c>
    </row>
    <row r="20" spans="1:12">
      <c r="A20" s="10">
        <v>46169</v>
      </c>
      <c r="B20" s="11" t="s">
        <v>6964</v>
      </c>
      <c r="C20" s="11" t="s">
        <v>496</v>
      </c>
      <c r="D20" s="11" t="s">
        <v>6965</v>
      </c>
      <c r="E20" s="11" t="s">
        <v>17</v>
      </c>
      <c r="F20" s="12" t="s">
        <v>6898</v>
      </c>
      <c r="G20" s="11" t="s">
        <v>6922</v>
      </c>
      <c r="H20" s="13" t="s">
        <v>6903</v>
      </c>
      <c r="I20" s="10">
        <v>46169</v>
      </c>
      <c r="J20" s="10" t="s">
        <v>4</v>
      </c>
      <c r="L20" t="s">
        <v>6966</v>
      </c>
    </row>
    <row r="21" spans="1:12" ht="30">
      <c r="A21" s="10">
        <v>46169</v>
      </c>
      <c r="B21" s="11" t="s">
        <v>6967</v>
      </c>
      <c r="C21" s="11" t="s">
        <v>1260</v>
      </c>
      <c r="D21" s="11" t="s">
        <v>6968</v>
      </c>
      <c r="E21" s="11" t="s">
        <v>13</v>
      </c>
      <c r="F21" s="12" t="s">
        <v>6962</v>
      </c>
      <c r="G21" s="11" t="s">
        <v>6922</v>
      </c>
      <c r="H21" s="13" t="s">
        <v>6923</v>
      </c>
      <c r="I21" s="10">
        <v>46169</v>
      </c>
      <c r="J21" s="10" t="s">
        <v>4</v>
      </c>
      <c r="L21" t="s">
        <v>6969</v>
      </c>
    </row>
    <row r="22" spans="1:12">
      <c r="A22" s="10">
        <v>46169</v>
      </c>
      <c r="B22" s="35" t="s">
        <v>6970</v>
      </c>
      <c r="C22" s="11" t="s">
        <v>1824</v>
      </c>
      <c r="D22" s="11" t="s">
        <v>6971</v>
      </c>
      <c r="E22" s="11" t="s">
        <v>17</v>
      </c>
      <c r="F22" s="12" t="s">
        <v>6898</v>
      </c>
      <c r="G22" s="11" t="s">
        <v>6922</v>
      </c>
      <c r="H22" s="13" t="s">
        <v>6903</v>
      </c>
      <c r="I22" s="10">
        <v>46169</v>
      </c>
      <c r="J22" s="10">
        <v>46179.666666666701</v>
      </c>
      <c r="K22" t="s">
        <v>4</v>
      </c>
      <c r="L22" t="s">
        <v>6972</v>
      </c>
    </row>
    <row r="23" spans="1:12">
      <c r="A23" s="10">
        <v>46169</v>
      </c>
      <c r="B23" s="36" t="s">
        <v>6973</v>
      </c>
      <c r="C23" s="11" t="s">
        <v>1824</v>
      </c>
      <c r="D23" s="11" t="s">
        <v>6971</v>
      </c>
      <c r="E23" s="11" t="s">
        <v>17</v>
      </c>
      <c r="F23" s="12" t="s">
        <v>6898</v>
      </c>
      <c r="G23" s="11" t="s">
        <v>6922</v>
      </c>
      <c r="H23" s="13" t="s">
        <v>6903</v>
      </c>
      <c r="I23" s="10">
        <v>46169</v>
      </c>
      <c r="J23" s="10">
        <v>46179.666666666701</v>
      </c>
      <c r="K23" t="s">
        <v>4</v>
      </c>
      <c r="L23" t="s">
        <v>6974</v>
      </c>
    </row>
    <row r="24" spans="1:12" ht="30">
      <c r="A24" s="10">
        <v>46169</v>
      </c>
      <c r="B24" s="31" t="s">
        <v>6975</v>
      </c>
      <c r="C24" s="11" t="s">
        <v>6976</v>
      </c>
      <c r="D24" s="11" t="s">
        <v>6977</v>
      </c>
      <c r="E24" s="11" t="s">
        <v>18</v>
      </c>
      <c r="F24" s="12" t="s">
        <v>6978</v>
      </c>
      <c r="G24" s="11" t="s">
        <v>6922</v>
      </c>
      <c r="H24" s="13" t="s">
        <v>6979</v>
      </c>
      <c r="I24" s="10">
        <v>46169</v>
      </c>
      <c r="J24" s="10" t="s">
        <v>4</v>
      </c>
      <c r="L24" t="s">
        <v>6980</v>
      </c>
    </row>
    <row r="25" spans="1:12">
      <c r="A25" s="10">
        <v>46169</v>
      </c>
      <c r="B25" s="11" t="s">
        <v>6981</v>
      </c>
      <c r="C25" s="11" t="s">
        <v>461</v>
      </c>
      <c r="D25" s="11" t="s">
        <v>6982</v>
      </c>
      <c r="E25" s="11" t="s">
        <v>17</v>
      </c>
      <c r="F25" s="12" t="s">
        <v>6898</v>
      </c>
      <c r="G25" s="11" t="s">
        <v>6983</v>
      </c>
      <c r="H25" s="13" t="s">
        <v>6903</v>
      </c>
      <c r="I25" s="10">
        <v>46169</v>
      </c>
      <c r="J25" s="10" t="s">
        <v>6984</v>
      </c>
      <c r="L25" t="s">
        <v>6985</v>
      </c>
    </row>
    <row r="26" spans="1:12">
      <c r="A26" s="10">
        <v>46169</v>
      </c>
      <c r="B26" s="11" t="s">
        <v>6986</v>
      </c>
      <c r="C26" s="11" t="s">
        <v>461</v>
      </c>
      <c r="D26" s="11" t="s">
        <v>6982</v>
      </c>
      <c r="E26" s="11" t="s">
        <v>17</v>
      </c>
      <c r="F26" s="12" t="s">
        <v>6898</v>
      </c>
      <c r="G26" s="11" t="s">
        <v>6983</v>
      </c>
      <c r="H26" s="13" t="s">
        <v>6903</v>
      </c>
      <c r="I26" s="10">
        <v>46169</v>
      </c>
      <c r="J26" s="10" t="s">
        <v>6984</v>
      </c>
      <c r="L26" t="s">
        <v>6987</v>
      </c>
    </row>
    <row r="27" spans="1:12">
      <c r="A27" s="10">
        <v>46169</v>
      </c>
      <c r="B27" s="11" t="s">
        <v>6988</v>
      </c>
      <c r="C27" s="11" t="s">
        <v>461</v>
      </c>
      <c r="D27" s="11" t="s">
        <v>6982</v>
      </c>
      <c r="E27" s="11" t="s">
        <v>17</v>
      </c>
      <c r="F27" s="12" t="s">
        <v>6898</v>
      </c>
      <c r="G27" s="11" t="s">
        <v>6983</v>
      </c>
      <c r="H27" s="13" t="s">
        <v>6903</v>
      </c>
      <c r="I27" s="10">
        <v>46169</v>
      </c>
      <c r="J27" s="10" t="s">
        <v>4</v>
      </c>
      <c r="L27" t="s">
        <v>6989</v>
      </c>
    </row>
    <row r="28" spans="1:12">
      <c r="A28" s="10">
        <v>46169</v>
      </c>
      <c r="B28" s="11" t="s">
        <v>6990</v>
      </c>
      <c r="C28" s="11" t="s">
        <v>461</v>
      </c>
      <c r="D28" s="11" t="s">
        <v>6982</v>
      </c>
      <c r="E28" s="11" t="s">
        <v>17</v>
      </c>
      <c r="F28" s="12" t="s">
        <v>6898</v>
      </c>
      <c r="G28" s="11" t="s">
        <v>6983</v>
      </c>
      <c r="H28" s="13" t="s">
        <v>6903</v>
      </c>
      <c r="I28" s="10">
        <v>46169</v>
      </c>
      <c r="J28" s="10" t="s">
        <v>4</v>
      </c>
      <c r="L28" t="s">
        <v>6991</v>
      </c>
    </row>
    <row r="29" spans="1:12">
      <c r="A29" s="10">
        <v>46169</v>
      </c>
      <c r="B29" s="11" t="s">
        <v>6992</v>
      </c>
      <c r="C29" s="11" t="s">
        <v>674</v>
      </c>
      <c r="D29" s="11" t="s">
        <v>6993</v>
      </c>
      <c r="E29" s="11" t="s">
        <v>16</v>
      </c>
      <c r="F29" s="12" t="s">
        <v>6898</v>
      </c>
      <c r="G29" s="11" t="s">
        <v>6922</v>
      </c>
      <c r="H29" s="13" t="s">
        <v>6903</v>
      </c>
      <c r="I29" s="10">
        <v>46175</v>
      </c>
      <c r="J29" s="10" t="s">
        <v>4</v>
      </c>
      <c r="L29" t="s">
        <v>6994</v>
      </c>
    </row>
    <row r="30" spans="1:12">
      <c r="A30" s="10">
        <v>46169</v>
      </c>
      <c r="B30" s="11" t="s">
        <v>6995</v>
      </c>
      <c r="C30" s="11" t="s">
        <v>674</v>
      </c>
      <c r="D30" s="11" t="s">
        <v>6993</v>
      </c>
      <c r="E30" s="11" t="s">
        <v>16</v>
      </c>
      <c r="F30" s="12" t="s">
        <v>6898</v>
      </c>
      <c r="G30" s="11" t="s">
        <v>6922</v>
      </c>
      <c r="H30" s="13" t="s">
        <v>6903</v>
      </c>
      <c r="I30" s="10">
        <v>46175</v>
      </c>
      <c r="J30" s="10" t="s">
        <v>4</v>
      </c>
      <c r="L30" t="s">
        <v>6996</v>
      </c>
    </row>
    <row r="31" spans="1:12">
      <c r="A31" s="10">
        <v>46169</v>
      </c>
      <c r="B31" s="11" t="s">
        <v>6997</v>
      </c>
      <c r="C31" s="11" t="s">
        <v>674</v>
      </c>
      <c r="D31" s="11" t="s">
        <v>6993</v>
      </c>
      <c r="E31" s="11" t="s">
        <v>16</v>
      </c>
      <c r="F31" s="12" t="s">
        <v>6898</v>
      </c>
      <c r="G31" s="11" t="s">
        <v>6922</v>
      </c>
      <c r="H31" s="13" t="s">
        <v>6903</v>
      </c>
      <c r="I31" s="10">
        <v>46175</v>
      </c>
      <c r="J31" s="10" t="s">
        <v>4</v>
      </c>
      <c r="L31" t="s">
        <v>6998</v>
      </c>
    </row>
    <row r="32" spans="1:12">
      <c r="A32" s="10">
        <v>46169</v>
      </c>
      <c r="B32" s="12" t="s">
        <v>6999</v>
      </c>
      <c r="C32" s="11" t="s">
        <v>1874</v>
      </c>
      <c r="D32" s="11" t="s">
        <v>7000</v>
      </c>
      <c r="E32" s="11" t="s">
        <v>17</v>
      </c>
      <c r="F32" s="12" t="s">
        <v>7001</v>
      </c>
      <c r="G32" s="11" t="s">
        <v>6936</v>
      </c>
      <c r="H32" s="13" t="s">
        <v>6903</v>
      </c>
      <c r="I32" s="10">
        <v>46169</v>
      </c>
      <c r="J32" s="10" t="s">
        <v>4</v>
      </c>
      <c r="L32" t="s">
        <v>7002</v>
      </c>
    </row>
    <row r="33" spans="1:12">
      <c r="A33" s="10">
        <v>46169</v>
      </c>
      <c r="B33" s="12" t="s">
        <v>7003</v>
      </c>
      <c r="C33" s="11" t="s">
        <v>1874</v>
      </c>
      <c r="D33" s="11" t="s">
        <v>7000</v>
      </c>
      <c r="E33" s="11" t="s">
        <v>17</v>
      </c>
      <c r="F33" s="12" t="s">
        <v>6898</v>
      </c>
      <c r="G33" s="11" t="s">
        <v>6891</v>
      </c>
      <c r="H33" s="13" t="s">
        <v>6903</v>
      </c>
      <c r="I33" s="10">
        <v>46170</v>
      </c>
      <c r="J33" s="10" t="s">
        <v>4</v>
      </c>
      <c r="L33" t="s">
        <v>7004</v>
      </c>
    </row>
    <row r="34" spans="1:12" ht="30">
      <c r="A34" s="10">
        <v>46169</v>
      </c>
      <c r="B34" s="11" t="s">
        <v>7005</v>
      </c>
      <c r="C34" s="11" t="s">
        <v>496</v>
      </c>
      <c r="D34" s="11" t="s">
        <v>6965</v>
      </c>
      <c r="E34" s="11" t="s">
        <v>17</v>
      </c>
      <c r="F34" s="11" t="s">
        <v>7006</v>
      </c>
      <c r="G34" s="11" t="s">
        <v>6922</v>
      </c>
      <c r="H34" s="13" t="s">
        <v>7007</v>
      </c>
      <c r="I34" s="10">
        <v>46175</v>
      </c>
      <c r="J34" s="10" t="s">
        <v>4</v>
      </c>
      <c r="L34" t="s">
        <v>7008</v>
      </c>
    </row>
    <row r="35" spans="1:12" ht="60">
      <c r="A35" s="10">
        <v>46169</v>
      </c>
      <c r="B35" s="11" t="s">
        <v>7009</v>
      </c>
      <c r="C35" s="11" t="s">
        <v>1348</v>
      </c>
      <c r="D35" s="11" t="s">
        <v>7010</v>
      </c>
      <c r="E35" s="11" t="s">
        <v>17</v>
      </c>
      <c r="F35" s="12" t="s">
        <v>7011</v>
      </c>
      <c r="G35" s="11" t="s">
        <v>6922</v>
      </c>
      <c r="H35" s="13" t="s">
        <v>7012</v>
      </c>
      <c r="I35" s="10">
        <v>46171</v>
      </c>
      <c r="J35" s="10" t="s">
        <v>4</v>
      </c>
      <c r="L35" t="s">
        <v>7013</v>
      </c>
    </row>
    <row r="36" spans="1:12" ht="45">
      <c r="A36" s="10">
        <v>46169</v>
      </c>
      <c r="B36" s="11" t="s">
        <v>7014</v>
      </c>
      <c r="C36" s="11" t="s">
        <v>1348</v>
      </c>
      <c r="D36" s="11" t="s">
        <v>7010</v>
      </c>
      <c r="E36" s="11" t="s">
        <v>17</v>
      </c>
      <c r="F36" s="12" t="s">
        <v>7015</v>
      </c>
      <c r="G36" s="11" t="s">
        <v>6922</v>
      </c>
      <c r="H36" s="13" t="s">
        <v>6903</v>
      </c>
      <c r="I36" s="10">
        <v>46171</v>
      </c>
      <c r="J36" s="10" t="s">
        <v>4</v>
      </c>
      <c r="L36" t="s">
        <v>7016</v>
      </c>
    </row>
    <row r="37" spans="1:12" ht="60">
      <c r="A37" s="10">
        <v>46169</v>
      </c>
      <c r="B37" s="11" t="s">
        <v>7017</v>
      </c>
      <c r="C37" s="11" t="s">
        <v>1348</v>
      </c>
      <c r="D37" s="11" t="s">
        <v>7010</v>
      </c>
      <c r="E37" s="11" t="s">
        <v>17</v>
      </c>
      <c r="F37" s="12" t="s">
        <v>7018</v>
      </c>
      <c r="G37" s="11" t="s">
        <v>6922</v>
      </c>
      <c r="H37" s="13" t="s">
        <v>7019</v>
      </c>
      <c r="J37" s="10" t="s">
        <v>4</v>
      </c>
      <c r="L37" t="s">
        <v>7020</v>
      </c>
    </row>
    <row r="38" spans="1:12" ht="45">
      <c r="A38" s="10">
        <v>46169</v>
      </c>
      <c r="B38" s="11" t="s">
        <v>7021</v>
      </c>
      <c r="C38" s="11" t="s">
        <v>6946</v>
      </c>
      <c r="D38" s="11" t="s">
        <v>6947</v>
      </c>
      <c r="E38" s="11" t="s">
        <v>6948</v>
      </c>
      <c r="F38" s="12" t="s">
        <v>6898</v>
      </c>
      <c r="G38" s="11" t="s">
        <v>6891</v>
      </c>
      <c r="H38" s="13" t="s">
        <v>6892</v>
      </c>
      <c r="I38" s="10">
        <v>46170</v>
      </c>
      <c r="J38" s="10" t="s">
        <v>4916</v>
      </c>
      <c r="L38" t="s">
        <v>7022</v>
      </c>
    </row>
    <row r="39" spans="1:12" ht="30">
      <c r="A39" s="10">
        <v>46169</v>
      </c>
      <c r="B39" s="11" t="s">
        <v>7023</v>
      </c>
      <c r="C39" s="11" t="s">
        <v>6946</v>
      </c>
      <c r="D39" s="11" t="s">
        <v>6947</v>
      </c>
      <c r="E39" s="11" t="s">
        <v>6948</v>
      </c>
      <c r="F39" s="37" t="s">
        <v>7024</v>
      </c>
      <c r="G39" s="11" t="s">
        <v>6930</v>
      </c>
      <c r="H39" s="38" t="s">
        <v>7025</v>
      </c>
      <c r="I39" s="10">
        <v>46178</v>
      </c>
      <c r="J39" s="10" t="s">
        <v>4</v>
      </c>
      <c r="L39" t="s">
        <v>7026</v>
      </c>
    </row>
    <row r="40" spans="1:12">
      <c r="A40" s="10">
        <v>46169</v>
      </c>
      <c r="B40" s="11" t="s">
        <v>7027</v>
      </c>
      <c r="C40" s="11" t="s">
        <v>741</v>
      </c>
      <c r="D40" s="11" t="s">
        <v>7028</v>
      </c>
      <c r="E40" s="11" t="s">
        <v>13</v>
      </c>
      <c r="F40" s="12" t="s">
        <v>7029</v>
      </c>
      <c r="G40" s="11" t="s">
        <v>6936</v>
      </c>
      <c r="H40" s="13" t="s">
        <v>7030</v>
      </c>
      <c r="I40" s="10">
        <v>46171</v>
      </c>
      <c r="J40" s="10" t="s">
        <v>4</v>
      </c>
      <c r="L40" t="s">
        <v>7031</v>
      </c>
    </row>
    <row r="41" spans="1:12" ht="30">
      <c r="A41" s="10">
        <v>46169</v>
      </c>
      <c r="B41" s="11" t="s">
        <v>7027</v>
      </c>
      <c r="C41" s="11" t="s">
        <v>741</v>
      </c>
      <c r="D41" s="11" t="s">
        <v>7028</v>
      </c>
      <c r="E41" s="11" t="s">
        <v>13</v>
      </c>
      <c r="F41" s="12" t="s">
        <v>7029</v>
      </c>
      <c r="G41" s="11" t="s">
        <v>6936</v>
      </c>
      <c r="H41" s="13" t="s">
        <v>7032</v>
      </c>
      <c r="I41" s="10">
        <v>46171</v>
      </c>
      <c r="J41" s="10" t="s">
        <v>4</v>
      </c>
      <c r="L41" t="s">
        <v>7033</v>
      </c>
    </row>
    <row r="42" spans="1:12">
      <c r="A42" s="10">
        <v>46170</v>
      </c>
      <c r="B42" s="11" t="s">
        <v>7034</v>
      </c>
      <c r="C42" s="11" t="s">
        <v>1874</v>
      </c>
      <c r="D42" s="11" t="s">
        <v>7000</v>
      </c>
      <c r="E42" s="11" t="s">
        <v>17</v>
      </c>
      <c r="F42" s="12" t="s">
        <v>6898</v>
      </c>
      <c r="G42" s="11" t="s">
        <v>6922</v>
      </c>
      <c r="H42" s="13" t="s">
        <v>7035</v>
      </c>
      <c r="I42" s="10">
        <v>46170</v>
      </c>
      <c r="J42" s="10" t="s">
        <v>4</v>
      </c>
      <c r="L42" t="s">
        <v>7036</v>
      </c>
    </row>
    <row r="43" spans="1:12">
      <c r="A43" s="10">
        <v>46170</v>
      </c>
      <c r="B43" s="11" t="s">
        <v>7037</v>
      </c>
      <c r="C43" s="11" t="s">
        <v>1252</v>
      </c>
      <c r="D43" s="11" t="s">
        <v>7038</v>
      </c>
      <c r="E43" s="11" t="s">
        <v>17</v>
      </c>
      <c r="F43" s="12" t="s">
        <v>7029</v>
      </c>
      <c r="G43" s="11" t="s">
        <v>6922</v>
      </c>
      <c r="H43" s="13" t="s">
        <v>7035</v>
      </c>
      <c r="I43" s="10">
        <v>46170</v>
      </c>
      <c r="J43" s="10" t="s">
        <v>4</v>
      </c>
      <c r="L43" t="s">
        <v>7039</v>
      </c>
    </row>
    <row r="44" spans="1:12">
      <c r="A44" s="10">
        <v>46170</v>
      </c>
      <c r="B44" s="11" t="s">
        <v>7040</v>
      </c>
      <c r="C44" s="11" t="s">
        <v>1252</v>
      </c>
      <c r="D44" s="11" t="s">
        <v>7038</v>
      </c>
      <c r="E44" s="11" t="s">
        <v>17</v>
      </c>
      <c r="F44" s="12" t="s">
        <v>7029</v>
      </c>
      <c r="G44" s="11" t="s">
        <v>6922</v>
      </c>
      <c r="H44" s="13" t="s">
        <v>7035</v>
      </c>
      <c r="I44" s="10">
        <v>46170</v>
      </c>
      <c r="J44" s="10" t="s">
        <v>4</v>
      </c>
      <c r="L44" t="s">
        <v>7041</v>
      </c>
    </row>
    <row r="45" spans="1:12">
      <c r="A45" s="10">
        <v>46170</v>
      </c>
      <c r="B45" s="39" t="s">
        <v>7042</v>
      </c>
      <c r="C45" s="11" t="s">
        <v>810</v>
      </c>
      <c r="D45" s="11" t="s">
        <v>7043</v>
      </c>
      <c r="E45" s="11" t="s">
        <v>17</v>
      </c>
      <c r="F45" s="12" t="s">
        <v>7029</v>
      </c>
      <c r="G45" s="11" t="s">
        <v>6922</v>
      </c>
      <c r="H45" s="13" t="s">
        <v>7035</v>
      </c>
      <c r="I45" s="10">
        <v>46170</v>
      </c>
      <c r="J45" s="10">
        <v>46196.666666666701</v>
      </c>
      <c r="K45" t="s">
        <v>4</v>
      </c>
      <c r="L45" t="s">
        <v>7044</v>
      </c>
    </row>
    <row r="46" spans="1:12">
      <c r="A46" s="10">
        <v>46170</v>
      </c>
      <c r="B46" s="11" t="s">
        <v>7045</v>
      </c>
      <c r="C46" s="11" t="s">
        <v>810</v>
      </c>
      <c r="D46" s="11" t="s">
        <v>7043</v>
      </c>
      <c r="E46" s="11" t="s">
        <v>17</v>
      </c>
      <c r="F46" t="s">
        <v>7046</v>
      </c>
      <c r="G46" s="11" t="s">
        <v>6922</v>
      </c>
      <c r="H46" s="13" t="s">
        <v>7035</v>
      </c>
      <c r="I46" s="10">
        <v>46170</v>
      </c>
      <c r="J46" s="10">
        <v>46179.666666666701</v>
      </c>
      <c r="K46" t="s">
        <v>4</v>
      </c>
      <c r="L46" t="s">
        <v>7047</v>
      </c>
    </row>
    <row r="47" spans="1:12" ht="60">
      <c r="A47" s="10">
        <v>46170</v>
      </c>
      <c r="B47" s="11" t="s">
        <v>7048</v>
      </c>
      <c r="C47" s="11" t="s">
        <v>810</v>
      </c>
      <c r="D47" s="11" t="s">
        <v>7043</v>
      </c>
      <c r="E47" s="11" t="s">
        <v>17</v>
      </c>
      <c r="F47" t="s">
        <v>7049</v>
      </c>
      <c r="G47" s="11" t="s">
        <v>6922</v>
      </c>
      <c r="H47" s="13" t="s">
        <v>7050</v>
      </c>
      <c r="I47" s="10">
        <v>46170</v>
      </c>
      <c r="J47" s="10">
        <v>46172.666666666701</v>
      </c>
      <c r="K47" t="s">
        <v>4</v>
      </c>
      <c r="L47" t="s">
        <v>7051</v>
      </c>
    </row>
    <row r="48" spans="1:12">
      <c r="A48" s="10">
        <v>46170</v>
      </c>
      <c r="B48" s="11" t="s">
        <v>7052</v>
      </c>
      <c r="C48" s="11" t="s">
        <v>1109</v>
      </c>
      <c r="D48" s="11" t="s">
        <v>7053</v>
      </c>
      <c r="E48" s="11" t="s">
        <v>17</v>
      </c>
      <c r="F48" s="12" t="s">
        <v>6898</v>
      </c>
      <c r="G48" s="11" t="s">
        <v>6891</v>
      </c>
      <c r="H48" s="13" t="s">
        <v>6903</v>
      </c>
      <c r="I48" s="10">
        <v>46170</v>
      </c>
      <c r="J48" s="10" t="s">
        <v>4</v>
      </c>
      <c r="L48" t="s">
        <v>7054</v>
      </c>
    </row>
    <row r="49" spans="1:12">
      <c r="B49" s="11" t="s">
        <v>7055</v>
      </c>
      <c r="C49" s="11" t="s">
        <v>1109</v>
      </c>
      <c r="D49" s="11" t="s">
        <v>7053</v>
      </c>
      <c r="E49" s="11" t="s">
        <v>17</v>
      </c>
      <c r="F49" s="12" t="s">
        <v>6898</v>
      </c>
      <c r="G49" s="11" t="s">
        <v>6891</v>
      </c>
      <c r="H49" s="13" t="s">
        <v>6903</v>
      </c>
      <c r="I49" s="10">
        <v>46170</v>
      </c>
      <c r="J49" s="10" t="s">
        <v>4</v>
      </c>
      <c r="L49" t="s">
        <v>7056</v>
      </c>
    </row>
    <row r="50" spans="1:12">
      <c r="A50" s="10">
        <v>46170</v>
      </c>
      <c r="B50" s="40" t="s">
        <v>7057</v>
      </c>
      <c r="C50" s="11" t="s">
        <v>983</v>
      </c>
      <c r="D50" s="11" t="s">
        <v>7058</v>
      </c>
      <c r="E50" s="11" t="s">
        <v>17</v>
      </c>
      <c r="F50" s="12">
        <v>4</v>
      </c>
      <c r="G50" s="11" t="s">
        <v>6891</v>
      </c>
      <c r="H50" s="13" t="s">
        <v>6903</v>
      </c>
      <c r="I50" s="10">
        <v>46170</v>
      </c>
      <c r="J50" s="10" t="s">
        <v>4</v>
      </c>
      <c r="L50" t="s">
        <v>7059</v>
      </c>
    </row>
    <row r="51" spans="1:12" ht="30">
      <c r="A51" s="41">
        <v>46170</v>
      </c>
      <c r="B51" s="42" t="s">
        <v>7060</v>
      </c>
      <c r="C51" s="43" t="s">
        <v>1779</v>
      </c>
      <c r="D51" s="43" t="s">
        <v>7061</v>
      </c>
      <c r="E51" s="11" t="s">
        <v>18</v>
      </c>
      <c r="F51" s="42" t="s">
        <v>6898</v>
      </c>
      <c r="G51" s="11" t="s">
        <v>6891</v>
      </c>
      <c r="H51" s="13" t="s">
        <v>6903</v>
      </c>
      <c r="I51" s="10">
        <v>46170</v>
      </c>
      <c r="J51" s="10" t="s">
        <v>4</v>
      </c>
      <c r="L51" t="s">
        <v>7062</v>
      </c>
    </row>
    <row r="52" spans="1:12">
      <c r="A52" s="44"/>
      <c r="B52" s="45"/>
      <c r="C52" s="46"/>
      <c r="D52" s="46"/>
      <c r="E52" s="11" t="e">
        <v>#N/A</v>
      </c>
      <c r="F52" s="47"/>
      <c r="G52" s="48"/>
      <c r="J52" s="10" t="s">
        <v>7063</v>
      </c>
      <c r="L52" t="s">
        <v>7064</v>
      </c>
    </row>
    <row r="53" spans="1:12">
      <c r="A53" s="44">
        <v>46170</v>
      </c>
      <c r="B53" s="49" t="s">
        <v>7065</v>
      </c>
      <c r="C53" s="46" t="s">
        <v>994</v>
      </c>
      <c r="D53" s="46" t="s">
        <v>107</v>
      </c>
      <c r="E53" s="11" t="s">
        <v>17</v>
      </c>
      <c r="F53" s="50" t="s">
        <v>7066</v>
      </c>
      <c r="G53" s="48" t="s">
        <v>6922</v>
      </c>
      <c r="H53" s="13" t="s">
        <v>7035</v>
      </c>
      <c r="I53" s="10">
        <v>46170</v>
      </c>
      <c r="J53" s="10" t="s">
        <v>4</v>
      </c>
      <c r="L53" t="s">
        <v>7067</v>
      </c>
    </row>
    <row r="54" spans="1:12" ht="45">
      <c r="A54" s="44">
        <v>46170</v>
      </c>
      <c r="B54" s="46" t="s">
        <v>7068</v>
      </c>
      <c r="C54" s="46" t="s">
        <v>994</v>
      </c>
      <c r="D54" s="46" t="s">
        <v>107</v>
      </c>
      <c r="E54" s="11" t="s">
        <v>17</v>
      </c>
      <c r="F54" s="50" t="s">
        <v>7066</v>
      </c>
      <c r="G54" s="48" t="s">
        <v>6922</v>
      </c>
      <c r="H54" s="13" t="s">
        <v>6892</v>
      </c>
      <c r="I54" s="10">
        <v>46170</v>
      </c>
      <c r="J54" s="10" t="s">
        <v>4</v>
      </c>
      <c r="L54" t="s">
        <v>7069</v>
      </c>
    </row>
    <row r="55" spans="1:12" ht="45">
      <c r="A55" s="44">
        <v>46170</v>
      </c>
      <c r="B55" s="46" t="s">
        <v>7070</v>
      </c>
      <c r="C55" s="46" t="s">
        <v>994</v>
      </c>
      <c r="D55" s="46" t="s">
        <v>107</v>
      </c>
      <c r="E55" s="11" t="s">
        <v>17</v>
      </c>
      <c r="F55" s="50" t="s">
        <v>7071</v>
      </c>
      <c r="G55" s="48" t="s">
        <v>6922</v>
      </c>
      <c r="H55" s="13" t="s">
        <v>6892</v>
      </c>
      <c r="I55" s="10">
        <v>46170</v>
      </c>
      <c r="J55" s="10" t="s">
        <v>4</v>
      </c>
      <c r="L55" t="s">
        <v>7072</v>
      </c>
    </row>
    <row r="56" spans="1:12" ht="75">
      <c r="A56" s="44">
        <v>46170</v>
      </c>
      <c r="B56" s="46" t="s">
        <v>7073</v>
      </c>
      <c r="C56" s="46" t="s">
        <v>994</v>
      </c>
      <c r="D56" s="46" t="s">
        <v>107</v>
      </c>
      <c r="E56" s="11" t="s">
        <v>17</v>
      </c>
      <c r="F56" s="50" t="s">
        <v>7071</v>
      </c>
      <c r="G56" s="48" t="s">
        <v>6922</v>
      </c>
      <c r="H56" s="13" t="s">
        <v>7074</v>
      </c>
      <c r="I56" s="10">
        <v>46170</v>
      </c>
      <c r="J56" s="10" t="s">
        <v>4</v>
      </c>
      <c r="L56" t="s">
        <v>7075</v>
      </c>
    </row>
    <row r="57" spans="1:12" ht="45">
      <c r="A57" s="44">
        <v>46170</v>
      </c>
      <c r="B57" s="46" t="s">
        <v>7076</v>
      </c>
      <c r="C57" s="46" t="s">
        <v>994</v>
      </c>
      <c r="D57" s="46" t="s">
        <v>107</v>
      </c>
      <c r="E57" s="11" t="s">
        <v>17</v>
      </c>
      <c r="F57" s="50" t="s">
        <v>7066</v>
      </c>
      <c r="G57" s="48" t="s">
        <v>6922</v>
      </c>
      <c r="H57" s="13" t="s">
        <v>6892</v>
      </c>
      <c r="I57" s="10">
        <v>46170</v>
      </c>
      <c r="J57" s="10" t="s">
        <v>4</v>
      </c>
      <c r="L57" t="s">
        <v>7077</v>
      </c>
    </row>
    <row r="58" spans="1:12">
      <c r="A58" s="44">
        <v>46170</v>
      </c>
      <c r="B58" s="46" t="s">
        <v>7078</v>
      </c>
      <c r="C58" s="46" t="s">
        <v>994</v>
      </c>
      <c r="D58" s="46" t="s">
        <v>107</v>
      </c>
      <c r="E58" s="11" t="s">
        <v>17</v>
      </c>
      <c r="F58" s="50" t="s">
        <v>7066</v>
      </c>
      <c r="G58" s="48" t="s">
        <v>6922</v>
      </c>
      <c r="H58" s="13" t="s">
        <v>7035</v>
      </c>
      <c r="I58" s="10">
        <v>46170</v>
      </c>
      <c r="J58" s="10" t="s">
        <v>4</v>
      </c>
      <c r="L58" t="s">
        <v>7079</v>
      </c>
    </row>
    <row r="59" spans="1:12" ht="45">
      <c r="A59" s="44">
        <v>46170</v>
      </c>
      <c r="B59" s="46" t="s">
        <v>7080</v>
      </c>
      <c r="C59" s="46" t="s">
        <v>994</v>
      </c>
      <c r="D59" s="46" t="s">
        <v>107</v>
      </c>
      <c r="E59" s="11" t="s">
        <v>17</v>
      </c>
      <c r="F59" s="50" t="s">
        <v>7081</v>
      </c>
      <c r="G59" s="48" t="s">
        <v>6922</v>
      </c>
      <c r="H59" s="13" t="s">
        <v>6892</v>
      </c>
      <c r="I59" s="10">
        <v>46170</v>
      </c>
      <c r="J59" s="10" t="s">
        <v>4</v>
      </c>
      <c r="L59" t="s">
        <v>7082</v>
      </c>
    </row>
    <row r="60" spans="1:12" ht="45">
      <c r="A60" s="51">
        <v>46170</v>
      </c>
      <c r="B60" s="52" t="s">
        <v>7083</v>
      </c>
      <c r="C60" s="46" t="s">
        <v>994</v>
      </c>
      <c r="D60" s="46" t="s">
        <v>107</v>
      </c>
      <c r="E60" s="11" t="s">
        <v>17</v>
      </c>
      <c r="F60" s="53" t="s">
        <v>7084</v>
      </c>
      <c r="G60" s="48" t="s">
        <v>6922</v>
      </c>
      <c r="H60" s="13" t="s">
        <v>7085</v>
      </c>
      <c r="I60" s="10">
        <v>46170</v>
      </c>
      <c r="J60" s="10" t="s">
        <v>4</v>
      </c>
      <c r="L60" t="s">
        <v>7086</v>
      </c>
    </row>
    <row r="61" spans="1:12" ht="30">
      <c r="A61" s="10">
        <v>46170</v>
      </c>
      <c r="B61" s="11" t="s">
        <v>7087</v>
      </c>
      <c r="C61" s="46" t="s">
        <v>994</v>
      </c>
      <c r="D61" s="46" t="s">
        <v>107</v>
      </c>
      <c r="E61" s="11" t="s">
        <v>17</v>
      </c>
      <c r="F61" s="12" t="s">
        <v>7088</v>
      </c>
      <c r="G61" s="48" t="s">
        <v>6922</v>
      </c>
      <c r="H61" s="13" t="s">
        <v>7089</v>
      </c>
      <c r="I61" s="10">
        <v>46170</v>
      </c>
      <c r="J61" s="10" t="s">
        <v>4</v>
      </c>
      <c r="L61" t="s">
        <v>7090</v>
      </c>
    </row>
    <row r="62" spans="1:12" ht="45">
      <c r="A62" s="10">
        <v>46170</v>
      </c>
      <c r="B62" s="11" t="s">
        <v>7091</v>
      </c>
      <c r="C62" s="46" t="s">
        <v>994</v>
      </c>
      <c r="D62" s="46" t="s">
        <v>107</v>
      </c>
      <c r="E62" s="11" t="s">
        <v>17</v>
      </c>
      <c r="F62" s="12" t="s">
        <v>7084</v>
      </c>
      <c r="G62" s="48" t="s">
        <v>6922</v>
      </c>
      <c r="H62" s="13" t="s">
        <v>7085</v>
      </c>
      <c r="I62" s="10">
        <v>46170</v>
      </c>
      <c r="J62" s="10" t="s">
        <v>4</v>
      </c>
      <c r="L62" t="s">
        <v>7092</v>
      </c>
    </row>
    <row r="63" spans="1:12">
      <c r="A63" s="10">
        <v>46170</v>
      </c>
      <c r="B63" s="11" t="s">
        <v>7093</v>
      </c>
      <c r="C63" s="11" t="s">
        <v>461</v>
      </c>
      <c r="D63" s="11" t="s">
        <v>6982</v>
      </c>
      <c r="E63" s="11" t="s">
        <v>17</v>
      </c>
      <c r="F63" s="50" t="s">
        <v>7066</v>
      </c>
      <c r="G63" s="11" t="s">
        <v>6983</v>
      </c>
      <c r="H63" s="13" t="s">
        <v>6903</v>
      </c>
      <c r="I63" s="10">
        <v>46170</v>
      </c>
      <c r="J63" s="10" t="s">
        <v>7094</v>
      </c>
      <c r="L63" t="s">
        <v>7095</v>
      </c>
    </row>
    <row r="64" spans="1:12">
      <c r="A64" s="10">
        <v>46170</v>
      </c>
      <c r="B64" s="11" t="s">
        <v>7096</v>
      </c>
      <c r="C64" s="11" t="s">
        <v>461</v>
      </c>
      <c r="D64" s="11" t="s">
        <v>6982</v>
      </c>
      <c r="E64" s="11" t="s">
        <v>17</v>
      </c>
      <c r="F64" s="50" t="s">
        <v>7066</v>
      </c>
      <c r="G64" s="11" t="s">
        <v>6983</v>
      </c>
      <c r="H64" s="13" t="s">
        <v>6903</v>
      </c>
      <c r="I64" s="10">
        <v>46170</v>
      </c>
      <c r="J64" s="10" t="s">
        <v>7094</v>
      </c>
      <c r="L64" t="s">
        <v>7097</v>
      </c>
    </row>
    <row r="65" spans="1:12" ht="30">
      <c r="A65" s="10">
        <v>46170</v>
      </c>
      <c r="B65" s="11" t="s">
        <v>7098</v>
      </c>
      <c r="C65" s="11" t="s">
        <v>461</v>
      </c>
      <c r="D65" s="11" t="s">
        <v>6982</v>
      </c>
      <c r="E65" s="11" t="s">
        <v>17</v>
      </c>
      <c r="F65" s="12" t="s">
        <v>7099</v>
      </c>
      <c r="G65" s="11" t="s">
        <v>6983</v>
      </c>
      <c r="H65" s="13" t="s">
        <v>4</v>
      </c>
      <c r="J65" s="10" t="s">
        <v>4</v>
      </c>
      <c r="L65" t="s">
        <v>7100</v>
      </c>
    </row>
    <row r="66" spans="1:12">
      <c r="A66" s="10">
        <v>46170</v>
      </c>
      <c r="B66" s="54" t="s">
        <v>7101</v>
      </c>
      <c r="C66" s="11" t="s">
        <v>2168</v>
      </c>
      <c r="D66" s="11" t="s">
        <v>7102</v>
      </c>
      <c r="E66" s="11" t="s">
        <v>17</v>
      </c>
      <c r="F66" s="12" t="s">
        <v>7066</v>
      </c>
      <c r="G66" s="11" t="s">
        <v>6891</v>
      </c>
      <c r="H66" s="13" t="s">
        <v>6903</v>
      </c>
      <c r="I66" s="10">
        <v>46170</v>
      </c>
      <c r="J66" s="10" t="s">
        <v>7103</v>
      </c>
      <c r="L66" t="s">
        <v>7104</v>
      </c>
    </row>
    <row r="67" spans="1:12">
      <c r="A67" s="10">
        <v>46170</v>
      </c>
      <c r="B67" s="55" t="s">
        <v>7105</v>
      </c>
      <c r="C67" s="11" t="s">
        <v>2168</v>
      </c>
      <c r="D67" s="11" t="s">
        <v>7102</v>
      </c>
      <c r="E67" s="11" t="s">
        <v>17</v>
      </c>
      <c r="F67" s="12" t="s">
        <v>7066</v>
      </c>
      <c r="G67" s="11" t="s">
        <v>6891</v>
      </c>
      <c r="H67" s="13" t="s">
        <v>6903</v>
      </c>
      <c r="I67" s="10">
        <v>46170</v>
      </c>
      <c r="J67" s="10" t="s">
        <v>7106</v>
      </c>
      <c r="L67" t="s">
        <v>7107</v>
      </c>
    </row>
    <row r="68" spans="1:12">
      <c r="A68" s="10">
        <v>46170</v>
      </c>
      <c r="B68" s="12" t="s">
        <v>7108</v>
      </c>
      <c r="C68" s="11" t="s">
        <v>662</v>
      </c>
      <c r="D68" s="11" t="s">
        <v>7109</v>
      </c>
      <c r="E68" s="11" t="s">
        <v>13</v>
      </c>
      <c r="F68" s="50" t="s">
        <v>7110</v>
      </c>
      <c r="G68" s="11" t="s">
        <v>6983</v>
      </c>
      <c r="H68" s="13" t="s">
        <v>6903</v>
      </c>
      <c r="I68" s="10">
        <v>46170</v>
      </c>
      <c r="J68" s="10" t="s">
        <v>7111</v>
      </c>
      <c r="L68" t="s">
        <v>7112</v>
      </c>
    </row>
    <row r="69" spans="1:12">
      <c r="A69" s="10">
        <v>46170</v>
      </c>
      <c r="B69" s="11" t="s">
        <v>7113</v>
      </c>
      <c r="C69" s="11" t="s">
        <v>662</v>
      </c>
      <c r="D69" s="11" t="s">
        <v>7109</v>
      </c>
      <c r="E69" s="11" t="s">
        <v>13</v>
      </c>
      <c r="F69" s="50" t="s">
        <v>7110</v>
      </c>
      <c r="G69" s="11" t="s">
        <v>6983</v>
      </c>
      <c r="H69" s="13" t="s">
        <v>6903</v>
      </c>
      <c r="I69" s="10">
        <v>46170</v>
      </c>
      <c r="J69" s="10" t="s">
        <v>7111</v>
      </c>
      <c r="L69" t="s">
        <v>7114</v>
      </c>
    </row>
    <row r="70" spans="1:12" ht="30">
      <c r="A70" s="10">
        <v>46170</v>
      </c>
      <c r="B70" s="11" t="s">
        <v>7115</v>
      </c>
      <c r="C70" s="11" t="s">
        <v>662</v>
      </c>
      <c r="D70" s="11" t="s">
        <v>7109</v>
      </c>
      <c r="E70" s="11" t="s">
        <v>13</v>
      </c>
      <c r="F70" s="12" t="s">
        <v>7116</v>
      </c>
      <c r="G70" s="11" t="s">
        <v>6983</v>
      </c>
      <c r="H70" s="13" t="s">
        <v>7117</v>
      </c>
      <c r="I70" s="10">
        <v>46170</v>
      </c>
      <c r="J70" s="10" t="s">
        <v>7111</v>
      </c>
      <c r="L70" t="s">
        <v>7118</v>
      </c>
    </row>
    <row r="71" spans="1:12">
      <c r="A71" s="10">
        <v>46170</v>
      </c>
      <c r="B71" s="11" t="s">
        <v>7119</v>
      </c>
      <c r="C71" s="11" t="s">
        <v>662</v>
      </c>
      <c r="D71" s="11" t="s">
        <v>7109</v>
      </c>
      <c r="E71" s="11" t="s">
        <v>13</v>
      </c>
      <c r="F71" s="50" t="s">
        <v>7110</v>
      </c>
      <c r="G71" s="11" t="s">
        <v>6983</v>
      </c>
      <c r="H71" s="13" t="s">
        <v>6903</v>
      </c>
      <c r="I71" s="10">
        <v>46170</v>
      </c>
      <c r="J71" s="10" t="s">
        <v>7111</v>
      </c>
      <c r="L71" t="s">
        <v>7120</v>
      </c>
    </row>
    <row r="72" spans="1:12">
      <c r="A72" s="10">
        <v>46170</v>
      </c>
      <c r="B72" s="11" t="s">
        <v>7121</v>
      </c>
      <c r="C72" s="11" t="s">
        <v>662</v>
      </c>
      <c r="D72" s="11" t="s">
        <v>7109</v>
      </c>
      <c r="E72" s="11" t="s">
        <v>13</v>
      </c>
      <c r="F72" s="12" t="s">
        <v>7122</v>
      </c>
      <c r="G72" s="11" t="s">
        <v>6983</v>
      </c>
      <c r="H72" s="13" t="s">
        <v>6903</v>
      </c>
      <c r="I72" s="10">
        <v>46170</v>
      </c>
      <c r="J72" s="10" t="s">
        <v>7111</v>
      </c>
      <c r="L72" t="s">
        <v>7123</v>
      </c>
    </row>
    <row r="73" spans="1:12">
      <c r="A73" s="10">
        <v>46170</v>
      </c>
      <c r="B73" s="11" t="s">
        <v>7124</v>
      </c>
      <c r="C73" s="11" t="s">
        <v>662</v>
      </c>
      <c r="D73" s="11" t="s">
        <v>7109</v>
      </c>
      <c r="E73" s="11" t="s">
        <v>13</v>
      </c>
      <c r="F73" s="50" t="s">
        <v>7110</v>
      </c>
      <c r="G73" s="11" t="s">
        <v>6983</v>
      </c>
      <c r="H73" s="13" t="s">
        <v>6903</v>
      </c>
      <c r="I73" s="10">
        <v>46170</v>
      </c>
      <c r="J73" s="10" t="s">
        <v>7111</v>
      </c>
      <c r="L73" t="s">
        <v>7125</v>
      </c>
    </row>
    <row r="74" spans="1:12">
      <c r="A74" s="10">
        <v>46170</v>
      </c>
      <c r="B74" s="11" t="s">
        <v>7126</v>
      </c>
      <c r="C74" s="11" t="s">
        <v>662</v>
      </c>
      <c r="D74" s="11" t="s">
        <v>7109</v>
      </c>
      <c r="E74" s="11" t="s">
        <v>13</v>
      </c>
      <c r="F74" s="50" t="s">
        <v>7110</v>
      </c>
      <c r="G74" s="11" t="s">
        <v>6983</v>
      </c>
      <c r="H74" s="13" t="s">
        <v>6903</v>
      </c>
      <c r="I74" s="10">
        <v>46170</v>
      </c>
      <c r="J74" s="10" t="s">
        <v>7111</v>
      </c>
      <c r="L74" t="s">
        <v>7127</v>
      </c>
    </row>
    <row r="75" spans="1:12">
      <c r="A75" s="10">
        <v>46170</v>
      </c>
      <c r="B75" s="11" t="s">
        <v>7128</v>
      </c>
      <c r="C75" s="11" t="s">
        <v>662</v>
      </c>
      <c r="D75" s="11" t="s">
        <v>7109</v>
      </c>
      <c r="E75" s="11" t="s">
        <v>13</v>
      </c>
      <c r="F75" s="50"/>
      <c r="G75" s="11" t="s">
        <v>6983</v>
      </c>
      <c r="H75" s="13" t="s">
        <v>6903</v>
      </c>
      <c r="I75" s="10">
        <v>46170</v>
      </c>
      <c r="J75" s="10" t="s">
        <v>7111</v>
      </c>
      <c r="L75" t="s">
        <v>7129</v>
      </c>
    </row>
    <row r="76" spans="1:12">
      <c r="A76" s="10">
        <v>46170</v>
      </c>
      <c r="B76" s="11" t="s">
        <v>7130</v>
      </c>
      <c r="C76" s="11" t="s">
        <v>5271</v>
      </c>
      <c r="D76" s="11" t="s">
        <v>7131</v>
      </c>
      <c r="E76" s="11" t="s">
        <v>13</v>
      </c>
      <c r="F76" s="56" t="s">
        <v>7132</v>
      </c>
      <c r="G76" s="11" t="s">
        <v>6922</v>
      </c>
      <c r="H76" s="13" t="s">
        <v>6903</v>
      </c>
      <c r="I76" s="10">
        <v>46170</v>
      </c>
      <c r="J76" s="10" t="s">
        <v>4</v>
      </c>
      <c r="L76" t="s">
        <v>7133</v>
      </c>
    </row>
    <row r="77" spans="1:12" ht="90">
      <c r="A77" s="10">
        <v>46170</v>
      </c>
      <c r="B77" s="11" t="s">
        <v>7134</v>
      </c>
      <c r="C77" s="11" t="s">
        <v>1884</v>
      </c>
      <c r="D77" s="11" t="s">
        <v>7135</v>
      </c>
      <c r="E77" s="11" t="s">
        <v>17</v>
      </c>
      <c r="F77" s="50" t="s">
        <v>7110</v>
      </c>
      <c r="G77" s="11" t="s">
        <v>6930</v>
      </c>
      <c r="H77" s="13" t="s">
        <v>7136</v>
      </c>
      <c r="I77" s="10">
        <v>46178</v>
      </c>
      <c r="J77" s="10">
        <v>46180.666666666701</v>
      </c>
      <c r="K77" t="s">
        <v>4</v>
      </c>
      <c r="L77" t="s">
        <v>7137</v>
      </c>
    </row>
    <row r="78" spans="1:12">
      <c r="A78" s="10">
        <v>46170</v>
      </c>
      <c r="B78" s="8" t="s">
        <v>7138</v>
      </c>
      <c r="C78" s="11" t="s">
        <v>662</v>
      </c>
      <c r="D78" s="11" t="s">
        <v>7109</v>
      </c>
      <c r="E78" s="11" t="s">
        <v>13</v>
      </c>
      <c r="F78" s="12" t="s">
        <v>7139</v>
      </c>
      <c r="G78" s="11" t="s">
        <v>6983</v>
      </c>
      <c r="H78" s="13" t="s">
        <v>6903</v>
      </c>
      <c r="I78" s="10">
        <v>46170</v>
      </c>
      <c r="J78" s="10" t="s">
        <v>7111</v>
      </c>
      <c r="L78" t="s">
        <v>7140</v>
      </c>
    </row>
    <row r="79" spans="1:12">
      <c r="A79" s="10">
        <v>46170</v>
      </c>
      <c r="B79" s="11" t="s">
        <v>7141</v>
      </c>
      <c r="C79" s="11" t="s">
        <v>662</v>
      </c>
      <c r="D79" s="11" t="s">
        <v>7109</v>
      </c>
      <c r="E79" s="11" t="s">
        <v>13</v>
      </c>
      <c r="F79" s="12" t="s">
        <v>7139</v>
      </c>
      <c r="G79" s="11" t="s">
        <v>6983</v>
      </c>
      <c r="H79" s="13" t="s">
        <v>6903</v>
      </c>
      <c r="I79" s="10">
        <v>46170</v>
      </c>
      <c r="J79" s="10" t="s">
        <v>7111</v>
      </c>
      <c r="L79" t="s">
        <v>7142</v>
      </c>
    </row>
    <row r="80" spans="1:12" ht="60">
      <c r="A80" s="10">
        <v>46170</v>
      </c>
      <c r="B80" s="11" t="s">
        <v>7143</v>
      </c>
      <c r="C80" s="11" t="s">
        <v>585</v>
      </c>
      <c r="D80" s="11" t="s">
        <v>7144</v>
      </c>
      <c r="E80" s="11" t="s">
        <v>17</v>
      </c>
      <c r="F80" s="12" t="s">
        <v>7145</v>
      </c>
      <c r="G80" s="11" t="s">
        <v>6891</v>
      </c>
      <c r="H80" s="13" t="s">
        <v>7146</v>
      </c>
      <c r="I80" s="10">
        <v>46171</v>
      </c>
      <c r="J80" s="10" t="s">
        <v>7147</v>
      </c>
      <c r="L80" t="s">
        <v>7148</v>
      </c>
    </row>
    <row r="81" spans="1:12">
      <c r="A81" s="10">
        <v>46170</v>
      </c>
      <c r="B81" s="11" t="s">
        <v>7149</v>
      </c>
      <c r="C81" s="11" t="s">
        <v>662</v>
      </c>
      <c r="D81" s="11" t="s">
        <v>7109</v>
      </c>
      <c r="E81" s="11" t="s">
        <v>13</v>
      </c>
      <c r="F81" s="12" t="s">
        <v>7139</v>
      </c>
      <c r="G81" s="11" t="s">
        <v>6983</v>
      </c>
      <c r="H81" s="13" t="s">
        <v>6903</v>
      </c>
      <c r="I81" s="10">
        <v>46170</v>
      </c>
      <c r="J81" s="10" t="s">
        <v>7111</v>
      </c>
      <c r="L81" t="s">
        <v>7150</v>
      </c>
    </row>
    <row r="82" spans="1:12">
      <c r="A82" s="10">
        <v>46170</v>
      </c>
      <c r="B82" s="11" t="s">
        <v>7151</v>
      </c>
      <c r="C82" s="11" t="s">
        <v>839</v>
      </c>
      <c r="D82" s="11" t="s">
        <v>7152</v>
      </c>
      <c r="E82" s="11" t="s">
        <v>18</v>
      </c>
      <c r="F82" s="12" t="s">
        <v>7153</v>
      </c>
      <c r="G82" s="11" t="s">
        <v>6922</v>
      </c>
      <c r="H82" s="13" t="s">
        <v>6903</v>
      </c>
      <c r="I82" s="10">
        <v>46170</v>
      </c>
      <c r="J82" s="10" t="s">
        <v>7154</v>
      </c>
      <c r="L82" s="179" t="s">
        <v>7155</v>
      </c>
    </row>
    <row r="83" spans="1:12" ht="30">
      <c r="A83" s="10">
        <v>46170</v>
      </c>
      <c r="B83" s="11" t="s">
        <v>7156</v>
      </c>
      <c r="C83" s="11" t="s">
        <v>496</v>
      </c>
      <c r="D83" s="11" t="s">
        <v>6965</v>
      </c>
      <c r="E83" s="11" t="s">
        <v>17</v>
      </c>
      <c r="F83" s="12" t="s">
        <v>7157</v>
      </c>
      <c r="G83" s="11" t="s">
        <v>6983</v>
      </c>
      <c r="H83" s="13" t="s">
        <v>6903</v>
      </c>
      <c r="I83" s="10">
        <v>46170</v>
      </c>
      <c r="J83" s="10" t="s">
        <v>4</v>
      </c>
      <c r="L83" t="s">
        <v>7158</v>
      </c>
    </row>
    <row r="84" spans="1:12">
      <c r="A84" s="10">
        <v>46170</v>
      </c>
      <c r="B84" s="11" t="s">
        <v>7159</v>
      </c>
      <c r="C84" s="11" t="s">
        <v>5231</v>
      </c>
      <c r="D84" s="11" t="s">
        <v>7160</v>
      </c>
      <c r="E84" s="11" t="s">
        <v>17</v>
      </c>
      <c r="F84" s="12" t="s">
        <v>7161</v>
      </c>
      <c r="G84" s="11" t="s">
        <v>6922</v>
      </c>
      <c r="H84" s="13" t="s">
        <v>6903</v>
      </c>
      <c r="I84" s="10">
        <v>46175</v>
      </c>
      <c r="J84" s="10" t="s">
        <v>4</v>
      </c>
      <c r="L84" t="s">
        <v>7162</v>
      </c>
    </row>
    <row r="85" spans="1:12" ht="30">
      <c r="A85" s="10">
        <v>46170</v>
      </c>
      <c r="B85" s="11" t="s">
        <v>7163</v>
      </c>
      <c r="C85" s="11" t="s">
        <v>1371</v>
      </c>
      <c r="D85" s="11" t="s">
        <v>7164</v>
      </c>
      <c r="E85" s="11" t="s">
        <v>17</v>
      </c>
      <c r="F85" s="12" t="s">
        <v>7165</v>
      </c>
      <c r="G85" s="11" t="s">
        <v>6891</v>
      </c>
      <c r="H85" s="13" t="s">
        <v>7166</v>
      </c>
      <c r="I85" s="10">
        <v>46170</v>
      </c>
      <c r="J85" s="10" t="s">
        <v>7167</v>
      </c>
      <c r="L85" t="s">
        <v>7168</v>
      </c>
    </row>
    <row r="86" spans="1:12" ht="30">
      <c r="A86" s="10">
        <v>46170</v>
      </c>
      <c r="B86" s="11" t="s">
        <v>7169</v>
      </c>
      <c r="C86" s="11" t="s">
        <v>1512</v>
      </c>
      <c r="D86" s="11" t="s">
        <v>7170</v>
      </c>
      <c r="E86" s="11" t="s">
        <v>17</v>
      </c>
      <c r="F86" s="12" t="s">
        <v>7171</v>
      </c>
      <c r="H86" s="13" t="s">
        <v>4</v>
      </c>
      <c r="J86" s="10" t="s">
        <v>4</v>
      </c>
      <c r="L86" t="s">
        <v>7172</v>
      </c>
    </row>
    <row r="87" spans="1:12">
      <c r="A87" s="10">
        <v>46170</v>
      </c>
      <c r="B87" s="11" t="s">
        <v>7173</v>
      </c>
      <c r="C87" s="11" t="s">
        <v>4584</v>
      </c>
      <c r="D87" s="11" t="s">
        <v>7174</v>
      </c>
      <c r="E87" s="11" t="s">
        <v>17</v>
      </c>
      <c r="F87" s="12" t="s">
        <v>7175</v>
      </c>
      <c r="G87" s="11" t="s">
        <v>6983</v>
      </c>
      <c r="H87" s="13" t="s">
        <v>6903</v>
      </c>
      <c r="I87" s="10">
        <v>46170</v>
      </c>
      <c r="J87" s="57">
        <v>46170.166666666701</v>
      </c>
      <c r="K87" t="s">
        <v>4</v>
      </c>
      <c r="L87" t="s">
        <v>7176</v>
      </c>
    </row>
    <row r="88" spans="1:12" ht="30">
      <c r="A88" s="10">
        <v>46170</v>
      </c>
      <c r="B88" s="12" t="s">
        <v>7177</v>
      </c>
      <c r="C88" s="11" t="s">
        <v>461</v>
      </c>
      <c r="D88" s="11" t="s">
        <v>6982</v>
      </c>
      <c r="E88" s="11" t="s">
        <v>17</v>
      </c>
      <c r="F88" s="12" t="s">
        <v>7175</v>
      </c>
      <c r="G88" s="11" t="s">
        <v>6983</v>
      </c>
      <c r="H88" s="13" t="s">
        <v>6903</v>
      </c>
      <c r="I88" s="10">
        <v>46170</v>
      </c>
      <c r="J88" s="10" t="s">
        <v>7178</v>
      </c>
      <c r="L88" t="s">
        <v>7179</v>
      </c>
    </row>
    <row r="89" spans="1:12">
      <c r="A89" s="10">
        <v>46170</v>
      </c>
      <c r="B89" s="11" t="s">
        <v>7180</v>
      </c>
      <c r="C89" s="11" t="s">
        <v>4584</v>
      </c>
      <c r="D89" s="11" t="s">
        <v>7174</v>
      </c>
      <c r="E89" s="11" t="s">
        <v>17</v>
      </c>
      <c r="F89" s="12" t="s">
        <v>7175</v>
      </c>
      <c r="G89" s="11" t="s">
        <v>6983</v>
      </c>
      <c r="H89" s="13" t="s">
        <v>6903</v>
      </c>
      <c r="I89" s="10">
        <v>46170</v>
      </c>
      <c r="J89" s="57">
        <v>46171.166666666701</v>
      </c>
      <c r="K89" t="s">
        <v>4</v>
      </c>
      <c r="L89" t="s">
        <v>7181</v>
      </c>
    </row>
    <row r="90" spans="1:12" ht="30">
      <c r="A90" s="10">
        <v>46170</v>
      </c>
      <c r="B90" s="58" t="s">
        <v>7182</v>
      </c>
      <c r="C90" s="11" t="s">
        <v>2168</v>
      </c>
      <c r="D90" s="11" t="s">
        <v>7102</v>
      </c>
      <c r="E90" s="11" t="s">
        <v>17</v>
      </c>
      <c r="F90" s="12" t="s">
        <v>7183</v>
      </c>
      <c r="G90" s="11" t="s">
        <v>6891</v>
      </c>
      <c r="H90" s="13" t="s">
        <v>6903</v>
      </c>
      <c r="I90" s="10">
        <v>46171</v>
      </c>
      <c r="J90" s="10" t="s">
        <v>7106</v>
      </c>
      <c r="L90" t="s">
        <v>7184</v>
      </c>
    </row>
    <row r="91" spans="1:12" ht="90">
      <c r="A91" s="10">
        <v>46170</v>
      </c>
      <c r="B91" s="11" t="s">
        <v>7185</v>
      </c>
      <c r="C91" s="11" t="s">
        <v>7186</v>
      </c>
      <c r="D91" s="11" t="s">
        <v>7187</v>
      </c>
      <c r="E91" s="11" t="s">
        <v>7188</v>
      </c>
      <c r="F91" s="12" t="s">
        <v>7189</v>
      </c>
      <c r="G91" s="11" t="s">
        <v>6891</v>
      </c>
      <c r="H91" s="13" t="s">
        <v>7190</v>
      </c>
      <c r="I91" s="10">
        <v>46171</v>
      </c>
      <c r="J91" s="10" t="s">
        <v>4916</v>
      </c>
      <c r="L91" t="s">
        <v>7191</v>
      </c>
    </row>
    <row r="92" spans="1:12" ht="30">
      <c r="A92" s="10">
        <v>46170</v>
      </c>
      <c r="B92" s="12" t="s">
        <v>7192</v>
      </c>
      <c r="C92" s="11" t="s">
        <v>1779</v>
      </c>
      <c r="D92" s="43" t="s">
        <v>7061</v>
      </c>
      <c r="E92" s="11" t="s">
        <v>18</v>
      </c>
      <c r="F92" s="12" t="s">
        <v>7175</v>
      </c>
      <c r="G92" s="11" t="s">
        <v>6891</v>
      </c>
      <c r="H92" s="13" t="s">
        <v>6903</v>
      </c>
      <c r="I92" s="10">
        <v>46171</v>
      </c>
      <c r="J92" s="10" t="s">
        <v>4</v>
      </c>
      <c r="L92" t="s">
        <v>7193</v>
      </c>
    </row>
    <row r="93" spans="1:12">
      <c r="A93" s="10">
        <v>46170</v>
      </c>
      <c r="B93" s="12" t="s">
        <v>7194</v>
      </c>
      <c r="C93" s="11" t="s">
        <v>721</v>
      </c>
      <c r="D93" s="11" t="s">
        <v>7195</v>
      </c>
      <c r="E93" s="11" t="s">
        <v>13</v>
      </c>
      <c r="F93" s="12" t="s">
        <v>7196</v>
      </c>
      <c r="G93" s="11" t="s">
        <v>6983</v>
      </c>
      <c r="H93" s="13" t="s">
        <v>6903</v>
      </c>
      <c r="I93" s="10">
        <v>46171</v>
      </c>
      <c r="J93" s="10" t="s">
        <v>4916</v>
      </c>
      <c r="L93" t="s">
        <v>7197</v>
      </c>
    </row>
    <row r="94" spans="1:12" ht="30">
      <c r="A94" s="10">
        <v>46170</v>
      </c>
      <c r="B94" s="11" t="s">
        <v>7198</v>
      </c>
      <c r="C94" s="11" t="s">
        <v>721</v>
      </c>
      <c r="D94" s="11" t="s">
        <v>7195</v>
      </c>
      <c r="E94" s="11" t="s">
        <v>13</v>
      </c>
      <c r="F94" s="12" t="s">
        <v>7199</v>
      </c>
      <c r="G94" s="11" t="s">
        <v>6983</v>
      </c>
      <c r="H94" s="13" t="s">
        <v>6903</v>
      </c>
      <c r="I94" s="10">
        <v>46171</v>
      </c>
      <c r="J94" s="10" t="s">
        <v>4916</v>
      </c>
      <c r="L94" t="s">
        <v>7200</v>
      </c>
    </row>
    <row r="95" spans="1:12" ht="30">
      <c r="A95" s="10">
        <v>46170</v>
      </c>
      <c r="B95" s="11" t="s">
        <v>7201</v>
      </c>
      <c r="C95" s="11" t="s">
        <v>721</v>
      </c>
      <c r="D95" s="11" t="s">
        <v>7195</v>
      </c>
      <c r="E95" s="11" t="s">
        <v>13</v>
      </c>
      <c r="F95" s="12" t="s">
        <v>7202</v>
      </c>
      <c r="G95" s="11" t="s">
        <v>6983</v>
      </c>
      <c r="H95" s="13" t="s">
        <v>6903</v>
      </c>
      <c r="I95" s="10">
        <v>46171</v>
      </c>
      <c r="J95" s="10" t="s">
        <v>4</v>
      </c>
      <c r="L95" t="s">
        <v>7203</v>
      </c>
    </row>
    <row r="96" spans="1:12" ht="30">
      <c r="A96" s="10">
        <v>46170</v>
      </c>
      <c r="B96" s="11" t="s">
        <v>7204</v>
      </c>
      <c r="C96" s="11" t="s">
        <v>2369</v>
      </c>
      <c r="D96" s="11" t="s">
        <v>6961</v>
      </c>
      <c r="E96" s="11" t="s">
        <v>18</v>
      </c>
      <c r="F96" s="12" t="s">
        <v>7205</v>
      </c>
      <c r="G96" s="11" t="s">
        <v>6922</v>
      </c>
      <c r="H96" s="13" t="s">
        <v>6903</v>
      </c>
      <c r="I96" s="10">
        <v>46171</v>
      </c>
      <c r="J96" s="10" t="s">
        <v>7206</v>
      </c>
      <c r="L96" t="s">
        <v>7207</v>
      </c>
    </row>
    <row r="97" spans="1:12" ht="30">
      <c r="A97" s="10">
        <v>46170</v>
      </c>
      <c r="B97" s="11" t="s">
        <v>7208</v>
      </c>
      <c r="C97" s="11" t="s">
        <v>2369</v>
      </c>
      <c r="D97" s="11" t="s">
        <v>6961</v>
      </c>
      <c r="E97" s="11" t="s">
        <v>18</v>
      </c>
      <c r="F97" s="12" t="s">
        <v>7209</v>
      </c>
      <c r="G97" s="11" t="s">
        <v>6922</v>
      </c>
      <c r="H97" s="13" t="s">
        <v>6903</v>
      </c>
      <c r="I97" s="10">
        <v>46171</v>
      </c>
      <c r="J97" s="10" t="s">
        <v>7206</v>
      </c>
      <c r="L97" t="s">
        <v>7210</v>
      </c>
    </row>
    <row r="98" spans="1:12">
      <c r="A98" s="10">
        <v>46171</v>
      </c>
      <c r="B98" s="11" t="s">
        <v>7211</v>
      </c>
      <c r="C98" s="11" t="s">
        <v>1436</v>
      </c>
      <c r="D98" s="11" t="s">
        <v>6920</v>
      </c>
      <c r="E98" s="11" t="s">
        <v>18</v>
      </c>
      <c r="F98" s="12" t="s">
        <v>7212</v>
      </c>
      <c r="G98" s="11" t="s">
        <v>6922</v>
      </c>
      <c r="H98" s="13" t="s">
        <v>6903</v>
      </c>
      <c r="I98" s="10">
        <v>46171</v>
      </c>
      <c r="J98" s="10" t="s">
        <v>6924</v>
      </c>
      <c r="L98" t="s">
        <v>7213</v>
      </c>
    </row>
    <row r="99" spans="1:12">
      <c r="A99" s="10">
        <v>46171</v>
      </c>
      <c r="B99" s="11" t="s">
        <v>7214</v>
      </c>
      <c r="C99" s="11" t="s">
        <v>1436</v>
      </c>
      <c r="D99" s="11" t="s">
        <v>6920</v>
      </c>
      <c r="E99" s="11" t="s">
        <v>18</v>
      </c>
      <c r="F99" s="12" t="s">
        <v>7212</v>
      </c>
      <c r="G99" s="11" t="s">
        <v>6922</v>
      </c>
      <c r="H99" s="13" t="s">
        <v>6903</v>
      </c>
      <c r="I99" s="10">
        <v>46171</v>
      </c>
      <c r="J99" s="10" t="s">
        <v>6924</v>
      </c>
      <c r="L99" t="s">
        <v>7215</v>
      </c>
    </row>
    <row r="100" spans="1:12">
      <c r="A100" s="10">
        <v>46171</v>
      </c>
      <c r="B100" s="11" t="s">
        <v>7216</v>
      </c>
      <c r="C100" s="11" t="s">
        <v>2369</v>
      </c>
      <c r="D100" s="11" t="s">
        <v>6961</v>
      </c>
      <c r="E100" s="11" t="s">
        <v>18</v>
      </c>
      <c r="F100" s="12" t="s">
        <v>7217</v>
      </c>
      <c r="G100" s="11" t="s">
        <v>6922</v>
      </c>
      <c r="H100" s="13" t="s">
        <v>6903</v>
      </c>
      <c r="I100" s="10">
        <v>46171</v>
      </c>
      <c r="J100" s="10" t="s">
        <v>7206</v>
      </c>
      <c r="L100" t="s">
        <v>7218</v>
      </c>
    </row>
    <row r="101" spans="1:12">
      <c r="A101" s="10">
        <v>46171</v>
      </c>
      <c r="B101" s="11" t="s">
        <v>7219</v>
      </c>
      <c r="C101" s="11" t="s">
        <v>7220</v>
      </c>
      <c r="D101" s="11" t="s">
        <v>7221</v>
      </c>
      <c r="E101" s="11" t="s">
        <v>6948</v>
      </c>
      <c r="F101" s="12" t="s">
        <v>7222</v>
      </c>
      <c r="G101" s="11" t="s">
        <v>6891</v>
      </c>
      <c r="H101" s="13" t="s">
        <v>6903</v>
      </c>
      <c r="I101" s="10">
        <v>46171</v>
      </c>
      <c r="J101" s="10" t="s">
        <v>4</v>
      </c>
      <c r="L101" t="s">
        <v>7223</v>
      </c>
    </row>
    <row r="102" spans="1:12" ht="45">
      <c r="A102" s="10">
        <v>46171</v>
      </c>
      <c r="B102" s="11" t="s">
        <v>7224</v>
      </c>
      <c r="C102" s="11" t="s">
        <v>5271</v>
      </c>
      <c r="D102" s="11" t="s">
        <v>7225</v>
      </c>
      <c r="E102" s="11" t="s">
        <v>13</v>
      </c>
      <c r="F102" s="12" t="s">
        <v>7226</v>
      </c>
      <c r="G102" s="11" t="s">
        <v>6922</v>
      </c>
      <c r="H102" s="13" t="s">
        <v>7227</v>
      </c>
      <c r="I102" s="10">
        <v>46171</v>
      </c>
      <c r="J102" s="10">
        <v>46280.666666666701</v>
      </c>
      <c r="K102" t="s">
        <v>4</v>
      </c>
      <c r="L102" t="s">
        <v>7228</v>
      </c>
    </row>
    <row r="103" spans="1:12">
      <c r="A103" s="10">
        <v>46171</v>
      </c>
      <c r="B103" s="43" t="s">
        <v>7229</v>
      </c>
      <c r="C103" s="43" t="s">
        <v>5271</v>
      </c>
      <c r="D103" s="11" t="s">
        <v>7230</v>
      </c>
      <c r="E103" s="11" t="s">
        <v>13</v>
      </c>
      <c r="F103" s="12" t="s">
        <v>7231</v>
      </c>
      <c r="G103" s="11" t="s">
        <v>6922</v>
      </c>
      <c r="H103" s="13" t="s">
        <v>6903</v>
      </c>
      <c r="I103" s="10">
        <v>46171</v>
      </c>
      <c r="J103" s="10">
        <v>46280.666666666701</v>
      </c>
      <c r="K103" t="s">
        <v>4</v>
      </c>
      <c r="L103" t="s">
        <v>7232</v>
      </c>
    </row>
    <row r="104" spans="1:12" ht="60">
      <c r="A104" s="59">
        <v>46171</v>
      </c>
      <c r="B104" s="60" t="s">
        <v>7233</v>
      </c>
      <c r="C104" s="61" t="s">
        <v>983</v>
      </c>
      <c r="D104" s="48" t="s">
        <v>6890</v>
      </c>
      <c r="E104" s="11" t="s">
        <v>17</v>
      </c>
      <c r="F104" s="12" t="s">
        <v>7234</v>
      </c>
      <c r="G104" s="11" t="s">
        <v>6891</v>
      </c>
      <c r="H104" s="13" t="s">
        <v>7235</v>
      </c>
      <c r="I104" s="10">
        <v>46171</v>
      </c>
      <c r="J104" s="10" t="s">
        <v>7236</v>
      </c>
      <c r="L104" t="s">
        <v>7237</v>
      </c>
    </row>
    <row r="105" spans="1:12" ht="30">
      <c r="A105" s="59">
        <v>46171</v>
      </c>
      <c r="B105" s="62" t="s">
        <v>7238</v>
      </c>
      <c r="C105" s="63" t="s">
        <v>7229</v>
      </c>
      <c r="D105" s="48" t="s">
        <v>6971</v>
      </c>
      <c r="E105" s="11" t="e">
        <v>#N/A</v>
      </c>
      <c r="F105" s="12" t="s">
        <v>7239</v>
      </c>
      <c r="G105" s="11" t="s">
        <v>6922</v>
      </c>
      <c r="H105" s="13" t="s">
        <v>7240</v>
      </c>
      <c r="I105" s="10">
        <v>46175</v>
      </c>
      <c r="J105" s="10" t="s">
        <v>4</v>
      </c>
      <c r="L105" t="s">
        <v>7241</v>
      </c>
    </row>
    <row r="106" spans="1:12" ht="30">
      <c r="A106" s="10">
        <v>46171</v>
      </c>
      <c r="B106" s="52" t="s">
        <v>7242</v>
      </c>
      <c r="C106" s="52" t="s">
        <v>2270</v>
      </c>
      <c r="D106" s="11" t="s">
        <v>7243</v>
      </c>
      <c r="E106" s="11" t="s">
        <v>13</v>
      </c>
      <c r="F106" s="12" t="s">
        <v>7244</v>
      </c>
      <c r="G106" s="11" t="s">
        <v>6922</v>
      </c>
      <c r="H106" s="13" t="s">
        <v>6903</v>
      </c>
      <c r="I106" s="10">
        <v>46171</v>
      </c>
      <c r="J106" s="10" t="s">
        <v>7236</v>
      </c>
      <c r="L106" t="s">
        <v>7245</v>
      </c>
    </row>
    <row r="107" spans="1:12" ht="45">
      <c r="A107" s="10">
        <v>46171</v>
      </c>
      <c r="B107" s="11" t="s">
        <v>7246</v>
      </c>
      <c r="C107" s="11" t="s">
        <v>5271</v>
      </c>
      <c r="D107" s="11" t="s">
        <v>7131</v>
      </c>
      <c r="E107" s="11" t="s">
        <v>13</v>
      </c>
      <c r="F107" s="12" t="s">
        <v>7247</v>
      </c>
      <c r="G107" s="11" t="s">
        <v>6922</v>
      </c>
      <c r="H107" s="13" t="s">
        <v>7227</v>
      </c>
      <c r="I107" s="10">
        <v>46171</v>
      </c>
      <c r="J107" s="10">
        <v>46280.666666666701</v>
      </c>
      <c r="K107" t="s">
        <v>4</v>
      </c>
      <c r="L107" t="s">
        <v>7248</v>
      </c>
    </row>
    <row r="108" spans="1:12" ht="30">
      <c r="A108" s="10">
        <v>46171</v>
      </c>
      <c r="B108" s="11" t="s">
        <v>7249</v>
      </c>
      <c r="C108" s="11" t="s">
        <v>721</v>
      </c>
      <c r="D108" s="11" t="s">
        <v>7250</v>
      </c>
      <c r="E108" s="11" t="s">
        <v>13</v>
      </c>
      <c r="F108" s="12" t="s">
        <v>7251</v>
      </c>
      <c r="G108" s="11" t="s">
        <v>6983</v>
      </c>
      <c r="H108" s="13" t="s">
        <v>6903</v>
      </c>
      <c r="I108" s="10">
        <v>46171</v>
      </c>
      <c r="J108" s="10" t="s">
        <v>4</v>
      </c>
      <c r="L108" t="s">
        <v>7252</v>
      </c>
    </row>
    <row r="109" spans="1:12">
      <c r="A109" s="10">
        <v>46171</v>
      </c>
      <c r="B109" s="11" t="s">
        <v>7253</v>
      </c>
      <c r="C109" s="11" t="s">
        <v>2270</v>
      </c>
      <c r="D109" s="11" t="s">
        <v>7254</v>
      </c>
      <c r="E109" s="11" t="s">
        <v>13</v>
      </c>
      <c r="F109" s="12" t="s">
        <v>7255</v>
      </c>
      <c r="G109" s="11" t="s">
        <v>6922</v>
      </c>
      <c r="H109" s="13" t="s">
        <v>6903</v>
      </c>
      <c r="I109" s="10">
        <v>46174</v>
      </c>
      <c r="J109" s="10" t="s">
        <v>4</v>
      </c>
      <c r="L109" t="s">
        <v>7256</v>
      </c>
    </row>
    <row r="110" spans="1:12">
      <c r="A110" s="10">
        <v>46171</v>
      </c>
      <c r="B110" s="11" t="s">
        <v>7257</v>
      </c>
      <c r="C110" s="11" t="s">
        <v>540</v>
      </c>
      <c r="D110" s="11" t="s">
        <v>7258</v>
      </c>
      <c r="E110" s="11" t="s">
        <v>18</v>
      </c>
      <c r="F110" s="12" t="s">
        <v>7259</v>
      </c>
      <c r="G110" s="11" t="s">
        <v>6983</v>
      </c>
      <c r="H110" s="13" t="s">
        <v>6903</v>
      </c>
      <c r="I110" s="10">
        <v>46171</v>
      </c>
      <c r="J110" s="10" t="s">
        <v>4</v>
      </c>
      <c r="L110" t="s">
        <v>7260</v>
      </c>
    </row>
    <row r="111" spans="1:12" ht="30">
      <c r="A111" s="10">
        <v>46171</v>
      </c>
      <c r="B111" s="11" t="s">
        <v>7261</v>
      </c>
      <c r="C111" s="11" t="s">
        <v>540</v>
      </c>
      <c r="D111" s="11" t="s">
        <v>7258</v>
      </c>
      <c r="E111" s="11" t="s">
        <v>18</v>
      </c>
      <c r="F111" s="12" t="s">
        <v>7262</v>
      </c>
      <c r="G111" s="11" t="s">
        <v>6983</v>
      </c>
      <c r="H111" s="13" t="s">
        <v>7263</v>
      </c>
      <c r="I111" s="10">
        <v>46171</v>
      </c>
      <c r="J111" s="10" t="s">
        <v>4</v>
      </c>
      <c r="L111" t="s">
        <v>7264</v>
      </c>
    </row>
    <row r="112" spans="1:12" ht="30">
      <c r="A112" s="10">
        <v>46171</v>
      </c>
      <c r="B112" s="8" t="s">
        <v>7265</v>
      </c>
      <c r="C112" s="11" t="s">
        <v>1348</v>
      </c>
      <c r="D112" s="11" t="s">
        <v>7010</v>
      </c>
      <c r="E112" s="11" t="s">
        <v>17</v>
      </c>
      <c r="F112" s="12" t="s">
        <v>7266</v>
      </c>
      <c r="G112" s="11" t="s">
        <v>6922</v>
      </c>
      <c r="H112" s="13" t="s">
        <v>7263</v>
      </c>
      <c r="I112" s="10">
        <v>46174</v>
      </c>
      <c r="J112" s="10" t="s">
        <v>4</v>
      </c>
      <c r="L112" t="s">
        <v>7267</v>
      </c>
    </row>
    <row r="113" spans="1:12">
      <c r="A113" s="10">
        <v>46171</v>
      </c>
      <c r="B113" s="11" t="s">
        <v>7268</v>
      </c>
      <c r="C113" s="11" t="s">
        <v>461</v>
      </c>
      <c r="D113" s="11" t="s">
        <v>6982</v>
      </c>
      <c r="E113" s="11" t="s">
        <v>17</v>
      </c>
      <c r="F113" s="12" t="s">
        <v>7269</v>
      </c>
      <c r="G113" s="11" t="s">
        <v>6983</v>
      </c>
      <c r="H113" s="13" t="s">
        <v>6903</v>
      </c>
      <c r="I113" s="10">
        <v>46171</v>
      </c>
      <c r="J113" s="10" t="s">
        <v>4</v>
      </c>
      <c r="L113" t="s">
        <v>7270</v>
      </c>
    </row>
    <row r="114" spans="1:12" ht="30">
      <c r="A114" s="10">
        <v>46171</v>
      </c>
      <c r="B114" s="11" t="s">
        <v>7271</v>
      </c>
      <c r="C114" s="11" t="s">
        <v>6946</v>
      </c>
      <c r="D114" s="11" t="s">
        <v>6947</v>
      </c>
      <c r="E114" s="11" t="s">
        <v>6948</v>
      </c>
      <c r="F114" s="12" t="s">
        <v>7272</v>
      </c>
      <c r="G114" s="11" t="s">
        <v>6891</v>
      </c>
      <c r="H114" s="13" t="s">
        <v>7273</v>
      </c>
      <c r="I114" s="10">
        <v>46171</v>
      </c>
      <c r="J114" s="10" t="s">
        <v>7274</v>
      </c>
      <c r="L114" t="s">
        <v>7275</v>
      </c>
    </row>
    <row r="115" spans="1:12" ht="75">
      <c r="A115" s="10">
        <v>46171</v>
      </c>
      <c r="B115" s="11" t="s">
        <v>7276</v>
      </c>
      <c r="C115" s="11" t="s">
        <v>682</v>
      </c>
      <c r="D115" s="11" t="s">
        <v>7277</v>
      </c>
      <c r="E115" s="11" t="s">
        <v>18</v>
      </c>
      <c r="F115" s="12" t="s">
        <v>7278</v>
      </c>
      <c r="G115" s="11" t="s">
        <v>6922</v>
      </c>
      <c r="H115" s="13" t="s">
        <v>7279</v>
      </c>
      <c r="I115" s="10">
        <v>46174</v>
      </c>
      <c r="J115" s="10" t="s">
        <v>4</v>
      </c>
      <c r="L115" t="s">
        <v>7280</v>
      </c>
    </row>
    <row r="116" spans="1:12" ht="75">
      <c r="A116" s="10">
        <v>46171</v>
      </c>
      <c r="B116" s="11" t="s">
        <v>7281</v>
      </c>
      <c r="C116" s="11" t="s">
        <v>741</v>
      </c>
      <c r="D116" s="11" t="s">
        <v>7028</v>
      </c>
      <c r="E116" s="11" t="s">
        <v>13</v>
      </c>
      <c r="F116" s="12" t="s">
        <v>7282</v>
      </c>
      <c r="G116" s="11" t="s">
        <v>6930</v>
      </c>
      <c r="H116" s="64" t="s">
        <v>7283</v>
      </c>
      <c r="I116" s="10">
        <v>46178</v>
      </c>
      <c r="J116" s="10" t="s">
        <v>4</v>
      </c>
      <c r="L116" t="s">
        <v>7284</v>
      </c>
    </row>
    <row r="117" spans="1:12">
      <c r="A117" s="10">
        <v>46171</v>
      </c>
      <c r="B117" s="11" t="s">
        <v>7285</v>
      </c>
      <c r="C117" s="11" t="s">
        <v>854</v>
      </c>
      <c r="D117" s="11" t="s">
        <v>7286</v>
      </c>
      <c r="E117" s="11" t="s">
        <v>18</v>
      </c>
      <c r="F117" s="12" t="s">
        <v>7287</v>
      </c>
      <c r="G117" s="11" t="s">
        <v>6922</v>
      </c>
      <c r="H117" s="13" t="s">
        <v>6903</v>
      </c>
      <c r="I117" s="10">
        <v>46174</v>
      </c>
      <c r="J117" s="10" t="s">
        <v>4</v>
      </c>
      <c r="L117" t="s">
        <v>7288</v>
      </c>
    </row>
    <row r="118" spans="1:12" ht="45">
      <c r="A118" s="10">
        <v>46171</v>
      </c>
      <c r="B118" s="11" t="s">
        <v>7289</v>
      </c>
      <c r="C118" s="11" t="s">
        <v>2270</v>
      </c>
      <c r="D118" s="11" t="s">
        <v>7243</v>
      </c>
      <c r="E118" s="11" t="s">
        <v>13</v>
      </c>
      <c r="F118" s="12" t="s">
        <v>7290</v>
      </c>
      <c r="G118" s="11" t="s">
        <v>6922</v>
      </c>
      <c r="H118" s="13" t="s">
        <v>6903</v>
      </c>
      <c r="I118" s="10">
        <v>46174</v>
      </c>
      <c r="J118" s="10" t="s">
        <v>4</v>
      </c>
      <c r="L118" t="s">
        <v>7291</v>
      </c>
    </row>
    <row r="119" spans="1:12">
      <c r="A119" s="10">
        <v>46171</v>
      </c>
      <c r="B119" s="11" t="s">
        <v>7292</v>
      </c>
      <c r="C119" s="11" t="s">
        <v>2369</v>
      </c>
      <c r="D119" s="11" t="s">
        <v>6961</v>
      </c>
      <c r="E119" s="11" t="s">
        <v>18</v>
      </c>
      <c r="F119" s="12" t="s">
        <v>7293</v>
      </c>
      <c r="G119" s="11" t="s">
        <v>6922</v>
      </c>
      <c r="H119" s="13" t="s">
        <v>6903</v>
      </c>
      <c r="I119" s="10">
        <v>46174</v>
      </c>
      <c r="J119" s="10" t="s">
        <v>7294</v>
      </c>
      <c r="L119" t="s">
        <v>7295</v>
      </c>
    </row>
    <row r="120" spans="1:12">
      <c r="A120" s="10">
        <v>46174</v>
      </c>
      <c r="B120" s="11" t="s">
        <v>7296</v>
      </c>
      <c r="C120" s="11" t="s">
        <v>4584</v>
      </c>
      <c r="D120" s="11" t="s">
        <v>7174</v>
      </c>
      <c r="E120" s="11" t="s">
        <v>17</v>
      </c>
      <c r="F120" s="12" t="s">
        <v>7297</v>
      </c>
      <c r="G120" s="11" t="s">
        <v>6983</v>
      </c>
      <c r="H120" s="13" t="s">
        <v>6903</v>
      </c>
      <c r="I120" s="10">
        <v>46174</v>
      </c>
      <c r="J120" s="57">
        <v>46174.166666666701</v>
      </c>
      <c r="K120" t="s">
        <v>4</v>
      </c>
      <c r="L120" t="s">
        <v>7298</v>
      </c>
    </row>
    <row r="121" spans="1:12" ht="30">
      <c r="A121" s="10">
        <v>46174</v>
      </c>
      <c r="B121" s="11" t="s">
        <v>7299</v>
      </c>
      <c r="C121" s="11" t="s">
        <v>1884</v>
      </c>
      <c r="D121" s="11" t="s">
        <v>7135</v>
      </c>
      <c r="E121" s="11" t="s">
        <v>17</v>
      </c>
      <c r="F121" s="12" t="s">
        <v>7300</v>
      </c>
      <c r="G121" s="11" t="s">
        <v>6891</v>
      </c>
      <c r="H121" s="13" t="s">
        <v>6903</v>
      </c>
      <c r="I121" s="10">
        <v>46175</v>
      </c>
      <c r="J121" s="10">
        <v>46176.666666666701</v>
      </c>
      <c r="K121" t="s">
        <v>4</v>
      </c>
      <c r="L121" t="s">
        <v>7301</v>
      </c>
    </row>
    <row r="122" spans="1:12" ht="75">
      <c r="A122" s="10">
        <v>46174</v>
      </c>
      <c r="B122" s="11" t="s">
        <v>7302</v>
      </c>
      <c r="C122" s="11" t="s">
        <v>1555</v>
      </c>
      <c r="D122" s="11" t="s">
        <v>6897</v>
      </c>
      <c r="E122" s="11" t="s">
        <v>17</v>
      </c>
      <c r="F122" s="12" t="s">
        <v>7303</v>
      </c>
      <c r="G122" s="11" t="s">
        <v>6930</v>
      </c>
      <c r="H122" s="38" t="s">
        <v>7304</v>
      </c>
      <c r="I122" s="10">
        <v>46178</v>
      </c>
      <c r="J122" s="10" t="s">
        <v>7305</v>
      </c>
      <c r="L122" t="s">
        <v>7306</v>
      </c>
    </row>
    <row r="123" spans="1:12">
      <c r="A123" s="10">
        <v>46174</v>
      </c>
      <c r="B123" s="11" t="s">
        <v>7307</v>
      </c>
      <c r="C123" s="11" t="s">
        <v>960</v>
      </c>
      <c r="D123" s="11" t="s">
        <v>7308</v>
      </c>
      <c r="E123" s="11" t="s">
        <v>13</v>
      </c>
      <c r="F123" s="12" t="s">
        <v>7309</v>
      </c>
      <c r="G123" s="11" t="s">
        <v>6891</v>
      </c>
      <c r="H123" s="13" t="s">
        <v>6903</v>
      </c>
      <c r="I123" s="10">
        <v>46175</v>
      </c>
      <c r="J123" s="10" t="s">
        <v>4</v>
      </c>
      <c r="L123" t="s">
        <v>7310</v>
      </c>
    </row>
    <row r="124" spans="1:12" ht="30">
      <c r="A124" s="10">
        <v>46174</v>
      </c>
      <c r="B124" s="11" t="s">
        <v>7311</v>
      </c>
      <c r="C124" s="11" t="s">
        <v>585</v>
      </c>
      <c r="D124" s="11" t="s">
        <v>7144</v>
      </c>
      <c r="E124" s="11" t="s">
        <v>17</v>
      </c>
      <c r="F124" s="12" t="s">
        <v>7312</v>
      </c>
      <c r="G124" s="11" t="s">
        <v>6891</v>
      </c>
      <c r="H124" s="13" t="s">
        <v>6903</v>
      </c>
      <c r="I124" s="10">
        <v>46175</v>
      </c>
      <c r="J124" s="10" t="s">
        <v>7313</v>
      </c>
      <c r="L124" t="s">
        <v>7314</v>
      </c>
    </row>
    <row r="125" spans="1:12">
      <c r="A125" s="10">
        <v>46174</v>
      </c>
      <c r="B125" s="11" t="s">
        <v>7315</v>
      </c>
      <c r="C125" s="11" t="s">
        <v>7316</v>
      </c>
      <c r="D125" s="11" t="s">
        <v>7317</v>
      </c>
      <c r="E125" s="11" t="s">
        <v>18</v>
      </c>
      <c r="F125" s="12" t="s">
        <v>7318</v>
      </c>
      <c r="G125" s="11" t="s">
        <v>6922</v>
      </c>
      <c r="H125" s="13" t="s">
        <v>6903</v>
      </c>
      <c r="I125" s="10">
        <v>46174</v>
      </c>
      <c r="J125" s="10" t="s">
        <v>4</v>
      </c>
      <c r="L125" t="s">
        <v>7319</v>
      </c>
    </row>
    <row r="126" spans="1:12" ht="45">
      <c r="A126" s="10">
        <v>46174</v>
      </c>
      <c r="B126" s="11" t="s">
        <v>7320</v>
      </c>
      <c r="C126" s="11" t="s">
        <v>7316</v>
      </c>
      <c r="D126" s="11" t="s">
        <v>7317</v>
      </c>
      <c r="E126" s="11" t="s">
        <v>18</v>
      </c>
      <c r="F126" s="12" t="s">
        <v>7321</v>
      </c>
      <c r="G126" s="11" t="s">
        <v>6922</v>
      </c>
      <c r="H126" s="13" t="s">
        <v>7322</v>
      </c>
      <c r="I126" s="10">
        <v>46174</v>
      </c>
      <c r="J126" s="10" t="s">
        <v>4</v>
      </c>
      <c r="L126" t="s">
        <v>7323</v>
      </c>
    </row>
    <row r="127" spans="1:12" ht="45">
      <c r="A127" s="10">
        <v>46174</v>
      </c>
      <c r="B127" s="11" t="s">
        <v>7324</v>
      </c>
      <c r="C127" s="11" t="s">
        <v>7316</v>
      </c>
      <c r="D127" s="11" t="s">
        <v>7317</v>
      </c>
      <c r="E127" s="11" t="s">
        <v>18</v>
      </c>
      <c r="F127" s="12" t="s">
        <v>7325</v>
      </c>
      <c r="G127" s="11" t="s">
        <v>6922</v>
      </c>
      <c r="H127" s="13" t="s">
        <v>7227</v>
      </c>
      <c r="I127" s="10">
        <v>46174</v>
      </c>
      <c r="J127" s="10" t="s">
        <v>4</v>
      </c>
      <c r="L127" t="s">
        <v>7326</v>
      </c>
    </row>
    <row r="128" spans="1:12">
      <c r="A128" s="59">
        <v>46174</v>
      </c>
      <c r="B128" s="65" t="s">
        <v>7327</v>
      </c>
      <c r="C128" s="48" t="s">
        <v>2168</v>
      </c>
      <c r="D128" s="11" t="s">
        <v>7102</v>
      </c>
      <c r="E128" s="11" t="s">
        <v>17</v>
      </c>
      <c r="F128" s="66" t="s">
        <v>7328</v>
      </c>
      <c r="G128" s="11" t="s">
        <v>6891</v>
      </c>
      <c r="H128" s="13" t="s">
        <v>6903</v>
      </c>
      <c r="I128" s="10">
        <v>46175</v>
      </c>
      <c r="J128" s="10" t="s">
        <v>7329</v>
      </c>
      <c r="L128" t="s">
        <v>7330</v>
      </c>
    </row>
    <row r="129" spans="1:12">
      <c r="A129" s="10">
        <v>46174</v>
      </c>
      <c r="B129" t="s">
        <v>7331</v>
      </c>
      <c r="C129" s="11" t="s">
        <v>662</v>
      </c>
      <c r="D129" s="11" t="s">
        <v>7332</v>
      </c>
      <c r="E129" s="11" t="s">
        <v>13</v>
      </c>
      <c r="F129" s="50" t="s">
        <v>7110</v>
      </c>
      <c r="G129" s="11" t="s">
        <v>6983</v>
      </c>
      <c r="H129" s="13" t="s">
        <v>6903</v>
      </c>
      <c r="I129" s="10">
        <v>46174</v>
      </c>
      <c r="J129" s="10" t="s">
        <v>7333</v>
      </c>
      <c r="L129" t="s">
        <v>7334</v>
      </c>
    </row>
    <row r="130" spans="1:12" ht="82.5">
      <c r="A130" s="10">
        <v>46174</v>
      </c>
      <c r="B130" s="11" t="s">
        <v>7335</v>
      </c>
      <c r="C130" s="11" t="s">
        <v>6946</v>
      </c>
      <c r="D130" s="11" t="s">
        <v>6947</v>
      </c>
      <c r="E130" s="11" t="s">
        <v>6948</v>
      </c>
      <c r="F130" s="12" t="s">
        <v>7336</v>
      </c>
      <c r="G130" s="11" t="s">
        <v>6891</v>
      </c>
      <c r="H130" s="67" t="s">
        <v>7337</v>
      </c>
      <c r="I130" s="10">
        <v>46175</v>
      </c>
      <c r="J130" s="10" t="s">
        <v>2896</v>
      </c>
      <c r="L130" t="s">
        <v>7338</v>
      </c>
    </row>
    <row r="131" spans="1:12" ht="30">
      <c r="A131" s="10">
        <v>46174</v>
      </c>
      <c r="B131" s="11" t="s">
        <v>7339</v>
      </c>
      <c r="C131" s="11" t="s">
        <v>7186</v>
      </c>
      <c r="D131" s="11" t="s">
        <v>7187</v>
      </c>
      <c r="E131" s="11" t="s">
        <v>7188</v>
      </c>
      <c r="F131" s="12" t="s">
        <v>7340</v>
      </c>
      <c r="G131" s="11" t="s">
        <v>6891</v>
      </c>
      <c r="H131" s="13" t="s">
        <v>6903</v>
      </c>
      <c r="I131" s="10">
        <v>46175</v>
      </c>
      <c r="J131" s="10" t="s">
        <v>7341</v>
      </c>
      <c r="L131" t="s">
        <v>7342</v>
      </c>
    </row>
    <row r="132" spans="1:12" ht="45">
      <c r="A132" s="10">
        <v>46174</v>
      </c>
      <c r="B132" s="11" t="s">
        <v>7343</v>
      </c>
      <c r="C132" s="11" t="s">
        <v>6946</v>
      </c>
      <c r="D132" s="11" t="s">
        <v>6947</v>
      </c>
      <c r="E132" s="11" t="s">
        <v>6948</v>
      </c>
      <c r="F132" s="12" t="s">
        <v>7344</v>
      </c>
      <c r="G132" s="11" t="s">
        <v>6891</v>
      </c>
      <c r="H132" s="13" t="s">
        <v>6903</v>
      </c>
      <c r="I132" s="10">
        <v>46175</v>
      </c>
      <c r="J132" s="10" t="s">
        <v>2896</v>
      </c>
      <c r="L132" t="s">
        <v>7345</v>
      </c>
    </row>
    <row r="133" spans="1:12">
      <c r="A133" s="10">
        <v>46174</v>
      </c>
      <c r="B133" s="11" t="s">
        <v>7346</v>
      </c>
      <c r="C133" s="11" t="s">
        <v>1436</v>
      </c>
      <c r="D133" s="11" t="s">
        <v>6920</v>
      </c>
      <c r="E133" s="11" t="s">
        <v>18</v>
      </c>
      <c r="F133" s="12" t="s">
        <v>7212</v>
      </c>
      <c r="G133" s="11" t="s">
        <v>6922</v>
      </c>
      <c r="H133" s="13" t="s">
        <v>6903</v>
      </c>
      <c r="I133" s="10">
        <v>46174</v>
      </c>
      <c r="J133" s="10" t="s">
        <v>4</v>
      </c>
      <c r="L133" t="s">
        <v>7347</v>
      </c>
    </row>
    <row r="134" spans="1:12">
      <c r="B134" s="65" t="s">
        <v>7348</v>
      </c>
      <c r="C134" s="48" t="s">
        <v>2168</v>
      </c>
      <c r="D134" s="11" t="s">
        <v>7102</v>
      </c>
      <c r="E134" s="11" t="s">
        <v>17</v>
      </c>
      <c r="F134" s="12" t="s">
        <v>7349</v>
      </c>
      <c r="G134" s="11" t="s">
        <v>6891</v>
      </c>
      <c r="H134" s="13" t="s">
        <v>6903</v>
      </c>
      <c r="I134" s="10">
        <v>46175</v>
      </c>
      <c r="J134" s="10" t="s">
        <v>7350</v>
      </c>
      <c r="L134" t="s">
        <v>7351</v>
      </c>
    </row>
    <row r="135" spans="1:12" ht="30">
      <c r="A135" s="10">
        <v>46174</v>
      </c>
      <c r="B135" s="43" t="s">
        <v>7352</v>
      </c>
      <c r="C135" s="11" t="s">
        <v>1436</v>
      </c>
      <c r="D135" s="11" t="s">
        <v>6920</v>
      </c>
      <c r="E135" s="11" t="s">
        <v>18</v>
      </c>
      <c r="F135" s="12" t="s">
        <v>7353</v>
      </c>
      <c r="G135" s="11" t="s">
        <v>6922</v>
      </c>
      <c r="H135" s="13" t="s">
        <v>7354</v>
      </c>
      <c r="I135" s="10">
        <v>46174</v>
      </c>
      <c r="J135" s="10" t="s">
        <v>4</v>
      </c>
      <c r="L135" t="s">
        <v>7355</v>
      </c>
    </row>
    <row r="136" spans="1:12">
      <c r="A136" s="10">
        <v>46174</v>
      </c>
      <c r="B136" s="11" t="s">
        <v>7356</v>
      </c>
      <c r="C136" s="11" t="s">
        <v>854</v>
      </c>
      <c r="D136" s="11" t="s">
        <v>7286</v>
      </c>
      <c r="E136" s="11" t="s">
        <v>18</v>
      </c>
      <c r="F136" s="12" t="s">
        <v>7357</v>
      </c>
      <c r="G136" s="11" t="s">
        <v>6922</v>
      </c>
      <c r="H136" s="13" t="s">
        <v>6903</v>
      </c>
      <c r="I136" s="10">
        <v>46174</v>
      </c>
      <c r="J136" s="10" t="s">
        <v>4</v>
      </c>
      <c r="L136" t="s">
        <v>7358</v>
      </c>
    </row>
    <row r="137" spans="1:12" ht="30">
      <c r="A137" s="10">
        <v>46174</v>
      </c>
      <c r="B137" s="11" t="s">
        <v>7359</v>
      </c>
      <c r="C137" s="11" t="s">
        <v>6946</v>
      </c>
      <c r="D137" s="11" t="s">
        <v>6947</v>
      </c>
      <c r="E137" s="11" t="s">
        <v>6948</v>
      </c>
      <c r="G137" s="11" t="s">
        <v>6891</v>
      </c>
      <c r="H137" s="13" t="s">
        <v>7360</v>
      </c>
      <c r="I137" s="10">
        <v>46175</v>
      </c>
      <c r="J137" s="10" t="s">
        <v>4</v>
      </c>
      <c r="L137" t="s">
        <v>7361</v>
      </c>
    </row>
    <row r="138" spans="1:12">
      <c r="A138" s="10">
        <v>46174</v>
      </c>
      <c r="B138" s="11" t="s">
        <v>7362</v>
      </c>
      <c r="C138" s="11" t="s">
        <v>2369</v>
      </c>
      <c r="D138" s="11" t="s">
        <v>6961</v>
      </c>
      <c r="E138" s="11" t="s">
        <v>18</v>
      </c>
      <c r="F138" s="12" t="s">
        <v>7363</v>
      </c>
      <c r="G138" s="11" t="s">
        <v>6922</v>
      </c>
      <c r="H138" s="13" t="s">
        <v>6903</v>
      </c>
      <c r="I138" s="10">
        <v>46174</v>
      </c>
      <c r="J138" s="10" t="s">
        <v>7313</v>
      </c>
      <c r="L138" t="s">
        <v>7364</v>
      </c>
    </row>
    <row r="139" spans="1:12" ht="30">
      <c r="B139" s="11" t="s">
        <v>7365</v>
      </c>
      <c r="C139" s="11" t="s">
        <v>2270</v>
      </c>
      <c r="D139" s="11" t="s">
        <v>7243</v>
      </c>
      <c r="E139" s="11" t="s">
        <v>13</v>
      </c>
      <c r="F139" s="12" t="s">
        <v>7366</v>
      </c>
      <c r="G139" s="11" t="s">
        <v>6922</v>
      </c>
      <c r="H139" s="13" t="s">
        <v>6903</v>
      </c>
      <c r="I139" s="10">
        <v>46175</v>
      </c>
      <c r="J139" s="10" t="s">
        <v>7313</v>
      </c>
      <c r="L139" t="s">
        <v>7367</v>
      </c>
    </row>
    <row r="140" spans="1:12" ht="180">
      <c r="A140" s="10">
        <v>46174</v>
      </c>
      <c r="B140" s="12" t="s">
        <v>7368</v>
      </c>
      <c r="C140" s="11" t="s">
        <v>1824</v>
      </c>
      <c r="D140" s="11" t="s">
        <v>6971</v>
      </c>
      <c r="E140" s="11" t="s">
        <v>17</v>
      </c>
      <c r="F140" s="12" t="s">
        <v>7369</v>
      </c>
      <c r="G140" s="11" t="s">
        <v>6930</v>
      </c>
      <c r="H140" s="68" t="s">
        <v>7370</v>
      </c>
      <c r="I140" s="10">
        <v>46178</v>
      </c>
      <c r="J140" s="10">
        <v>46179.666666666701</v>
      </c>
      <c r="K140" t="s">
        <v>4</v>
      </c>
      <c r="L140" t="s">
        <v>7371</v>
      </c>
    </row>
    <row r="141" spans="1:12">
      <c r="A141" s="10">
        <v>46174</v>
      </c>
      <c r="B141" s="11" t="s">
        <v>7372</v>
      </c>
      <c r="C141" s="11" t="s">
        <v>741</v>
      </c>
      <c r="D141" s="11" t="s">
        <v>7028</v>
      </c>
      <c r="E141" s="11" t="s">
        <v>13</v>
      </c>
      <c r="F141" s="12" t="s">
        <v>7373</v>
      </c>
      <c r="G141" s="11" t="s">
        <v>6922</v>
      </c>
      <c r="H141" s="13" t="s">
        <v>6903</v>
      </c>
      <c r="I141" s="10">
        <v>46175</v>
      </c>
      <c r="J141" s="10" t="s">
        <v>4</v>
      </c>
      <c r="L141" t="s">
        <v>7374</v>
      </c>
    </row>
    <row r="142" spans="1:12" ht="30">
      <c r="A142" s="10">
        <v>46174</v>
      </c>
      <c r="B142" s="11" t="s">
        <v>7375</v>
      </c>
      <c r="C142" s="11" t="s">
        <v>7220</v>
      </c>
      <c r="D142" s="11" t="s">
        <v>7221</v>
      </c>
      <c r="E142" s="11" t="s">
        <v>6948</v>
      </c>
      <c r="F142" s="12" t="s">
        <v>7376</v>
      </c>
      <c r="G142" s="11" t="s">
        <v>6891</v>
      </c>
      <c r="H142" s="13" t="s">
        <v>7377</v>
      </c>
      <c r="I142" s="10">
        <v>46175</v>
      </c>
      <c r="J142" s="10" t="s">
        <v>4</v>
      </c>
      <c r="L142" t="s">
        <v>7378</v>
      </c>
    </row>
    <row r="143" spans="1:12" ht="45">
      <c r="A143" s="10">
        <v>46174</v>
      </c>
      <c r="B143" s="11" t="s">
        <v>7379</v>
      </c>
      <c r="C143" s="11" t="s">
        <v>960</v>
      </c>
      <c r="D143" s="11" t="s">
        <v>7308</v>
      </c>
      <c r="E143" s="11" t="s">
        <v>13</v>
      </c>
      <c r="F143" s="12" t="s">
        <v>7380</v>
      </c>
      <c r="G143" s="11" t="s">
        <v>6891</v>
      </c>
      <c r="H143" s="13" t="s">
        <v>6903</v>
      </c>
      <c r="I143" s="10">
        <v>46175</v>
      </c>
      <c r="J143" s="10" t="s">
        <v>4</v>
      </c>
      <c r="L143" t="s">
        <v>7381</v>
      </c>
    </row>
    <row r="144" spans="1:12" ht="45">
      <c r="A144" s="10">
        <v>46175</v>
      </c>
      <c r="B144" s="12" t="s">
        <v>7382</v>
      </c>
      <c r="C144" s="11" t="s">
        <v>1779</v>
      </c>
      <c r="D144" s="11" t="s">
        <v>7383</v>
      </c>
      <c r="E144" s="11" t="s">
        <v>18</v>
      </c>
      <c r="F144" s="12" t="s">
        <v>7384</v>
      </c>
      <c r="G144" s="11" t="s">
        <v>6891</v>
      </c>
      <c r="H144" s="13" t="s">
        <v>6903</v>
      </c>
      <c r="I144" s="10">
        <v>46175</v>
      </c>
      <c r="J144" s="10" t="s">
        <v>4</v>
      </c>
      <c r="L144" t="s">
        <v>7385</v>
      </c>
    </row>
    <row r="145" spans="1:12" ht="150">
      <c r="A145" s="10">
        <v>46175</v>
      </c>
      <c r="B145" s="12" t="s">
        <v>7386</v>
      </c>
      <c r="C145" s="11" t="s">
        <v>1874</v>
      </c>
      <c r="D145" s="11" t="s">
        <v>7000</v>
      </c>
      <c r="E145" s="11" t="s">
        <v>17</v>
      </c>
      <c r="F145" s="12" t="s">
        <v>7387</v>
      </c>
      <c r="G145" s="11" t="s">
        <v>6891</v>
      </c>
      <c r="H145" s="13" t="s">
        <v>7388</v>
      </c>
      <c r="I145" s="10">
        <v>46175</v>
      </c>
      <c r="J145" s="10" t="s">
        <v>4</v>
      </c>
      <c r="L145" t="s">
        <v>7389</v>
      </c>
    </row>
    <row r="146" spans="1:12" ht="30">
      <c r="A146" s="10">
        <v>46175</v>
      </c>
      <c r="B146" s="11" t="s">
        <v>7390</v>
      </c>
      <c r="C146" s="11" t="s">
        <v>1779</v>
      </c>
      <c r="D146" s="11" t="s">
        <v>7383</v>
      </c>
      <c r="E146" s="11" t="s">
        <v>18</v>
      </c>
      <c r="F146" s="12" t="s">
        <v>7391</v>
      </c>
      <c r="G146" s="11" t="s">
        <v>6891</v>
      </c>
      <c r="H146" s="13" t="s">
        <v>6903</v>
      </c>
      <c r="I146" s="10">
        <v>46175</v>
      </c>
      <c r="J146" s="10" t="s">
        <v>4</v>
      </c>
      <c r="L146" t="s">
        <v>7392</v>
      </c>
    </row>
    <row r="147" spans="1:12" ht="60">
      <c r="A147" s="10">
        <v>46175</v>
      </c>
      <c r="B147" s="11" t="s">
        <v>7393</v>
      </c>
      <c r="C147" s="11" t="s">
        <v>1779</v>
      </c>
      <c r="D147" s="11" t="s">
        <v>7383</v>
      </c>
      <c r="E147" s="11" t="s">
        <v>18</v>
      </c>
      <c r="F147" s="12" t="s">
        <v>7394</v>
      </c>
      <c r="G147" s="11" t="s">
        <v>6922</v>
      </c>
      <c r="H147" s="13" t="s">
        <v>7395</v>
      </c>
      <c r="I147" s="10">
        <v>46175</v>
      </c>
      <c r="J147" s="10" t="s">
        <v>7313</v>
      </c>
      <c r="L147" t="s">
        <v>7396</v>
      </c>
    </row>
    <row r="148" spans="1:12" ht="30">
      <c r="A148" s="10">
        <v>46175</v>
      </c>
      <c r="B148" s="69" t="s">
        <v>7397</v>
      </c>
      <c r="C148" s="11" t="s">
        <v>1779</v>
      </c>
      <c r="D148" s="11" t="s">
        <v>7383</v>
      </c>
      <c r="E148" s="11" t="s">
        <v>18</v>
      </c>
      <c r="F148" s="12" t="s">
        <v>7398</v>
      </c>
      <c r="G148" s="11" t="s">
        <v>6922</v>
      </c>
      <c r="H148" s="13" t="s">
        <v>6903</v>
      </c>
      <c r="I148" s="10">
        <v>46175</v>
      </c>
      <c r="J148" s="10" t="s">
        <v>7313</v>
      </c>
      <c r="L148" t="s">
        <v>7399</v>
      </c>
    </row>
    <row r="149" spans="1:12" ht="15.75">
      <c r="A149" s="10">
        <v>46175</v>
      </c>
      <c r="B149" s="70" t="s">
        <v>7400</v>
      </c>
      <c r="C149" s="11" t="s">
        <v>810</v>
      </c>
      <c r="D149" s="11" t="s">
        <v>7043</v>
      </c>
      <c r="E149" s="11" t="s">
        <v>17</v>
      </c>
      <c r="F149" s="71" t="s">
        <v>7066</v>
      </c>
      <c r="G149" s="11" t="s">
        <v>6922</v>
      </c>
      <c r="H149" s="13" t="s">
        <v>6903</v>
      </c>
      <c r="I149" s="10">
        <v>46175</v>
      </c>
      <c r="J149" s="10" t="s">
        <v>4</v>
      </c>
      <c r="L149" t="s">
        <v>7401</v>
      </c>
    </row>
    <row r="150" spans="1:12" ht="30">
      <c r="A150" s="10">
        <v>46175</v>
      </c>
      <c r="B150" s="11" t="s">
        <v>7402</v>
      </c>
      <c r="C150" s="11" t="s">
        <v>1779</v>
      </c>
      <c r="D150" s="11" t="s">
        <v>7383</v>
      </c>
      <c r="E150" s="11" t="s">
        <v>18</v>
      </c>
      <c r="F150" s="12" t="s">
        <v>7403</v>
      </c>
      <c r="G150" s="11" t="s">
        <v>6922</v>
      </c>
      <c r="H150" s="13" t="s">
        <v>6903</v>
      </c>
      <c r="I150" s="10">
        <v>46175</v>
      </c>
      <c r="J150" s="10" t="s">
        <v>7313</v>
      </c>
      <c r="L150" t="s">
        <v>7404</v>
      </c>
    </row>
    <row r="151" spans="1:12" ht="45">
      <c r="A151" s="10">
        <v>46175</v>
      </c>
      <c r="B151" s="11" t="s">
        <v>7405</v>
      </c>
      <c r="C151" s="11" t="s">
        <v>2369</v>
      </c>
      <c r="D151" s="11" t="s">
        <v>6961</v>
      </c>
      <c r="E151" s="11" t="s">
        <v>18</v>
      </c>
      <c r="F151" s="12" t="s">
        <v>7406</v>
      </c>
      <c r="G151" s="11" t="s">
        <v>6922</v>
      </c>
      <c r="H151" s="13" t="s">
        <v>7407</v>
      </c>
      <c r="I151" s="10">
        <v>46175</v>
      </c>
      <c r="J151" s="10" t="s">
        <v>7313</v>
      </c>
      <c r="L151" t="s">
        <v>7408</v>
      </c>
    </row>
    <row r="152" spans="1:12" ht="45">
      <c r="A152" s="10">
        <v>46175</v>
      </c>
      <c r="B152" s="11" t="s">
        <v>7409</v>
      </c>
      <c r="C152" s="11" t="s">
        <v>2369</v>
      </c>
      <c r="D152" s="11" t="s">
        <v>6961</v>
      </c>
      <c r="E152" s="11" t="s">
        <v>18</v>
      </c>
      <c r="F152" s="12" t="s">
        <v>7410</v>
      </c>
      <c r="G152" s="11" t="s">
        <v>6922</v>
      </c>
      <c r="H152" s="13" t="s">
        <v>7407</v>
      </c>
      <c r="I152" s="10">
        <v>46175</v>
      </c>
      <c r="J152" s="10" t="s">
        <v>7313</v>
      </c>
      <c r="L152" t="s">
        <v>7411</v>
      </c>
    </row>
    <row r="153" spans="1:12" ht="45">
      <c r="A153" s="11">
        <v>46175</v>
      </c>
      <c r="B153" s="11" t="s">
        <v>7412</v>
      </c>
      <c r="C153" s="11" t="s">
        <v>1884</v>
      </c>
      <c r="D153" s="11" t="s">
        <v>7135</v>
      </c>
      <c r="E153" s="11" t="s">
        <v>17</v>
      </c>
      <c r="F153" s="12" t="s">
        <v>7413</v>
      </c>
      <c r="G153" s="11" t="s">
        <v>6922</v>
      </c>
      <c r="H153" s="13" t="s">
        <v>6903</v>
      </c>
      <c r="I153" s="10">
        <v>46175</v>
      </c>
      <c r="J153" s="10">
        <v>46176.666666666701</v>
      </c>
      <c r="K153" t="s">
        <v>4</v>
      </c>
      <c r="L153" t="s">
        <v>7414</v>
      </c>
    </row>
    <row r="154" spans="1:12" ht="30">
      <c r="A154" s="10">
        <v>46175</v>
      </c>
      <c r="B154" s="11" t="s">
        <v>7415</v>
      </c>
      <c r="C154" s="11" t="s">
        <v>461</v>
      </c>
      <c r="D154" s="11" t="s">
        <v>6982</v>
      </c>
      <c r="E154" s="11" t="s">
        <v>17</v>
      </c>
      <c r="F154" s="12" t="s">
        <v>7416</v>
      </c>
      <c r="G154" s="11" t="s">
        <v>6922</v>
      </c>
      <c r="H154" s="13" t="s">
        <v>6903</v>
      </c>
      <c r="I154" s="10">
        <v>46175</v>
      </c>
      <c r="J154" s="10" t="s">
        <v>7417</v>
      </c>
      <c r="L154" t="s">
        <v>7418</v>
      </c>
    </row>
    <row r="155" spans="1:12" ht="150">
      <c r="A155" s="10">
        <v>46175</v>
      </c>
      <c r="B155" s="11" t="s">
        <v>7419</v>
      </c>
      <c r="C155" s="11" t="s">
        <v>7186</v>
      </c>
      <c r="D155" s="11" t="s">
        <v>7187</v>
      </c>
      <c r="E155" s="11" t="s">
        <v>7188</v>
      </c>
      <c r="F155" s="12" t="s">
        <v>7420</v>
      </c>
      <c r="G155" s="11" t="s">
        <v>6891</v>
      </c>
      <c r="H155" s="13" t="s">
        <v>6903</v>
      </c>
      <c r="I155" s="10">
        <v>46175</v>
      </c>
      <c r="J155" s="10" t="s">
        <v>7421</v>
      </c>
      <c r="L155" t="s">
        <v>7422</v>
      </c>
    </row>
    <row r="156" spans="1:12" ht="30">
      <c r="A156" s="10">
        <v>46175</v>
      </c>
      <c r="B156" s="11" t="s">
        <v>7423</v>
      </c>
      <c r="C156" s="11" t="s">
        <v>1371</v>
      </c>
      <c r="D156" s="11" t="s">
        <v>7424</v>
      </c>
      <c r="E156" s="11" t="s">
        <v>17</v>
      </c>
      <c r="F156" s="12" t="s">
        <v>7425</v>
      </c>
      <c r="G156" s="11" t="s">
        <v>6891</v>
      </c>
      <c r="H156" s="13" t="s">
        <v>6903</v>
      </c>
      <c r="I156" s="10">
        <v>46175</v>
      </c>
      <c r="J156" s="10" t="s">
        <v>7426</v>
      </c>
      <c r="L156" s="179" t="s">
        <v>7427</v>
      </c>
    </row>
    <row r="157" spans="1:12">
      <c r="B157" s="11" t="s">
        <v>7428</v>
      </c>
      <c r="C157" s="48" t="s">
        <v>2168</v>
      </c>
      <c r="D157" s="11" t="s">
        <v>7102</v>
      </c>
      <c r="E157" s="11" t="s">
        <v>17</v>
      </c>
      <c r="F157" s="12" t="s">
        <v>7429</v>
      </c>
      <c r="G157" s="11" t="s">
        <v>6891</v>
      </c>
      <c r="H157" s="13" t="s">
        <v>6903</v>
      </c>
      <c r="I157" s="10">
        <v>46175</v>
      </c>
      <c r="J157" s="10" t="s">
        <v>7430</v>
      </c>
      <c r="L157" t="s">
        <v>7431</v>
      </c>
    </row>
    <row r="158" spans="1:12">
      <c r="A158" s="10">
        <v>46175</v>
      </c>
      <c r="B158" s="72" t="s">
        <v>7432</v>
      </c>
      <c r="C158" s="11" t="s">
        <v>2871</v>
      </c>
      <c r="D158" s="11" t="s">
        <v>7433</v>
      </c>
      <c r="E158" s="11" t="s">
        <v>18</v>
      </c>
      <c r="F158" s="73" t="s">
        <v>7434</v>
      </c>
      <c r="G158" s="11" t="s">
        <v>6922</v>
      </c>
      <c r="H158" s="13" t="s">
        <v>6903</v>
      </c>
      <c r="I158" s="10">
        <v>46175</v>
      </c>
      <c r="J158" s="10" t="s">
        <v>4</v>
      </c>
      <c r="L158" t="s">
        <v>7435</v>
      </c>
    </row>
    <row r="159" spans="1:12">
      <c r="A159" s="10">
        <v>46175</v>
      </c>
      <c r="B159" s="11" t="s">
        <v>7436</v>
      </c>
      <c r="C159" s="11" t="s">
        <v>2369</v>
      </c>
      <c r="D159" s="11" t="s">
        <v>6961</v>
      </c>
      <c r="E159" s="11" t="s">
        <v>18</v>
      </c>
      <c r="F159" s="12" t="s">
        <v>7437</v>
      </c>
      <c r="G159" s="11" t="s">
        <v>6922</v>
      </c>
      <c r="H159" s="13" t="s">
        <v>6903</v>
      </c>
      <c r="I159" s="10">
        <v>46175</v>
      </c>
      <c r="J159" s="10" t="s">
        <v>7438</v>
      </c>
      <c r="L159" t="s">
        <v>7439</v>
      </c>
    </row>
    <row r="160" spans="1:12" ht="30">
      <c r="A160" s="10">
        <v>46175</v>
      </c>
      <c r="B160" s="11" t="s">
        <v>7440</v>
      </c>
      <c r="C160" s="11" t="s">
        <v>7441</v>
      </c>
      <c r="D160" s="11" t="s">
        <v>7442</v>
      </c>
      <c r="E160" s="11" t="e">
        <v>#N/A</v>
      </c>
      <c r="F160" s="12" t="s">
        <v>7443</v>
      </c>
      <c r="G160" s="11" t="s">
        <v>6891</v>
      </c>
      <c r="H160" s="13" t="s">
        <v>6903</v>
      </c>
      <c r="I160" s="10">
        <v>46175</v>
      </c>
      <c r="J160" s="10" t="s">
        <v>7444</v>
      </c>
      <c r="L160" t="s">
        <v>7445</v>
      </c>
    </row>
    <row r="161" spans="1:12">
      <c r="A161" s="10">
        <v>46175</v>
      </c>
      <c r="B161" s="11" t="s">
        <v>7446</v>
      </c>
      <c r="C161" s="11" t="s">
        <v>839</v>
      </c>
      <c r="D161" s="11" t="s">
        <v>7152</v>
      </c>
      <c r="E161" s="11" t="s">
        <v>18</v>
      </c>
      <c r="F161" s="12" t="s">
        <v>7447</v>
      </c>
      <c r="G161" s="11" t="s">
        <v>6922</v>
      </c>
      <c r="H161" s="13" t="s">
        <v>6903</v>
      </c>
      <c r="I161" s="10">
        <v>46175</v>
      </c>
      <c r="J161" s="10" t="s">
        <v>7438</v>
      </c>
      <c r="L161" t="s">
        <v>7448</v>
      </c>
    </row>
    <row r="162" spans="1:12">
      <c r="A162" s="10">
        <v>46175</v>
      </c>
      <c r="B162" s="11" t="s">
        <v>7449</v>
      </c>
      <c r="C162" s="11" t="s">
        <v>839</v>
      </c>
      <c r="D162" s="11" t="s">
        <v>7152</v>
      </c>
      <c r="E162" s="11" t="s">
        <v>18</v>
      </c>
      <c r="F162" s="12" t="s">
        <v>7450</v>
      </c>
      <c r="G162" s="11" t="s">
        <v>6922</v>
      </c>
      <c r="H162" s="13" t="s">
        <v>6903</v>
      </c>
      <c r="I162" s="10">
        <v>46175</v>
      </c>
      <c r="J162" s="10" t="s">
        <v>7438</v>
      </c>
      <c r="L162" t="s">
        <v>7451</v>
      </c>
    </row>
    <row r="163" spans="1:12" ht="30">
      <c r="A163" s="10">
        <v>46175</v>
      </c>
      <c r="B163" s="11" t="s">
        <v>7452</v>
      </c>
      <c r="C163" s="11" t="s">
        <v>7186</v>
      </c>
      <c r="D163" s="11" t="s">
        <v>7187</v>
      </c>
      <c r="E163" s="11" t="s">
        <v>7188</v>
      </c>
      <c r="F163" s="12" t="s">
        <v>7453</v>
      </c>
      <c r="G163" s="11" t="s">
        <v>6891</v>
      </c>
      <c r="H163" s="13" t="s">
        <v>6903</v>
      </c>
      <c r="I163" s="10">
        <v>46175</v>
      </c>
      <c r="J163" s="10" t="s">
        <v>7454</v>
      </c>
      <c r="L163" t="s">
        <v>7455</v>
      </c>
    </row>
    <row r="164" spans="1:12">
      <c r="A164" s="10">
        <v>46175</v>
      </c>
      <c r="B164" s="11" t="s">
        <v>7456</v>
      </c>
      <c r="C164" s="11" t="s">
        <v>1371</v>
      </c>
      <c r="D164" s="11" t="s">
        <v>7442</v>
      </c>
      <c r="E164" s="11" t="s">
        <v>17</v>
      </c>
      <c r="F164" s="12" t="s">
        <v>7457</v>
      </c>
      <c r="G164" s="11" t="s">
        <v>6891</v>
      </c>
      <c r="H164" s="13" t="s">
        <v>7458</v>
      </c>
      <c r="I164" s="10">
        <v>46175</v>
      </c>
      <c r="J164" s="10" t="s">
        <v>4</v>
      </c>
      <c r="L164" t="s">
        <v>7459</v>
      </c>
    </row>
    <row r="165" spans="1:12" ht="60">
      <c r="A165" s="10">
        <v>46175</v>
      </c>
      <c r="B165" s="11" t="s">
        <v>7460</v>
      </c>
      <c r="C165" s="11" t="s">
        <v>1555</v>
      </c>
      <c r="D165" s="11" t="s">
        <v>6897</v>
      </c>
      <c r="E165" s="11" t="s">
        <v>17</v>
      </c>
      <c r="F165" s="12" t="s">
        <v>7461</v>
      </c>
      <c r="G165" s="11" t="s">
        <v>6936</v>
      </c>
      <c r="H165" s="13" t="s">
        <v>7458</v>
      </c>
      <c r="I165" s="10">
        <v>46175</v>
      </c>
      <c r="J165" s="57" t="s">
        <v>7462</v>
      </c>
      <c r="L165" t="s">
        <v>7463</v>
      </c>
    </row>
    <row r="166" spans="1:12">
      <c r="A166" s="10">
        <v>46176</v>
      </c>
      <c r="B166" s="11" t="s">
        <v>7464</v>
      </c>
      <c r="C166" s="11" t="s">
        <v>4584</v>
      </c>
      <c r="D166" s="11" t="s">
        <v>7174</v>
      </c>
      <c r="E166" s="11" t="s">
        <v>17</v>
      </c>
      <c r="F166" s="12" t="s">
        <v>7465</v>
      </c>
      <c r="G166" s="11" t="s">
        <v>6922</v>
      </c>
      <c r="H166" s="13" t="s">
        <v>7458</v>
      </c>
      <c r="I166" s="10">
        <v>46176</v>
      </c>
      <c r="J166" s="57">
        <v>46176.166666666701</v>
      </c>
      <c r="K166" t="s">
        <v>4</v>
      </c>
      <c r="L166" t="s">
        <v>7466</v>
      </c>
    </row>
    <row r="167" spans="1:12" ht="45">
      <c r="A167" s="10">
        <v>46176</v>
      </c>
      <c r="B167" s="11" t="s">
        <v>7467</v>
      </c>
      <c r="C167" s="11" t="s">
        <v>2369</v>
      </c>
      <c r="D167" s="11" t="s">
        <v>6961</v>
      </c>
      <c r="E167" s="11" t="s">
        <v>18</v>
      </c>
      <c r="F167" s="12" t="s">
        <v>7468</v>
      </c>
      <c r="G167" s="11" t="s">
        <v>6922</v>
      </c>
      <c r="H167" s="13" t="s">
        <v>7469</v>
      </c>
      <c r="I167" s="10">
        <v>46176</v>
      </c>
      <c r="J167" s="10" t="s">
        <v>7438</v>
      </c>
      <c r="L167" t="s">
        <v>7470</v>
      </c>
    </row>
    <row r="168" spans="1:12" ht="45">
      <c r="A168" s="10">
        <v>46176</v>
      </c>
      <c r="B168" s="12" t="s">
        <v>7471</v>
      </c>
      <c r="C168" s="11" t="s">
        <v>461</v>
      </c>
      <c r="D168" s="11" t="s">
        <v>6982</v>
      </c>
      <c r="E168" s="11" t="s">
        <v>17</v>
      </c>
      <c r="F168" s="12" t="s">
        <v>7472</v>
      </c>
      <c r="G168" s="11" t="s">
        <v>6922</v>
      </c>
      <c r="H168" s="13" t="s">
        <v>7458</v>
      </c>
      <c r="I168" s="10">
        <v>46176</v>
      </c>
      <c r="J168" s="10" t="s">
        <v>4</v>
      </c>
      <c r="L168" t="s">
        <v>7473</v>
      </c>
    </row>
    <row r="169" spans="1:12">
      <c r="A169" s="10">
        <v>46176</v>
      </c>
      <c r="B169" s="11" t="s">
        <v>7474</v>
      </c>
      <c r="C169" s="11" t="s">
        <v>662</v>
      </c>
      <c r="D169" s="11" t="s">
        <v>7109</v>
      </c>
      <c r="E169" s="11" t="s">
        <v>13</v>
      </c>
      <c r="F169" s="12" t="s">
        <v>7475</v>
      </c>
      <c r="G169" s="11" t="s">
        <v>6922</v>
      </c>
      <c r="H169" s="13" t="s">
        <v>7458</v>
      </c>
      <c r="I169" s="10">
        <v>46176</v>
      </c>
      <c r="J169" s="10" t="s">
        <v>4</v>
      </c>
      <c r="L169" t="s">
        <v>7476</v>
      </c>
    </row>
    <row r="170" spans="1:12" ht="45">
      <c r="A170" s="10">
        <v>46176</v>
      </c>
      <c r="B170" s="31" t="s">
        <v>7477</v>
      </c>
      <c r="C170" s="11" t="s">
        <v>810</v>
      </c>
      <c r="D170" s="11" t="s">
        <v>7043</v>
      </c>
      <c r="E170" s="11" t="s">
        <v>17</v>
      </c>
      <c r="F170" s="74" t="s">
        <v>7478</v>
      </c>
      <c r="G170" s="11" t="s">
        <v>6922</v>
      </c>
      <c r="H170" s="13" t="s">
        <v>7469</v>
      </c>
      <c r="I170" s="10">
        <v>46176</v>
      </c>
      <c r="J170" s="10" t="s">
        <v>7479</v>
      </c>
      <c r="L170" t="s">
        <v>7480</v>
      </c>
    </row>
    <row r="171" spans="1:12">
      <c r="A171" s="10">
        <v>46176</v>
      </c>
      <c r="B171" s="11" t="s">
        <v>7481</v>
      </c>
      <c r="C171" s="11" t="s">
        <v>1436</v>
      </c>
      <c r="D171" s="11" t="s">
        <v>6920</v>
      </c>
      <c r="E171" s="11" t="s">
        <v>18</v>
      </c>
      <c r="F171" s="12" t="s">
        <v>7482</v>
      </c>
      <c r="G171" s="11" t="s">
        <v>6922</v>
      </c>
      <c r="H171" s="13" t="s">
        <v>7458</v>
      </c>
      <c r="I171" s="10">
        <v>46176</v>
      </c>
      <c r="J171" s="10" t="s">
        <v>4</v>
      </c>
      <c r="L171" t="s">
        <v>7483</v>
      </c>
    </row>
    <row r="172" spans="1:12">
      <c r="A172" s="10">
        <v>46176</v>
      </c>
      <c r="B172" s="11" t="s">
        <v>7484</v>
      </c>
      <c r="C172" s="11" t="s">
        <v>1436</v>
      </c>
      <c r="D172" s="11" t="s">
        <v>6920</v>
      </c>
      <c r="E172" s="11" t="s">
        <v>18</v>
      </c>
      <c r="F172" s="12" t="s">
        <v>7485</v>
      </c>
      <c r="G172" s="11" t="s">
        <v>6922</v>
      </c>
      <c r="H172" s="13" t="s">
        <v>7458</v>
      </c>
      <c r="I172" s="10">
        <v>46176</v>
      </c>
      <c r="J172" s="10" t="s">
        <v>4</v>
      </c>
      <c r="L172" t="s">
        <v>7486</v>
      </c>
    </row>
    <row r="173" spans="1:12" ht="45">
      <c r="A173" s="10">
        <v>46176</v>
      </c>
      <c r="B173" s="11" t="s">
        <v>7487</v>
      </c>
      <c r="C173" s="11" t="s">
        <v>1884</v>
      </c>
      <c r="D173" s="11" t="s">
        <v>7135</v>
      </c>
      <c r="E173" s="11" t="s">
        <v>17</v>
      </c>
      <c r="F173" s="12" t="s">
        <v>7488</v>
      </c>
      <c r="G173" s="11" t="s">
        <v>6891</v>
      </c>
      <c r="H173" s="13" t="s">
        <v>7489</v>
      </c>
      <c r="I173" s="10">
        <v>46176</v>
      </c>
      <c r="J173" s="10">
        <v>46176.666666666701</v>
      </c>
      <c r="K173" t="s">
        <v>4</v>
      </c>
      <c r="L173" t="s">
        <v>7490</v>
      </c>
    </row>
    <row r="174" spans="1:12">
      <c r="A174" s="10">
        <v>46176</v>
      </c>
      <c r="B174" s="11" t="s">
        <v>7491</v>
      </c>
      <c r="C174" s="11" t="s">
        <v>1874</v>
      </c>
      <c r="D174" s="11" t="s">
        <v>7000</v>
      </c>
      <c r="E174" s="11" t="s">
        <v>17</v>
      </c>
      <c r="F174" s="12" t="s">
        <v>7492</v>
      </c>
      <c r="G174" s="11" t="s">
        <v>6891</v>
      </c>
      <c r="H174" s="13" t="s">
        <v>6903</v>
      </c>
      <c r="I174" s="10">
        <v>46176</v>
      </c>
      <c r="J174" s="10" t="s">
        <v>4</v>
      </c>
      <c r="L174" t="s">
        <v>7493</v>
      </c>
    </row>
    <row r="175" spans="1:12">
      <c r="A175" s="10">
        <v>46176</v>
      </c>
      <c r="B175" s="11" t="s">
        <v>7494</v>
      </c>
      <c r="C175" s="11" t="s">
        <v>1874</v>
      </c>
      <c r="D175" s="11" t="s">
        <v>7000</v>
      </c>
      <c r="E175" s="11" t="s">
        <v>17</v>
      </c>
      <c r="F175" s="12" t="s">
        <v>7495</v>
      </c>
      <c r="G175" s="11" t="s">
        <v>6891</v>
      </c>
      <c r="H175" s="13" t="s">
        <v>6903</v>
      </c>
      <c r="I175" s="10">
        <v>46176</v>
      </c>
      <c r="J175" s="10" t="s">
        <v>4</v>
      </c>
      <c r="L175" t="s">
        <v>7496</v>
      </c>
    </row>
    <row r="176" spans="1:12">
      <c r="A176" s="10">
        <v>46176</v>
      </c>
      <c r="B176" s="11" t="s">
        <v>7497</v>
      </c>
      <c r="C176" s="11" t="s">
        <v>1874</v>
      </c>
      <c r="D176" s="11" t="s">
        <v>7000</v>
      </c>
      <c r="E176" s="11" t="s">
        <v>17</v>
      </c>
      <c r="F176" s="12" t="s">
        <v>6898</v>
      </c>
      <c r="G176" s="11" t="s">
        <v>6891</v>
      </c>
      <c r="H176" s="13" t="s">
        <v>6903</v>
      </c>
      <c r="I176" s="10">
        <v>46176</v>
      </c>
      <c r="J176" s="10" t="s">
        <v>4</v>
      </c>
      <c r="L176" t="s">
        <v>7498</v>
      </c>
    </row>
    <row r="177" spans="1:12" ht="90">
      <c r="A177" s="10">
        <v>46176</v>
      </c>
      <c r="B177" s="11" t="s">
        <v>7499</v>
      </c>
      <c r="C177" s="11" t="s">
        <v>7186</v>
      </c>
      <c r="D177" s="11" t="s">
        <v>7500</v>
      </c>
      <c r="E177" s="11" t="s">
        <v>7188</v>
      </c>
      <c r="F177" s="12" t="s">
        <v>7501</v>
      </c>
      <c r="G177" s="11" t="s">
        <v>6891</v>
      </c>
      <c r="H177" s="13" t="s">
        <v>6903</v>
      </c>
      <c r="I177" s="10">
        <v>46176</v>
      </c>
      <c r="J177" s="10" t="s">
        <v>7502</v>
      </c>
      <c r="L177" t="s">
        <v>7503</v>
      </c>
    </row>
    <row r="178" spans="1:12" ht="75">
      <c r="A178" s="10">
        <v>46176</v>
      </c>
      <c r="B178" s="11" t="s">
        <v>7504</v>
      </c>
      <c r="C178" s="11" t="s">
        <v>7186</v>
      </c>
      <c r="D178" s="11" t="s">
        <v>7500</v>
      </c>
      <c r="E178" s="11" t="s">
        <v>7188</v>
      </c>
      <c r="F178" s="12" t="s">
        <v>7505</v>
      </c>
      <c r="G178" s="11" t="s">
        <v>6891</v>
      </c>
      <c r="H178" s="13" t="s">
        <v>6903</v>
      </c>
      <c r="I178" s="10">
        <v>46176</v>
      </c>
      <c r="J178" s="10" t="s">
        <v>4</v>
      </c>
      <c r="L178" s="179" t="s">
        <v>7506</v>
      </c>
    </row>
    <row r="179" spans="1:12" ht="45">
      <c r="A179" s="10">
        <v>46176</v>
      </c>
      <c r="B179" s="11" t="s">
        <v>7507</v>
      </c>
      <c r="C179" s="11" t="s">
        <v>1436</v>
      </c>
      <c r="D179" s="11" t="s">
        <v>6920</v>
      </c>
      <c r="E179" s="11" t="s">
        <v>18</v>
      </c>
      <c r="F179" s="12" t="s">
        <v>7508</v>
      </c>
      <c r="G179" s="11" t="s">
        <v>6922</v>
      </c>
      <c r="H179" s="13" t="s">
        <v>7469</v>
      </c>
      <c r="I179" s="10">
        <v>46177</v>
      </c>
      <c r="J179" s="10" t="s">
        <v>4</v>
      </c>
      <c r="L179" t="s">
        <v>7509</v>
      </c>
    </row>
    <row r="180" spans="1:12" ht="45">
      <c r="A180" s="10">
        <v>46176</v>
      </c>
      <c r="B180" s="11" t="s">
        <v>7510</v>
      </c>
      <c r="C180" s="11" t="s">
        <v>1348</v>
      </c>
      <c r="D180" s="11" t="s">
        <v>7511</v>
      </c>
      <c r="E180" s="11" t="s">
        <v>17</v>
      </c>
      <c r="F180" s="12" t="s">
        <v>7512</v>
      </c>
      <c r="G180" s="11" t="s">
        <v>6922</v>
      </c>
      <c r="H180" s="13" t="s">
        <v>6903</v>
      </c>
      <c r="I180" s="10">
        <v>46177</v>
      </c>
      <c r="J180" s="10" t="s">
        <v>4</v>
      </c>
      <c r="L180" t="s">
        <v>7513</v>
      </c>
    </row>
    <row r="181" spans="1:12" ht="60">
      <c r="A181" s="10">
        <v>46176</v>
      </c>
      <c r="B181" s="11" t="s">
        <v>7514</v>
      </c>
      <c r="C181" s="11" t="s">
        <v>1348</v>
      </c>
      <c r="D181" s="11" t="s">
        <v>7511</v>
      </c>
      <c r="E181" s="11" t="s">
        <v>17</v>
      </c>
      <c r="F181" s="12" t="s">
        <v>7515</v>
      </c>
      <c r="G181" s="11" t="s">
        <v>6922</v>
      </c>
      <c r="H181" s="13" t="s">
        <v>7516</v>
      </c>
      <c r="I181" s="10">
        <v>46177</v>
      </c>
      <c r="J181" s="10" t="s">
        <v>4</v>
      </c>
      <c r="L181" t="s">
        <v>7517</v>
      </c>
    </row>
    <row r="182" spans="1:12" ht="45">
      <c r="A182" s="10">
        <v>46176</v>
      </c>
      <c r="B182" s="11" t="s">
        <v>7518</v>
      </c>
      <c r="C182" s="11" t="s">
        <v>1348</v>
      </c>
      <c r="D182" s="11" t="s">
        <v>7511</v>
      </c>
      <c r="E182" s="11" t="s">
        <v>17</v>
      </c>
      <c r="F182" s="12" t="s">
        <v>7519</v>
      </c>
      <c r="G182" s="11" t="s">
        <v>6922</v>
      </c>
      <c r="H182" s="13" t="s">
        <v>7520</v>
      </c>
      <c r="I182" s="10">
        <v>46177</v>
      </c>
      <c r="J182" s="10" t="s">
        <v>4</v>
      </c>
      <c r="L182" t="s">
        <v>7521</v>
      </c>
    </row>
    <row r="183" spans="1:12">
      <c r="A183" s="10">
        <v>46176</v>
      </c>
      <c r="B183" s="11" t="s">
        <v>7522</v>
      </c>
      <c r="C183" s="11" t="s">
        <v>585</v>
      </c>
      <c r="D183" s="11" t="s">
        <v>7144</v>
      </c>
      <c r="E183" s="11" t="s">
        <v>17</v>
      </c>
      <c r="F183" s="12" t="s">
        <v>7523</v>
      </c>
      <c r="G183" s="11" t="s">
        <v>6891</v>
      </c>
      <c r="H183" s="13" t="s">
        <v>6903</v>
      </c>
      <c r="I183" s="10">
        <v>46178</v>
      </c>
      <c r="J183" s="10" t="s">
        <v>4</v>
      </c>
      <c r="L183" t="s">
        <v>7524</v>
      </c>
    </row>
    <row r="184" spans="1:12">
      <c r="A184" s="10">
        <v>46176</v>
      </c>
      <c r="B184" s="11" t="s">
        <v>7525</v>
      </c>
      <c r="C184" s="11" t="s">
        <v>2369</v>
      </c>
      <c r="D184" s="11" t="s">
        <v>6961</v>
      </c>
      <c r="E184" s="11" t="s">
        <v>18</v>
      </c>
      <c r="F184" s="12" t="s">
        <v>7526</v>
      </c>
      <c r="G184" s="11" t="s">
        <v>6891</v>
      </c>
      <c r="H184" s="13" t="s">
        <v>6903</v>
      </c>
      <c r="I184" s="10">
        <v>46176</v>
      </c>
      <c r="J184" s="10" t="s">
        <v>7438</v>
      </c>
      <c r="L184" t="s">
        <v>7527</v>
      </c>
    </row>
    <row r="185" spans="1:12" ht="30">
      <c r="A185" s="10">
        <v>46176</v>
      </c>
      <c r="B185" s="12" t="s">
        <v>7528</v>
      </c>
      <c r="C185" s="11" t="s">
        <v>1779</v>
      </c>
      <c r="D185" s="11" t="s">
        <v>7383</v>
      </c>
      <c r="E185" s="11" t="s">
        <v>18</v>
      </c>
      <c r="F185" s="12" t="s">
        <v>7529</v>
      </c>
      <c r="G185" s="11" t="s">
        <v>6891</v>
      </c>
      <c r="H185" s="13" t="s">
        <v>6903</v>
      </c>
      <c r="I185" s="10">
        <v>46176</v>
      </c>
      <c r="J185" s="10" t="s">
        <v>4</v>
      </c>
      <c r="L185" s="179" t="s">
        <v>7530</v>
      </c>
    </row>
    <row r="186" spans="1:12">
      <c r="A186" s="10">
        <v>46176</v>
      </c>
      <c r="B186" s="11" t="s">
        <v>7531</v>
      </c>
      <c r="C186" s="11" t="s">
        <v>1053</v>
      </c>
      <c r="D186" s="11" t="s">
        <v>7532</v>
      </c>
      <c r="E186" s="11" t="s">
        <v>13</v>
      </c>
      <c r="F186" s="12" t="s">
        <v>7533</v>
      </c>
      <c r="G186" s="11" t="s">
        <v>6891</v>
      </c>
      <c r="H186" s="13" t="s">
        <v>6903</v>
      </c>
      <c r="I186" s="10">
        <v>46176</v>
      </c>
      <c r="J186" s="10">
        <v>46272.666666666701</v>
      </c>
      <c r="K186" t="s">
        <v>4</v>
      </c>
      <c r="L186" t="s">
        <v>7534</v>
      </c>
    </row>
    <row r="187" spans="1:12" ht="29.25">
      <c r="A187" s="10">
        <v>46176</v>
      </c>
      <c r="B187" s="11" t="s">
        <v>7535</v>
      </c>
      <c r="C187" s="11" t="s">
        <v>4584</v>
      </c>
      <c r="D187" s="11" t="s">
        <v>7174</v>
      </c>
      <c r="E187" s="11" t="s">
        <v>17</v>
      </c>
      <c r="F187" s="12" t="s">
        <v>7536</v>
      </c>
      <c r="G187" s="11" t="s">
        <v>6983</v>
      </c>
      <c r="H187" s="13" t="s">
        <v>6903</v>
      </c>
      <c r="I187" s="10">
        <v>46177</v>
      </c>
      <c r="J187" s="57">
        <v>46177.166666666701</v>
      </c>
      <c r="K187" t="s">
        <v>4</v>
      </c>
      <c r="L187" t="s">
        <v>7537</v>
      </c>
    </row>
    <row r="188" spans="1:12" ht="30">
      <c r="A188" s="10">
        <v>46176</v>
      </c>
      <c r="B188" s="11" t="s">
        <v>7538</v>
      </c>
      <c r="C188" s="11" t="s">
        <v>682</v>
      </c>
      <c r="D188" s="11" t="s">
        <v>7277</v>
      </c>
      <c r="E188" s="11" t="s">
        <v>18</v>
      </c>
      <c r="F188" s="12" t="s">
        <v>7539</v>
      </c>
      <c r="G188" s="11" t="s">
        <v>6922</v>
      </c>
      <c r="H188" s="13" t="s">
        <v>6903</v>
      </c>
      <c r="I188" s="10">
        <v>46177</v>
      </c>
      <c r="J188" s="10" t="s">
        <v>4</v>
      </c>
      <c r="L188" t="s">
        <v>7540</v>
      </c>
    </row>
    <row r="189" spans="1:12" ht="30">
      <c r="A189" s="10">
        <v>46176</v>
      </c>
      <c r="B189" s="11" t="s">
        <v>7541</v>
      </c>
      <c r="C189" s="11" t="s">
        <v>682</v>
      </c>
      <c r="D189" s="11" t="s">
        <v>7277</v>
      </c>
      <c r="E189" s="11" t="s">
        <v>18</v>
      </c>
      <c r="F189" s="12" t="s">
        <v>7542</v>
      </c>
      <c r="G189" s="11" t="s">
        <v>6922</v>
      </c>
      <c r="H189" s="13" t="s">
        <v>6903</v>
      </c>
      <c r="I189" s="10">
        <v>46177</v>
      </c>
      <c r="J189" s="10" t="s">
        <v>4</v>
      </c>
      <c r="L189" t="s">
        <v>7543</v>
      </c>
    </row>
    <row r="190" spans="1:12" ht="60">
      <c r="A190" s="10">
        <v>46176</v>
      </c>
      <c r="B190" s="75" t="s">
        <v>7544</v>
      </c>
      <c r="C190" s="11" t="s">
        <v>810</v>
      </c>
      <c r="D190" s="11" t="s">
        <v>7043</v>
      </c>
      <c r="E190" s="11" t="s">
        <v>17</v>
      </c>
      <c r="F190" s="12" t="s">
        <v>7545</v>
      </c>
      <c r="G190" s="11" t="s">
        <v>6922</v>
      </c>
      <c r="H190" s="13" t="s">
        <v>7546</v>
      </c>
      <c r="I190" s="10">
        <v>46177</v>
      </c>
      <c r="J190" s="10" t="s">
        <v>4</v>
      </c>
      <c r="L190" t="s">
        <v>7547</v>
      </c>
    </row>
    <row r="191" spans="1:12" ht="30">
      <c r="A191" s="10">
        <v>46176</v>
      </c>
      <c r="B191" s="11" t="s">
        <v>7548</v>
      </c>
      <c r="C191" s="11" t="s">
        <v>2270</v>
      </c>
      <c r="D191" s="11" t="s">
        <v>7243</v>
      </c>
      <c r="E191" s="11" t="s">
        <v>13</v>
      </c>
      <c r="F191" s="12" t="s">
        <v>7549</v>
      </c>
      <c r="G191" s="11" t="s">
        <v>6922</v>
      </c>
      <c r="H191" s="13" t="s">
        <v>6903</v>
      </c>
      <c r="I191" s="10">
        <v>46177</v>
      </c>
      <c r="J191" s="10" t="s">
        <v>4</v>
      </c>
      <c r="L191" t="s">
        <v>7550</v>
      </c>
    </row>
    <row r="192" spans="1:12">
      <c r="A192" s="10">
        <v>46176</v>
      </c>
      <c r="B192" s="11" t="s">
        <v>7551</v>
      </c>
      <c r="C192" s="11" t="s">
        <v>662</v>
      </c>
      <c r="D192" s="11" t="s">
        <v>7109</v>
      </c>
      <c r="E192" s="11" t="s">
        <v>13</v>
      </c>
      <c r="F192" s="12" t="s">
        <v>7552</v>
      </c>
      <c r="G192" s="11" t="s">
        <v>7553</v>
      </c>
      <c r="H192" s="13" t="s">
        <v>6903</v>
      </c>
      <c r="I192" s="10">
        <v>46181</v>
      </c>
      <c r="J192" s="10" t="s">
        <v>4</v>
      </c>
      <c r="L192" t="s">
        <v>7554</v>
      </c>
    </row>
    <row r="193" spans="1:12">
      <c r="A193" s="10">
        <v>46176</v>
      </c>
      <c r="B193" s="11" t="s">
        <v>7555</v>
      </c>
      <c r="C193" s="11" t="s">
        <v>585</v>
      </c>
      <c r="D193" s="11" t="s">
        <v>7144</v>
      </c>
      <c r="E193" s="11" t="s">
        <v>17</v>
      </c>
      <c r="F193" s="12" t="s">
        <v>7556</v>
      </c>
      <c r="G193" s="11" t="s">
        <v>6891</v>
      </c>
      <c r="H193" s="13" t="s">
        <v>6903</v>
      </c>
      <c r="I193" s="10">
        <v>46176</v>
      </c>
      <c r="J193" s="10" t="s">
        <v>7557</v>
      </c>
      <c r="L193" t="s">
        <v>7558</v>
      </c>
    </row>
    <row r="194" spans="1:12">
      <c r="A194" s="10">
        <v>46176</v>
      </c>
      <c r="B194" s="11" t="s">
        <v>7559</v>
      </c>
      <c r="C194" s="11" t="s">
        <v>721</v>
      </c>
      <c r="D194" s="11" t="s">
        <v>7250</v>
      </c>
      <c r="E194" s="11" t="s">
        <v>13</v>
      </c>
      <c r="F194" s="12" t="s">
        <v>7560</v>
      </c>
      <c r="G194" s="11" t="s">
        <v>6983</v>
      </c>
      <c r="H194" s="13" t="s">
        <v>6903</v>
      </c>
      <c r="I194" s="10">
        <v>46177</v>
      </c>
      <c r="J194" s="10" t="s">
        <v>4</v>
      </c>
      <c r="L194" t="s">
        <v>7561</v>
      </c>
    </row>
    <row r="195" spans="1:12">
      <c r="A195" s="10">
        <v>46176</v>
      </c>
      <c r="B195" s="11" t="s">
        <v>7562</v>
      </c>
      <c r="C195" s="11" t="s">
        <v>674</v>
      </c>
      <c r="D195" s="11" t="s">
        <v>6993</v>
      </c>
      <c r="E195" s="11" t="s">
        <v>16</v>
      </c>
      <c r="F195" s="12" t="s">
        <v>7563</v>
      </c>
      <c r="G195" s="11" t="s">
        <v>7553</v>
      </c>
      <c r="H195" s="13" t="s">
        <v>6903</v>
      </c>
      <c r="I195" s="10">
        <v>46181</v>
      </c>
      <c r="J195" s="10" t="s">
        <v>4</v>
      </c>
      <c r="L195" t="s">
        <v>7564</v>
      </c>
    </row>
    <row r="196" spans="1:12" ht="75">
      <c r="A196" s="10">
        <v>46176</v>
      </c>
      <c r="B196" s="12" t="s">
        <v>7565</v>
      </c>
      <c r="C196" s="11" t="s">
        <v>674</v>
      </c>
      <c r="D196" s="11" t="s">
        <v>6993</v>
      </c>
      <c r="E196" s="11" t="s">
        <v>16</v>
      </c>
      <c r="F196" s="12" t="s">
        <v>7566</v>
      </c>
      <c r="G196" s="11" t="s">
        <v>7553</v>
      </c>
      <c r="H196" s="13" t="s">
        <v>7283</v>
      </c>
      <c r="I196" s="10">
        <v>46181</v>
      </c>
      <c r="J196" s="10" t="s">
        <v>4</v>
      </c>
      <c r="L196" t="s">
        <v>7567</v>
      </c>
    </row>
    <row r="197" spans="1:12">
      <c r="A197" s="10">
        <v>46176</v>
      </c>
      <c r="B197" s="12" t="s">
        <v>7568</v>
      </c>
      <c r="C197" s="11" t="s">
        <v>839</v>
      </c>
      <c r="D197" s="11" t="s">
        <v>7152</v>
      </c>
      <c r="E197" s="11" t="s">
        <v>18</v>
      </c>
      <c r="F197" s="12" t="s">
        <v>7569</v>
      </c>
      <c r="G197" s="11" t="s">
        <v>6922</v>
      </c>
      <c r="H197" s="13" t="s">
        <v>6903</v>
      </c>
      <c r="I197" s="10">
        <v>46177</v>
      </c>
      <c r="J197" s="10" t="s">
        <v>7570</v>
      </c>
      <c r="L197" t="s">
        <v>7571</v>
      </c>
    </row>
    <row r="198" spans="1:12">
      <c r="A198" s="10">
        <v>46176</v>
      </c>
      <c r="B198" s="12" t="s">
        <v>7572</v>
      </c>
      <c r="C198" s="11" t="s">
        <v>839</v>
      </c>
      <c r="D198" s="11" t="s">
        <v>7152</v>
      </c>
      <c r="E198" s="11" t="s">
        <v>18</v>
      </c>
      <c r="F198" s="12" t="s">
        <v>7573</v>
      </c>
      <c r="G198" s="11" t="s">
        <v>6922</v>
      </c>
      <c r="H198" s="13" t="s">
        <v>6903</v>
      </c>
      <c r="I198" s="10">
        <v>46177</v>
      </c>
      <c r="J198" s="10" t="s">
        <v>7570</v>
      </c>
      <c r="L198" t="s">
        <v>7574</v>
      </c>
    </row>
    <row r="199" spans="1:12" ht="30">
      <c r="A199" s="10">
        <v>46176</v>
      </c>
      <c r="B199" s="12" t="s">
        <v>7575</v>
      </c>
      <c r="C199" s="11" t="s">
        <v>2369</v>
      </c>
      <c r="D199" s="11" t="s">
        <v>6961</v>
      </c>
      <c r="E199" s="11" t="s">
        <v>18</v>
      </c>
      <c r="F199" s="12" t="s">
        <v>7576</v>
      </c>
      <c r="G199" s="11" t="s">
        <v>6922</v>
      </c>
      <c r="H199" s="13" t="s">
        <v>6903</v>
      </c>
      <c r="I199" s="10">
        <v>46177</v>
      </c>
      <c r="J199" s="10" t="s">
        <v>7577</v>
      </c>
      <c r="L199" t="s">
        <v>7578</v>
      </c>
    </row>
    <row r="200" spans="1:12" ht="30">
      <c r="A200" s="10">
        <v>46176</v>
      </c>
      <c r="B200" s="12" t="s">
        <v>7579</v>
      </c>
      <c r="C200" s="11" t="s">
        <v>540</v>
      </c>
      <c r="D200" s="11" t="s">
        <v>7258</v>
      </c>
      <c r="E200" s="11" t="s">
        <v>18</v>
      </c>
      <c r="F200" s="12" t="s">
        <v>7580</v>
      </c>
      <c r="G200" s="11" t="s">
        <v>6983</v>
      </c>
      <c r="H200" s="13" t="s">
        <v>7581</v>
      </c>
      <c r="I200" s="10">
        <v>46178</v>
      </c>
      <c r="J200" s="10" t="s">
        <v>4</v>
      </c>
      <c r="L200" t="s">
        <v>7582</v>
      </c>
    </row>
    <row r="201" spans="1:12" ht="45">
      <c r="A201" s="10">
        <v>46177</v>
      </c>
      <c r="B201" s="11" t="s">
        <v>7583</v>
      </c>
      <c r="C201" s="11" t="s">
        <v>1109</v>
      </c>
      <c r="D201" s="11" t="s">
        <v>7053</v>
      </c>
      <c r="E201" s="11" t="s">
        <v>17</v>
      </c>
      <c r="F201" s="12" t="s">
        <v>7584</v>
      </c>
      <c r="G201" s="11" t="s">
        <v>6891</v>
      </c>
      <c r="H201" s="13" t="s">
        <v>6903</v>
      </c>
      <c r="I201" s="10">
        <v>46177</v>
      </c>
      <c r="J201" s="10" t="s">
        <v>7329</v>
      </c>
      <c r="L201" t="s">
        <v>7585</v>
      </c>
    </row>
    <row r="202" spans="1:12">
      <c r="A202" s="10">
        <v>46177</v>
      </c>
      <c r="B202" s="76" t="s">
        <v>7586</v>
      </c>
      <c r="C202" s="11" t="s">
        <v>810</v>
      </c>
      <c r="D202" s="11" t="s">
        <v>7043</v>
      </c>
      <c r="E202" s="11" t="s">
        <v>17</v>
      </c>
      <c r="F202" s="77" t="s">
        <v>7587</v>
      </c>
      <c r="G202" s="11" t="s">
        <v>6922</v>
      </c>
      <c r="H202" s="13" t="s">
        <v>6903</v>
      </c>
      <c r="I202" s="10">
        <v>46177</v>
      </c>
      <c r="J202" s="10" t="s">
        <v>7588</v>
      </c>
      <c r="L202" t="s">
        <v>7589</v>
      </c>
    </row>
    <row r="203" spans="1:12">
      <c r="A203" s="10">
        <v>46177</v>
      </c>
      <c r="B203" s="9" t="s">
        <v>7590</v>
      </c>
      <c r="C203" s="11" t="s">
        <v>585</v>
      </c>
      <c r="D203" s="11" t="s">
        <v>7144</v>
      </c>
      <c r="E203" s="11" t="s">
        <v>17</v>
      </c>
      <c r="F203" s="12" t="s">
        <v>7591</v>
      </c>
      <c r="G203" s="11" t="s">
        <v>6891</v>
      </c>
      <c r="H203" s="13" t="s">
        <v>6903</v>
      </c>
      <c r="I203" s="10">
        <v>46177</v>
      </c>
      <c r="J203" s="10" t="s">
        <v>7592</v>
      </c>
      <c r="L203" t="s">
        <v>7593</v>
      </c>
    </row>
    <row r="204" spans="1:12">
      <c r="A204" s="10">
        <v>46177</v>
      </c>
      <c r="B204" s="11" t="s">
        <v>7594</v>
      </c>
      <c r="C204" s="11" t="s">
        <v>7220</v>
      </c>
      <c r="D204" s="11" t="s">
        <v>7221</v>
      </c>
      <c r="E204" s="11" t="s">
        <v>6948</v>
      </c>
      <c r="F204" s="12" t="s">
        <v>7595</v>
      </c>
      <c r="G204" s="11" t="s">
        <v>6891</v>
      </c>
      <c r="H204" s="13" t="s">
        <v>6903</v>
      </c>
      <c r="I204" s="10">
        <v>46177</v>
      </c>
      <c r="J204" s="10" t="s">
        <v>4</v>
      </c>
      <c r="L204" t="s">
        <v>7596</v>
      </c>
    </row>
    <row r="205" spans="1:12">
      <c r="A205" s="10">
        <v>46177</v>
      </c>
      <c r="B205" s="11" t="s">
        <v>7597</v>
      </c>
      <c r="C205" s="48" t="s">
        <v>2168</v>
      </c>
      <c r="D205" s="11" t="s">
        <v>7102</v>
      </c>
      <c r="E205" s="11" t="s">
        <v>17</v>
      </c>
      <c r="F205" s="12" t="s">
        <v>7598</v>
      </c>
      <c r="G205" s="11" t="s">
        <v>6891</v>
      </c>
      <c r="H205" s="13" t="s">
        <v>6903</v>
      </c>
      <c r="I205" s="10">
        <v>46177</v>
      </c>
      <c r="J205" s="10" t="s">
        <v>7329</v>
      </c>
      <c r="L205" t="s">
        <v>7599</v>
      </c>
    </row>
    <row r="206" spans="1:12">
      <c r="A206" s="10">
        <v>46177</v>
      </c>
      <c r="B206" s="11" t="s">
        <v>7327</v>
      </c>
      <c r="C206" s="48" t="s">
        <v>2168</v>
      </c>
      <c r="D206" s="11" t="s">
        <v>7102</v>
      </c>
      <c r="E206" s="11" t="s">
        <v>17</v>
      </c>
      <c r="F206" s="12" t="s">
        <v>7600</v>
      </c>
      <c r="G206" s="11" t="s">
        <v>6891</v>
      </c>
      <c r="H206" s="13" t="s">
        <v>6903</v>
      </c>
      <c r="I206" s="10">
        <v>46177</v>
      </c>
      <c r="J206" s="10" t="s">
        <v>7350</v>
      </c>
      <c r="L206" t="s">
        <v>7601</v>
      </c>
    </row>
    <row r="207" spans="1:12">
      <c r="A207" s="10">
        <v>46177</v>
      </c>
      <c r="B207" s="11" t="s">
        <v>7602</v>
      </c>
      <c r="C207" s="11" t="s">
        <v>1874</v>
      </c>
      <c r="D207" s="11" t="s">
        <v>7000</v>
      </c>
      <c r="E207" s="11" t="s">
        <v>17</v>
      </c>
      <c r="F207" s="12" t="s">
        <v>6898</v>
      </c>
      <c r="G207" s="11" t="s">
        <v>6891</v>
      </c>
      <c r="H207" s="13" t="s">
        <v>6903</v>
      </c>
      <c r="I207" s="10">
        <v>46177</v>
      </c>
      <c r="J207" s="10" t="s">
        <v>4</v>
      </c>
      <c r="L207" t="s">
        <v>7603</v>
      </c>
    </row>
    <row r="208" spans="1:12" ht="60">
      <c r="A208" s="10">
        <v>46177</v>
      </c>
      <c r="B208" s="12" t="s">
        <v>7604</v>
      </c>
      <c r="C208" s="11" t="s">
        <v>7186</v>
      </c>
      <c r="D208" s="11" t="s">
        <v>7187</v>
      </c>
      <c r="E208" s="11" t="s">
        <v>7188</v>
      </c>
      <c r="F208" s="12" t="s">
        <v>7605</v>
      </c>
      <c r="G208" s="11" t="s">
        <v>6891</v>
      </c>
      <c r="H208" s="13" t="s">
        <v>6903</v>
      </c>
      <c r="I208" s="10">
        <v>46177</v>
      </c>
      <c r="J208" s="10" t="s">
        <v>4</v>
      </c>
      <c r="L208" t="s">
        <v>7606</v>
      </c>
    </row>
    <row r="209" spans="1:12" ht="30">
      <c r="A209" s="10">
        <v>46177</v>
      </c>
      <c r="B209" s="11" t="s">
        <v>7607</v>
      </c>
      <c r="C209" s="11" t="s">
        <v>496</v>
      </c>
      <c r="D209" s="11" t="s">
        <v>7608</v>
      </c>
      <c r="E209" s="11" t="s">
        <v>17</v>
      </c>
      <c r="F209" s="12" t="s">
        <v>7609</v>
      </c>
      <c r="G209" s="11" t="s">
        <v>6983</v>
      </c>
      <c r="H209" s="13" t="s">
        <v>6903</v>
      </c>
      <c r="I209" s="10">
        <v>46178</v>
      </c>
      <c r="J209" s="10" t="s">
        <v>4</v>
      </c>
      <c r="L209" t="s">
        <v>7610</v>
      </c>
    </row>
    <row r="210" spans="1:12">
      <c r="A210" s="10">
        <v>46177</v>
      </c>
      <c r="B210" s="11" t="s">
        <v>7611</v>
      </c>
      <c r="C210" s="11" t="s">
        <v>2270</v>
      </c>
      <c r="D210" s="11" t="s">
        <v>7243</v>
      </c>
      <c r="E210" s="11" t="s">
        <v>13</v>
      </c>
      <c r="F210" s="12" t="s">
        <v>7612</v>
      </c>
      <c r="G210" s="11" t="s">
        <v>6922</v>
      </c>
      <c r="H210" s="13" t="s">
        <v>6903</v>
      </c>
      <c r="I210" s="10">
        <v>46177</v>
      </c>
      <c r="J210" s="10" t="s">
        <v>4</v>
      </c>
      <c r="L210" t="s">
        <v>7613</v>
      </c>
    </row>
    <row r="211" spans="1:12">
      <c r="A211" s="10">
        <v>46177</v>
      </c>
      <c r="B211" s="11" t="s">
        <v>7614</v>
      </c>
      <c r="C211" s="11" t="s">
        <v>2270</v>
      </c>
      <c r="D211" s="11" t="s">
        <v>7243</v>
      </c>
      <c r="E211" s="11" t="s">
        <v>13</v>
      </c>
      <c r="F211" s="12" t="s">
        <v>7612</v>
      </c>
      <c r="G211" s="11" t="s">
        <v>6922</v>
      </c>
      <c r="H211" s="13" t="s">
        <v>6903</v>
      </c>
      <c r="I211" s="10">
        <v>46177</v>
      </c>
      <c r="J211" s="10" t="s">
        <v>4</v>
      </c>
      <c r="L211" t="s">
        <v>7615</v>
      </c>
    </row>
    <row r="212" spans="1:12" ht="30">
      <c r="A212" s="10">
        <v>46177</v>
      </c>
      <c r="B212" s="11" t="s">
        <v>7616</v>
      </c>
      <c r="C212" s="11" t="s">
        <v>1555</v>
      </c>
      <c r="D212" s="11" t="s">
        <v>6897</v>
      </c>
      <c r="E212" s="11" t="s">
        <v>17</v>
      </c>
      <c r="F212" s="12" t="s">
        <v>7617</v>
      </c>
      <c r="G212" s="11" t="s">
        <v>7553</v>
      </c>
      <c r="H212" s="13" t="s">
        <v>7618</v>
      </c>
      <c r="I212" s="10">
        <v>46181</v>
      </c>
      <c r="J212" s="57" t="s">
        <v>7462</v>
      </c>
      <c r="L212" t="s">
        <v>7619</v>
      </c>
    </row>
    <row r="213" spans="1:12" ht="45">
      <c r="A213" s="10">
        <v>46177</v>
      </c>
      <c r="B213" s="11" t="s">
        <v>7620</v>
      </c>
      <c r="C213" s="11" t="s">
        <v>682</v>
      </c>
      <c r="D213" s="11" t="s">
        <v>7277</v>
      </c>
      <c r="E213" s="11" t="s">
        <v>18</v>
      </c>
      <c r="F213" s="12" t="s">
        <v>7621</v>
      </c>
      <c r="G213" s="11" t="s">
        <v>6922</v>
      </c>
      <c r="H213" s="13" t="s">
        <v>7622</v>
      </c>
      <c r="I213" s="10">
        <v>46177</v>
      </c>
      <c r="J213" s="10" t="s">
        <v>4</v>
      </c>
      <c r="L213" t="s">
        <v>7623</v>
      </c>
    </row>
    <row r="214" spans="1:12" ht="30">
      <c r="A214" s="10">
        <v>46177</v>
      </c>
      <c r="B214" s="11" t="s">
        <v>7624</v>
      </c>
      <c r="C214" s="11" t="s">
        <v>682</v>
      </c>
      <c r="D214" s="11" t="s">
        <v>7277</v>
      </c>
      <c r="E214" s="11" t="s">
        <v>18</v>
      </c>
      <c r="F214" s="12" t="s">
        <v>7625</v>
      </c>
      <c r="G214" s="11" t="s">
        <v>6922</v>
      </c>
      <c r="H214" s="13" t="s">
        <v>6903</v>
      </c>
      <c r="I214" s="10">
        <v>46177</v>
      </c>
      <c r="J214" s="10" t="s">
        <v>4</v>
      </c>
      <c r="L214" t="s">
        <v>7626</v>
      </c>
    </row>
    <row r="215" spans="1:12" ht="75">
      <c r="A215" s="10">
        <v>46177</v>
      </c>
      <c r="B215" s="11" t="s">
        <v>7627</v>
      </c>
      <c r="C215" s="11" t="s">
        <v>1371</v>
      </c>
      <c r="D215" s="11" t="s">
        <v>7164</v>
      </c>
      <c r="E215" s="11" t="s">
        <v>17</v>
      </c>
      <c r="F215" s="12" t="s">
        <v>7628</v>
      </c>
      <c r="G215" s="11" t="s">
        <v>6891</v>
      </c>
      <c r="H215" s="68" t="s">
        <v>7629</v>
      </c>
      <c r="I215" s="10">
        <v>46178</v>
      </c>
      <c r="J215" s="10" t="s">
        <v>4</v>
      </c>
      <c r="L215" t="s">
        <v>7630</v>
      </c>
    </row>
    <row r="216" spans="1:12">
      <c r="A216" s="10">
        <v>46177</v>
      </c>
      <c r="B216" s="11" t="s">
        <v>7631</v>
      </c>
      <c r="C216" s="11" t="s">
        <v>585</v>
      </c>
      <c r="D216" s="11" t="s">
        <v>7144</v>
      </c>
      <c r="E216" s="11" t="s">
        <v>17</v>
      </c>
      <c r="F216" s="12" t="s">
        <v>7632</v>
      </c>
      <c r="G216" s="11" t="s">
        <v>7553</v>
      </c>
      <c r="H216" s="13" t="s">
        <v>7618</v>
      </c>
      <c r="I216" s="10">
        <v>46181</v>
      </c>
      <c r="J216" s="10" t="s">
        <v>7633</v>
      </c>
      <c r="L216" t="s">
        <v>7634</v>
      </c>
    </row>
    <row r="217" spans="1:12" ht="90">
      <c r="A217" s="10">
        <v>46177</v>
      </c>
      <c r="B217" s="11" t="s">
        <v>7635</v>
      </c>
      <c r="C217" s="11" t="s">
        <v>1555</v>
      </c>
      <c r="D217" s="11" t="s">
        <v>6897</v>
      </c>
      <c r="E217" s="11" t="s">
        <v>17</v>
      </c>
      <c r="F217" s="12" t="s">
        <v>7636</v>
      </c>
      <c r="G217" s="11" t="s">
        <v>6936</v>
      </c>
      <c r="H217" s="13" t="s">
        <v>6903</v>
      </c>
      <c r="I217" s="10">
        <v>46178</v>
      </c>
      <c r="J217" s="10" t="s">
        <v>7637</v>
      </c>
      <c r="L217" t="s">
        <v>7638</v>
      </c>
    </row>
    <row r="218" spans="1:12">
      <c r="A218" s="10">
        <v>46177</v>
      </c>
      <c r="B218" s="11" t="s">
        <v>7639</v>
      </c>
      <c r="C218" s="11" t="s">
        <v>2647</v>
      </c>
      <c r="D218" s="11" t="s">
        <v>7640</v>
      </c>
      <c r="E218" s="11" t="s">
        <v>18</v>
      </c>
      <c r="F218" s="12" t="s">
        <v>7641</v>
      </c>
      <c r="G218" s="11" t="s">
        <v>6922</v>
      </c>
      <c r="H218" s="13" t="s">
        <v>6903</v>
      </c>
      <c r="I218" s="10">
        <v>46178</v>
      </c>
      <c r="J218" s="10">
        <v>46280.666666666701</v>
      </c>
      <c r="K218" t="s">
        <v>4</v>
      </c>
      <c r="L218" t="s">
        <v>7642</v>
      </c>
    </row>
    <row r="219" spans="1:12" ht="45">
      <c r="A219" s="10">
        <v>46177</v>
      </c>
      <c r="B219" s="11" t="s">
        <v>7643</v>
      </c>
      <c r="C219" s="11" t="s">
        <v>1371</v>
      </c>
      <c r="D219" s="11" t="s">
        <v>7164</v>
      </c>
      <c r="E219" s="11" t="s">
        <v>17</v>
      </c>
      <c r="F219" s="12" t="s">
        <v>7644</v>
      </c>
      <c r="G219" s="11" t="s">
        <v>7553</v>
      </c>
      <c r="H219" s="13" t="s">
        <v>7618</v>
      </c>
      <c r="I219" s="10">
        <v>46181</v>
      </c>
      <c r="J219" s="10" t="s">
        <v>4</v>
      </c>
      <c r="L219" t="s">
        <v>7645</v>
      </c>
    </row>
    <row r="220" spans="1:12">
      <c r="A220" s="10">
        <v>46177</v>
      </c>
      <c r="B220" s="11" t="s">
        <v>7646</v>
      </c>
      <c r="C220" s="11" t="s">
        <v>1874</v>
      </c>
      <c r="D220" s="11" t="s">
        <v>7000</v>
      </c>
      <c r="E220" s="11" t="s">
        <v>17</v>
      </c>
      <c r="F220" s="12" t="s">
        <v>7647</v>
      </c>
      <c r="G220" s="11" t="s">
        <v>6891</v>
      </c>
      <c r="H220" s="13" t="s">
        <v>6903</v>
      </c>
      <c r="I220" s="10">
        <v>46178</v>
      </c>
      <c r="J220" s="10" t="s">
        <v>4</v>
      </c>
      <c r="L220" t="s">
        <v>7648</v>
      </c>
    </row>
    <row r="221" spans="1:12" ht="60">
      <c r="A221" s="10">
        <v>46177</v>
      </c>
      <c r="B221" s="11" t="s">
        <v>7649</v>
      </c>
      <c r="C221" s="11" t="s">
        <v>2270</v>
      </c>
      <c r="D221" s="78" t="s">
        <v>7650</v>
      </c>
      <c r="E221" s="11" t="s">
        <v>13</v>
      </c>
      <c r="F221" s="12" t="s">
        <v>7651</v>
      </c>
      <c r="G221" s="11" t="s">
        <v>6922</v>
      </c>
      <c r="H221" s="13" t="s">
        <v>6903</v>
      </c>
      <c r="I221" s="10">
        <v>46178</v>
      </c>
      <c r="J221" s="10" t="s">
        <v>7577</v>
      </c>
      <c r="L221" t="s">
        <v>7652</v>
      </c>
    </row>
    <row r="222" spans="1:12" ht="30">
      <c r="A222" s="10">
        <v>46177</v>
      </c>
      <c r="B222" s="11" t="s">
        <v>7653</v>
      </c>
      <c r="C222" s="11" t="s">
        <v>6946</v>
      </c>
      <c r="D222" s="11" t="s">
        <v>6947</v>
      </c>
      <c r="E222" s="11" t="s">
        <v>6948</v>
      </c>
      <c r="F222" s="12" t="s">
        <v>7654</v>
      </c>
      <c r="G222" s="11" t="s">
        <v>7553</v>
      </c>
      <c r="H222" s="13" t="s">
        <v>7618</v>
      </c>
      <c r="I222" s="10">
        <v>46181</v>
      </c>
      <c r="J222" s="10" t="s">
        <v>2896</v>
      </c>
      <c r="L222" t="s">
        <v>7655</v>
      </c>
    </row>
    <row r="223" spans="1:12" ht="30">
      <c r="A223" s="10">
        <v>46177</v>
      </c>
      <c r="B223" s="11" t="s">
        <v>7335</v>
      </c>
      <c r="C223" s="11" t="s">
        <v>6946</v>
      </c>
      <c r="D223" s="11" t="s">
        <v>6947</v>
      </c>
      <c r="E223" s="11" t="s">
        <v>6948</v>
      </c>
      <c r="F223" s="12" t="s">
        <v>7656</v>
      </c>
      <c r="G223" s="11" t="s">
        <v>7553</v>
      </c>
      <c r="H223" s="13" t="s">
        <v>7618</v>
      </c>
      <c r="I223" s="10">
        <v>46181</v>
      </c>
      <c r="J223" s="10" t="s">
        <v>2896</v>
      </c>
      <c r="L223" t="s">
        <v>7657</v>
      </c>
    </row>
    <row r="224" spans="1:12" ht="45">
      <c r="A224" s="10">
        <v>46177</v>
      </c>
      <c r="B224" s="11" t="s">
        <v>7658</v>
      </c>
      <c r="C224" s="11" t="s">
        <v>6946</v>
      </c>
      <c r="D224" s="11" t="s">
        <v>6947</v>
      </c>
      <c r="E224" s="11" t="s">
        <v>6948</v>
      </c>
      <c r="F224" s="12" t="s">
        <v>7659</v>
      </c>
      <c r="G224" s="11" t="s">
        <v>6891</v>
      </c>
      <c r="H224" s="13" t="s">
        <v>6903</v>
      </c>
      <c r="I224" s="10">
        <v>46181</v>
      </c>
      <c r="J224" s="10" t="s">
        <v>7660</v>
      </c>
      <c r="L224" t="s">
        <v>7661</v>
      </c>
    </row>
    <row r="225" spans="1:12" ht="45">
      <c r="A225" s="10">
        <v>46177</v>
      </c>
      <c r="B225" s="11" t="s">
        <v>7662</v>
      </c>
      <c r="C225" s="11" t="s">
        <v>6946</v>
      </c>
      <c r="D225" s="11" t="s">
        <v>6947</v>
      </c>
      <c r="E225" s="11" t="s">
        <v>6948</v>
      </c>
      <c r="F225" s="12" t="s">
        <v>7663</v>
      </c>
      <c r="G225" s="11" t="s">
        <v>6891</v>
      </c>
      <c r="H225" s="13" t="s">
        <v>6903</v>
      </c>
      <c r="I225" s="10">
        <v>46181</v>
      </c>
      <c r="J225" s="10" t="s">
        <v>7660</v>
      </c>
      <c r="L225" t="s">
        <v>7664</v>
      </c>
    </row>
    <row r="226" spans="1:12" ht="45">
      <c r="A226" s="10">
        <v>46177</v>
      </c>
      <c r="B226" s="11" t="s">
        <v>7665</v>
      </c>
      <c r="C226" s="11" t="s">
        <v>6946</v>
      </c>
      <c r="D226" s="11" t="s">
        <v>6947</v>
      </c>
      <c r="E226" s="11" t="s">
        <v>6948</v>
      </c>
      <c r="F226" s="12" t="s">
        <v>7666</v>
      </c>
      <c r="G226" s="11" t="s">
        <v>6891</v>
      </c>
      <c r="H226" s="13" t="s">
        <v>6903</v>
      </c>
      <c r="I226" s="10">
        <v>46181</v>
      </c>
      <c r="J226" s="10" t="s">
        <v>7660</v>
      </c>
      <c r="L226" t="s">
        <v>7667</v>
      </c>
    </row>
    <row r="227" spans="1:12">
      <c r="A227" s="10">
        <v>46178</v>
      </c>
      <c r="B227" s="11" t="s">
        <v>7668</v>
      </c>
      <c r="C227" s="11" t="s">
        <v>2168</v>
      </c>
      <c r="D227" s="11" t="s">
        <v>7669</v>
      </c>
      <c r="E227" s="11" t="s">
        <v>17</v>
      </c>
      <c r="F227" s="12" t="s">
        <v>7670</v>
      </c>
      <c r="G227" s="11" t="s">
        <v>6891</v>
      </c>
      <c r="H227" s="13" t="s">
        <v>6903</v>
      </c>
      <c r="I227" s="10">
        <v>46178</v>
      </c>
      <c r="J227" s="10" t="s">
        <v>7329</v>
      </c>
      <c r="L227" t="s">
        <v>7671</v>
      </c>
    </row>
    <row r="228" spans="1:12">
      <c r="A228" s="10">
        <v>46178</v>
      </c>
      <c r="B228" s="11" t="s">
        <v>7672</v>
      </c>
      <c r="C228" s="11" t="s">
        <v>2168</v>
      </c>
      <c r="D228" s="11" t="s">
        <v>7669</v>
      </c>
      <c r="E228" s="11" t="s">
        <v>17</v>
      </c>
      <c r="F228" s="12" t="s">
        <v>7673</v>
      </c>
      <c r="G228" s="11" t="s">
        <v>6891</v>
      </c>
      <c r="H228" s="13" t="s">
        <v>6903</v>
      </c>
      <c r="I228" s="10">
        <v>46178</v>
      </c>
      <c r="J228" s="10" t="s">
        <v>7329</v>
      </c>
      <c r="L228" t="s">
        <v>7674</v>
      </c>
    </row>
    <row r="229" spans="1:12">
      <c r="A229" s="10">
        <v>46178</v>
      </c>
      <c r="B229" s="11" t="s">
        <v>7675</v>
      </c>
      <c r="C229" s="11" t="s">
        <v>560</v>
      </c>
      <c r="D229" s="11" t="s">
        <v>7676</v>
      </c>
      <c r="E229" s="11" t="s">
        <v>13</v>
      </c>
      <c r="F229" s="12" t="s">
        <v>7677</v>
      </c>
      <c r="G229" s="11" t="s">
        <v>6983</v>
      </c>
      <c r="H229" s="13" t="s">
        <v>6903</v>
      </c>
      <c r="I229" s="10">
        <v>46178</v>
      </c>
      <c r="J229" s="10" t="s">
        <v>7678</v>
      </c>
      <c r="L229" t="s">
        <v>7679</v>
      </c>
    </row>
    <row r="230" spans="1:12" ht="75">
      <c r="A230" s="10">
        <v>46178</v>
      </c>
      <c r="B230" s="11" t="s">
        <v>7680</v>
      </c>
      <c r="C230" s="11" t="s">
        <v>1348</v>
      </c>
      <c r="D230" s="11" t="s">
        <v>7010</v>
      </c>
      <c r="E230" s="11" t="s">
        <v>17</v>
      </c>
      <c r="F230" s="12" t="s">
        <v>7681</v>
      </c>
      <c r="G230" s="11" t="s">
        <v>6922</v>
      </c>
      <c r="H230" s="13" t="s">
        <v>6903</v>
      </c>
      <c r="I230" s="10">
        <v>46178</v>
      </c>
      <c r="J230" s="10" t="s">
        <v>4</v>
      </c>
      <c r="L230" t="s">
        <v>7682</v>
      </c>
    </row>
    <row r="231" spans="1:12" ht="30">
      <c r="A231" s="10">
        <v>46178</v>
      </c>
      <c r="B231" s="11" t="s">
        <v>7683</v>
      </c>
      <c r="C231" s="11" t="s">
        <v>7220</v>
      </c>
      <c r="D231" s="11" t="s">
        <v>7221</v>
      </c>
      <c r="E231" s="11" t="s">
        <v>6948</v>
      </c>
      <c r="F231" s="12" t="s">
        <v>7684</v>
      </c>
      <c r="G231" s="11" t="s">
        <v>6891</v>
      </c>
      <c r="H231" s="13" t="s">
        <v>6903</v>
      </c>
      <c r="I231" s="10">
        <v>46178</v>
      </c>
      <c r="J231" s="10" t="s">
        <v>4</v>
      </c>
      <c r="L231" t="s">
        <v>7685</v>
      </c>
    </row>
    <row r="232" spans="1:12" ht="60">
      <c r="A232" s="10">
        <v>46178</v>
      </c>
      <c r="B232" s="12" t="s">
        <v>7686</v>
      </c>
      <c r="C232" s="11" t="s">
        <v>560</v>
      </c>
      <c r="D232" s="11" t="s">
        <v>7676</v>
      </c>
      <c r="E232" s="11" t="s">
        <v>13</v>
      </c>
      <c r="F232" s="12" t="s">
        <v>7687</v>
      </c>
      <c r="G232" s="11" t="s">
        <v>6983</v>
      </c>
      <c r="H232" s="13" t="s">
        <v>6903</v>
      </c>
      <c r="I232" s="10">
        <v>46178</v>
      </c>
      <c r="J232" s="10" t="s">
        <v>7688</v>
      </c>
      <c r="L232" t="s">
        <v>7689</v>
      </c>
    </row>
    <row r="233" spans="1:12" ht="60">
      <c r="A233" s="10">
        <v>46178</v>
      </c>
      <c r="B233" s="12" t="s">
        <v>7690</v>
      </c>
      <c r="C233" s="11" t="s">
        <v>560</v>
      </c>
      <c r="D233" s="11" t="s">
        <v>7676</v>
      </c>
      <c r="E233" s="11" t="s">
        <v>13</v>
      </c>
      <c r="F233" s="12" t="s">
        <v>7691</v>
      </c>
      <c r="G233" s="11" t="s">
        <v>6983</v>
      </c>
      <c r="H233" s="13" t="s">
        <v>6903</v>
      </c>
      <c r="I233" s="10">
        <v>46178</v>
      </c>
      <c r="J233" s="10" t="s">
        <v>7678</v>
      </c>
      <c r="L233" t="s">
        <v>7692</v>
      </c>
    </row>
    <row r="234" spans="1:12" ht="30">
      <c r="A234" s="10">
        <v>46178</v>
      </c>
      <c r="B234" s="11" t="s">
        <v>7693</v>
      </c>
      <c r="C234" s="11" t="s">
        <v>2168</v>
      </c>
      <c r="D234" s="11" t="s">
        <v>7102</v>
      </c>
      <c r="E234" s="11" t="s">
        <v>17</v>
      </c>
      <c r="F234" s="12" t="s">
        <v>7694</v>
      </c>
      <c r="G234" s="11" t="s">
        <v>6891</v>
      </c>
      <c r="H234" s="13" t="s">
        <v>6903</v>
      </c>
      <c r="I234" s="10">
        <v>46178</v>
      </c>
      <c r="J234" s="10" t="s">
        <v>7695</v>
      </c>
      <c r="L234" t="s">
        <v>7696</v>
      </c>
    </row>
    <row r="235" spans="1:12" ht="45">
      <c r="A235" s="10">
        <v>46178</v>
      </c>
      <c r="B235" s="12" t="s">
        <v>7697</v>
      </c>
      <c r="C235" s="11" t="s">
        <v>1779</v>
      </c>
      <c r="D235" s="11" t="s">
        <v>7061</v>
      </c>
      <c r="E235" s="11" t="s">
        <v>18</v>
      </c>
      <c r="F235" s="12" t="s">
        <v>7698</v>
      </c>
      <c r="G235" s="11" t="s">
        <v>6891</v>
      </c>
      <c r="H235" s="13" t="s">
        <v>6903</v>
      </c>
      <c r="I235" s="10">
        <v>46178</v>
      </c>
      <c r="J235" s="10" t="s">
        <v>4</v>
      </c>
      <c r="L235" t="s">
        <v>7699</v>
      </c>
    </row>
    <row r="236" spans="1:12" ht="30">
      <c r="A236" s="10">
        <v>46178</v>
      </c>
      <c r="B236" s="11" t="s">
        <v>7700</v>
      </c>
      <c r="C236" s="11" t="s">
        <v>7316</v>
      </c>
      <c r="D236" s="11" t="s">
        <v>7701</v>
      </c>
      <c r="E236" s="11" t="s">
        <v>18</v>
      </c>
      <c r="F236" s="12" t="s">
        <v>7702</v>
      </c>
      <c r="G236" s="11" t="s">
        <v>6922</v>
      </c>
      <c r="H236" s="13" t="s">
        <v>6903</v>
      </c>
      <c r="I236" s="10">
        <v>46178</v>
      </c>
      <c r="J236" s="10" t="s">
        <v>4</v>
      </c>
      <c r="L236" t="s">
        <v>7703</v>
      </c>
    </row>
    <row r="237" spans="1:12" ht="30">
      <c r="A237" s="10">
        <v>46178</v>
      </c>
      <c r="B237" s="11" t="s">
        <v>7704</v>
      </c>
      <c r="C237" s="11" t="s">
        <v>1779</v>
      </c>
      <c r="D237" s="11" t="s">
        <v>7061</v>
      </c>
      <c r="E237" s="11" t="s">
        <v>18</v>
      </c>
      <c r="F237" s="12" t="s">
        <v>7705</v>
      </c>
      <c r="G237" s="11" t="s">
        <v>6891</v>
      </c>
      <c r="H237" s="13" t="s">
        <v>6903</v>
      </c>
      <c r="I237" s="10">
        <v>46178</v>
      </c>
      <c r="J237" s="10" t="s">
        <v>4</v>
      </c>
      <c r="L237" t="s">
        <v>7706</v>
      </c>
    </row>
    <row r="238" spans="1:12" ht="90">
      <c r="A238" s="10">
        <v>46178</v>
      </c>
      <c r="B238" s="12" t="s">
        <v>7707</v>
      </c>
      <c r="C238" s="11" t="s">
        <v>560</v>
      </c>
      <c r="D238" s="11" t="s">
        <v>7676</v>
      </c>
      <c r="E238" s="11" t="s">
        <v>13</v>
      </c>
      <c r="F238" s="12" t="s">
        <v>7708</v>
      </c>
      <c r="G238" s="11" t="s">
        <v>6983</v>
      </c>
      <c r="H238" s="13" t="s">
        <v>6903</v>
      </c>
      <c r="I238" s="10">
        <v>46178</v>
      </c>
      <c r="J238" s="10" t="s">
        <v>7678</v>
      </c>
      <c r="L238" t="s">
        <v>7709</v>
      </c>
    </row>
    <row r="239" spans="1:12" ht="75">
      <c r="A239" s="10">
        <v>46178</v>
      </c>
      <c r="B239" s="12" t="s">
        <v>7710</v>
      </c>
      <c r="C239" s="11" t="s">
        <v>461</v>
      </c>
      <c r="D239" s="11" t="s">
        <v>6982</v>
      </c>
      <c r="E239" s="11" t="s">
        <v>17</v>
      </c>
      <c r="F239" s="12" t="s">
        <v>7711</v>
      </c>
      <c r="G239" s="11" t="s">
        <v>6983</v>
      </c>
      <c r="H239" s="13" t="s">
        <v>7712</v>
      </c>
      <c r="I239" s="10">
        <v>46178</v>
      </c>
      <c r="J239" s="10" t="s">
        <v>4</v>
      </c>
      <c r="L239" t="s">
        <v>7713</v>
      </c>
    </row>
    <row r="240" spans="1:12">
      <c r="A240" s="10">
        <v>46178</v>
      </c>
      <c r="B240" s="11" t="s">
        <v>7714</v>
      </c>
      <c r="C240" s="11" t="s">
        <v>7186</v>
      </c>
      <c r="D240" s="11" t="s">
        <v>7187</v>
      </c>
      <c r="E240" s="11" t="s">
        <v>7188</v>
      </c>
      <c r="F240" s="12" t="s">
        <v>7715</v>
      </c>
      <c r="G240" s="11" t="s">
        <v>6891</v>
      </c>
      <c r="H240" s="13" t="s">
        <v>6903</v>
      </c>
      <c r="I240" s="10">
        <v>46178</v>
      </c>
      <c r="J240" s="10" t="s">
        <v>7577</v>
      </c>
      <c r="L240" s="179" t="s">
        <v>7716</v>
      </c>
    </row>
    <row r="241" spans="1:12" ht="60">
      <c r="A241" s="10">
        <v>46178</v>
      </c>
      <c r="B241" s="11" t="s">
        <v>7717</v>
      </c>
      <c r="C241" s="11" t="s">
        <v>2270</v>
      </c>
      <c r="D241" s="11" t="s">
        <v>7650</v>
      </c>
      <c r="E241" s="11" t="s">
        <v>13</v>
      </c>
      <c r="F241" s="12" t="s">
        <v>7718</v>
      </c>
      <c r="G241" s="11" t="s">
        <v>6922</v>
      </c>
      <c r="H241" s="13" t="s">
        <v>6903</v>
      </c>
      <c r="I241" s="10">
        <v>46178</v>
      </c>
      <c r="J241" s="10" t="s">
        <v>4</v>
      </c>
      <c r="L241" t="s">
        <v>7719</v>
      </c>
    </row>
    <row r="242" spans="1:12" ht="150">
      <c r="A242" s="10">
        <v>46178</v>
      </c>
      <c r="B242" s="11" t="s">
        <v>7720</v>
      </c>
      <c r="C242" s="11" t="s">
        <v>1371</v>
      </c>
      <c r="D242" s="11" t="s">
        <v>7164</v>
      </c>
      <c r="E242" s="11" t="s">
        <v>17</v>
      </c>
      <c r="F242" s="12" t="s">
        <v>7721</v>
      </c>
      <c r="G242" s="11" t="s">
        <v>7553</v>
      </c>
      <c r="H242" s="13" t="s">
        <v>7722</v>
      </c>
      <c r="I242" s="10">
        <v>46181</v>
      </c>
      <c r="J242" s="10" t="s">
        <v>7723</v>
      </c>
      <c r="L242" t="s">
        <v>7724</v>
      </c>
    </row>
    <row r="243" spans="1:12" ht="30">
      <c r="A243" s="10">
        <v>46178</v>
      </c>
      <c r="B243" s="11" t="s">
        <v>7725</v>
      </c>
      <c r="C243" s="11" t="s">
        <v>700</v>
      </c>
      <c r="D243" s="11" t="s">
        <v>7726</v>
      </c>
      <c r="E243" s="11" t="s">
        <v>18</v>
      </c>
      <c r="F243" s="12" t="s">
        <v>7727</v>
      </c>
      <c r="G243" s="11" t="s">
        <v>6922</v>
      </c>
      <c r="H243" s="13" t="s">
        <v>6903</v>
      </c>
      <c r="I243" s="10">
        <v>46178</v>
      </c>
      <c r="J243" s="10">
        <v>46275.666666666701</v>
      </c>
      <c r="K243" t="s">
        <v>4</v>
      </c>
      <c r="L243" t="s">
        <v>7728</v>
      </c>
    </row>
    <row r="244" spans="1:12">
      <c r="A244" s="10">
        <v>46178</v>
      </c>
      <c r="B244" s="11" t="s">
        <v>7729</v>
      </c>
      <c r="C244" s="11" t="s">
        <v>960</v>
      </c>
      <c r="D244" s="11" t="s">
        <v>7308</v>
      </c>
      <c r="E244" s="11" t="s">
        <v>13</v>
      </c>
      <c r="F244" s="12" t="s">
        <v>7730</v>
      </c>
      <c r="G244" s="11" t="s">
        <v>6891</v>
      </c>
      <c r="H244" s="13" t="s">
        <v>6903</v>
      </c>
      <c r="I244" s="10">
        <v>46178</v>
      </c>
      <c r="J244" s="10" t="s">
        <v>4</v>
      </c>
      <c r="L244" t="s">
        <v>7731</v>
      </c>
    </row>
    <row r="245" spans="1:12">
      <c r="A245" s="10">
        <v>46178</v>
      </c>
      <c r="B245" s="11" t="s">
        <v>7732</v>
      </c>
      <c r="C245" s="11" t="s">
        <v>2369</v>
      </c>
      <c r="D245" s="11" t="s">
        <v>6961</v>
      </c>
      <c r="E245" s="11" t="s">
        <v>18</v>
      </c>
      <c r="F245" s="12" t="s">
        <v>7733</v>
      </c>
      <c r="G245" s="11" t="s">
        <v>6922</v>
      </c>
      <c r="H245" s="13" t="s">
        <v>6903</v>
      </c>
      <c r="I245" s="10">
        <v>46178</v>
      </c>
      <c r="J245" s="10" t="s">
        <v>7633</v>
      </c>
      <c r="L245" t="s">
        <v>7734</v>
      </c>
    </row>
    <row r="246" spans="1:12" ht="90">
      <c r="A246" s="10">
        <v>46178</v>
      </c>
      <c r="B246" s="12" t="s">
        <v>7735</v>
      </c>
      <c r="C246" s="11" t="s">
        <v>461</v>
      </c>
      <c r="D246" s="11" t="s">
        <v>6982</v>
      </c>
      <c r="E246" s="11" t="s">
        <v>17</v>
      </c>
      <c r="F246" s="12" t="s">
        <v>7736</v>
      </c>
      <c r="G246" s="11" t="s">
        <v>6983</v>
      </c>
      <c r="H246" s="13" t="s">
        <v>7737</v>
      </c>
      <c r="I246" s="10">
        <v>46181</v>
      </c>
      <c r="J246" s="10" t="s">
        <v>4</v>
      </c>
      <c r="L246" s="179" t="s">
        <v>7738</v>
      </c>
    </row>
    <row r="247" spans="1:12" ht="30">
      <c r="A247" s="10">
        <v>46178</v>
      </c>
      <c r="B247" s="11" t="s">
        <v>7739</v>
      </c>
      <c r="C247" s="11" t="s">
        <v>7316</v>
      </c>
      <c r="D247" s="11" t="s">
        <v>7317</v>
      </c>
      <c r="E247" s="11" t="s">
        <v>18</v>
      </c>
      <c r="F247" s="12" t="s">
        <v>7740</v>
      </c>
      <c r="G247" s="11" t="s">
        <v>6922</v>
      </c>
      <c r="H247" s="13" t="s">
        <v>6903</v>
      </c>
      <c r="I247" s="10">
        <v>46181</v>
      </c>
      <c r="J247" s="10" t="s">
        <v>4</v>
      </c>
      <c r="L247" t="s">
        <v>7741</v>
      </c>
    </row>
    <row r="248" spans="1:12" ht="45">
      <c r="A248" s="10">
        <v>46180</v>
      </c>
      <c r="B248" s="12" t="s">
        <v>7742</v>
      </c>
      <c r="C248" s="11" t="s">
        <v>674</v>
      </c>
      <c r="D248" s="11" t="s">
        <v>6993</v>
      </c>
      <c r="E248" s="11" t="s">
        <v>16</v>
      </c>
      <c r="F248" s="12" t="s">
        <v>7743</v>
      </c>
      <c r="G248" s="11" t="s">
        <v>7553</v>
      </c>
      <c r="H248" s="13" t="s">
        <v>7618</v>
      </c>
      <c r="I248" s="10">
        <v>46184</v>
      </c>
      <c r="J248" s="10" t="s">
        <v>4</v>
      </c>
      <c r="L248" t="s">
        <v>7744</v>
      </c>
    </row>
    <row r="249" spans="1:12" ht="30">
      <c r="A249" s="10">
        <v>46181</v>
      </c>
      <c r="B249" s="69" t="s">
        <v>7745</v>
      </c>
      <c r="C249" s="11" t="s">
        <v>721</v>
      </c>
      <c r="D249" s="11" t="s">
        <v>7195</v>
      </c>
      <c r="E249" s="11" t="s">
        <v>13</v>
      </c>
      <c r="F249" s="12" t="s">
        <v>7746</v>
      </c>
      <c r="G249" s="11" t="s">
        <v>6983</v>
      </c>
      <c r="H249" s="13" t="s">
        <v>7747</v>
      </c>
      <c r="I249" s="10">
        <v>46181</v>
      </c>
      <c r="J249" s="10" t="s">
        <v>4</v>
      </c>
      <c r="L249" t="s">
        <v>7748</v>
      </c>
    </row>
    <row r="250" spans="1:12">
      <c r="A250" s="10">
        <v>46181</v>
      </c>
      <c r="B250" s="11" t="s">
        <v>7749</v>
      </c>
      <c r="C250" s="11" t="s">
        <v>1874</v>
      </c>
      <c r="D250" s="11" t="s">
        <v>7000</v>
      </c>
      <c r="E250" s="11" t="s">
        <v>17</v>
      </c>
      <c r="F250" s="12" t="s">
        <v>7750</v>
      </c>
      <c r="G250" s="11" t="s">
        <v>6891</v>
      </c>
      <c r="H250" s="13" t="s">
        <v>7751</v>
      </c>
      <c r="I250" s="10">
        <v>46181</v>
      </c>
      <c r="J250" s="57" t="s">
        <v>7752</v>
      </c>
      <c r="L250" t="s">
        <v>7753</v>
      </c>
    </row>
    <row r="251" spans="1:12">
      <c r="A251" s="10">
        <v>46181</v>
      </c>
      <c r="B251" s="11" t="s">
        <v>7754</v>
      </c>
      <c r="C251" s="11" t="s">
        <v>2168</v>
      </c>
      <c r="D251" s="11" t="s">
        <v>7102</v>
      </c>
      <c r="E251" s="11" t="s">
        <v>17</v>
      </c>
      <c r="F251" s="12" t="s">
        <v>7755</v>
      </c>
      <c r="G251" s="11" t="s">
        <v>6891</v>
      </c>
      <c r="H251" s="13" t="s">
        <v>6903</v>
      </c>
      <c r="I251" s="10">
        <v>46181</v>
      </c>
      <c r="J251" s="10" t="s">
        <v>7756</v>
      </c>
      <c r="L251" t="s">
        <v>7757</v>
      </c>
    </row>
    <row r="252" spans="1:12" ht="30">
      <c r="A252" s="10">
        <v>46181</v>
      </c>
      <c r="B252" s="12" t="s">
        <v>7758</v>
      </c>
      <c r="C252" s="11" t="s">
        <v>7220</v>
      </c>
      <c r="D252" s="11" t="s">
        <v>7221</v>
      </c>
      <c r="E252" s="11" t="s">
        <v>6948</v>
      </c>
      <c r="F252" s="12" t="s">
        <v>7759</v>
      </c>
      <c r="G252" s="11" t="s">
        <v>6891</v>
      </c>
      <c r="H252" s="13" t="s">
        <v>6903</v>
      </c>
      <c r="I252" s="10">
        <v>46181</v>
      </c>
      <c r="J252" s="10" t="s">
        <v>4</v>
      </c>
      <c r="L252" t="s">
        <v>7760</v>
      </c>
    </row>
    <row r="253" spans="1:12">
      <c r="A253" s="10">
        <v>46181</v>
      </c>
      <c r="B253" s="11" t="s">
        <v>7761</v>
      </c>
      <c r="C253" s="11" t="s">
        <v>721</v>
      </c>
      <c r="D253" s="11" t="s">
        <v>7195</v>
      </c>
      <c r="E253" s="11" t="s">
        <v>13</v>
      </c>
      <c r="F253" s="12" t="s">
        <v>7762</v>
      </c>
      <c r="G253" s="11" t="s">
        <v>6983</v>
      </c>
      <c r="H253" s="13" t="s">
        <v>6903</v>
      </c>
      <c r="I253" s="10">
        <v>46181</v>
      </c>
      <c r="J253" s="10" t="s">
        <v>4</v>
      </c>
      <c r="L253" t="s">
        <v>7763</v>
      </c>
    </row>
    <row r="254" spans="1:12">
      <c r="A254" s="10">
        <v>46181</v>
      </c>
      <c r="B254" s="11" t="s">
        <v>7764</v>
      </c>
      <c r="C254" s="11" t="s">
        <v>721</v>
      </c>
      <c r="D254" s="11" t="s">
        <v>7195</v>
      </c>
      <c r="E254" s="11" t="s">
        <v>13</v>
      </c>
      <c r="F254" s="12" t="s">
        <v>7765</v>
      </c>
      <c r="G254" s="11" t="s">
        <v>6983</v>
      </c>
      <c r="H254" s="13" t="s">
        <v>6903</v>
      </c>
      <c r="I254" s="10">
        <v>46181</v>
      </c>
      <c r="J254" s="10" t="s">
        <v>4</v>
      </c>
      <c r="L254" t="s">
        <v>7766</v>
      </c>
    </row>
    <row r="255" spans="1:12">
      <c r="A255" s="10">
        <v>46181</v>
      </c>
      <c r="B255" s="11" t="s">
        <v>7767</v>
      </c>
      <c r="C255" s="11" t="s">
        <v>721</v>
      </c>
      <c r="D255" s="11" t="s">
        <v>7195</v>
      </c>
      <c r="E255" s="11" t="s">
        <v>13</v>
      </c>
      <c r="F255" s="12" t="s">
        <v>7768</v>
      </c>
      <c r="G255" s="11" t="s">
        <v>6983</v>
      </c>
      <c r="H255" s="13" t="s">
        <v>6903</v>
      </c>
      <c r="I255" s="10">
        <v>46181</v>
      </c>
      <c r="J255" s="10" t="s">
        <v>4</v>
      </c>
      <c r="L255" t="s">
        <v>7769</v>
      </c>
    </row>
    <row r="256" spans="1:12">
      <c r="A256" s="10">
        <v>46181</v>
      </c>
      <c r="B256" s="11" t="s">
        <v>7770</v>
      </c>
      <c r="C256" s="11" t="s">
        <v>721</v>
      </c>
      <c r="D256" s="11" t="s">
        <v>7195</v>
      </c>
      <c r="E256" s="11" t="s">
        <v>13</v>
      </c>
      <c r="F256" s="12" t="s">
        <v>7771</v>
      </c>
      <c r="G256" s="11" t="s">
        <v>6983</v>
      </c>
      <c r="H256" s="13" t="s">
        <v>6903</v>
      </c>
      <c r="I256" s="10">
        <v>46181</v>
      </c>
      <c r="J256" s="10" t="s">
        <v>4</v>
      </c>
      <c r="L256" t="s">
        <v>7772</v>
      </c>
    </row>
    <row r="257" spans="1:12" ht="30">
      <c r="A257" s="10">
        <v>46181</v>
      </c>
      <c r="B257" s="11" t="s">
        <v>7773</v>
      </c>
      <c r="C257" s="11" t="s">
        <v>721</v>
      </c>
      <c r="D257" s="11" t="s">
        <v>7195</v>
      </c>
      <c r="E257" s="11" t="s">
        <v>13</v>
      </c>
      <c r="F257" s="12" t="s">
        <v>7774</v>
      </c>
      <c r="G257" s="11" t="s">
        <v>6983</v>
      </c>
      <c r="H257" s="13" t="s">
        <v>6903</v>
      </c>
      <c r="I257" s="10">
        <v>46181</v>
      </c>
      <c r="J257" s="10" t="s">
        <v>4</v>
      </c>
      <c r="L257" t="s">
        <v>7775</v>
      </c>
    </row>
    <row r="258" spans="1:12" ht="30">
      <c r="A258" s="10">
        <v>46181</v>
      </c>
      <c r="B258" s="11" t="s">
        <v>7776</v>
      </c>
      <c r="C258" s="11" t="s">
        <v>721</v>
      </c>
      <c r="D258" s="11" t="s">
        <v>7195</v>
      </c>
      <c r="E258" s="11" t="s">
        <v>13</v>
      </c>
      <c r="F258" s="12" t="s">
        <v>7777</v>
      </c>
      <c r="G258" s="11" t="s">
        <v>6983</v>
      </c>
      <c r="H258" s="13" t="s">
        <v>6903</v>
      </c>
      <c r="I258" s="10">
        <v>46181</v>
      </c>
      <c r="J258" s="10" t="s">
        <v>4</v>
      </c>
      <c r="L258" t="s">
        <v>7778</v>
      </c>
    </row>
    <row r="259" spans="1:12" ht="30">
      <c r="A259" s="10">
        <v>46181</v>
      </c>
      <c r="B259" s="11" t="s">
        <v>7779</v>
      </c>
      <c r="C259" s="11" t="s">
        <v>721</v>
      </c>
      <c r="D259" s="11" t="s">
        <v>7195</v>
      </c>
      <c r="E259" s="11" t="s">
        <v>13</v>
      </c>
      <c r="F259" s="12" t="s">
        <v>7780</v>
      </c>
      <c r="G259" s="11" t="s">
        <v>6983</v>
      </c>
      <c r="H259" s="13" t="s">
        <v>6903</v>
      </c>
      <c r="I259" s="10">
        <v>46181</v>
      </c>
      <c r="J259" s="10" t="s">
        <v>4</v>
      </c>
      <c r="L259" t="s">
        <v>7781</v>
      </c>
    </row>
    <row r="260" spans="1:12" ht="62.25" customHeight="1">
      <c r="A260" s="10">
        <v>46181</v>
      </c>
      <c r="B260" s="11" t="s">
        <v>7782</v>
      </c>
      <c r="C260" s="11" t="s">
        <v>810</v>
      </c>
      <c r="D260" s="11" t="s">
        <v>7043</v>
      </c>
      <c r="E260" s="11" t="s">
        <v>17</v>
      </c>
      <c r="F260" s="77" t="s">
        <v>7783</v>
      </c>
      <c r="G260" s="11" t="s">
        <v>6922</v>
      </c>
      <c r="H260" s="13" t="s">
        <v>7784</v>
      </c>
      <c r="I260" s="10">
        <v>46181</v>
      </c>
      <c r="J260" s="10" t="s">
        <v>4</v>
      </c>
      <c r="L260" t="s">
        <v>7785</v>
      </c>
    </row>
    <row r="261" spans="1:12" ht="60">
      <c r="A261" s="10">
        <v>46181</v>
      </c>
      <c r="B261" s="11" t="s">
        <v>7786</v>
      </c>
      <c r="C261" s="11" t="s">
        <v>2270</v>
      </c>
      <c r="D261" s="11" t="s">
        <v>7650</v>
      </c>
      <c r="E261" s="11" t="s">
        <v>13</v>
      </c>
      <c r="F261" s="12" t="s">
        <v>7787</v>
      </c>
      <c r="G261" s="11" t="s">
        <v>6922</v>
      </c>
      <c r="H261" s="13" t="s">
        <v>6903</v>
      </c>
      <c r="I261" s="10">
        <v>46181</v>
      </c>
      <c r="J261" s="10" t="s">
        <v>7788</v>
      </c>
      <c r="L261" t="s">
        <v>7789</v>
      </c>
    </row>
    <row r="262" spans="1:12">
      <c r="A262" s="10">
        <v>46181</v>
      </c>
      <c r="B262" s="11" t="s">
        <v>7790</v>
      </c>
      <c r="C262" s="11" t="s">
        <v>721</v>
      </c>
      <c r="D262" s="11" t="s">
        <v>7195</v>
      </c>
      <c r="E262" s="11" t="s">
        <v>13</v>
      </c>
      <c r="F262" s="12" t="s">
        <v>7791</v>
      </c>
      <c r="G262" s="11" t="s">
        <v>6983</v>
      </c>
      <c r="H262" s="13" t="s">
        <v>6903</v>
      </c>
      <c r="I262" s="10">
        <v>46181</v>
      </c>
      <c r="J262" s="10" t="s">
        <v>4</v>
      </c>
      <c r="L262" t="s">
        <v>7792</v>
      </c>
    </row>
    <row r="263" spans="1:12">
      <c r="A263" s="10">
        <v>46178</v>
      </c>
      <c r="B263" s="11" t="s">
        <v>7793</v>
      </c>
      <c r="C263" s="11" t="s">
        <v>7220</v>
      </c>
      <c r="D263" s="11" t="s">
        <v>7221</v>
      </c>
      <c r="E263" s="11" t="s">
        <v>6948</v>
      </c>
      <c r="F263" s="12" t="s">
        <v>7794</v>
      </c>
      <c r="G263" s="11" t="s">
        <v>6891</v>
      </c>
      <c r="H263" s="13" t="s">
        <v>6903</v>
      </c>
      <c r="I263" s="10">
        <v>46181</v>
      </c>
      <c r="J263" s="10" t="s">
        <v>4</v>
      </c>
      <c r="L263" t="s">
        <v>7795</v>
      </c>
    </row>
    <row r="264" spans="1:12">
      <c r="A264" s="10">
        <v>46181</v>
      </c>
      <c r="B264" s="11" t="s">
        <v>7796</v>
      </c>
      <c r="C264" s="11" t="s">
        <v>721</v>
      </c>
      <c r="D264" s="11" t="s">
        <v>7195</v>
      </c>
      <c r="E264" s="11" t="s">
        <v>13</v>
      </c>
      <c r="F264" s="12" t="s">
        <v>7797</v>
      </c>
      <c r="G264" s="11" t="s">
        <v>6983</v>
      </c>
      <c r="H264" s="13" t="s">
        <v>6903</v>
      </c>
      <c r="I264" s="10">
        <v>46181</v>
      </c>
      <c r="J264" s="10" t="s">
        <v>4</v>
      </c>
      <c r="L264" t="s">
        <v>7798</v>
      </c>
    </row>
    <row r="265" spans="1:12">
      <c r="A265" s="10">
        <v>46181</v>
      </c>
      <c r="B265" s="11" t="s">
        <v>7799</v>
      </c>
      <c r="C265" s="11" t="s">
        <v>721</v>
      </c>
      <c r="D265" s="11" t="s">
        <v>7195</v>
      </c>
      <c r="E265" s="11" t="s">
        <v>13</v>
      </c>
      <c r="F265" s="12" t="s">
        <v>7800</v>
      </c>
      <c r="G265" s="11" t="s">
        <v>6983</v>
      </c>
      <c r="H265" s="13" t="s">
        <v>6903</v>
      </c>
      <c r="I265" s="10">
        <v>46181</v>
      </c>
      <c r="J265" s="10" t="s">
        <v>4</v>
      </c>
      <c r="L265" t="s">
        <v>7801</v>
      </c>
    </row>
    <row r="266" spans="1:12">
      <c r="A266" s="10">
        <v>46181</v>
      </c>
      <c r="B266" s="11" t="s">
        <v>7802</v>
      </c>
      <c r="C266" s="11" t="s">
        <v>721</v>
      </c>
      <c r="D266" s="11" t="s">
        <v>7195</v>
      </c>
      <c r="E266" s="11" t="s">
        <v>13</v>
      </c>
      <c r="F266" s="12" t="s">
        <v>7803</v>
      </c>
      <c r="G266" s="11" t="s">
        <v>6983</v>
      </c>
      <c r="H266" s="13" t="s">
        <v>6903</v>
      </c>
      <c r="I266" s="10">
        <v>46181</v>
      </c>
      <c r="J266" s="10" t="s">
        <v>4</v>
      </c>
      <c r="L266" t="s">
        <v>7804</v>
      </c>
    </row>
    <row r="267" spans="1:12">
      <c r="A267" s="10">
        <v>46181</v>
      </c>
      <c r="B267" s="11" t="s">
        <v>7805</v>
      </c>
      <c r="C267" s="11" t="s">
        <v>5271</v>
      </c>
      <c r="D267" s="11" t="s">
        <v>7806</v>
      </c>
      <c r="E267" s="11" t="s">
        <v>13</v>
      </c>
      <c r="F267" s="12" t="s">
        <v>7807</v>
      </c>
      <c r="G267" s="11" t="s">
        <v>6922</v>
      </c>
      <c r="H267" s="13" t="s">
        <v>6903</v>
      </c>
      <c r="I267" s="10">
        <v>46181</v>
      </c>
      <c r="J267" s="10">
        <v>46280.666666666701</v>
      </c>
      <c r="K267" t="s">
        <v>4</v>
      </c>
      <c r="L267" t="s">
        <v>7808</v>
      </c>
    </row>
    <row r="268" spans="1:12" ht="30">
      <c r="A268" s="10">
        <v>46181</v>
      </c>
      <c r="B268" s="11" t="s">
        <v>7809</v>
      </c>
      <c r="C268" s="11" t="s">
        <v>1779</v>
      </c>
      <c r="D268" s="11" t="s">
        <v>7383</v>
      </c>
      <c r="E268" s="11" t="s">
        <v>18</v>
      </c>
      <c r="F268" s="12" t="s">
        <v>7810</v>
      </c>
      <c r="G268" s="11" t="s">
        <v>6891</v>
      </c>
      <c r="H268" s="13" t="s">
        <v>6903</v>
      </c>
      <c r="I268" s="10">
        <v>46181</v>
      </c>
      <c r="J268" s="10"/>
      <c r="L268" t="s">
        <v>7811</v>
      </c>
    </row>
    <row r="269" spans="1:12" ht="30">
      <c r="A269" s="10">
        <v>46181</v>
      </c>
      <c r="B269" s="11" t="s">
        <v>7812</v>
      </c>
      <c r="C269" s="11" t="s">
        <v>700</v>
      </c>
      <c r="D269" s="11" t="s">
        <v>7726</v>
      </c>
      <c r="E269" s="11" t="s">
        <v>18</v>
      </c>
      <c r="F269" s="12" t="s">
        <v>7813</v>
      </c>
      <c r="G269" s="11" t="s">
        <v>6922</v>
      </c>
      <c r="H269" s="13" t="s">
        <v>7814</v>
      </c>
      <c r="I269" s="10">
        <v>46183</v>
      </c>
      <c r="J269" s="10">
        <v>46275.666666666701</v>
      </c>
      <c r="K269" t="s">
        <v>4</v>
      </c>
      <c r="L269" t="s">
        <v>7815</v>
      </c>
    </row>
    <row r="270" spans="1:12">
      <c r="A270" s="10">
        <v>46181</v>
      </c>
      <c r="B270" s="11" t="s">
        <v>7816</v>
      </c>
      <c r="C270" s="11" t="s">
        <v>461</v>
      </c>
      <c r="D270" s="11" t="s">
        <v>6982</v>
      </c>
      <c r="E270" s="11" t="s">
        <v>17</v>
      </c>
      <c r="F270" s="12" t="s">
        <v>7817</v>
      </c>
      <c r="G270" s="11" t="s">
        <v>7553</v>
      </c>
      <c r="H270" s="13" t="s">
        <v>7618</v>
      </c>
      <c r="I270" s="10">
        <v>46182</v>
      </c>
      <c r="J270" s="10" t="s">
        <v>4</v>
      </c>
      <c r="L270" t="s">
        <v>7818</v>
      </c>
    </row>
    <row r="271" spans="1:12">
      <c r="A271" s="10">
        <v>46181</v>
      </c>
      <c r="B271" s="12" t="s">
        <v>7819</v>
      </c>
      <c r="C271" s="11" t="s">
        <v>1874</v>
      </c>
      <c r="D271" s="11" t="s">
        <v>7000</v>
      </c>
      <c r="E271" s="11" t="s">
        <v>17</v>
      </c>
      <c r="F271" s="12" t="s">
        <v>7820</v>
      </c>
      <c r="G271" s="11" t="s">
        <v>6891</v>
      </c>
      <c r="H271" s="13" t="s">
        <v>6903</v>
      </c>
      <c r="I271" s="10">
        <v>46181</v>
      </c>
      <c r="J271" s="10" t="s">
        <v>7821</v>
      </c>
      <c r="L271" t="s">
        <v>7822</v>
      </c>
    </row>
    <row r="272" spans="1:12" ht="45">
      <c r="A272" s="10">
        <v>46181</v>
      </c>
      <c r="B272" s="11" t="s">
        <v>7823</v>
      </c>
      <c r="C272" s="11" t="s">
        <v>1512</v>
      </c>
      <c r="D272" s="11" t="s">
        <v>7824</v>
      </c>
      <c r="E272" s="11" t="s">
        <v>17</v>
      </c>
      <c r="F272" s="12" t="s">
        <v>7825</v>
      </c>
      <c r="G272" s="11" t="s">
        <v>7553</v>
      </c>
      <c r="H272" s="13" t="s">
        <v>7826</v>
      </c>
      <c r="I272" s="10">
        <v>46182</v>
      </c>
      <c r="J272" s="10" t="s">
        <v>4916</v>
      </c>
      <c r="L272" t="s">
        <v>7827</v>
      </c>
    </row>
    <row r="273" spans="1:12" ht="43.5">
      <c r="A273" s="10">
        <v>46181</v>
      </c>
      <c r="B273" s="11" t="s">
        <v>7828</v>
      </c>
      <c r="C273" s="11" t="s">
        <v>700</v>
      </c>
      <c r="D273" s="11" t="s">
        <v>7726</v>
      </c>
      <c r="E273" s="11" t="s">
        <v>18</v>
      </c>
      <c r="F273" s="12" t="s">
        <v>7829</v>
      </c>
      <c r="G273" s="11" t="s">
        <v>7553</v>
      </c>
      <c r="H273" s="13" t="s">
        <v>7830</v>
      </c>
      <c r="I273" s="10">
        <v>46182</v>
      </c>
      <c r="J273" s="57">
        <v>46275.666666666701</v>
      </c>
      <c r="K273" t="s">
        <v>4</v>
      </c>
      <c r="L273" t="s">
        <v>7831</v>
      </c>
    </row>
    <row r="274" spans="1:12" ht="45">
      <c r="A274" s="10">
        <v>46181</v>
      </c>
      <c r="B274" s="12" t="s">
        <v>7832</v>
      </c>
      <c r="C274" s="11" t="s">
        <v>461</v>
      </c>
      <c r="D274" s="11" t="s">
        <v>6982</v>
      </c>
      <c r="E274" s="11" t="s">
        <v>17</v>
      </c>
      <c r="F274" s="12" t="s">
        <v>7833</v>
      </c>
      <c r="G274" s="11" t="s">
        <v>6983</v>
      </c>
      <c r="H274" s="13" t="s">
        <v>7834</v>
      </c>
      <c r="I274" s="10">
        <v>46182</v>
      </c>
      <c r="J274" s="10" t="s">
        <v>4</v>
      </c>
      <c r="L274" t="s">
        <v>7835</v>
      </c>
    </row>
    <row r="275" spans="1:12">
      <c r="A275" s="10">
        <v>46181</v>
      </c>
      <c r="B275" s="12" t="s">
        <v>7836</v>
      </c>
      <c r="C275" s="11" t="s">
        <v>1874</v>
      </c>
      <c r="D275" s="11" t="s">
        <v>7000</v>
      </c>
      <c r="E275" s="11" t="s">
        <v>17</v>
      </c>
      <c r="F275" s="12" t="s">
        <v>7837</v>
      </c>
      <c r="G275" s="11" t="s">
        <v>6891</v>
      </c>
      <c r="H275" s="13" t="s">
        <v>6903</v>
      </c>
      <c r="I275" s="10">
        <v>46181</v>
      </c>
      <c r="J275" s="10" t="s">
        <v>4</v>
      </c>
      <c r="L275" t="s">
        <v>7838</v>
      </c>
    </row>
    <row r="276" spans="1:12" ht="60.75" customHeight="1">
      <c r="A276" s="10">
        <v>46182</v>
      </c>
      <c r="B276" s="11" t="s">
        <v>7839</v>
      </c>
      <c r="C276" s="11" t="s">
        <v>4584</v>
      </c>
      <c r="D276" s="11" t="s">
        <v>7174</v>
      </c>
      <c r="E276" s="11" t="s">
        <v>17</v>
      </c>
      <c r="F276" s="12" t="s">
        <v>7840</v>
      </c>
      <c r="G276" s="11" t="s">
        <v>7553</v>
      </c>
      <c r="H276" s="13" t="s">
        <v>7618</v>
      </c>
      <c r="I276" s="10">
        <v>46182</v>
      </c>
      <c r="J276" s="57">
        <v>46182.166666666701</v>
      </c>
      <c r="K276" t="s">
        <v>4</v>
      </c>
      <c r="L276" t="s">
        <v>7841</v>
      </c>
    </row>
    <row r="277" spans="1:12" ht="45">
      <c r="A277" s="10">
        <v>46182</v>
      </c>
      <c r="B277" s="11" t="s">
        <v>7842</v>
      </c>
      <c r="C277" s="11" t="s">
        <v>5271</v>
      </c>
      <c r="D277" s="11" t="s">
        <v>7806</v>
      </c>
      <c r="E277" s="11" t="s">
        <v>13</v>
      </c>
      <c r="F277" s="12" t="s">
        <v>7843</v>
      </c>
      <c r="G277" s="11" t="s">
        <v>6922</v>
      </c>
      <c r="H277" s="13" t="s">
        <v>7844</v>
      </c>
      <c r="I277" s="10">
        <v>46182</v>
      </c>
      <c r="J277" s="10" t="s">
        <v>4916</v>
      </c>
      <c r="L277" t="s">
        <v>7845</v>
      </c>
    </row>
    <row r="278" spans="1:12">
      <c r="A278" s="10">
        <v>46182</v>
      </c>
      <c r="B278" s="11" t="s">
        <v>7846</v>
      </c>
      <c r="C278" s="11" t="s">
        <v>2369</v>
      </c>
      <c r="D278" s="11" t="s">
        <v>6961</v>
      </c>
      <c r="E278" s="11" t="s">
        <v>18</v>
      </c>
      <c r="F278" s="12" t="s">
        <v>7847</v>
      </c>
      <c r="G278" s="11" t="s">
        <v>6922</v>
      </c>
      <c r="H278" s="13" t="s">
        <v>7618</v>
      </c>
      <c r="I278" s="10">
        <v>46182</v>
      </c>
      <c r="J278" s="10" t="s">
        <v>7848</v>
      </c>
      <c r="L278" t="s">
        <v>7849</v>
      </c>
    </row>
    <row r="279" spans="1:12" ht="60">
      <c r="A279" s="10">
        <v>46182</v>
      </c>
      <c r="B279" s="12" t="s">
        <v>7850</v>
      </c>
      <c r="C279" s="11" t="s">
        <v>461</v>
      </c>
      <c r="D279" s="11" t="s">
        <v>6982</v>
      </c>
      <c r="E279" s="11" t="s">
        <v>17</v>
      </c>
      <c r="F279" s="12" t="s">
        <v>7851</v>
      </c>
      <c r="G279" s="11" t="s">
        <v>7553</v>
      </c>
      <c r="H279" s="13" t="s">
        <v>7852</v>
      </c>
      <c r="I279" s="10">
        <v>46182</v>
      </c>
      <c r="J279" s="10" t="s">
        <v>4</v>
      </c>
      <c r="L279" t="s">
        <v>7853</v>
      </c>
    </row>
    <row r="280" spans="1:12" ht="45">
      <c r="A280" s="10">
        <v>46182</v>
      </c>
      <c r="B280" s="12" t="s">
        <v>7854</v>
      </c>
      <c r="C280" s="11" t="s">
        <v>461</v>
      </c>
      <c r="D280" s="11" t="s">
        <v>6982</v>
      </c>
      <c r="E280" s="11" t="s">
        <v>17</v>
      </c>
      <c r="F280" s="12" t="s">
        <v>7855</v>
      </c>
      <c r="G280" s="11" t="s">
        <v>7553</v>
      </c>
      <c r="H280" s="13" t="s">
        <v>7618</v>
      </c>
      <c r="I280" s="10">
        <v>46182</v>
      </c>
      <c r="J280" s="10" t="s">
        <v>4</v>
      </c>
      <c r="L280" t="s">
        <v>7856</v>
      </c>
    </row>
    <row r="281" spans="1:12" ht="30">
      <c r="A281" s="10">
        <v>46182</v>
      </c>
      <c r="B281" s="11" t="s">
        <v>7857</v>
      </c>
      <c r="C281" s="11" t="s">
        <v>7186</v>
      </c>
      <c r="D281" s="11" t="s">
        <v>7187</v>
      </c>
      <c r="E281" s="11" t="s">
        <v>7188</v>
      </c>
      <c r="F281" s="12" t="s">
        <v>7858</v>
      </c>
      <c r="G281" s="11" t="s">
        <v>7553</v>
      </c>
      <c r="H281" s="13" t="s">
        <v>7859</v>
      </c>
      <c r="I281" s="10">
        <v>46182</v>
      </c>
      <c r="J281" s="10" t="s">
        <v>7860</v>
      </c>
      <c r="L281" t="s">
        <v>7861</v>
      </c>
    </row>
    <row r="282" spans="1:12" ht="45">
      <c r="A282" s="10">
        <v>46182</v>
      </c>
      <c r="B282" s="11" t="s">
        <v>7862</v>
      </c>
      <c r="C282" s="11" t="s">
        <v>7186</v>
      </c>
      <c r="D282" s="11" t="s">
        <v>7187</v>
      </c>
      <c r="E282" s="11" t="s">
        <v>7188</v>
      </c>
      <c r="F282" s="12" t="s">
        <v>7863</v>
      </c>
      <c r="G282" s="11" t="s">
        <v>7553</v>
      </c>
      <c r="H282" s="13" t="s">
        <v>7864</v>
      </c>
      <c r="I282" s="10">
        <v>46182</v>
      </c>
      <c r="J282" s="10" t="s">
        <v>7860</v>
      </c>
      <c r="L282" t="s">
        <v>7865</v>
      </c>
    </row>
    <row r="283" spans="1:12" ht="90">
      <c r="B283" s="11" t="s">
        <v>7866</v>
      </c>
      <c r="C283" s="11" t="s">
        <v>1555</v>
      </c>
      <c r="D283" s="11" t="s">
        <v>6897</v>
      </c>
      <c r="E283" s="11" t="s">
        <v>17</v>
      </c>
      <c r="F283" s="12" t="s">
        <v>7867</v>
      </c>
      <c r="G283" s="11" t="s">
        <v>6936</v>
      </c>
      <c r="H283" s="13" t="s">
        <v>7868</v>
      </c>
      <c r="I283" s="10">
        <v>46182</v>
      </c>
      <c r="J283" s="57" t="s">
        <v>7869</v>
      </c>
      <c r="L283" t="s">
        <v>7870</v>
      </c>
    </row>
    <row r="284" spans="1:12">
      <c r="A284" s="10">
        <v>46182</v>
      </c>
      <c r="B284" s="11" t="s">
        <v>7871</v>
      </c>
      <c r="C284" s="11" t="s">
        <v>960</v>
      </c>
      <c r="D284" s="11" t="s">
        <v>7308</v>
      </c>
      <c r="E284" s="11" t="s">
        <v>13</v>
      </c>
      <c r="F284" s="12" t="s">
        <v>7872</v>
      </c>
      <c r="G284" s="11" t="s">
        <v>6891</v>
      </c>
      <c r="H284" s="13" t="s">
        <v>6903</v>
      </c>
      <c r="I284" s="10">
        <v>46183</v>
      </c>
      <c r="J284" s="10" t="s">
        <v>4</v>
      </c>
      <c r="L284" t="s">
        <v>7873</v>
      </c>
    </row>
    <row r="285" spans="1:12" ht="30">
      <c r="A285" s="10">
        <v>46182</v>
      </c>
      <c r="B285" s="11" t="s">
        <v>7874</v>
      </c>
      <c r="C285" s="11" t="s">
        <v>682</v>
      </c>
      <c r="D285" s="11" t="s">
        <v>7277</v>
      </c>
      <c r="E285" s="11" t="s">
        <v>18</v>
      </c>
      <c r="F285" s="12" t="s">
        <v>7875</v>
      </c>
      <c r="G285" s="11" t="s">
        <v>6922</v>
      </c>
      <c r="H285" s="13" t="s">
        <v>7030</v>
      </c>
      <c r="I285" s="10">
        <v>46182</v>
      </c>
      <c r="J285" s="10" t="s">
        <v>4</v>
      </c>
      <c r="L285" t="s">
        <v>7876</v>
      </c>
    </row>
    <row r="286" spans="1:12" ht="30">
      <c r="A286" s="10">
        <v>46182</v>
      </c>
      <c r="B286" s="11" t="s">
        <v>7877</v>
      </c>
      <c r="C286" s="11" t="s">
        <v>1779</v>
      </c>
      <c r="D286" s="11" t="s">
        <v>7878</v>
      </c>
      <c r="E286" s="11" t="s">
        <v>18</v>
      </c>
      <c r="F286" s="12" t="s">
        <v>7879</v>
      </c>
      <c r="G286" s="11" t="s">
        <v>6891</v>
      </c>
      <c r="H286" s="13" t="s">
        <v>6903</v>
      </c>
      <c r="I286" s="10">
        <v>46183</v>
      </c>
      <c r="J286" s="10" t="s">
        <v>4</v>
      </c>
      <c r="L286" t="s">
        <v>7880</v>
      </c>
    </row>
    <row r="287" spans="1:12" ht="75">
      <c r="A287" s="10">
        <v>46182</v>
      </c>
      <c r="B287" s="11" t="s">
        <v>7881</v>
      </c>
      <c r="C287" s="11" t="s">
        <v>518</v>
      </c>
      <c r="D287" s="11" t="s">
        <v>6916</v>
      </c>
      <c r="E287" s="11" t="s">
        <v>17</v>
      </c>
      <c r="F287" s="12" t="s">
        <v>7882</v>
      </c>
      <c r="G287" s="11" t="s">
        <v>6936</v>
      </c>
      <c r="H287" s="13" t="s">
        <v>7883</v>
      </c>
      <c r="I287" s="10">
        <v>46171</v>
      </c>
      <c r="J287" s="10" t="s">
        <v>4</v>
      </c>
      <c r="L287" t="s">
        <v>7884</v>
      </c>
    </row>
    <row r="288" spans="1:12" ht="30">
      <c r="A288" s="10">
        <v>46182</v>
      </c>
      <c r="B288" s="11" t="s">
        <v>7885</v>
      </c>
      <c r="C288" s="11" t="s">
        <v>7220</v>
      </c>
      <c r="D288" s="11" t="s">
        <v>7221</v>
      </c>
      <c r="E288" s="11" t="s">
        <v>6948</v>
      </c>
      <c r="F288" s="12" t="s">
        <v>7886</v>
      </c>
      <c r="G288" s="11" t="s">
        <v>6891</v>
      </c>
      <c r="H288" s="13" t="s">
        <v>6903</v>
      </c>
      <c r="I288" s="10">
        <v>46183</v>
      </c>
      <c r="J288" s="10" t="s">
        <v>4</v>
      </c>
      <c r="L288" t="s">
        <v>7887</v>
      </c>
    </row>
    <row r="289" spans="1:12" ht="45">
      <c r="A289" s="10">
        <v>46182</v>
      </c>
      <c r="B289" s="12" t="s">
        <v>7888</v>
      </c>
      <c r="C289" s="11" t="s">
        <v>700</v>
      </c>
      <c r="D289" s="11" t="s">
        <v>7726</v>
      </c>
      <c r="E289" s="11" t="s">
        <v>18</v>
      </c>
      <c r="F289" s="12" t="s">
        <v>7889</v>
      </c>
      <c r="G289" s="11" t="s">
        <v>6922</v>
      </c>
      <c r="H289" s="13" t="s">
        <v>7890</v>
      </c>
      <c r="I289" s="10">
        <v>46183</v>
      </c>
      <c r="J289" s="10">
        <v>46275.666666666701</v>
      </c>
      <c r="K289" t="s">
        <v>4</v>
      </c>
      <c r="L289" t="s">
        <v>7891</v>
      </c>
    </row>
    <row r="290" spans="1:12" ht="45">
      <c r="A290" s="10">
        <v>46182</v>
      </c>
      <c r="B290" s="11" t="s">
        <v>7892</v>
      </c>
      <c r="C290" s="11" t="s">
        <v>2369</v>
      </c>
      <c r="D290" s="11" t="s">
        <v>6961</v>
      </c>
      <c r="E290" s="11" t="s">
        <v>18</v>
      </c>
      <c r="F290" s="12" t="s">
        <v>7893</v>
      </c>
      <c r="G290" s="11" t="s">
        <v>7553</v>
      </c>
      <c r="H290" s="13" t="s">
        <v>7894</v>
      </c>
      <c r="I290" s="10">
        <v>46184</v>
      </c>
      <c r="J290" s="10" t="s">
        <v>7895</v>
      </c>
      <c r="L290" t="s">
        <v>7896</v>
      </c>
    </row>
    <row r="291" spans="1:12" ht="30">
      <c r="A291" s="10">
        <v>46182</v>
      </c>
      <c r="B291" s="11" t="s">
        <v>7897</v>
      </c>
      <c r="C291" s="11" t="s">
        <v>7186</v>
      </c>
      <c r="D291" s="11" t="s">
        <v>7187</v>
      </c>
      <c r="E291" s="11" t="s">
        <v>7188</v>
      </c>
      <c r="F291" s="12" t="s">
        <v>7898</v>
      </c>
      <c r="G291" s="11" t="s">
        <v>6891</v>
      </c>
      <c r="H291" s="13" t="s">
        <v>6903</v>
      </c>
      <c r="I291" s="10">
        <v>46183</v>
      </c>
      <c r="J291" s="10" t="s">
        <v>7899</v>
      </c>
      <c r="L291" t="s">
        <v>7900</v>
      </c>
    </row>
    <row r="292" spans="1:12">
      <c r="A292" s="10">
        <v>46182</v>
      </c>
      <c r="B292" s="11" t="s">
        <v>7901</v>
      </c>
      <c r="C292" s="11" t="s">
        <v>585</v>
      </c>
      <c r="D292" s="11" t="s">
        <v>7144</v>
      </c>
      <c r="E292" s="11" t="s">
        <v>17</v>
      </c>
      <c r="F292" s="12" t="s">
        <v>7902</v>
      </c>
      <c r="G292" s="11" t="s">
        <v>6891</v>
      </c>
      <c r="H292" s="13" t="s">
        <v>6903</v>
      </c>
      <c r="I292" s="10">
        <v>46183</v>
      </c>
      <c r="J292" s="10" t="s">
        <v>7903</v>
      </c>
      <c r="L292" t="s">
        <v>7904</v>
      </c>
    </row>
    <row r="293" spans="1:12" ht="30">
      <c r="A293" s="10">
        <v>46183</v>
      </c>
      <c r="B293" s="12" t="s">
        <v>7905</v>
      </c>
      <c r="C293" s="11" t="s">
        <v>1779</v>
      </c>
      <c r="D293" s="11" t="s">
        <v>7878</v>
      </c>
      <c r="E293" s="11" t="s">
        <v>18</v>
      </c>
      <c r="F293" s="12" t="s">
        <v>7906</v>
      </c>
      <c r="G293" s="11" t="s">
        <v>6891</v>
      </c>
      <c r="H293" s="13" t="s">
        <v>6903</v>
      </c>
      <c r="I293" s="10">
        <v>46183</v>
      </c>
      <c r="J293" s="10" t="s">
        <v>4</v>
      </c>
      <c r="L293" t="s">
        <v>7907</v>
      </c>
    </row>
    <row r="294" spans="1:12">
      <c r="A294" s="10">
        <v>46183</v>
      </c>
      <c r="B294" s="11" t="s">
        <v>7908</v>
      </c>
      <c r="C294" s="11" t="s">
        <v>7220</v>
      </c>
      <c r="D294" s="11" t="s">
        <v>7221</v>
      </c>
      <c r="E294" s="11" t="s">
        <v>6948</v>
      </c>
      <c r="F294" s="12" t="s">
        <v>7909</v>
      </c>
      <c r="G294" s="11" t="s">
        <v>6891</v>
      </c>
      <c r="H294" s="13" t="s">
        <v>6903</v>
      </c>
      <c r="I294" s="10">
        <v>46183</v>
      </c>
      <c r="J294" s="10" t="s">
        <v>2896</v>
      </c>
      <c r="L294" t="s">
        <v>7910</v>
      </c>
    </row>
    <row r="295" spans="1:12">
      <c r="A295" s="10">
        <v>46183</v>
      </c>
      <c r="B295" s="11" t="s">
        <v>7911</v>
      </c>
      <c r="C295" s="11" t="s">
        <v>7220</v>
      </c>
      <c r="D295" s="11" t="s">
        <v>7221</v>
      </c>
      <c r="E295" s="11" t="s">
        <v>6948</v>
      </c>
      <c r="F295" s="12" t="s">
        <v>7912</v>
      </c>
      <c r="G295" s="11" t="s">
        <v>6891</v>
      </c>
      <c r="H295" s="13" t="s">
        <v>6903</v>
      </c>
      <c r="I295" s="10">
        <v>46183</v>
      </c>
      <c r="J295" s="10" t="s">
        <v>2896</v>
      </c>
      <c r="L295" t="s">
        <v>7913</v>
      </c>
    </row>
    <row r="296" spans="1:12">
      <c r="A296" s="10">
        <v>46183</v>
      </c>
      <c r="B296" s="11" t="s">
        <v>7914</v>
      </c>
      <c r="C296" s="11" t="s">
        <v>2168</v>
      </c>
      <c r="D296" s="11" t="s">
        <v>7102</v>
      </c>
      <c r="E296" s="11" t="s">
        <v>17</v>
      </c>
      <c r="F296" s="12" t="s">
        <v>7915</v>
      </c>
      <c r="G296" s="11" t="s">
        <v>6891</v>
      </c>
      <c r="H296" s="13" t="s">
        <v>6903</v>
      </c>
      <c r="I296" s="10">
        <v>46183</v>
      </c>
      <c r="J296" s="10" t="s">
        <v>7430</v>
      </c>
      <c r="L296" t="s">
        <v>7916</v>
      </c>
    </row>
    <row r="297" spans="1:12" ht="30">
      <c r="A297" s="10">
        <v>46183</v>
      </c>
      <c r="B297" s="11" t="s">
        <v>7917</v>
      </c>
      <c r="C297" s="11" t="s">
        <v>560</v>
      </c>
      <c r="D297" s="11" t="s">
        <v>7918</v>
      </c>
      <c r="E297" s="11" t="s">
        <v>13</v>
      </c>
      <c r="F297" s="12" t="s">
        <v>7919</v>
      </c>
      <c r="G297" s="11" t="s">
        <v>7553</v>
      </c>
      <c r="H297" s="13" t="s">
        <v>7618</v>
      </c>
      <c r="I297" s="10">
        <v>46184</v>
      </c>
      <c r="J297" s="10" t="s">
        <v>4</v>
      </c>
      <c r="L297" t="s">
        <v>7920</v>
      </c>
    </row>
    <row r="298" spans="1:12" ht="30">
      <c r="A298" s="10">
        <v>46183</v>
      </c>
      <c r="B298" s="11" t="s">
        <v>7921</v>
      </c>
      <c r="C298" s="11" t="s">
        <v>7922</v>
      </c>
      <c r="D298" s="11" t="s">
        <v>7923</v>
      </c>
      <c r="E298" s="11" t="e">
        <v>#N/A</v>
      </c>
      <c r="F298" s="12" t="s">
        <v>7924</v>
      </c>
      <c r="G298" s="11" t="s">
        <v>6891</v>
      </c>
      <c r="H298" s="13" t="s">
        <v>6903</v>
      </c>
      <c r="I298" s="10">
        <v>46183</v>
      </c>
      <c r="J298" s="10" t="s">
        <v>4</v>
      </c>
      <c r="L298" t="s">
        <v>7925</v>
      </c>
    </row>
    <row r="299" spans="1:12" ht="30">
      <c r="A299" s="10">
        <v>46183</v>
      </c>
      <c r="B299" s="11" t="s">
        <v>7926</v>
      </c>
      <c r="C299" s="11" t="s">
        <v>1348</v>
      </c>
      <c r="D299" s="11" t="s">
        <v>7511</v>
      </c>
      <c r="E299" s="11" t="s">
        <v>17</v>
      </c>
      <c r="F299" s="12" t="s">
        <v>7927</v>
      </c>
      <c r="G299" s="11" t="s">
        <v>6922</v>
      </c>
      <c r="H299" s="13" t="s">
        <v>7618</v>
      </c>
      <c r="I299" s="10">
        <v>46183</v>
      </c>
      <c r="J299" s="10" t="s">
        <v>4</v>
      </c>
      <c r="L299" t="s">
        <v>7928</v>
      </c>
    </row>
    <row r="300" spans="1:12" ht="30">
      <c r="A300" s="10">
        <v>46183</v>
      </c>
      <c r="B300" s="11" t="s">
        <v>7929</v>
      </c>
      <c r="C300" s="11" t="s">
        <v>1348</v>
      </c>
      <c r="D300" s="11" t="s">
        <v>7511</v>
      </c>
      <c r="E300" s="11" t="s">
        <v>17</v>
      </c>
      <c r="F300" s="12" t="s">
        <v>7930</v>
      </c>
      <c r="G300" s="11" t="s">
        <v>6922</v>
      </c>
      <c r="H300" s="13" t="s">
        <v>7931</v>
      </c>
      <c r="I300" s="10">
        <v>46183</v>
      </c>
      <c r="J300" s="10" t="s">
        <v>4</v>
      </c>
      <c r="L300" t="s">
        <v>7932</v>
      </c>
    </row>
    <row r="301" spans="1:12" ht="30">
      <c r="A301" s="10">
        <v>46183</v>
      </c>
      <c r="B301" s="11" t="s">
        <v>7933</v>
      </c>
      <c r="C301" s="11" t="s">
        <v>7186</v>
      </c>
      <c r="D301" s="11" t="s">
        <v>7934</v>
      </c>
      <c r="E301" s="11" t="s">
        <v>7188</v>
      </c>
      <c r="F301" s="12" t="s">
        <v>7935</v>
      </c>
      <c r="G301" s="11" t="s">
        <v>6891</v>
      </c>
      <c r="H301" s="13" t="s">
        <v>6903</v>
      </c>
      <c r="I301" s="10">
        <v>46183</v>
      </c>
      <c r="J301" s="10" t="s">
        <v>7903</v>
      </c>
      <c r="L301" t="s">
        <v>7936</v>
      </c>
    </row>
    <row r="302" spans="1:12" ht="30">
      <c r="A302" s="10">
        <v>46183</v>
      </c>
      <c r="B302" s="11" t="s">
        <v>7937</v>
      </c>
      <c r="C302" s="11" t="s">
        <v>7220</v>
      </c>
      <c r="D302" s="11" t="s">
        <v>7221</v>
      </c>
      <c r="E302" s="11" t="s">
        <v>6948</v>
      </c>
      <c r="F302" s="12" t="s">
        <v>7938</v>
      </c>
      <c r="G302" s="11" t="s">
        <v>6891</v>
      </c>
      <c r="H302" s="13" t="s">
        <v>6903</v>
      </c>
      <c r="I302" s="10">
        <v>46183</v>
      </c>
      <c r="J302" s="10" t="s">
        <v>4</v>
      </c>
      <c r="L302" t="s">
        <v>7939</v>
      </c>
    </row>
    <row r="303" spans="1:12" ht="45">
      <c r="A303" s="10">
        <v>46183</v>
      </c>
      <c r="B303" s="72" t="s">
        <v>7940</v>
      </c>
      <c r="C303" s="11" t="s">
        <v>662</v>
      </c>
      <c r="D303" s="11" t="s">
        <v>7109</v>
      </c>
      <c r="E303" s="11" t="s">
        <v>13</v>
      </c>
      <c r="F303" s="12" t="s">
        <v>7941</v>
      </c>
      <c r="G303" s="11" t="s">
        <v>7553</v>
      </c>
      <c r="H303" s="13" t="s">
        <v>7942</v>
      </c>
      <c r="I303" s="10">
        <v>46184</v>
      </c>
      <c r="J303" s="10" t="s">
        <v>2896</v>
      </c>
      <c r="L303" t="s">
        <v>7943</v>
      </c>
    </row>
    <row r="304" spans="1:12" ht="60">
      <c r="A304" s="59">
        <v>46183</v>
      </c>
      <c r="B304" s="79" t="s">
        <v>7944</v>
      </c>
      <c r="C304" s="48" t="s">
        <v>461</v>
      </c>
      <c r="D304" s="11" t="s">
        <v>6982</v>
      </c>
      <c r="E304" s="11" t="s">
        <v>17</v>
      </c>
      <c r="F304" s="12" t="s">
        <v>7945</v>
      </c>
      <c r="G304" s="11" t="s">
        <v>7553</v>
      </c>
      <c r="H304" s="13" t="s">
        <v>7618</v>
      </c>
      <c r="I304" s="10">
        <v>46184</v>
      </c>
      <c r="J304" s="10" t="s">
        <v>4</v>
      </c>
      <c r="L304" t="s">
        <v>7946</v>
      </c>
    </row>
    <row r="305" spans="1:12" ht="45">
      <c r="A305" s="59">
        <v>46183</v>
      </c>
      <c r="B305" s="52" t="s">
        <v>7947</v>
      </c>
      <c r="C305" s="11" t="s">
        <v>518</v>
      </c>
      <c r="D305" s="11" t="s">
        <v>6916</v>
      </c>
      <c r="E305" s="11" t="s">
        <v>17</v>
      </c>
      <c r="F305" s="12" t="s">
        <v>7948</v>
      </c>
      <c r="G305" s="11" t="s">
        <v>7553</v>
      </c>
      <c r="H305" s="13" t="s">
        <v>7949</v>
      </c>
      <c r="I305" s="10">
        <v>46184</v>
      </c>
      <c r="J305" s="10" t="s">
        <v>4</v>
      </c>
      <c r="L305" t="s">
        <v>7950</v>
      </c>
    </row>
    <row r="306" spans="1:12" ht="90">
      <c r="A306" s="10">
        <v>46183</v>
      </c>
      <c r="B306" s="11" t="s">
        <v>195</v>
      </c>
      <c r="C306" s="11" t="s">
        <v>1555</v>
      </c>
      <c r="D306" s="11" t="s">
        <v>6897</v>
      </c>
      <c r="E306" s="11" t="s">
        <v>17</v>
      </c>
      <c r="F306" s="12" t="s">
        <v>7951</v>
      </c>
      <c r="G306" s="11" t="s">
        <v>7553</v>
      </c>
      <c r="H306" s="13" t="s">
        <v>7952</v>
      </c>
      <c r="I306" s="10">
        <v>46184</v>
      </c>
      <c r="J306" s="10" t="s">
        <v>7953</v>
      </c>
      <c r="L306" s="179" t="s">
        <v>7954</v>
      </c>
    </row>
    <row r="307" spans="1:12">
      <c r="A307" s="10">
        <v>46183</v>
      </c>
      <c r="B307" s="11" t="s">
        <v>7955</v>
      </c>
      <c r="C307" s="11" t="s">
        <v>7186</v>
      </c>
      <c r="D307" s="11" t="s">
        <v>7934</v>
      </c>
      <c r="E307" s="11" t="s">
        <v>7188</v>
      </c>
      <c r="F307" s="12" t="s">
        <v>7956</v>
      </c>
      <c r="G307" s="11" t="s">
        <v>7553</v>
      </c>
      <c r="H307" s="13" t="s">
        <v>7957</v>
      </c>
      <c r="I307" s="10">
        <v>46184</v>
      </c>
      <c r="J307" s="10" t="s">
        <v>7899</v>
      </c>
      <c r="L307" t="s">
        <v>7958</v>
      </c>
    </row>
    <row r="308" spans="1:12">
      <c r="A308" s="10">
        <v>46184</v>
      </c>
      <c r="B308" s="11" t="s">
        <v>7959</v>
      </c>
      <c r="C308" s="11" t="s">
        <v>839</v>
      </c>
      <c r="D308" s="11" t="s">
        <v>7152</v>
      </c>
      <c r="E308" s="11" t="s">
        <v>18</v>
      </c>
      <c r="F308" s="12" t="s">
        <v>7960</v>
      </c>
      <c r="G308" s="11" t="s">
        <v>7553</v>
      </c>
      <c r="H308" s="13" t="s">
        <v>7957</v>
      </c>
      <c r="I308" s="10">
        <v>46184</v>
      </c>
      <c r="J308" s="10" t="s">
        <v>4</v>
      </c>
      <c r="L308" t="s">
        <v>7961</v>
      </c>
    </row>
    <row r="309" spans="1:12">
      <c r="A309" s="10">
        <v>46184</v>
      </c>
      <c r="B309" s="11" t="s">
        <v>7962</v>
      </c>
      <c r="C309" s="11" t="s">
        <v>1436</v>
      </c>
      <c r="D309" s="11" t="s">
        <v>6920</v>
      </c>
      <c r="E309" s="11" t="s">
        <v>18</v>
      </c>
      <c r="F309" s="12" t="s">
        <v>7963</v>
      </c>
      <c r="G309" s="11" t="s">
        <v>7553</v>
      </c>
      <c r="H309" s="13" t="s">
        <v>7957</v>
      </c>
      <c r="I309" s="10">
        <v>46184</v>
      </c>
      <c r="J309" s="10" t="s">
        <v>4</v>
      </c>
      <c r="L309" t="s">
        <v>7964</v>
      </c>
    </row>
    <row r="310" spans="1:12">
      <c r="A310" s="10">
        <v>46184</v>
      </c>
      <c r="B310" s="80" t="s">
        <v>7965</v>
      </c>
      <c r="C310" s="11" t="s">
        <v>518</v>
      </c>
      <c r="D310" s="11" t="s">
        <v>6916</v>
      </c>
      <c r="E310" s="11" t="s">
        <v>17</v>
      </c>
      <c r="F310" s="12" t="s">
        <v>7966</v>
      </c>
      <c r="G310" s="11" t="s">
        <v>6983</v>
      </c>
      <c r="H310" s="13" t="s">
        <v>7957</v>
      </c>
      <c r="I310" s="10">
        <v>46184</v>
      </c>
      <c r="J310" s="10" t="s">
        <v>4</v>
      </c>
      <c r="L310" t="s">
        <v>7967</v>
      </c>
    </row>
    <row r="311" spans="1:12" ht="30">
      <c r="A311" s="10">
        <v>46184</v>
      </c>
      <c r="B311" s="11" t="s">
        <v>7968</v>
      </c>
      <c r="C311" s="11" t="s">
        <v>1109</v>
      </c>
      <c r="D311" s="11" t="s">
        <v>7053</v>
      </c>
      <c r="E311" s="11" t="s">
        <v>17</v>
      </c>
      <c r="F311" s="12" t="s">
        <v>7969</v>
      </c>
      <c r="G311" s="11" t="s">
        <v>7553</v>
      </c>
      <c r="H311" s="13" t="s">
        <v>7957</v>
      </c>
      <c r="I311" s="10">
        <v>46184</v>
      </c>
      <c r="J311" s="10" t="s">
        <v>7970</v>
      </c>
      <c r="L311" t="s">
        <v>7971</v>
      </c>
    </row>
    <row r="312" spans="1:12">
      <c r="A312" s="10">
        <v>46184</v>
      </c>
      <c r="B312" s="11" t="s">
        <v>7972</v>
      </c>
      <c r="C312" s="11" t="s">
        <v>585</v>
      </c>
      <c r="D312" s="11" t="s">
        <v>7973</v>
      </c>
      <c r="E312" s="11" t="s">
        <v>17</v>
      </c>
      <c r="F312" s="12" t="s">
        <v>7974</v>
      </c>
      <c r="G312" s="11" t="s">
        <v>7553</v>
      </c>
      <c r="H312" s="13" t="s">
        <v>7618</v>
      </c>
      <c r="I312" s="10">
        <v>46185</v>
      </c>
      <c r="J312" s="10" t="s">
        <v>7975</v>
      </c>
      <c r="L312" t="s">
        <v>7976</v>
      </c>
    </row>
    <row r="313" spans="1:12" ht="30">
      <c r="A313" s="10">
        <v>46184</v>
      </c>
      <c r="B313" s="11" t="s">
        <v>7977</v>
      </c>
      <c r="C313" s="11" t="s">
        <v>560</v>
      </c>
      <c r="D313" s="11" t="s">
        <v>7918</v>
      </c>
      <c r="E313" s="11" t="s">
        <v>13</v>
      </c>
      <c r="F313" s="12" t="s">
        <v>7978</v>
      </c>
      <c r="G313" s="11" t="s">
        <v>6983</v>
      </c>
      <c r="H313" s="13" t="s">
        <v>7957</v>
      </c>
      <c r="I313" s="10">
        <v>46184</v>
      </c>
      <c r="J313" s="10" t="s">
        <v>4</v>
      </c>
      <c r="L313" t="s">
        <v>7979</v>
      </c>
    </row>
    <row r="314" spans="1:12" ht="45">
      <c r="A314" s="10">
        <v>46183</v>
      </c>
      <c r="B314" s="11" t="s">
        <v>7980</v>
      </c>
      <c r="C314" s="11" t="s">
        <v>7220</v>
      </c>
      <c r="D314" s="11" t="s">
        <v>7221</v>
      </c>
      <c r="E314" s="11" t="s">
        <v>6948</v>
      </c>
      <c r="F314" s="12" t="s">
        <v>7981</v>
      </c>
      <c r="G314" s="11" t="s">
        <v>7553</v>
      </c>
      <c r="H314" s="13" t="s">
        <v>7942</v>
      </c>
      <c r="I314" s="10">
        <v>46184</v>
      </c>
      <c r="J314" s="10" t="s">
        <v>4</v>
      </c>
      <c r="L314" t="s">
        <v>7982</v>
      </c>
    </row>
    <row r="315" spans="1:12">
      <c r="A315" s="10">
        <v>46183</v>
      </c>
      <c r="B315" s="11" t="s">
        <v>7983</v>
      </c>
      <c r="C315" s="11" t="s">
        <v>7220</v>
      </c>
      <c r="D315" s="11" t="s">
        <v>7221</v>
      </c>
      <c r="E315" s="11" t="s">
        <v>6948</v>
      </c>
      <c r="F315" s="12" t="s">
        <v>7984</v>
      </c>
      <c r="G315" s="11" t="s">
        <v>7553</v>
      </c>
      <c r="H315" s="13" t="s">
        <v>7618</v>
      </c>
      <c r="I315" s="10">
        <v>46184</v>
      </c>
      <c r="J315" s="10" t="s">
        <v>2896</v>
      </c>
      <c r="L315" t="s">
        <v>7985</v>
      </c>
    </row>
    <row r="316" spans="1:12" ht="60">
      <c r="A316" s="10">
        <v>46183</v>
      </c>
      <c r="B316" s="12" t="s">
        <v>7986</v>
      </c>
      <c r="C316" s="11" t="s">
        <v>461</v>
      </c>
      <c r="D316" s="11" t="s">
        <v>6982</v>
      </c>
      <c r="E316" s="11" t="s">
        <v>17</v>
      </c>
      <c r="F316" s="12" t="s">
        <v>7987</v>
      </c>
      <c r="G316" s="11" t="s">
        <v>6983</v>
      </c>
      <c r="H316" s="13" t="s">
        <v>7957</v>
      </c>
      <c r="I316" s="10">
        <v>46184</v>
      </c>
      <c r="J316" s="10" t="s">
        <v>4</v>
      </c>
      <c r="L316" t="s">
        <v>7988</v>
      </c>
    </row>
    <row r="317" spans="1:12" ht="60">
      <c r="A317" s="10">
        <v>46183</v>
      </c>
      <c r="B317" s="11" t="s">
        <v>7989</v>
      </c>
      <c r="C317" s="11" t="s">
        <v>461</v>
      </c>
      <c r="D317" s="11" t="s">
        <v>6982</v>
      </c>
      <c r="E317" s="11" t="s">
        <v>17</v>
      </c>
      <c r="F317" s="12" t="s">
        <v>7990</v>
      </c>
      <c r="G317" s="11" t="s">
        <v>6983</v>
      </c>
      <c r="H317" s="13" t="s">
        <v>7957</v>
      </c>
      <c r="I317" s="10">
        <v>46184</v>
      </c>
      <c r="J317" s="10" t="s">
        <v>4</v>
      </c>
      <c r="L317" t="s">
        <v>7991</v>
      </c>
    </row>
    <row r="318" spans="1:12" ht="45">
      <c r="A318" s="10">
        <v>46184</v>
      </c>
      <c r="B318" s="12" t="s">
        <v>7992</v>
      </c>
      <c r="C318" s="11" t="s">
        <v>1779</v>
      </c>
      <c r="D318" s="11" t="s">
        <v>7061</v>
      </c>
      <c r="E318" s="11" t="s">
        <v>18</v>
      </c>
      <c r="F318" s="12" t="s">
        <v>7993</v>
      </c>
      <c r="G318" s="11" t="s">
        <v>7553</v>
      </c>
      <c r="H318" s="13" t="s">
        <v>7618</v>
      </c>
      <c r="I318" s="10">
        <v>46184</v>
      </c>
      <c r="J318" s="10" t="s">
        <v>4</v>
      </c>
      <c r="L318" s="179" t="s">
        <v>7994</v>
      </c>
    </row>
    <row r="319" spans="1:12" ht="30">
      <c r="A319" s="10">
        <v>46184</v>
      </c>
      <c r="B319" s="81" t="s">
        <v>7995</v>
      </c>
      <c r="C319" s="11" t="s">
        <v>7186</v>
      </c>
      <c r="D319" s="11" t="s">
        <v>7187</v>
      </c>
      <c r="E319" s="11" t="s">
        <v>7188</v>
      </c>
      <c r="F319" s="12" t="s">
        <v>7996</v>
      </c>
      <c r="G319" s="11" t="s">
        <v>7553</v>
      </c>
      <c r="H319" s="13" t="s">
        <v>7618</v>
      </c>
      <c r="I319" s="10">
        <v>46184</v>
      </c>
      <c r="J319" s="10" t="s">
        <v>7899</v>
      </c>
      <c r="L319" t="s">
        <v>7997</v>
      </c>
    </row>
    <row r="320" spans="1:12" ht="30">
      <c r="A320" s="10">
        <v>46183</v>
      </c>
      <c r="B320" s="11" t="s">
        <v>7998</v>
      </c>
      <c r="C320" s="11" t="s">
        <v>7220</v>
      </c>
      <c r="D320" s="11" t="s">
        <v>7221</v>
      </c>
      <c r="E320" s="11" t="s">
        <v>6948</v>
      </c>
      <c r="F320" s="12" t="s">
        <v>7999</v>
      </c>
      <c r="G320" s="11" t="s">
        <v>7553</v>
      </c>
      <c r="H320" s="13" t="s">
        <v>8000</v>
      </c>
      <c r="I320" s="10">
        <v>46185</v>
      </c>
      <c r="J320" s="10" t="s">
        <v>4</v>
      </c>
      <c r="L320" t="s">
        <v>8001</v>
      </c>
    </row>
    <row r="321" spans="1:12" ht="30">
      <c r="A321" s="10">
        <v>46184</v>
      </c>
      <c r="B321" s="11" t="s">
        <v>8002</v>
      </c>
      <c r="C321" s="11" t="s">
        <v>662</v>
      </c>
      <c r="D321" s="11" t="s">
        <v>7109</v>
      </c>
      <c r="E321" s="11" t="s">
        <v>13</v>
      </c>
      <c r="F321" s="12" t="s">
        <v>8003</v>
      </c>
      <c r="G321" s="11" t="s">
        <v>7553</v>
      </c>
      <c r="H321" s="13" t="s">
        <v>8004</v>
      </c>
      <c r="I321" s="10">
        <v>46185</v>
      </c>
      <c r="J321" s="10" t="s">
        <v>4</v>
      </c>
      <c r="L321" t="s">
        <v>8005</v>
      </c>
    </row>
    <row r="322" spans="1:12" ht="30">
      <c r="A322" s="10">
        <v>46184</v>
      </c>
      <c r="B322" s="82" t="s">
        <v>8006</v>
      </c>
      <c r="C322" s="11" t="s">
        <v>983</v>
      </c>
      <c r="D322" s="11" t="s">
        <v>7058</v>
      </c>
      <c r="E322" s="11" t="s">
        <v>17</v>
      </c>
      <c r="F322" s="12" t="s">
        <v>8007</v>
      </c>
      <c r="G322" s="11" t="s">
        <v>7553</v>
      </c>
      <c r="H322" s="13" t="s">
        <v>7618</v>
      </c>
      <c r="I322" s="10">
        <v>46185</v>
      </c>
      <c r="J322" s="10" t="s">
        <v>2896</v>
      </c>
      <c r="L322" t="s">
        <v>8008</v>
      </c>
    </row>
    <row r="323" spans="1:12">
      <c r="A323" s="10">
        <v>46184</v>
      </c>
      <c r="B323" s="11" t="s">
        <v>8009</v>
      </c>
      <c r="C323" s="11" t="s">
        <v>7186</v>
      </c>
      <c r="D323" s="11" t="s">
        <v>7187</v>
      </c>
      <c r="E323" s="11" t="s">
        <v>7188</v>
      </c>
      <c r="F323" s="12" t="s">
        <v>8010</v>
      </c>
      <c r="G323" s="11" t="s">
        <v>7553</v>
      </c>
      <c r="H323" s="13" t="s">
        <v>8011</v>
      </c>
      <c r="I323" s="10">
        <v>46185</v>
      </c>
      <c r="J323" s="83" t="s">
        <v>8012</v>
      </c>
      <c r="L323" t="s">
        <v>8013</v>
      </c>
    </row>
    <row r="324" spans="1:12" ht="45">
      <c r="A324" s="10">
        <v>46184</v>
      </c>
      <c r="B324" s="11" t="s">
        <v>8014</v>
      </c>
      <c r="C324" s="11" t="s">
        <v>2270</v>
      </c>
      <c r="D324" s="11" t="s">
        <v>7650</v>
      </c>
      <c r="E324" s="11" t="s">
        <v>13</v>
      </c>
      <c r="F324" s="12" t="s">
        <v>8015</v>
      </c>
      <c r="G324" s="11" t="s">
        <v>7553</v>
      </c>
      <c r="H324" s="13" t="s">
        <v>7618</v>
      </c>
      <c r="I324" s="10">
        <v>46188</v>
      </c>
      <c r="J324" s="10" t="s">
        <v>4916</v>
      </c>
      <c r="L324" t="s">
        <v>8016</v>
      </c>
    </row>
    <row r="325" spans="1:12">
      <c r="A325" s="10">
        <v>46184</v>
      </c>
      <c r="B325" s="11" t="s">
        <v>8017</v>
      </c>
      <c r="C325" s="11" t="s">
        <v>1348</v>
      </c>
      <c r="D325" s="11" t="s">
        <v>7010</v>
      </c>
      <c r="E325" s="11" t="s">
        <v>17</v>
      </c>
      <c r="F325" s="12" t="s">
        <v>8018</v>
      </c>
      <c r="G325" s="11" t="s">
        <v>7553</v>
      </c>
      <c r="H325" s="13" t="s">
        <v>7618</v>
      </c>
      <c r="I325" s="10">
        <v>46188</v>
      </c>
      <c r="J325" s="10" t="s">
        <v>4</v>
      </c>
      <c r="L325" t="s">
        <v>8019</v>
      </c>
    </row>
    <row r="326" spans="1:12" ht="30">
      <c r="A326" s="10">
        <v>46184</v>
      </c>
      <c r="B326" s="11" t="s">
        <v>8020</v>
      </c>
      <c r="C326" s="11" t="s">
        <v>585</v>
      </c>
      <c r="D326" s="11" t="s">
        <v>7144</v>
      </c>
      <c r="E326" s="11" t="s">
        <v>17</v>
      </c>
      <c r="F326" s="12" t="s">
        <v>8021</v>
      </c>
      <c r="G326" s="11" t="s">
        <v>6936</v>
      </c>
      <c r="H326" s="13" t="s">
        <v>7030</v>
      </c>
      <c r="I326" s="10">
        <v>46185</v>
      </c>
      <c r="J326" s="10" t="s">
        <v>8022</v>
      </c>
      <c r="L326" t="s">
        <v>8023</v>
      </c>
    </row>
    <row r="327" spans="1:12" ht="45">
      <c r="A327" s="10">
        <v>46184</v>
      </c>
      <c r="B327" s="72" t="s">
        <v>8024</v>
      </c>
      <c r="C327" s="11" t="s">
        <v>662</v>
      </c>
      <c r="D327" s="11" t="s">
        <v>7332</v>
      </c>
      <c r="E327" s="11" t="s">
        <v>13</v>
      </c>
      <c r="F327" s="84" t="s">
        <v>8025</v>
      </c>
      <c r="G327" s="11" t="s">
        <v>6983</v>
      </c>
      <c r="H327" s="13" t="s">
        <v>7030</v>
      </c>
      <c r="I327" s="10">
        <v>46185</v>
      </c>
      <c r="J327" s="10" t="s">
        <v>4</v>
      </c>
      <c r="L327" t="s">
        <v>8026</v>
      </c>
    </row>
    <row r="328" spans="1:12">
      <c r="A328" s="10">
        <v>46184</v>
      </c>
      <c r="B328" s="85" t="s">
        <v>8027</v>
      </c>
      <c r="C328" s="11" t="s">
        <v>1512</v>
      </c>
      <c r="D328" s="11" t="s">
        <v>7170</v>
      </c>
      <c r="E328" s="11" t="s">
        <v>17</v>
      </c>
      <c r="F328" s="12" t="s">
        <v>8028</v>
      </c>
      <c r="G328" s="11" t="s">
        <v>6936</v>
      </c>
      <c r="H328" s="13" t="s">
        <v>7618</v>
      </c>
      <c r="I328" s="10">
        <v>46188</v>
      </c>
      <c r="J328" s="10" t="s">
        <v>4</v>
      </c>
      <c r="L328" t="s">
        <v>8029</v>
      </c>
    </row>
    <row r="329" spans="1:12">
      <c r="A329" s="10">
        <v>46184</v>
      </c>
      <c r="B329" s="11" t="s">
        <v>8030</v>
      </c>
      <c r="C329" s="11" t="s">
        <v>960</v>
      </c>
      <c r="D329" s="11" t="s">
        <v>7308</v>
      </c>
      <c r="E329" s="11" t="s">
        <v>13</v>
      </c>
      <c r="F329" s="12" t="s">
        <v>8031</v>
      </c>
      <c r="G329" s="11" t="s">
        <v>7553</v>
      </c>
      <c r="H329" s="13" t="s">
        <v>7618</v>
      </c>
      <c r="I329" s="10">
        <v>46188</v>
      </c>
      <c r="J329" s="10" t="s">
        <v>4</v>
      </c>
      <c r="L329" t="s">
        <v>8032</v>
      </c>
    </row>
    <row r="330" spans="1:12">
      <c r="A330" s="10">
        <v>46185</v>
      </c>
      <c r="B330" s="11" t="s">
        <v>8033</v>
      </c>
      <c r="C330" s="11" t="s">
        <v>7316</v>
      </c>
      <c r="D330" s="11" t="s">
        <v>7701</v>
      </c>
      <c r="E330" s="11" t="s">
        <v>18</v>
      </c>
      <c r="F330" s="12" t="s">
        <v>8034</v>
      </c>
      <c r="G330" s="11" t="s">
        <v>7553</v>
      </c>
      <c r="H330" s="13" t="s">
        <v>7618</v>
      </c>
      <c r="I330" s="10">
        <v>46188</v>
      </c>
      <c r="J330" s="10" t="s">
        <v>4</v>
      </c>
      <c r="L330" t="s">
        <v>8035</v>
      </c>
    </row>
    <row r="331" spans="1:12" ht="29.25">
      <c r="A331" s="10">
        <v>46185</v>
      </c>
      <c r="B331" s="65" t="s">
        <v>8036</v>
      </c>
      <c r="C331" s="11" t="s">
        <v>2168</v>
      </c>
      <c r="D331" s="11" t="s">
        <v>7102</v>
      </c>
      <c r="E331" s="11" t="s">
        <v>17</v>
      </c>
      <c r="F331" s="37" t="s">
        <v>8037</v>
      </c>
      <c r="G331" s="11" t="s">
        <v>7553</v>
      </c>
      <c r="H331" s="13" t="s">
        <v>7618</v>
      </c>
      <c r="I331" s="10">
        <v>46188</v>
      </c>
      <c r="J331" s="10" t="s">
        <v>8038</v>
      </c>
      <c r="L331" t="s">
        <v>8039</v>
      </c>
    </row>
    <row r="332" spans="1:12">
      <c r="A332" s="59">
        <v>46185</v>
      </c>
      <c r="B332" s="9" t="s">
        <v>8040</v>
      </c>
      <c r="C332" s="11" t="s">
        <v>1252</v>
      </c>
      <c r="D332" s="11" t="s">
        <v>7038</v>
      </c>
      <c r="E332" s="11" t="s">
        <v>17</v>
      </c>
      <c r="F332" s="12" t="s">
        <v>8041</v>
      </c>
      <c r="G332" s="11" t="s">
        <v>7553</v>
      </c>
      <c r="H332" s="13" t="s">
        <v>7618</v>
      </c>
      <c r="I332" s="10">
        <v>46188</v>
      </c>
      <c r="J332" s="10" t="s">
        <v>4</v>
      </c>
      <c r="L332" t="s">
        <v>8042</v>
      </c>
    </row>
    <row r="333" spans="1:12">
      <c r="A333" s="10">
        <v>46185</v>
      </c>
      <c r="B333" s="11" t="s">
        <v>8043</v>
      </c>
      <c r="C333" s="11" t="s">
        <v>2871</v>
      </c>
      <c r="D333" s="11" t="s">
        <v>8044</v>
      </c>
      <c r="E333" s="11" t="s">
        <v>18</v>
      </c>
      <c r="F333" s="12" t="s">
        <v>8045</v>
      </c>
      <c r="H333" s="13" t="s">
        <v>4</v>
      </c>
      <c r="J333" s="10" t="s">
        <v>4</v>
      </c>
      <c r="L333" t="s">
        <v>8046</v>
      </c>
    </row>
    <row r="334" spans="1:12" ht="75">
      <c r="A334" s="10">
        <v>46185</v>
      </c>
      <c r="B334" s="11" t="s">
        <v>8047</v>
      </c>
      <c r="C334" s="11" t="s">
        <v>4584</v>
      </c>
      <c r="D334" s="11" t="s">
        <v>7174</v>
      </c>
      <c r="E334" s="11" t="s">
        <v>17</v>
      </c>
      <c r="F334" s="12" t="s">
        <v>7492</v>
      </c>
      <c r="G334" s="11" t="s">
        <v>6983</v>
      </c>
      <c r="H334" s="13" t="s">
        <v>8048</v>
      </c>
      <c r="I334" s="10">
        <v>46185</v>
      </c>
      <c r="J334" s="10">
        <v>46185.166666666701</v>
      </c>
      <c r="K334" t="s">
        <v>4</v>
      </c>
      <c r="L334" t="s">
        <v>8049</v>
      </c>
    </row>
    <row r="335" spans="1:12">
      <c r="A335" s="10">
        <v>46185</v>
      </c>
      <c r="B335" s="11" t="s">
        <v>8050</v>
      </c>
      <c r="C335" s="11" t="s">
        <v>585</v>
      </c>
      <c r="D335" s="11" t="s">
        <v>7144</v>
      </c>
      <c r="E335" s="11" t="s">
        <v>17</v>
      </c>
      <c r="F335" s="12" t="s">
        <v>8051</v>
      </c>
      <c r="G335" s="11" t="s">
        <v>6936</v>
      </c>
      <c r="H335" s="13" t="s">
        <v>7030</v>
      </c>
      <c r="I335" s="10">
        <v>46185</v>
      </c>
      <c r="J335" s="10" t="s">
        <v>8022</v>
      </c>
      <c r="L335" t="s">
        <v>8052</v>
      </c>
    </row>
    <row r="336" spans="1:12" ht="45">
      <c r="A336" s="10">
        <v>46185</v>
      </c>
      <c r="B336" s="86" t="s">
        <v>8053</v>
      </c>
      <c r="C336" s="11" t="s">
        <v>7186</v>
      </c>
      <c r="D336" s="11" t="s">
        <v>7187</v>
      </c>
      <c r="E336" s="11" t="s">
        <v>7188</v>
      </c>
      <c r="F336" s="12" t="s">
        <v>8054</v>
      </c>
      <c r="G336" s="11" t="s">
        <v>6891</v>
      </c>
      <c r="H336" s="13" t="s">
        <v>6903</v>
      </c>
      <c r="I336" s="10">
        <v>46188</v>
      </c>
      <c r="J336" s="10" t="s">
        <v>6958</v>
      </c>
      <c r="L336" t="s">
        <v>8055</v>
      </c>
    </row>
    <row r="337" spans="1:12" ht="45">
      <c r="A337" s="10">
        <v>46185</v>
      </c>
      <c r="B337" s="11" t="s">
        <v>8056</v>
      </c>
      <c r="C337" s="11" t="s">
        <v>1555</v>
      </c>
      <c r="D337" s="11" t="s">
        <v>6897</v>
      </c>
      <c r="E337" s="11" t="s">
        <v>17</v>
      </c>
      <c r="F337" s="12" t="s">
        <v>8057</v>
      </c>
      <c r="G337" s="11" t="s">
        <v>7553</v>
      </c>
      <c r="H337" s="13" t="s">
        <v>7618</v>
      </c>
      <c r="I337" s="10">
        <v>46188</v>
      </c>
      <c r="J337" s="87" t="s">
        <v>8058</v>
      </c>
      <c r="L337" t="s">
        <v>8059</v>
      </c>
    </row>
    <row r="338" spans="1:12">
      <c r="A338" s="10">
        <v>46185</v>
      </c>
      <c r="B338" s="70" t="s">
        <v>8060</v>
      </c>
      <c r="C338" s="11" t="s">
        <v>662</v>
      </c>
      <c r="D338" s="11" t="s">
        <v>7109</v>
      </c>
      <c r="E338" s="11" t="s">
        <v>13</v>
      </c>
      <c r="F338" s="12" t="s">
        <v>8061</v>
      </c>
      <c r="G338" s="11" t="s">
        <v>6983</v>
      </c>
      <c r="H338" s="13" t="s">
        <v>7030</v>
      </c>
      <c r="I338" s="10">
        <v>46185</v>
      </c>
      <c r="J338" s="10" t="s">
        <v>4</v>
      </c>
      <c r="L338" t="s">
        <v>8062</v>
      </c>
    </row>
    <row r="339" spans="1:12" ht="75">
      <c r="A339" s="10">
        <v>46185</v>
      </c>
      <c r="B339" s="11" t="s">
        <v>8063</v>
      </c>
      <c r="C339" s="11" t="s">
        <v>1555</v>
      </c>
      <c r="D339" s="11" t="s">
        <v>6897</v>
      </c>
      <c r="E339" s="11" t="s">
        <v>17</v>
      </c>
      <c r="F339" s="88" t="s">
        <v>8064</v>
      </c>
      <c r="G339" s="11" t="s">
        <v>7553</v>
      </c>
      <c r="H339" s="13" t="s">
        <v>7618</v>
      </c>
      <c r="I339" s="10">
        <v>46188</v>
      </c>
      <c r="J339" s="89" t="s">
        <v>8065</v>
      </c>
      <c r="L339" t="s">
        <v>8066</v>
      </c>
    </row>
    <row r="340" spans="1:12" ht="75">
      <c r="A340" s="10">
        <v>46185</v>
      </c>
      <c r="B340" s="11" t="s">
        <v>8067</v>
      </c>
      <c r="C340" s="11" t="s">
        <v>1555</v>
      </c>
      <c r="D340" s="11" t="s">
        <v>6897</v>
      </c>
      <c r="E340" s="11" t="s">
        <v>17</v>
      </c>
      <c r="F340" s="12" t="s">
        <v>8068</v>
      </c>
      <c r="G340" s="11" t="s">
        <v>7553</v>
      </c>
      <c r="H340" s="13" t="s">
        <v>7942</v>
      </c>
      <c r="I340" s="10">
        <v>46188</v>
      </c>
      <c r="J340" s="10" t="s">
        <v>8069</v>
      </c>
      <c r="L340" t="s">
        <v>8070</v>
      </c>
    </row>
    <row r="341" spans="1:12" ht="90">
      <c r="A341" s="10">
        <v>46185</v>
      </c>
      <c r="B341" s="12" t="s">
        <v>8071</v>
      </c>
      <c r="C341" s="11" t="s">
        <v>461</v>
      </c>
      <c r="D341" s="11" t="s">
        <v>6982</v>
      </c>
      <c r="E341" s="11" t="s">
        <v>17</v>
      </c>
      <c r="F341" s="12" t="s">
        <v>8072</v>
      </c>
      <c r="G341" s="11" t="s">
        <v>6983</v>
      </c>
      <c r="H341" s="13" t="s">
        <v>7030</v>
      </c>
      <c r="I341" s="10">
        <v>46185</v>
      </c>
      <c r="J341" s="10" t="s">
        <v>8073</v>
      </c>
      <c r="L341" t="s">
        <v>8074</v>
      </c>
    </row>
    <row r="342" spans="1:12" ht="180">
      <c r="A342" s="10">
        <v>46185</v>
      </c>
      <c r="B342" s="12" t="s">
        <v>8075</v>
      </c>
      <c r="C342" s="11" t="s">
        <v>461</v>
      </c>
      <c r="D342" s="11" t="s">
        <v>6982</v>
      </c>
      <c r="E342" s="11" t="s">
        <v>17</v>
      </c>
      <c r="F342" s="12" t="s">
        <v>8076</v>
      </c>
      <c r="G342" s="11" t="s">
        <v>6983</v>
      </c>
      <c r="H342" s="13" t="s">
        <v>7030</v>
      </c>
      <c r="I342" s="10">
        <v>46185</v>
      </c>
      <c r="J342" s="10" t="s">
        <v>4</v>
      </c>
      <c r="L342" t="s">
        <v>8077</v>
      </c>
    </row>
    <row r="343" spans="1:12" ht="45">
      <c r="A343" s="10">
        <v>46183</v>
      </c>
      <c r="B343" s="11" t="s">
        <v>8078</v>
      </c>
      <c r="C343" s="11" t="s">
        <v>496</v>
      </c>
      <c r="D343" s="11" t="s">
        <v>7608</v>
      </c>
      <c r="E343" s="11" t="s">
        <v>17</v>
      </c>
      <c r="F343" s="12" t="s">
        <v>8079</v>
      </c>
      <c r="G343" s="11" t="s">
        <v>6983</v>
      </c>
      <c r="H343" s="13" t="s">
        <v>8080</v>
      </c>
      <c r="I343" s="10">
        <v>46188</v>
      </c>
      <c r="J343" s="10" t="s">
        <v>4</v>
      </c>
      <c r="L343" t="s">
        <v>8081</v>
      </c>
    </row>
    <row r="344" spans="1:12" ht="45">
      <c r="A344" s="10">
        <v>46185</v>
      </c>
      <c r="B344" s="11" t="s">
        <v>8082</v>
      </c>
      <c r="C344" s="11" t="s">
        <v>518</v>
      </c>
      <c r="D344" s="11" t="s">
        <v>6916</v>
      </c>
      <c r="E344" s="11" t="s">
        <v>17</v>
      </c>
      <c r="F344" s="12" t="s">
        <v>8083</v>
      </c>
      <c r="G344" s="11" t="s">
        <v>6983</v>
      </c>
      <c r="H344" s="13" t="s">
        <v>8084</v>
      </c>
      <c r="I344" s="10">
        <v>46188</v>
      </c>
      <c r="J344" s="10" t="s">
        <v>4</v>
      </c>
      <c r="L344" t="s">
        <v>8085</v>
      </c>
    </row>
    <row r="345" spans="1:12" ht="30">
      <c r="A345" s="10">
        <v>46185</v>
      </c>
      <c r="B345" s="11" t="s">
        <v>8086</v>
      </c>
      <c r="C345" s="11" t="s">
        <v>1512</v>
      </c>
      <c r="D345" s="11" t="s">
        <v>7170</v>
      </c>
      <c r="E345" s="11" t="s">
        <v>17</v>
      </c>
      <c r="F345" s="12" t="s">
        <v>8087</v>
      </c>
      <c r="G345" s="11" t="s">
        <v>7553</v>
      </c>
      <c r="H345" s="13" t="s">
        <v>7618</v>
      </c>
      <c r="I345" s="10">
        <v>46189</v>
      </c>
      <c r="J345" s="10" t="s">
        <v>4</v>
      </c>
      <c r="L345" t="s">
        <v>8088</v>
      </c>
    </row>
    <row r="346" spans="1:12" ht="30">
      <c r="A346" s="10">
        <v>46185</v>
      </c>
      <c r="B346" s="12" t="s">
        <v>8089</v>
      </c>
      <c r="C346" s="11" t="s">
        <v>461</v>
      </c>
      <c r="D346" s="11" t="s">
        <v>6982</v>
      </c>
      <c r="E346" s="11" t="s">
        <v>17</v>
      </c>
      <c r="F346" s="12" t="s">
        <v>8090</v>
      </c>
      <c r="G346" s="11" t="s">
        <v>6983</v>
      </c>
      <c r="H346" s="13" t="s">
        <v>6903</v>
      </c>
      <c r="I346" s="10">
        <v>46188</v>
      </c>
      <c r="J346" s="10" t="s">
        <v>4</v>
      </c>
      <c r="L346" t="s">
        <v>8091</v>
      </c>
    </row>
    <row r="347" spans="1:12" ht="30">
      <c r="A347" s="10">
        <v>46185</v>
      </c>
      <c r="B347" s="11" t="s">
        <v>8092</v>
      </c>
      <c r="C347" s="11" t="s">
        <v>1512</v>
      </c>
      <c r="D347" s="11" t="s">
        <v>7170</v>
      </c>
      <c r="E347" s="11" t="s">
        <v>17</v>
      </c>
      <c r="F347" s="12" t="s">
        <v>8093</v>
      </c>
      <c r="G347" s="11" t="s">
        <v>7553</v>
      </c>
      <c r="H347" s="13" t="s">
        <v>8094</v>
      </c>
      <c r="I347" s="10">
        <v>46189</v>
      </c>
      <c r="J347" s="10" t="s">
        <v>4</v>
      </c>
      <c r="L347" t="s">
        <v>8095</v>
      </c>
    </row>
    <row r="348" spans="1:12">
      <c r="A348" s="10">
        <v>46185</v>
      </c>
      <c r="B348" s="90" t="s">
        <v>8096</v>
      </c>
      <c r="C348" s="11" t="s">
        <v>2168</v>
      </c>
      <c r="D348" s="11" t="s">
        <v>7102</v>
      </c>
      <c r="E348" s="11" t="s">
        <v>17</v>
      </c>
      <c r="F348" s="91" t="s">
        <v>8097</v>
      </c>
      <c r="G348" s="11" t="s">
        <v>6891</v>
      </c>
      <c r="H348" s="13" t="s">
        <v>6903</v>
      </c>
      <c r="I348" s="10">
        <v>46188</v>
      </c>
      <c r="J348" s="10" t="s">
        <v>8038</v>
      </c>
      <c r="L348" t="s">
        <v>8098</v>
      </c>
    </row>
    <row r="349" spans="1:12">
      <c r="A349" s="59">
        <v>46188</v>
      </c>
      <c r="B349" s="65" t="s">
        <v>8099</v>
      </c>
      <c r="C349" s="48" t="s">
        <v>2168</v>
      </c>
      <c r="D349" s="11" t="s">
        <v>7102</v>
      </c>
      <c r="E349" s="11" t="s">
        <v>17</v>
      </c>
      <c r="F349" s="92" t="s">
        <v>8100</v>
      </c>
      <c r="G349" s="11" t="s">
        <v>6891</v>
      </c>
      <c r="H349" s="13" t="s">
        <v>6903</v>
      </c>
      <c r="I349" s="10">
        <v>46188</v>
      </c>
      <c r="J349" s="10" t="s">
        <v>8038</v>
      </c>
      <c r="L349" t="s">
        <v>8101</v>
      </c>
    </row>
    <row r="350" spans="1:12" ht="90">
      <c r="A350" s="10">
        <v>46188</v>
      </c>
      <c r="B350" s="9" t="s">
        <v>8102</v>
      </c>
      <c r="C350" s="11" t="s">
        <v>1348</v>
      </c>
      <c r="D350" s="11" t="s">
        <v>7010</v>
      </c>
      <c r="E350" s="11" t="s">
        <v>17</v>
      </c>
      <c r="F350" s="12" t="s">
        <v>8103</v>
      </c>
      <c r="G350" s="11" t="s">
        <v>6922</v>
      </c>
      <c r="H350" s="13" t="s">
        <v>6903</v>
      </c>
      <c r="I350" s="10">
        <v>46189</v>
      </c>
      <c r="J350" s="10" t="s">
        <v>4</v>
      </c>
      <c r="L350" t="s">
        <v>8104</v>
      </c>
    </row>
    <row r="351" spans="1:12">
      <c r="A351" s="10">
        <v>46188</v>
      </c>
      <c r="B351" s="9" t="s">
        <v>8105</v>
      </c>
      <c r="C351" s="11" t="s">
        <v>1348</v>
      </c>
      <c r="D351" s="11" t="s">
        <v>7010</v>
      </c>
      <c r="E351" s="11" t="s">
        <v>17</v>
      </c>
      <c r="F351" s="12" t="s">
        <v>8106</v>
      </c>
      <c r="G351" s="11" t="s">
        <v>6922</v>
      </c>
      <c r="H351" s="13" t="s">
        <v>6903</v>
      </c>
      <c r="I351" s="10">
        <v>46189</v>
      </c>
      <c r="J351" s="10" t="s">
        <v>4</v>
      </c>
      <c r="L351" t="s">
        <v>8107</v>
      </c>
    </row>
    <row r="352" spans="1:12">
      <c r="A352" s="10">
        <v>46188</v>
      </c>
      <c r="B352" s="11" t="s">
        <v>8108</v>
      </c>
      <c r="C352" s="11" t="s">
        <v>1436</v>
      </c>
      <c r="D352" s="11" t="s">
        <v>6920</v>
      </c>
      <c r="E352" s="11" t="s">
        <v>18</v>
      </c>
      <c r="F352" s="12" t="s">
        <v>8109</v>
      </c>
      <c r="G352" s="11" t="s">
        <v>6922</v>
      </c>
      <c r="H352" s="13" t="s">
        <v>6903</v>
      </c>
      <c r="I352" s="10">
        <v>46189</v>
      </c>
      <c r="J352" s="10" t="s">
        <v>8110</v>
      </c>
      <c r="L352" t="s">
        <v>8111</v>
      </c>
    </row>
    <row r="353" spans="1:12" ht="60">
      <c r="A353" s="10">
        <v>46188</v>
      </c>
      <c r="B353" s="11" t="s">
        <v>8112</v>
      </c>
      <c r="C353" s="11" t="s">
        <v>5231</v>
      </c>
      <c r="D353" s="11" t="s">
        <v>7160</v>
      </c>
      <c r="E353" s="11" t="s">
        <v>17</v>
      </c>
      <c r="F353" s="12" t="s">
        <v>8113</v>
      </c>
      <c r="G353" s="11" t="s">
        <v>7553</v>
      </c>
      <c r="H353" s="13" t="s">
        <v>8114</v>
      </c>
      <c r="I353" s="10">
        <v>46189</v>
      </c>
      <c r="J353" s="10" t="s">
        <v>8115</v>
      </c>
      <c r="L353" t="s">
        <v>8116</v>
      </c>
    </row>
    <row r="354" spans="1:12" ht="45">
      <c r="A354" s="10">
        <v>46188</v>
      </c>
      <c r="B354" s="11" t="s">
        <v>8117</v>
      </c>
      <c r="C354" s="11" t="s">
        <v>5231</v>
      </c>
      <c r="D354" s="11" t="s">
        <v>7160</v>
      </c>
      <c r="E354" s="11" t="s">
        <v>17</v>
      </c>
      <c r="F354" s="12" t="s">
        <v>8118</v>
      </c>
      <c r="G354" s="11" t="s">
        <v>7553</v>
      </c>
      <c r="H354" s="13" t="s">
        <v>7942</v>
      </c>
      <c r="I354" s="10">
        <v>46189</v>
      </c>
      <c r="J354" s="10" t="s">
        <v>8115</v>
      </c>
      <c r="L354" t="s">
        <v>8119</v>
      </c>
    </row>
    <row r="355" spans="1:12">
      <c r="A355" s="10">
        <v>46188</v>
      </c>
      <c r="B355" s="11" t="s">
        <v>8120</v>
      </c>
      <c r="C355" s="11" t="s">
        <v>496</v>
      </c>
      <c r="D355" s="11" t="s">
        <v>7608</v>
      </c>
      <c r="E355" s="11" t="e">
        <v>#N/A</v>
      </c>
      <c r="F355" s="12" t="s">
        <v>8121</v>
      </c>
      <c r="G355" s="11" t="s">
        <v>6983</v>
      </c>
      <c r="H355" s="13" t="s">
        <v>8122</v>
      </c>
      <c r="I355" s="10">
        <v>46189</v>
      </c>
      <c r="J355" s="10" t="s">
        <v>8123</v>
      </c>
      <c r="L355" t="s">
        <v>8124</v>
      </c>
    </row>
    <row r="356" spans="1:12">
      <c r="A356" s="10">
        <v>46188</v>
      </c>
      <c r="B356" s="11" t="s">
        <v>8033</v>
      </c>
      <c r="C356" s="11" t="s">
        <v>7316</v>
      </c>
      <c r="D356" s="11" t="s">
        <v>7701</v>
      </c>
      <c r="E356" s="11" t="s">
        <v>18</v>
      </c>
      <c r="F356" s="12" t="s">
        <v>8125</v>
      </c>
      <c r="G356" s="11" t="s">
        <v>6922</v>
      </c>
      <c r="H356" s="13" t="s">
        <v>6903</v>
      </c>
      <c r="I356" s="10">
        <v>46189</v>
      </c>
      <c r="J356" s="10" t="s">
        <v>4</v>
      </c>
      <c r="L356" t="s">
        <v>8126</v>
      </c>
    </row>
    <row r="357" spans="1:12" ht="15.75">
      <c r="A357" s="10">
        <v>46188</v>
      </c>
      <c r="B357" s="93" t="s">
        <v>8127</v>
      </c>
      <c r="C357" s="11" t="s">
        <v>810</v>
      </c>
      <c r="D357" s="11" t="s">
        <v>7043</v>
      </c>
      <c r="E357" s="11" t="s">
        <v>17</v>
      </c>
      <c r="F357" s="94" t="s">
        <v>8128</v>
      </c>
      <c r="G357" s="11" t="s">
        <v>6922</v>
      </c>
      <c r="H357" s="13" t="s">
        <v>6903</v>
      </c>
      <c r="I357" s="10">
        <v>46189</v>
      </c>
      <c r="J357" s="10" t="s">
        <v>8129</v>
      </c>
      <c r="L357" t="s">
        <v>8130</v>
      </c>
    </row>
    <row r="358" spans="1:12">
      <c r="A358" s="10">
        <v>46188</v>
      </c>
      <c r="B358" s="93" t="s">
        <v>8131</v>
      </c>
      <c r="C358" s="11" t="s">
        <v>810</v>
      </c>
      <c r="D358" s="11" t="s">
        <v>7043</v>
      </c>
      <c r="E358" s="11" t="s">
        <v>17</v>
      </c>
      <c r="F358" s="95" t="s">
        <v>8132</v>
      </c>
      <c r="G358" s="11" t="s">
        <v>6922</v>
      </c>
      <c r="H358" s="13" t="s">
        <v>6903</v>
      </c>
      <c r="I358" s="10">
        <v>46189</v>
      </c>
      <c r="J358" s="10" t="s">
        <v>8129</v>
      </c>
      <c r="L358" t="s">
        <v>8133</v>
      </c>
    </row>
    <row r="359" spans="1:12" ht="60">
      <c r="A359" s="10">
        <v>46188</v>
      </c>
      <c r="B359" s="11" t="s">
        <v>8134</v>
      </c>
      <c r="C359" s="11" t="s">
        <v>2270</v>
      </c>
      <c r="D359" s="11" t="s">
        <v>7650</v>
      </c>
      <c r="E359" s="11" t="s">
        <v>13</v>
      </c>
      <c r="F359" s="12" t="s">
        <v>8135</v>
      </c>
      <c r="G359" s="11" t="s">
        <v>6922</v>
      </c>
      <c r="H359" s="13" t="s">
        <v>6903</v>
      </c>
      <c r="I359" s="10">
        <v>46189</v>
      </c>
      <c r="J359" s="10" t="s">
        <v>8115</v>
      </c>
      <c r="L359" t="s">
        <v>8136</v>
      </c>
    </row>
    <row r="360" spans="1:12" ht="45">
      <c r="A360" s="10">
        <v>46188</v>
      </c>
      <c r="B360" s="11" t="s">
        <v>8137</v>
      </c>
      <c r="C360" s="11" t="s">
        <v>1874</v>
      </c>
      <c r="D360" s="11" t="s">
        <v>7000</v>
      </c>
      <c r="E360" s="11" t="s">
        <v>17</v>
      </c>
      <c r="F360" s="12" t="s">
        <v>8138</v>
      </c>
      <c r="G360" s="11" t="s">
        <v>6891</v>
      </c>
      <c r="H360" s="13" t="s">
        <v>6903</v>
      </c>
      <c r="I360" s="10">
        <v>46188</v>
      </c>
      <c r="J360" s="10" t="s">
        <v>4</v>
      </c>
      <c r="L360" t="s">
        <v>8139</v>
      </c>
    </row>
    <row r="361" spans="1:12" ht="75">
      <c r="A361" s="10">
        <v>46188</v>
      </c>
      <c r="B361" s="11" t="s">
        <v>8140</v>
      </c>
      <c r="C361" s="11" t="s">
        <v>1874</v>
      </c>
      <c r="D361" s="11" t="s">
        <v>7000</v>
      </c>
      <c r="E361" s="11" t="s">
        <v>17</v>
      </c>
      <c r="F361" s="12" t="s">
        <v>8141</v>
      </c>
      <c r="G361" s="11" t="s">
        <v>6891</v>
      </c>
      <c r="H361" s="13" t="s">
        <v>6903</v>
      </c>
      <c r="I361" s="10">
        <v>46188</v>
      </c>
      <c r="J361" s="57" t="s">
        <v>8142</v>
      </c>
      <c r="L361" t="s">
        <v>8143</v>
      </c>
    </row>
    <row r="362" spans="1:12" ht="105">
      <c r="A362" s="10">
        <v>46188</v>
      </c>
      <c r="B362" s="11" t="s">
        <v>8144</v>
      </c>
      <c r="C362" s="11" t="s">
        <v>1874</v>
      </c>
      <c r="D362" s="11" t="s">
        <v>7000</v>
      </c>
      <c r="E362" s="11" t="s">
        <v>17</v>
      </c>
      <c r="F362" s="12" t="s">
        <v>8145</v>
      </c>
      <c r="G362" s="11" t="s">
        <v>6891</v>
      </c>
      <c r="H362" s="13" t="s">
        <v>6903</v>
      </c>
      <c r="I362" s="10">
        <v>46188</v>
      </c>
      <c r="J362" s="10" t="s">
        <v>4</v>
      </c>
      <c r="L362" t="s">
        <v>8146</v>
      </c>
    </row>
    <row r="363" spans="1:12" ht="120">
      <c r="A363" s="10">
        <v>46188</v>
      </c>
      <c r="B363" s="11" t="s">
        <v>8147</v>
      </c>
      <c r="C363" s="11" t="s">
        <v>1874</v>
      </c>
      <c r="D363" s="11" t="s">
        <v>7000</v>
      </c>
      <c r="E363" s="11" t="s">
        <v>17</v>
      </c>
      <c r="F363" s="12" t="s">
        <v>8148</v>
      </c>
      <c r="G363" s="11" t="s">
        <v>6891</v>
      </c>
      <c r="H363" s="13" t="s">
        <v>6903</v>
      </c>
      <c r="I363" s="10">
        <v>46188</v>
      </c>
      <c r="J363" s="10" t="s">
        <v>4</v>
      </c>
      <c r="L363" t="s">
        <v>8149</v>
      </c>
    </row>
    <row r="364" spans="1:12" ht="45">
      <c r="A364" s="10">
        <v>46188</v>
      </c>
      <c r="B364" s="12" t="s">
        <v>8150</v>
      </c>
      <c r="C364" s="11" t="s">
        <v>7316</v>
      </c>
      <c r="D364" s="11" t="s">
        <v>7701</v>
      </c>
      <c r="E364" s="11" t="s">
        <v>18</v>
      </c>
      <c r="F364" s="12" t="s">
        <v>8151</v>
      </c>
      <c r="G364" s="11" t="s">
        <v>6922</v>
      </c>
      <c r="H364" s="13" t="s">
        <v>8152</v>
      </c>
      <c r="I364" s="10">
        <v>46189</v>
      </c>
      <c r="J364" s="10" t="s">
        <v>4</v>
      </c>
      <c r="L364" t="s">
        <v>8153</v>
      </c>
    </row>
    <row r="365" spans="1:12">
      <c r="A365" s="10">
        <v>46188</v>
      </c>
      <c r="B365" s="12" t="s">
        <v>8154</v>
      </c>
      <c r="C365" s="11" t="s">
        <v>1874</v>
      </c>
      <c r="D365" s="11" t="s">
        <v>7000</v>
      </c>
      <c r="E365" s="11" t="s">
        <v>17</v>
      </c>
      <c r="F365" s="12" t="s">
        <v>8155</v>
      </c>
      <c r="G365" s="11" t="s">
        <v>6891</v>
      </c>
      <c r="H365" s="13" t="s">
        <v>6903</v>
      </c>
      <c r="I365" s="10">
        <v>46189</v>
      </c>
      <c r="J365" s="10" t="s">
        <v>8156</v>
      </c>
      <c r="L365" t="s">
        <v>8157</v>
      </c>
    </row>
    <row r="366" spans="1:12" ht="60">
      <c r="A366" s="10">
        <v>46188</v>
      </c>
      <c r="B366" s="11" t="s">
        <v>8158</v>
      </c>
      <c r="C366" s="11" t="s">
        <v>1371</v>
      </c>
      <c r="D366" s="11" t="s">
        <v>7164</v>
      </c>
      <c r="E366" s="11" t="s">
        <v>17</v>
      </c>
      <c r="F366" s="12" t="s">
        <v>8159</v>
      </c>
      <c r="G366" s="11" t="s">
        <v>6891</v>
      </c>
      <c r="H366" s="13" t="s">
        <v>8160</v>
      </c>
      <c r="I366" s="10">
        <v>46189</v>
      </c>
      <c r="J366" s="10" t="s">
        <v>8161</v>
      </c>
      <c r="L366" t="s">
        <v>8162</v>
      </c>
    </row>
    <row r="367" spans="1:12" ht="30">
      <c r="A367" s="10">
        <v>46188</v>
      </c>
      <c r="B367" s="11" t="s">
        <v>8163</v>
      </c>
      <c r="C367" s="11" t="s">
        <v>1512</v>
      </c>
      <c r="D367" s="11" t="s">
        <v>7170</v>
      </c>
      <c r="E367" s="11" t="s">
        <v>17</v>
      </c>
      <c r="F367" s="12" t="s">
        <v>8164</v>
      </c>
      <c r="G367" s="11" t="s">
        <v>7553</v>
      </c>
      <c r="H367" s="13" t="s">
        <v>7618</v>
      </c>
      <c r="I367" s="10">
        <v>46192</v>
      </c>
      <c r="J367" s="10" t="s">
        <v>8165</v>
      </c>
      <c r="L367" t="s">
        <v>8166</v>
      </c>
    </row>
    <row r="368" spans="1:12">
      <c r="A368" s="10">
        <v>46188</v>
      </c>
      <c r="B368" s="11" t="s">
        <v>8167</v>
      </c>
      <c r="C368" s="11" t="s">
        <v>1436</v>
      </c>
      <c r="D368" s="11" t="s">
        <v>6920</v>
      </c>
      <c r="E368" s="11" t="s">
        <v>18</v>
      </c>
      <c r="F368" s="12" t="s">
        <v>8168</v>
      </c>
      <c r="G368" s="11" t="s">
        <v>6922</v>
      </c>
      <c r="H368" s="13" t="s">
        <v>6903</v>
      </c>
      <c r="I368" s="10">
        <v>46189</v>
      </c>
      <c r="J368" s="10" t="s">
        <v>8165</v>
      </c>
      <c r="L368" t="s">
        <v>8169</v>
      </c>
    </row>
    <row r="369" spans="1:12" ht="60">
      <c r="A369" s="10">
        <v>46189</v>
      </c>
      <c r="B369" s="11" t="s">
        <v>8170</v>
      </c>
      <c r="C369" s="11" t="s">
        <v>1555</v>
      </c>
      <c r="D369" s="11" t="s">
        <v>6897</v>
      </c>
      <c r="E369" s="11" t="s">
        <v>17</v>
      </c>
      <c r="F369" s="12" t="s">
        <v>8171</v>
      </c>
      <c r="G369" s="11" t="s">
        <v>7553</v>
      </c>
      <c r="H369" s="13" t="s">
        <v>8172</v>
      </c>
      <c r="I369" s="10">
        <v>46192</v>
      </c>
      <c r="J369" s="10" t="s">
        <v>8173</v>
      </c>
      <c r="L369" t="s">
        <v>8174</v>
      </c>
    </row>
    <row r="370" spans="1:12" ht="30">
      <c r="A370" s="10">
        <v>46189</v>
      </c>
      <c r="B370" s="11" t="s">
        <v>8175</v>
      </c>
      <c r="C370" s="11" t="s">
        <v>1252</v>
      </c>
      <c r="D370" s="11" t="s">
        <v>7038</v>
      </c>
      <c r="E370" s="11" t="s">
        <v>17</v>
      </c>
      <c r="F370" s="12" t="s">
        <v>8176</v>
      </c>
      <c r="G370" s="11" t="s">
        <v>7553</v>
      </c>
      <c r="H370" s="13" t="s">
        <v>8177</v>
      </c>
      <c r="I370" s="10">
        <v>46192</v>
      </c>
      <c r="J370" s="10" t="s">
        <v>8178</v>
      </c>
      <c r="L370" t="s">
        <v>8179</v>
      </c>
    </row>
    <row r="371" spans="1:12" ht="30">
      <c r="A371" s="10">
        <v>46189</v>
      </c>
      <c r="B371" s="96" t="s">
        <v>8180</v>
      </c>
      <c r="C371" s="11" t="s">
        <v>1053</v>
      </c>
      <c r="D371" s="11" t="s">
        <v>7532</v>
      </c>
      <c r="E371" s="11" t="s">
        <v>13</v>
      </c>
      <c r="F371" s="12" t="s">
        <v>8181</v>
      </c>
      <c r="G371" s="11" t="s">
        <v>6891</v>
      </c>
      <c r="H371" s="13" t="s">
        <v>6903</v>
      </c>
      <c r="I371" s="10">
        <v>46189</v>
      </c>
      <c r="J371" s="10">
        <v>46272.666666666701</v>
      </c>
      <c r="K371" t="s">
        <v>4</v>
      </c>
      <c r="L371" t="s">
        <v>8182</v>
      </c>
    </row>
    <row r="372" spans="1:12" ht="45">
      <c r="A372" s="10">
        <v>46189</v>
      </c>
      <c r="B372" s="11" t="s">
        <v>8183</v>
      </c>
      <c r="C372" s="11" t="s">
        <v>518</v>
      </c>
      <c r="D372" s="11" t="s">
        <v>6916</v>
      </c>
      <c r="E372" s="11" t="s">
        <v>17</v>
      </c>
      <c r="F372" s="12" t="s">
        <v>8184</v>
      </c>
      <c r="G372" s="11" t="s">
        <v>6983</v>
      </c>
      <c r="H372" s="13" t="s">
        <v>8185</v>
      </c>
      <c r="I372" s="10">
        <v>46189</v>
      </c>
      <c r="J372" s="10" t="s">
        <v>4</v>
      </c>
      <c r="L372" t="s">
        <v>8186</v>
      </c>
    </row>
    <row r="373" spans="1:12">
      <c r="A373" s="10">
        <v>46189</v>
      </c>
      <c r="B373" s="11" t="s">
        <v>8187</v>
      </c>
      <c r="C373" s="11" t="s">
        <v>1874</v>
      </c>
      <c r="D373" s="11" t="s">
        <v>7000</v>
      </c>
      <c r="E373" s="11" t="s">
        <v>17</v>
      </c>
      <c r="F373" s="12" t="s">
        <v>8188</v>
      </c>
      <c r="G373" s="11" t="s">
        <v>6891</v>
      </c>
      <c r="H373" s="13" t="s">
        <v>6903</v>
      </c>
      <c r="I373" s="10">
        <v>46189</v>
      </c>
      <c r="J373" s="10" t="s">
        <v>8156</v>
      </c>
      <c r="L373" t="s">
        <v>8189</v>
      </c>
    </row>
    <row r="374" spans="1:12" ht="45">
      <c r="A374" s="10">
        <v>46189</v>
      </c>
      <c r="B374" s="11" t="s">
        <v>8190</v>
      </c>
      <c r="C374" s="11" t="s">
        <v>2270</v>
      </c>
      <c r="D374" s="11" t="s">
        <v>8191</v>
      </c>
      <c r="E374" s="11" t="s">
        <v>13</v>
      </c>
      <c r="F374" s="12" t="s">
        <v>8192</v>
      </c>
      <c r="G374" s="11" t="s">
        <v>6922</v>
      </c>
      <c r="H374" s="13" t="s">
        <v>4</v>
      </c>
      <c r="J374" s="10" t="s">
        <v>8193</v>
      </c>
      <c r="L374" t="s">
        <v>8194</v>
      </c>
    </row>
    <row r="375" spans="1:12">
      <c r="A375" s="10">
        <v>46189</v>
      </c>
      <c r="B375" s="11" t="s">
        <v>8195</v>
      </c>
      <c r="C375" s="11" t="s">
        <v>839</v>
      </c>
      <c r="D375" s="11" t="s">
        <v>7152</v>
      </c>
      <c r="E375" s="11" t="s">
        <v>18</v>
      </c>
      <c r="F375" s="12" t="s">
        <v>8196</v>
      </c>
      <c r="G375" s="11" t="s">
        <v>6922</v>
      </c>
      <c r="H375" s="13" t="s">
        <v>6903</v>
      </c>
      <c r="I375" s="10">
        <v>46191</v>
      </c>
      <c r="J375" s="10">
        <v>46195</v>
      </c>
      <c r="L375" t="s">
        <v>8197</v>
      </c>
    </row>
    <row r="376" spans="1:12" ht="30">
      <c r="A376" s="10">
        <v>46189</v>
      </c>
      <c r="B376" s="11" t="s">
        <v>8198</v>
      </c>
      <c r="C376" s="11" t="s">
        <v>1512</v>
      </c>
      <c r="D376" s="11" t="s">
        <v>7170</v>
      </c>
      <c r="E376" s="11" t="s">
        <v>17</v>
      </c>
      <c r="F376" s="12" t="s">
        <v>8199</v>
      </c>
      <c r="G376" s="11" t="s">
        <v>8200</v>
      </c>
      <c r="H376" s="13" t="s">
        <v>2636</v>
      </c>
      <c r="I376" s="10">
        <v>46192</v>
      </c>
      <c r="J376" s="10" t="s">
        <v>8165</v>
      </c>
      <c r="L376" t="s">
        <v>8201</v>
      </c>
    </row>
    <row r="377" spans="1:12" ht="30">
      <c r="A377" s="10">
        <v>46189</v>
      </c>
      <c r="B377" s="12" t="s">
        <v>8202</v>
      </c>
      <c r="C377" s="11" t="s">
        <v>1779</v>
      </c>
      <c r="D377" s="11" t="s">
        <v>7061</v>
      </c>
      <c r="E377" s="11" t="s">
        <v>18</v>
      </c>
      <c r="F377" s="12" t="s">
        <v>8203</v>
      </c>
      <c r="G377" s="11" t="s">
        <v>6891</v>
      </c>
      <c r="H377" s="13" t="s">
        <v>6903</v>
      </c>
      <c r="I377" s="10">
        <v>46189</v>
      </c>
      <c r="J377" s="10" t="s">
        <v>8165</v>
      </c>
      <c r="L377" t="s">
        <v>8204</v>
      </c>
    </row>
    <row r="378" spans="1:12" ht="45">
      <c r="A378" s="10">
        <v>46189</v>
      </c>
      <c r="B378" s="11" t="s">
        <v>8205</v>
      </c>
      <c r="C378" s="11" t="s">
        <v>1555</v>
      </c>
      <c r="D378" s="11" t="s">
        <v>6897</v>
      </c>
      <c r="E378" s="11" t="s">
        <v>17</v>
      </c>
      <c r="F378" s="12" t="s">
        <v>8206</v>
      </c>
      <c r="G378" s="11" t="s">
        <v>7553</v>
      </c>
      <c r="H378" s="13" t="s">
        <v>8207</v>
      </c>
      <c r="I378" s="10">
        <v>46192</v>
      </c>
      <c r="J378" s="10" t="s">
        <v>8208</v>
      </c>
      <c r="L378" t="s">
        <v>8209</v>
      </c>
    </row>
    <row r="379" spans="1:12" ht="96" customHeight="1">
      <c r="A379" s="10">
        <v>46189</v>
      </c>
      <c r="B379" s="11" t="s">
        <v>8210</v>
      </c>
      <c r="C379" s="11" t="s">
        <v>1371</v>
      </c>
      <c r="D379" s="11" t="s">
        <v>7164</v>
      </c>
      <c r="E379" s="11" t="s">
        <v>17</v>
      </c>
      <c r="F379" s="12" t="s">
        <v>8211</v>
      </c>
      <c r="G379" s="11" t="s">
        <v>6891</v>
      </c>
      <c r="H379" s="13" t="s">
        <v>8212</v>
      </c>
      <c r="I379" s="10">
        <v>46189</v>
      </c>
      <c r="J379" s="10" t="s">
        <v>8165</v>
      </c>
      <c r="L379" t="s">
        <v>8213</v>
      </c>
    </row>
    <row r="380" spans="1:12">
      <c r="A380" s="10">
        <v>46190</v>
      </c>
      <c r="B380" s="11" t="s">
        <v>8214</v>
      </c>
      <c r="C380" s="11" t="s">
        <v>518</v>
      </c>
      <c r="D380" s="11" t="s">
        <v>6916</v>
      </c>
      <c r="E380" s="11" t="s">
        <v>17</v>
      </c>
      <c r="F380" s="12" t="s">
        <v>8215</v>
      </c>
      <c r="G380" s="11" t="s">
        <v>6983</v>
      </c>
      <c r="H380" s="13" t="s">
        <v>6903</v>
      </c>
      <c r="I380" s="10">
        <v>46191</v>
      </c>
      <c r="J380" s="10" t="s">
        <v>4</v>
      </c>
      <c r="L380" t="s">
        <v>8216</v>
      </c>
    </row>
    <row r="381" spans="1:12" ht="45">
      <c r="A381" s="10">
        <v>46190</v>
      </c>
      <c r="B381" s="11" t="s">
        <v>8217</v>
      </c>
      <c r="C381" s="48" t="s">
        <v>2369</v>
      </c>
      <c r="D381" s="11" t="s">
        <v>6961</v>
      </c>
      <c r="E381" s="11" t="s">
        <v>18</v>
      </c>
      <c r="F381" s="12" t="s">
        <v>8218</v>
      </c>
      <c r="G381" s="11" t="s">
        <v>6922</v>
      </c>
      <c r="H381" s="13" t="s">
        <v>8219</v>
      </c>
      <c r="I381" s="10">
        <v>46191</v>
      </c>
      <c r="J381" s="10" t="s">
        <v>8110</v>
      </c>
      <c r="L381" t="s">
        <v>8220</v>
      </c>
    </row>
    <row r="382" spans="1:12" ht="30">
      <c r="A382" s="10">
        <v>46190</v>
      </c>
      <c r="B382" s="11" t="s">
        <v>8221</v>
      </c>
      <c r="C382" s="48" t="s">
        <v>2369</v>
      </c>
      <c r="D382" s="11" t="s">
        <v>6961</v>
      </c>
      <c r="E382" s="11" t="s">
        <v>18</v>
      </c>
      <c r="F382" s="12" t="s">
        <v>8222</v>
      </c>
      <c r="G382" s="11" t="s">
        <v>7553</v>
      </c>
      <c r="H382" s="13" t="s">
        <v>7618</v>
      </c>
      <c r="I382" s="10">
        <v>46192</v>
      </c>
      <c r="J382" s="10" t="s">
        <v>8223</v>
      </c>
      <c r="L382" t="s">
        <v>8224</v>
      </c>
    </row>
    <row r="383" spans="1:12">
      <c r="A383" s="10">
        <v>46190</v>
      </c>
      <c r="B383" s="11" t="s">
        <v>8225</v>
      </c>
      <c r="C383" s="11" t="s">
        <v>7316</v>
      </c>
      <c r="D383" s="11" t="s">
        <v>7701</v>
      </c>
      <c r="E383" s="11" t="s">
        <v>18</v>
      </c>
      <c r="F383" s="12" t="s">
        <v>8226</v>
      </c>
      <c r="G383" s="11" t="s">
        <v>6922</v>
      </c>
      <c r="H383" s="13" t="s">
        <v>6903</v>
      </c>
      <c r="I383" s="10">
        <v>46198</v>
      </c>
      <c r="J383" s="10" t="s">
        <v>4</v>
      </c>
      <c r="L383" t="s">
        <v>8227</v>
      </c>
    </row>
    <row r="384" spans="1:12">
      <c r="A384" s="10">
        <v>46190</v>
      </c>
      <c r="B384" s="11" t="s">
        <v>8228</v>
      </c>
      <c r="C384" s="11" t="s">
        <v>560</v>
      </c>
      <c r="D384" s="11" t="s">
        <v>8229</v>
      </c>
      <c r="E384" s="11" t="s">
        <v>13</v>
      </c>
      <c r="F384" s="12" t="s">
        <v>8230</v>
      </c>
      <c r="G384" s="11" t="s">
        <v>6983</v>
      </c>
      <c r="H384" s="13" t="s">
        <v>6903</v>
      </c>
      <c r="I384" s="10">
        <v>46191</v>
      </c>
      <c r="J384" s="10" t="s">
        <v>7688</v>
      </c>
      <c r="L384" t="s">
        <v>8231</v>
      </c>
    </row>
    <row r="385" spans="1:12" ht="150">
      <c r="A385" s="10">
        <v>46191</v>
      </c>
      <c r="B385" s="12" t="s">
        <v>8232</v>
      </c>
      <c r="C385" s="11" t="s">
        <v>1348</v>
      </c>
      <c r="D385" s="11" t="s">
        <v>7010</v>
      </c>
      <c r="E385" s="11" t="s">
        <v>17</v>
      </c>
      <c r="F385" s="12" t="s">
        <v>8233</v>
      </c>
      <c r="G385" s="11" t="s">
        <v>7553</v>
      </c>
      <c r="H385" s="13" t="s">
        <v>7618</v>
      </c>
      <c r="I385" s="10">
        <v>46192</v>
      </c>
      <c r="J385" s="10" t="s">
        <v>4</v>
      </c>
      <c r="L385" t="s">
        <v>8234</v>
      </c>
    </row>
    <row r="386" spans="1:12" ht="45">
      <c r="A386" s="10">
        <v>46191</v>
      </c>
      <c r="B386" s="12" t="s">
        <v>8235</v>
      </c>
      <c r="C386" s="11" t="s">
        <v>1348</v>
      </c>
      <c r="D386" s="11" t="s">
        <v>7010</v>
      </c>
      <c r="E386" s="11" t="s">
        <v>17</v>
      </c>
      <c r="F386" s="12" t="s">
        <v>8236</v>
      </c>
      <c r="G386" s="11" t="s">
        <v>7553</v>
      </c>
      <c r="H386" s="13" t="s">
        <v>7942</v>
      </c>
      <c r="I386" s="10">
        <v>46192</v>
      </c>
      <c r="J386" s="10" t="s">
        <v>4</v>
      </c>
      <c r="L386" t="s">
        <v>8237</v>
      </c>
    </row>
    <row r="387" spans="1:12" ht="195">
      <c r="A387" s="10">
        <v>46191</v>
      </c>
      <c r="B387" s="12" t="s">
        <v>8238</v>
      </c>
      <c r="C387" s="11" t="s">
        <v>1348</v>
      </c>
      <c r="D387" s="11" t="s">
        <v>7010</v>
      </c>
      <c r="E387" s="11" t="s">
        <v>17</v>
      </c>
      <c r="F387" s="12" t="s">
        <v>8239</v>
      </c>
      <c r="G387" s="11" t="s">
        <v>7553</v>
      </c>
      <c r="H387" s="13" t="s">
        <v>7942</v>
      </c>
      <c r="I387" s="10">
        <v>46192</v>
      </c>
      <c r="J387" s="10" t="s">
        <v>4</v>
      </c>
      <c r="L387" t="s">
        <v>8240</v>
      </c>
    </row>
    <row r="388" spans="1:12" ht="45">
      <c r="A388" s="10">
        <v>46191</v>
      </c>
      <c r="B388" s="12" t="s">
        <v>8241</v>
      </c>
      <c r="C388" s="11" t="s">
        <v>1348</v>
      </c>
      <c r="D388" s="11" t="s">
        <v>7010</v>
      </c>
      <c r="E388" s="11" t="s">
        <v>17</v>
      </c>
      <c r="F388" s="12" t="s">
        <v>8242</v>
      </c>
      <c r="G388" s="11" t="s">
        <v>8200</v>
      </c>
      <c r="H388" s="13" t="s">
        <v>8243</v>
      </c>
      <c r="I388" s="10">
        <v>46192</v>
      </c>
      <c r="J388" s="10" t="s">
        <v>4</v>
      </c>
      <c r="L388" t="s">
        <v>8244</v>
      </c>
    </row>
    <row r="389" spans="1:12" ht="30">
      <c r="A389" s="10">
        <v>46191</v>
      </c>
      <c r="B389" s="11" t="s">
        <v>8245</v>
      </c>
      <c r="C389" s="11" t="s">
        <v>1252</v>
      </c>
      <c r="D389" s="11" t="s">
        <v>7038</v>
      </c>
      <c r="E389" s="11" t="s">
        <v>17</v>
      </c>
      <c r="F389" s="12" t="s">
        <v>8246</v>
      </c>
      <c r="G389" s="11" t="s">
        <v>7553</v>
      </c>
      <c r="H389" s="13" t="s">
        <v>7618</v>
      </c>
      <c r="I389" s="10">
        <v>46196</v>
      </c>
      <c r="J389" s="10" t="s">
        <v>4</v>
      </c>
      <c r="L389" t="s">
        <v>8247</v>
      </c>
    </row>
    <row r="390" spans="1:12">
      <c r="A390" s="10">
        <v>46191</v>
      </c>
      <c r="B390" s="11" t="s">
        <v>8248</v>
      </c>
      <c r="C390" s="11" t="s">
        <v>4584</v>
      </c>
      <c r="D390" s="11" t="s">
        <v>7174</v>
      </c>
      <c r="E390" s="11" t="s">
        <v>17</v>
      </c>
      <c r="F390" s="12" t="s">
        <v>8249</v>
      </c>
      <c r="G390" s="11" t="s">
        <v>6983</v>
      </c>
      <c r="H390" s="13" t="s">
        <v>8250</v>
      </c>
      <c r="I390" s="10">
        <v>46191</v>
      </c>
      <c r="J390" s="10">
        <v>46191.166666666701</v>
      </c>
      <c r="K390" t="s">
        <v>4</v>
      </c>
      <c r="L390" t="s">
        <v>8251</v>
      </c>
    </row>
    <row r="391" spans="1:12" ht="45">
      <c r="A391" s="10">
        <v>46191</v>
      </c>
      <c r="B391" s="12" t="s">
        <v>8252</v>
      </c>
      <c r="C391" s="11" t="s">
        <v>1779</v>
      </c>
      <c r="D391" s="11" t="s">
        <v>7061</v>
      </c>
      <c r="E391" s="11" t="s">
        <v>18</v>
      </c>
      <c r="F391" s="12" t="s">
        <v>8253</v>
      </c>
      <c r="G391" s="11" t="s">
        <v>7553</v>
      </c>
      <c r="H391" s="13" t="s">
        <v>7618</v>
      </c>
      <c r="I391" s="10">
        <v>46192</v>
      </c>
      <c r="J391" s="10" t="s">
        <v>4</v>
      </c>
      <c r="L391" t="s">
        <v>8254</v>
      </c>
    </row>
    <row r="392" spans="1:12" ht="30">
      <c r="A392" s="10">
        <v>46191</v>
      </c>
      <c r="B392" s="12" t="s">
        <v>8255</v>
      </c>
      <c r="C392" s="11" t="s">
        <v>1779</v>
      </c>
      <c r="D392" s="11" t="s">
        <v>7061</v>
      </c>
      <c r="E392" s="11" t="s">
        <v>18</v>
      </c>
      <c r="F392" s="12" t="s">
        <v>8256</v>
      </c>
      <c r="G392" s="11" t="s">
        <v>7553</v>
      </c>
      <c r="H392" s="13" t="s">
        <v>7618</v>
      </c>
      <c r="I392" s="10">
        <v>46192</v>
      </c>
      <c r="J392" s="10" t="s">
        <v>4</v>
      </c>
      <c r="L392" t="s">
        <v>8257</v>
      </c>
    </row>
    <row r="393" spans="1:12">
      <c r="A393" s="10">
        <v>46191</v>
      </c>
      <c r="B393" s="11" t="s">
        <v>8258</v>
      </c>
      <c r="C393" s="11" t="s">
        <v>4584</v>
      </c>
      <c r="D393" s="11" t="s">
        <v>7174</v>
      </c>
      <c r="E393" s="11" t="s">
        <v>17</v>
      </c>
      <c r="F393" s="12" t="s">
        <v>8259</v>
      </c>
      <c r="G393" s="11" t="s">
        <v>6983</v>
      </c>
      <c r="H393" s="13" t="s">
        <v>7030</v>
      </c>
      <c r="I393" s="10">
        <v>46191</v>
      </c>
      <c r="J393" s="57">
        <v>46191.166666666701</v>
      </c>
      <c r="K393" t="s">
        <v>4</v>
      </c>
      <c r="L393" t="s">
        <v>8260</v>
      </c>
    </row>
    <row r="394" spans="1:12" ht="45">
      <c r="A394" s="10">
        <v>46191</v>
      </c>
      <c r="B394" s="11" t="s">
        <v>8261</v>
      </c>
      <c r="C394" s="11" t="s">
        <v>1252</v>
      </c>
      <c r="D394" s="11" t="s">
        <v>7038</v>
      </c>
      <c r="E394" s="11" t="s">
        <v>17</v>
      </c>
      <c r="F394" s="12" t="s">
        <v>8262</v>
      </c>
      <c r="G394" s="11" t="s">
        <v>7553</v>
      </c>
      <c r="H394" s="13" t="s">
        <v>7618</v>
      </c>
      <c r="I394" s="10">
        <v>46195</v>
      </c>
      <c r="J394" s="10" t="s">
        <v>4</v>
      </c>
      <c r="L394" t="s">
        <v>8263</v>
      </c>
    </row>
    <row r="395" spans="1:12">
      <c r="A395" s="10">
        <v>46191</v>
      </c>
      <c r="B395" s="11" t="s">
        <v>8264</v>
      </c>
      <c r="C395" s="11" t="s">
        <v>1436</v>
      </c>
      <c r="D395" s="11" t="s">
        <v>6920</v>
      </c>
      <c r="E395" s="11" t="s">
        <v>18</v>
      </c>
      <c r="F395" s="12" t="s">
        <v>8265</v>
      </c>
      <c r="G395" s="11" t="s">
        <v>7553</v>
      </c>
      <c r="H395" s="13" t="s">
        <v>7618</v>
      </c>
      <c r="I395" s="10">
        <v>46195</v>
      </c>
      <c r="J395" s="10" t="s">
        <v>4</v>
      </c>
      <c r="L395" t="s">
        <v>8266</v>
      </c>
    </row>
    <row r="396" spans="1:12">
      <c r="A396" s="10">
        <v>46191</v>
      </c>
      <c r="B396" s="11" t="s">
        <v>8267</v>
      </c>
      <c r="C396" s="11" t="s">
        <v>1436</v>
      </c>
      <c r="D396" s="11" t="s">
        <v>6920</v>
      </c>
      <c r="E396" s="11" t="s">
        <v>18</v>
      </c>
      <c r="F396" s="12" t="s">
        <v>8268</v>
      </c>
      <c r="G396" s="11" t="s">
        <v>7553</v>
      </c>
      <c r="H396" s="13" t="s">
        <v>7618</v>
      </c>
      <c r="I396" s="10">
        <v>46195</v>
      </c>
      <c r="J396" s="10" t="s">
        <v>8269</v>
      </c>
      <c r="L396" t="s">
        <v>8270</v>
      </c>
    </row>
    <row r="397" spans="1:12">
      <c r="A397" s="10">
        <v>46191</v>
      </c>
      <c r="B397" s="11" t="s">
        <v>8271</v>
      </c>
      <c r="C397" s="11" t="s">
        <v>1436</v>
      </c>
      <c r="D397" s="11" t="s">
        <v>6920</v>
      </c>
      <c r="E397" s="11" t="s">
        <v>18</v>
      </c>
      <c r="F397" s="12" t="s">
        <v>8272</v>
      </c>
      <c r="G397" s="11" t="s">
        <v>7553</v>
      </c>
      <c r="H397" s="13" t="s">
        <v>7618</v>
      </c>
      <c r="I397" s="10">
        <v>46195</v>
      </c>
      <c r="J397" s="10" t="s">
        <v>8269</v>
      </c>
      <c r="L397" t="s">
        <v>8273</v>
      </c>
    </row>
    <row r="398" spans="1:12">
      <c r="A398" s="10">
        <v>46191</v>
      </c>
      <c r="B398" s="11" t="s">
        <v>8274</v>
      </c>
      <c r="C398" s="11" t="s">
        <v>1436</v>
      </c>
      <c r="D398" s="11" t="s">
        <v>6920</v>
      </c>
      <c r="E398" s="11" t="s">
        <v>18</v>
      </c>
      <c r="F398" s="12" t="s">
        <v>8275</v>
      </c>
      <c r="G398" s="11" t="s">
        <v>7553</v>
      </c>
      <c r="H398" s="13" t="s">
        <v>7618</v>
      </c>
      <c r="I398" s="10">
        <v>46195</v>
      </c>
      <c r="J398" s="10" t="s">
        <v>8269</v>
      </c>
      <c r="L398" t="s">
        <v>8276</v>
      </c>
    </row>
    <row r="399" spans="1:12">
      <c r="A399" s="10">
        <v>46191</v>
      </c>
      <c r="B399" s="11" t="s">
        <v>8277</v>
      </c>
      <c r="C399" s="11" t="s">
        <v>1436</v>
      </c>
      <c r="D399" s="11" t="s">
        <v>6920</v>
      </c>
      <c r="E399" s="11" t="s">
        <v>18</v>
      </c>
      <c r="F399" s="12" t="s">
        <v>8278</v>
      </c>
      <c r="G399" s="11" t="s">
        <v>7553</v>
      </c>
      <c r="H399" s="13" t="s">
        <v>7618</v>
      </c>
      <c r="I399" s="10">
        <v>46195</v>
      </c>
      <c r="J399" s="10" t="s">
        <v>4</v>
      </c>
      <c r="L399" t="s">
        <v>8279</v>
      </c>
    </row>
    <row r="400" spans="1:12" ht="30">
      <c r="A400" s="10">
        <v>46191</v>
      </c>
      <c r="B400" s="77" t="s">
        <v>8280</v>
      </c>
      <c r="C400" s="11" t="s">
        <v>7316</v>
      </c>
      <c r="D400" s="11" t="s">
        <v>7701</v>
      </c>
      <c r="E400" s="11" t="s">
        <v>18</v>
      </c>
      <c r="F400" s="12" t="s">
        <v>8281</v>
      </c>
      <c r="G400" s="11" t="s">
        <v>7553</v>
      </c>
      <c r="H400" s="13" t="s">
        <v>7618</v>
      </c>
      <c r="I400" s="10">
        <v>46192</v>
      </c>
      <c r="J400" s="10" t="s">
        <v>4</v>
      </c>
      <c r="L400" t="s">
        <v>8282</v>
      </c>
    </row>
    <row r="401" spans="1:12" ht="90">
      <c r="A401" s="10">
        <v>46191</v>
      </c>
      <c r="B401" s="12" t="s">
        <v>8283</v>
      </c>
      <c r="C401" s="11" t="s">
        <v>461</v>
      </c>
      <c r="D401" s="11" t="s">
        <v>6982</v>
      </c>
      <c r="E401" s="11" t="s">
        <v>17</v>
      </c>
      <c r="F401" s="12" t="s">
        <v>8284</v>
      </c>
      <c r="G401" s="11" t="s">
        <v>6983</v>
      </c>
      <c r="H401" s="13" t="s">
        <v>7458</v>
      </c>
      <c r="I401" s="10">
        <v>46191</v>
      </c>
      <c r="J401" s="10" t="s">
        <v>4</v>
      </c>
      <c r="L401" t="s">
        <v>8285</v>
      </c>
    </row>
    <row r="402" spans="1:12" ht="30">
      <c r="A402" s="10">
        <v>46191</v>
      </c>
      <c r="B402" s="12" t="s">
        <v>8286</v>
      </c>
      <c r="C402" s="11" t="s">
        <v>585</v>
      </c>
      <c r="D402" s="11" t="s">
        <v>7144</v>
      </c>
      <c r="E402" s="11" t="s">
        <v>17</v>
      </c>
      <c r="F402" s="12" t="s">
        <v>8287</v>
      </c>
      <c r="G402" s="11" t="s">
        <v>7553</v>
      </c>
      <c r="H402" s="13" t="s">
        <v>7618</v>
      </c>
      <c r="I402" s="10">
        <v>46192</v>
      </c>
      <c r="J402" s="10" t="s">
        <v>8288</v>
      </c>
      <c r="L402" t="s">
        <v>8289</v>
      </c>
    </row>
    <row r="403" spans="1:12" ht="30">
      <c r="A403" s="10">
        <v>46191</v>
      </c>
      <c r="B403" s="11" t="s">
        <v>8290</v>
      </c>
      <c r="C403" s="11" t="s">
        <v>496</v>
      </c>
      <c r="D403" s="11" t="s">
        <v>7608</v>
      </c>
      <c r="E403" s="11" t="s">
        <v>17</v>
      </c>
      <c r="F403" s="12" t="s">
        <v>8291</v>
      </c>
      <c r="G403" s="11" t="s">
        <v>7553</v>
      </c>
      <c r="H403" s="13" t="s">
        <v>8292</v>
      </c>
      <c r="I403" s="10">
        <v>46192</v>
      </c>
      <c r="J403" s="10" t="s">
        <v>4</v>
      </c>
      <c r="L403" t="s">
        <v>8293</v>
      </c>
    </row>
    <row r="404" spans="1:12" ht="60">
      <c r="A404" s="10">
        <v>46191</v>
      </c>
      <c r="B404" s="12" t="s">
        <v>8294</v>
      </c>
      <c r="C404" s="11" t="s">
        <v>461</v>
      </c>
      <c r="D404" s="11" t="s">
        <v>6982</v>
      </c>
      <c r="E404" s="11" t="s">
        <v>17</v>
      </c>
      <c r="F404" s="12" t="s">
        <v>8295</v>
      </c>
      <c r="G404" s="11" t="s">
        <v>8200</v>
      </c>
      <c r="H404" s="13" t="s">
        <v>7618</v>
      </c>
      <c r="I404" s="10">
        <v>46195</v>
      </c>
      <c r="J404" s="10" t="s">
        <v>4</v>
      </c>
      <c r="L404" t="s">
        <v>8296</v>
      </c>
    </row>
    <row r="405" spans="1:12" ht="30">
      <c r="A405" s="10">
        <v>46191</v>
      </c>
      <c r="B405" s="11" t="s">
        <v>8297</v>
      </c>
      <c r="C405" s="11" t="s">
        <v>1824</v>
      </c>
      <c r="D405" s="11" t="s">
        <v>6971</v>
      </c>
      <c r="E405" s="11" t="s">
        <v>17</v>
      </c>
      <c r="F405" s="12" t="s">
        <v>8298</v>
      </c>
      <c r="G405" s="11" t="s">
        <v>8200</v>
      </c>
      <c r="H405" s="13" t="s">
        <v>8207</v>
      </c>
      <c r="I405" s="10">
        <v>46195</v>
      </c>
      <c r="J405" s="10">
        <v>46198.666666666701</v>
      </c>
      <c r="K405" t="s">
        <v>4</v>
      </c>
      <c r="L405" t="s">
        <v>8299</v>
      </c>
    </row>
    <row r="406" spans="1:12" ht="90">
      <c r="A406" s="10">
        <v>46191</v>
      </c>
      <c r="B406" s="11" t="s">
        <v>8300</v>
      </c>
      <c r="C406" s="11" t="s">
        <v>1512</v>
      </c>
      <c r="D406" s="11" t="s">
        <v>7170</v>
      </c>
      <c r="E406" s="11" t="s">
        <v>17</v>
      </c>
      <c r="F406" s="12" t="s">
        <v>8301</v>
      </c>
      <c r="G406" s="11" t="s">
        <v>7553</v>
      </c>
      <c r="H406" s="13" t="s">
        <v>8302</v>
      </c>
      <c r="I406" s="10">
        <v>46195</v>
      </c>
      <c r="J406" s="10" t="s">
        <v>4</v>
      </c>
      <c r="L406" t="s">
        <v>8303</v>
      </c>
    </row>
    <row r="407" spans="1:12">
      <c r="A407" s="10">
        <v>46195</v>
      </c>
      <c r="B407" s="11" t="s">
        <v>8304</v>
      </c>
      <c r="C407" s="11" t="s">
        <v>839</v>
      </c>
      <c r="D407" s="11" t="s">
        <v>8305</v>
      </c>
      <c r="E407" s="11" t="s">
        <v>18</v>
      </c>
      <c r="F407" s="12" t="s">
        <v>8306</v>
      </c>
      <c r="G407" s="11" t="s">
        <v>8200</v>
      </c>
      <c r="H407" s="13" t="s">
        <v>7618</v>
      </c>
      <c r="I407" s="10">
        <v>46195</v>
      </c>
      <c r="J407" s="10" t="s">
        <v>4</v>
      </c>
      <c r="L407" t="s">
        <v>8307</v>
      </c>
    </row>
    <row r="408" spans="1:12" ht="60">
      <c r="A408" s="10">
        <v>46192</v>
      </c>
      <c r="B408" s="11" t="s">
        <v>8308</v>
      </c>
      <c r="C408" s="11" t="s">
        <v>1348</v>
      </c>
      <c r="D408" s="11" t="s">
        <v>7010</v>
      </c>
      <c r="E408" s="11" t="s">
        <v>17</v>
      </c>
      <c r="F408" s="12" t="s">
        <v>8309</v>
      </c>
      <c r="G408" s="11" t="s">
        <v>8200</v>
      </c>
      <c r="H408" s="13" t="s">
        <v>7618</v>
      </c>
      <c r="I408" s="10">
        <v>46195</v>
      </c>
      <c r="J408" s="10" t="s">
        <v>4</v>
      </c>
      <c r="L408" t="s">
        <v>8310</v>
      </c>
    </row>
    <row r="409" spans="1:12" ht="75">
      <c r="A409" s="10">
        <v>46192</v>
      </c>
      <c r="B409" s="11" t="s">
        <v>8311</v>
      </c>
      <c r="C409" s="11" t="s">
        <v>1348</v>
      </c>
      <c r="D409" s="11" t="s">
        <v>7010</v>
      </c>
      <c r="E409" s="11" t="s">
        <v>17</v>
      </c>
      <c r="F409" s="97" t="s">
        <v>8312</v>
      </c>
      <c r="G409" s="11" t="s">
        <v>7553</v>
      </c>
      <c r="H409" s="13" t="s">
        <v>7618</v>
      </c>
      <c r="I409" s="10">
        <v>46197</v>
      </c>
      <c r="J409" s="10" t="s">
        <v>4</v>
      </c>
      <c r="L409" t="s">
        <v>8313</v>
      </c>
    </row>
    <row r="410" spans="1:12">
      <c r="A410" s="10">
        <v>46192</v>
      </c>
      <c r="B410" s="11" t="s">
        <v>8314</v>
      </c>
      <c r="C410" s="48" t="s">
        <v>2369</v>
      </c>
      <c r="D410" s="11" t="s">
        <v>6961</v>
      </c>
      <c r="E410" s="11" t="s">
        <v>18</v>
      </c>
      <c r="F410" s="12" t="s">
        <v>8315</v>
      </c>
      <c r="G410" s="11" t="s">
        <v>8200</v>
      </c>
      <c r="H410" s="13" t="s">
        <v>7618</v>
      </c>
      <c r="I410" s="10">
        <v>46195</v>
      </c>
      <c r="J410" s="10" t="s">
        <v>8269</v>
      </c>
      <c r="L410" t="s">
        <v>8316</v>
      </c>
    </row>
    <row r="411" spans="1:12" ht="105">
      <c r="A411" s="10">
        <v>46193</v>
      </c>
      <c r="B411" s="11" t="s">
        <v>8317</v>
      </c>
      <c r="C411" s="11" t="s">
        <v>674</v>
      </c>
      <c r="D411" s="11" t="s">
        <v>6993</v>
      </c>
      <c r="E411" s="11" t="s">
        <v>8318</v>
      </c>
      <c r="F411" s="12" t="s">
        <v>8319</v>
      </c>
      <c r="G411" s="11" t="s">
        <v>8200</v>
      </c>
      <c r="H411" s="13" t="s">
        <v>7618</v>
      </c>
      <c r="I411" s="10">
        <v>46195</v>
      </c>
      <c r="J411" s="10">
        <v>46197</v>
      </c>
      <c r="L411" t="s">
        <v>8320</v>
      </c>
    </row>
    <row r="412" spans="1:12" ht="60">
      <c r="A412" s="10">
        <v>46193</v>
      </c>
      <c r="B412" s="11" t="s">
        <v>8321</v>
      </c>
      <c r="C412" s="11" t="s">
        <v>674</v>
      </c>
      <c r="D412" s="11" t="s">
        <v>6993</v>
      </c>
      <c r="E412" s="11" t="s">
        <v>8318</v>
      </c>
      <c r="F412" s="12" t="s">
        <v>8322</v>
      </c>
      <c r="G412" s="11" t="s">
        <v>7553</v>
      </c>
      <c r="H412" s="13" t="s">
        <v>7618</v>
      </c>
      <c r="I412" s="10">
        <v>46196</v>
      </c>
      <c r="J412" s="10">
        <v>46197</v>
      </c>
      <c r="L412" t="s">
        <v>8323</v>
      </c>
    </row>
    <row r="413" spans="1:12" ht="28.5">
      <c r="A413" s="10">
        <v>46195</v>
      </c>
      <c r="B413" s="98" t="s">
        <v>8324</v>
      </c>
      <c r="C413" s="48" t="s">
        <v>2168</v>
      </c>
      <c r="D413" s="11" t="s">
        <v>7102</v>
      </c>
      <c r="E413" s="11" t="s">
        <v>17</v>
      </c>
      <c r="F413" s="91" t="s">
        <v>8325</v>
      </c>
      <c r="G413" s="11" t="s">
        <v>6891</v>
      </c>
      <c r="H413" s="13" t="s">
        <v>7618</v>
      </c>
      <c r="I413" s="10">
        <v>46196</v>
      </c>
      <c r="J413" s="10" t="s">
        <v>8326</v>
      </c>
      <c r="L413" t="s">
        <v>8327</v>
      </c>
    </row>
    <row r="414" spans="1:12">
      <c r="A414" s="59">
        <v>46195</v>
      </c>
      <c r="B414" s="99" t="s">
        <v>8328</v>
      </c>
      <c r="C414" s="48" t="s">
        <v>2168</v>
      </c>
      <c r="D414" s="11" t="s">
        <v>7102</v>
      </c>
      <c r="E414" s="11" t="s">
        <v>17</v>
      </c>
      <c r="F414" s="91" t="s">
        <v>8329</v>
      </c>
      <c r="G414" s="11" t="s">
        <v>6891</v>
      </c>
      <c r="H414" s="13" t="s">
        <v>7618</v>
      </c>
      <c r="I414" s="10">
        <v>46196</v>
      </c>
      <c r="J414" s="10" t="s">
        <v>8330</v>
      </c>
      <c r="L414" t="s">
        <v>8331</v>
      </c>
    </row>
    <row r="415" spans="1:12" ht="60">
      <c r="A415" s="10">
        <v>46195</v>
      </c>
      <c r="B415" s="11" t="s">
        <v>8332</v>
      </c>
      <c r="C415" s="11" t="s">
        <v>1824</v>
      </c>
      <c r="D415" s="11" t="s">
        <v>8333</v>
      </c>
      <c r="E415" s="11" t="s">
        <v>17</v>
      </c>
      <c r="F415" s="12" t="s">
        <v>8334</v>
      </c>
      <c r="G415" s="11" t="s">
        <v>7553</v>
      </c>
      <c r="H415" s="13" t="s">
        <v>8335</v>
      </c>
      <c r="I415" s="10">
        <v>46196</v>
      </c>
      <c r="J415" s="10">
        <v>46196.666666666701</v>
      </c>
      <c r="K415" t="s">
        <v>4</v>
      </c>
      <c r="L415" t="s">
        <v>8336</v>
      </c>
    </row>
    <row r="416" spans="1:12" ht="30">
      <c r="A416" s="10">
        <v>46195</v>
      </c>
      <c r="B416" s="12" t="s">
        <v>8337</v>
      </c>
      <c r="C416" s="11" t="s">
        <v>7316</v>
      </c>
      <c r="D416" s="11" t="s">
        <v>7317</v>
      </c>
      <c r="F416" s="12" t="s">
        <v>8338</v>
      </c>
      <c r="G416" s="11" t="s">
        <v>6922</v>
      </c>
      <c r="H416" s="13" t="s">
        <v>7618</v>
      </c>
      <c r="I416" s="10">
        <v>46196</v>
      </c>
      <c r="J416" s="10" t="s">
        <v>4</v>
      </c>
      <c r="L416" t="s">
        <v>8339</v>
      </c>
    </row>
    <row r="417" spans="1:12" ht="120">
      <c r="A417" s="10">
        <v>46195</v>
      </c>
      <c r="B417" s="11" t="s">
        <v>8340</v>
      </c>
      <c r="C417" s="11" t="s">
        <v>1555</v>
      </c>
      <c r="D417" s="11" t="s">
        <v>8341</v>
      </c>
      <c r="E417" s="11" t="s">
        <v>17</v>
      </c>
      <c r="F417" s="12" t="s">
        <v>8342</v>
      </c>
      <c r="G417" s="11" t="s">
        <v>7553</v>
      </c>
      <c r="H417" s="13" t="s">
        <v>7618</v>
      </c>
      <c r="I417" s="10">
        <v>46197</v>
      </c>
      <c r="J417" s="100" t="s">
        <v>8343</v>
      </c>
      <c r="L417" t="s">
        <v>8344</v>
      </c>
    </row>
    <row r="418" spans="1:12" ht="45">
      <c r="A418" s="10">
        <v>46195</v>
      </c>
      <c r="B418" s="11" t="s">
        <v>8345</v>
      </c>
      <c r="C418" s="11" t="s">
        <v>585</v>
      </c>
      <c r="D418" s="11" t="s">
        <v>7973</v>
      </c>
      <c r="E418" s="11" t="s">
        <v>17</v>
      </c>
      <c r="F418" s="12" t="s">
        <v>8346</v>
      </c>
      <c r="G418" s="11" t="s">
        <v>6891</v>
      </c>
      <c r="H418" s="13" t="s">
        <v>8347</v>
      </c>
      <c r="I418" s="10">
        <v>46195</v>
      </c>
      <c r="J418" s="10" t="s">
        <v>8348</v>
      </c>
      <c r="L418" t="s">
        <v>8349</v>
      </c>
    </row>
    <row r="419" spans="1:12" ht="30">
      <c r="A419" s="10">
        <v>46195</v>
      </c>
      <c r="B419" s="11" t="s">
        <v>8350</v>
      </c>
      <c r="C419" s="11" t="s">
        <v>1824</v>
      </c>
      <c r="D419" s="11" t="s">
        <v>8333</v>
      </c>
      <c r="E419" s="11" t="s">
        <v>17</v>
      </c>
      <c r="F419" s="12" t="s">
        <v>8351</v>
      </c>
      <c r="G419" s="11" t="s">
        <v>8200</v>
      </c>
      <c r="H419" s="13" t="s">
        <v>8352</v>
      </c>
      <c r="I419" s="10">
        <v>46197</v>
      </c>
      <c r="J419" s="10">
        <v>46196.666666666701</v>
      </c>
      <c r="K419" t="s">
        <v>4</v>
      </c>
      <c r="L419" t="s">
        <v>8353</v>
      </c>
    </row>
    <row r="420" spans="1:12" ht="30">
      <c r="A420" s="10">
        <v>46195</v>
      </c>
      <c r="B420" s="11" t="s">
        <v>8354</v>
      </c>
      <c r="C420" s="11" t="s">
        <v>1371</v>
      </c>
      <c r="D420" s="11" t="s">
        <v>7164</v>
      </c>
      <c r="E420" s="11" t="s">
        <v>17</v>
      </c>
      <c r="F420" s="12" t="s">
        <v>8355</v>
      </c>
      <c r="G420" s="11" t="s">
        <v>7553</v>
      </c>
      <c r="H420" s="13" t="s">
        <v>8356</v>
      </c>
      <c r="I420" s="10">
        <v>46195</v>
      </c>
      <c r="J420" s="10" t="s">
        <v>8348</v>
      </c>
      <c r="L420" t="s">
        <v>8357</v>
      </c>
    </row>
    <row r="421" spans="1:12" ht="45">
      <c r="A421" s="10">
        <v>46195</v>
      </c>
      <c r="B421" s="11" t="s">
        <v>8358</v>
      </c>
      <c r="C421" s="11" t="s">
        <v>585</v>
      </c>
      <c r="D421" s="11" t="s">
        <v>7144</v>
      </c>
      <c r="E421" s="11" t="s">
        <v>17</v>
      </c>
      <c r="F421" s="12" t="s">
        <v>8359</v>
      </c>
      <c r="G421" s="11" t="s">
        <v>6891</v>
      </c>
      <c r="H421" s="13" t="s">
        <v>8347</v>
      </c>
      <c r="I421" s="10">
        <v>46195</v>
      </c>
      <c r="J421" s="10" t="s">
        <v>8348</v>
      </c>
      <c r="L421" t="s">
        <v>8360</v>
      </c>
    </row>
    <row r="422" spans="1:12" ht="75">
      <c r="A422" s="10">
        <v>46195</v>
      </c>
      <c r="B422" s="11" t="s">
        <v>8361</v>
      </c>
      <c r="C422" s="11" t="s">
        <v>1555</v>
      </c>
      <c r="D422" s="11" t="s">
        <v>8341</v>
      </c>
      <c r="E422" s="11" t="s">
        <v>17</v>
      </c>
      <c r="F422" s="12" t="s">
        <v>8362</v>
      </c>
      <c r="G422" s="11" t="s">
        <v>8200</v>
      </c>
      <c r="H422" s="13" t="s">
        <v>8356</v>
      </c>
      <c r="I422" s="10">
        <v>46197</v>
      </c>
      <c r="J422" s="10" t="s">
        <v>8363</v>
      </c>
      <c r="L422" t="s">
        <v>8364</v>
      </c>
    </row>
    <row r="423" spans="1:12" ht="45">
      <c r="A423" s="10">
        <v>46195</v>
      </c>
      <c r="B423" s="11" t="s">
        <v>8365</v>
      </c>
      <c r="C423" s="11" t="s">
        <v>496</v>
      </c>
      <c r="D423" s="11" t="s">
        <v>7608</v>
      </c>
      <c r="E423" s="11" t="s">
        <v>17</v>
      </c>
      <c r="F423" s="12" t="s">
        <v>8366</v>
      </c>
      <c r="G423" s="11" t="s">
        <v>6983</v>
      </c>
      <c r="H423" s="13" t="s">
        <v>8367</v>
      </c>
      <c r="I423" s="10">
        <v>46196</v>
      </c>
      <c r="J423" s="10" t="s">
        <v>8368</v>
      </c>
      <c r="L423" t="s">
        <v>8369</v>
      </c>
    </row>
    <row r="424" spans="1:12" ht="30">
      <c r="A424" s="10">
        <v>46195</v>
      </c>
      <c r="B424" s="11" t="s">
        <v>8370</v>
      </c>
      <c r="C424" s="11" t="s">
        <v>1371</v>
      </c>
      <c r="D424" s="11" t="s">
        <v>7164</v>
      </c>
      <c r="E424" s="11" t="s">
        <v>17</v>
      </c>
      <c r="F424" s="12" t="s">
        <v>8371</v>
      </c>
      <c r="G424" s="11" t="s">
        <v>7553</v>
      </c>
      <c r="H424" s="13" t="s">
        <v>8372</v>
      </c>
      <c r="I424" s="10">
        <v>46195</v>
      </c>
      <c r="J424" s="10" t="s">
        <v>4</v>
      </c>
      <c r="L424" t="s">
        <v>8373</v>
      </c>
    </row>
    <row r="425" spans="1:12" ht="60">
      <c r="A425" s="10">
        <v>46195</v>
      </c>
      <c r="B425" s="11" t="s">
        <v>8374</v>
      </c>
      <c r="C425" s="11" t="s">
        <v>1555</v>
      </c>
      <c r="D425" s="11" t="s">
        <v>8341</v>
      </c>
      <c r="E425" s="11" t="s">
        <v>17</v>
      </c>
      <c r="F425" s="12" t="s">
        <v>8375</v>
      </c>
      <c r="G425" s="11" t="s">
        <v>8200</v>
      </c>
      <c r="H425" s="13" t="s">
        <v>8352</v>
      </c>
      <c r="I425" s="10">
        <v>46197</v>
      </c>
      <c r="J425" s="10" t="s">
        <v>8376</v>
      </c>
      <c r="L425" t="s">
        <v>8377</v>
      </c>
    </row>
    <row r="426" spans="1:12" ht="30">
      <c r="A426" s="10">
        <v>46196</v>
      </c>
      <c r="B426" s="11" t="s">
        <v>8378</v>
      </c>
      <c r="C426" s="11" t="s">
        <v>585</v>
      </c>
      <c r="D426" s="11" t="s">
        <v>7973</v>
      </c>
      <c r="E426" s="11" t="s">
        <v>17</v>
      </c>
      <c r="F426" s="12" t="s">
        <v>8379</v>
      </c>
      <c r="G426" s="11" t="s">
        <v>6891</v>
      </c>
      <c r="H426" s="13" t="s">
        <v>7618</v>
      </c>
      <c r="I426" s="10">
        <v>46196</v>
      </c>
      <c r="J426" s="10" t="s">
        <v>8380</v>
      </c>
      <c r="L426" t="s">
        <v>8381</v>
      </c>
    </row>
    <row r="427" spans="1:12">
      <c r="A427" s="10">
        <v>46196</v>
      </c>
      <c r="B427" s="11" t="s">
        <v>8382</v>
      </c>
      <c r="C427" s="11" t="s">
        <v>4584</v>
      </c>
      <c r="D427" s="11" t="s">
        <v>7174</v>
      </c>
      <c r="E427" s="11" t="s">
        <v>17</v>
      </c>
      <c r="F427" s="12" t="s">
        <v>8383</v>
      </c>
      <c r="G427" s="11" t="s">
        <v>6983</v>
      </c>
      <c r="H427" s="13" t="s">
        <v>7618</v>
      </c>
      <c r="I427" s="10">
        <v>46196</v>
      </c>
      <c r="J427" s="57">
        <v>46196.166666666701</v>
      </c>
      <c r="K427" t="s">
        <v>4</v>
      </c>
      <c r="L427" t="s">
        <v>8384</v>
      </c>
    </row>
    <row r="428" spans="1:12">
      <c r="A428" s="10">
        <v>46196</v>
      </c>
      <c r="B428" s="11" t="s">
        <v>8385</v>
      </c>
      <c r="C428" s="11" t="s">
        <v>1252</v>
      </c>
      <c r="D428" s="11" t="s">
        <v>7038</v>
      </c>
      <c r="E428" s="11" t="s">
        <v>17</v>
      </c>
      <c r="F428" s="12" t="s">
        <v>8386</v>
      </c>
      <c r="G428" s="11" t="s">
        <v>8200</v>
      </c>
      <c r="H428" s="13" t="s">
        <v>7618</v>
      </c>
      <c r="I428" s="10">
        <v>46197</v>
      </c>
      <c r="J428" s="10" t="s">
        <v>4</v>
      </c>
      <c r="L428" t="s">
        <v>8387</v>
      </c>
    </row>
    <row r="429" spans="1:12" ht="30">
      <c r="A429" s="10">
        <v>46196</v>
      </c>
      <c r="B429" s="11" t="s">
        <v>8388</v>
      </c>
      <c r="C429" s="11" t="s">
        <v>1874</v>
      </c>
      <c r="D429" s="11" t="s">
        <v>7000</v>
      </c>
      <c r="E429" s="11" t="s">
        <v>17</v>
      </c>
      <c r="F429" s="12" t="s">
        <v>8389</v>
      </c>
      <c r="G429" s="11" t="s">
        <v>6891</v>
      </c>
      <c r="H429" s="13" t="s">
        <v>7618</v>
      </c>
      <c r="I429" s="10">
        <v>46196</v>
      </c>
      <c r="J429" s="10" t="s">
        <v>7821</v>
      </c>
      <c r="L429" t="s">
        <v>8390</v>
      </c>
    </row>
    <row r="430" spans="1:12">
      <c r="A430" s="10">
        <v>46196</v>
      </c>
      <c r="B430" s="11" t="s">
        <v>8391</v>
      </c>
      <c r="C430" s="11" t="s">
        <v>1348</v>
      </c>
      <c r="D430" s="11" t="s">
        <v>7010</v>
      </c>
      <c r="E430" s="11" t="s">
        <v>17</v>
      </c>
      <c r="F430" s="12" t="s">
        <v>8392</v>
      </c>
      <c r="G430" s="11" t="s">
        <v>6922</v>
      </c>
      <c r="H430" s="13" t="s">
        <v>8393</v>
      </c>
      <c r="I430" s="10">
        <v>46196</v>
      </c>
      <c r="J430" s="10" t="s">
        <v>4</v>
      </c>
      <c r="L430" t="s">
        <v>8394</v>
      </c>
    </row>
    <row r="431" spans="1:12" ht="45">
      <c r="A431" s="10">
        <v>46196</v>
      </c>
      <c r="B431" s="12" t="s">
        <v>8395</v>
      </c>
      <c r="C431" s="11" t="s">
        <v>518</v>
      </c>
      <c r="D431" s="11" t="s">
        <v>6916</v>
      </c>
      <c r="E431" s="11" t="s">
        <v>17</v>
      </c>
      <c r="F431" s="12" t="s">
        <v>8396</v>
      </c>
      <c r="G431" s="11" t="s">
        <v>8200</v>
      </c>
      <c r="H431" s="13" t="s">
        <v>8397</v>
      </c>
      <c r="I431" s="10">
        <v>46197</v>
      </c>
      <c r="J431" s="10" t="s">
        <v>4</v>
      </c>
      <c r="L431" t="s">
        <v>8398</v>
      </c>
    </row>
    <row r="432" spans="1:12">
      <c r="A432" s="10">
        <v>46196</v>
      </c>
      <c r="B432" s="11" t="s">
        <v>8399</v>
      </c>
      <c r="C432" s="11" t="s">
        <v>1348</v>
      </c>
      <c r="D432" s="11" t="s">
        <v>7010</v>
      </c>
      <c r="E432" s="11" t="s">
        <v>17</v>
      </c>
      <c r="F432" s="12" t="s">
        <v>8400</v>
      </c>
      <c r="G432" s="11" t="s">
        <v>6922</v>
      </c>
      <c r="H432" s="13" t="s">
        <v>7618</v>
      </c>
      <c r="I432" s="10">
        <v>46197</v>
      </c>
      <c r="J432" s="10" t="s">
        <v>4</v>
      </c>
      <c r="L432" t="s">
        <v>8401</v>
      </c>
    </row>
    <row r="433" spans="1:12" ht="60">
      <c r="A433" s="10">
        <v>46196</v>
      </c>
      <c r="B433" s="11" t="s">
        <v>8402</v>
      </c>
      <c r="C433" s="11" t="s">
        <v>585</v>
      </c>
      <c r="D433" s="11" t="s">
        <v>7144</v>
      </c>
      <c r="E433" s="11" t="s">
        <v>17</v>
      </c>
      <c r="F433" s="12" t="s">
        <v>8403</v>
      </c>
      <c r="G433" s="11" t="s">
        <v>7553</v>
      </c>
      <c r="H433" s="13" t="s">
        <v>8404</v>
      </c>
      <c r="I433" s="10">
        <v>46197</v>
      </c>
      <c r="J433" s="10" t="s">
        <v>8405</v>
      </c>
      <c r="L433" t="s">
        <v>8406</v>
      </c>
    </row>
    <row r="434" spans="1:12">
      <c r="A434" s="10">
        <v>46195</v>
      </c>
      <c r="B434" s="11" t="s">
        <v>8407</v>
      </c>
      <c r="C434" s="11" t="s">
        <v>1824</v>
      </c>
      <c r="D434" s="11" t="s">
        <v>8333</v>
      </c>
      <c r="E434" s="11" t="s">
        <v>17</v>
      </c>
      <c r="F434" s="12" t="s">
        <v>8408</v>
      </c>
      <c r="G434" s="11" t="s">
        <v>8200</v>
      </c>
      <c r="H434" s="13" t="s">
        <v>8356</v>
      </c>
      <c r="I434" s="10">
        <v>46197</v>
      </c>
      <c r="J434" s="10">
        <v>46195.666666666701</v>
      </c>
      <c r="K434" t="s">
        <v>4</v>
      </c>
      <c r="L434" t="s">
        <v>8409</v>
      </c>
    </row>
    <row r="435" spans="1:12">
      <c r="A435" s="10">
        <v>46195</v>
      </c>
      <c r="B435" s="11" t="s">
        <v>8410</v>
      </c>
      <c r="C435" s="11" t="s">
        <v>4584</v>
      </c>
      <c r="D435" s="11" t="s">
        <v>7174</v>
      </c>
      <c r="E435" s="11" t="s">
        <v>17</v>
      </c>
      <c r="F435" s="12" t="s">
        <v>8411</v>
      </c>
      <c r="G435" s="11" t="s">
        <v>6983</v>
      </c>
      <c r="H435" s="13" t="s">
        <v>7618</v>
      </c>
      <c r="I435" s="10">
        <v>46196</v>
      </c>
      <c r="J435" s="57">
        <v>46197.166666666701</v>
      </c>
      <c r="K435" t="s">
        <v>4</v>
      </c>
      <c r="L435" t="s">
        <v>8412</v>
      </c>
    </row>
    <row r="436" spans="1:12" ht="15.75">
      <c r="A436" s="10">
        <v>46196</v>
      </c>
      <c r="B436" s="101" t="s">
        <v>8006</v>
      </c>
      <c r="C436" s="11" t="s">
        <v>983</v>
      </c>
      <c r="D436" s="11" t="s">
        <v>7058</v>
      </c>
      <c r="E436" s="11" t="s">
        <v>17</v>
      </c>
      <c r="F436" s="12" t="s">
        <v>8413</v>
      </c>
      <c r="G436" s="11" t="s">
        <v>6891</v>
      </c>
      <c r="H436" s="13" t="s">
        <v>7618</v>
      </c>
      <c r="I436" s="10">
        <v>46197</v>
      </c>
      <c r="J436" s="10" t="s">
        <v>4916</v>
      </c>
      <c r="L436" t="s">
        <v>8414</v>
      </c>
    </row>
    <row r="437" spans="1:12" ht="15.75">
      <c r="A437" s="10">
        <v>46196</v>
      </c>
      <c r="B437" s="101" t="s">
        <v>8415</v>
      </c>
      <c r="C437" s="11" t="s">
        <v>983</v>
      </c>
      <c r="D437" s="11" t="s">
        <v>7058</v>
      </c>
      <c r="E437" s="11" t="s">
        <v>17</v>
      </c>
      <c r="F437" s="12" t="s">
        <v>8416</v>
      </c>
      <c r="G437" s="11" t="s">
        <v>7553</v>
      </c>
      <c r="H437" s="13" t="s">
        <v>7618</v>
      </c>
      <c r="I437" s="10">
        <v>46197</v>
      </c>
      <c r="J437" s="10" t="s">
        <v>4916</v>
      </c>
      <c r="L437" t="s">
        <v>8417</v>
      </c>
    </row>
    <row r="438" spans="1:12">
      <c r="A438" s="10">
        <v>46197</v>
      </c>
      <c r="B438" s="11" t="s">
        <v>8418</v>
      </c>
      <c r="C438" s="11" t="s">
        <v>1436</v>
      </c>
      <c r="D438" s="11" t="s">
        <v>6920</v>
      </c>
      <c r="E438" s="11" t="s">
        <v>8419</v>
      </c>
      <c r="F438" s="12" t="s">
        <v>8420</v>
      </c>
      <c r="G438" s="11" t="s">
        <v>6922</v>
      </c>
      <c r="H438" s="13" t="s">
        <v>7618</v>
      </c>
      <c r="I438" s="10">
        <v>46197</v>
      </c>
      <c r="J438" s="10" t="s">
        <v>8421</v>
      </c>
      <c r="L438" t="s">
        <v>8422</v>
      </c>
    </row>
    <row r="439" spans="1:12">
      <c r="A439" s="10">
        <v>46197</v>
      </c>
      <c r="B439" s="11" t="s">
        <v>8423</v>
      </c>
      <c r="C439" s="11" t="s">
        <v>1252</v>
      </c>
      <c r="D439" s="11" t="s">
        <v>7038</v>
      </c>
      <c r="E439" s="11" t="s">
        <v>17</v>
      </c>
      <c r="F439" s="12" t="s">
        <v>8424</v>
      </c>
      <c r="G439" s="11" t="s">
        <v>7553</v>
      </c>
      <c r="H439" s="13" t="s">
        <v>7618</v>
      </c>
      <c r="I439" s="10">
        <v>46197</v>
      </c>
      <c r="J439" s="10" t="s">
        <v>4</v>
      </c>
      <c r="L439" t="s">
        <v>8425</v>
      </c>
    </row>
    <row r="440" spans="1:12">
      <c r="A440" s="10">
        <v>46197</v>
      </c>
      <c r="B440" s="11" t="s">
        <v>8426</v>
      </c>
      <c r="C440" s="11" t="s">
        <v>1371</v>
      </c>
      <c r="D440" s="11" t="s">
        <v>7164</v>
      </c>
      <c r="E440" s="11" t="s">
        <v>17</v>
      </c>
      <c r="F440" s="12" t="s">
        <v>8427</v>
      </c>
      <c r="G440" s="11" t="s">
        <v>6891</v>
      </c>
      <c r="H440" s="13" t="s">
        <v>8428</v>
      </c>
      <c r="I440" s="10">
        <v>46197</v>
      </c>
      <c r="J440" s="10" t="s">
        <v>4</v>
      </c>
      <c r="L440" t="s">
        <v>8429</v>
      </c>
    </row>
    <row r="441" spans="1:12">
      <c r="A441" s="10">
        <v>46197</v>
      </c>
      <c r="B441" s="12" t="s">
        <v>8430</v>
      </c>
      <c r="C441" s="11" t="s">
        <v>1874</v>
      </c>
      <c r="D441" s="11" t="s">
        <v>7000</v>
      </c>
      <c r="E441" s="11" t="s">
        <v>17</v>
      </c>
      <c r="F441" s="12" t="s">
        <v>8431</v>
      </c>
      <c r="G441" s="11" t="s">
        <v>6891</v>
      </c>
      <c r="H441" s="13" t="s">
        <v>8428</v>
      </c>
      <c r="I441" s="10">
        <v>46197</v>
      </c>
      <c r="J441" s="10" t="s">
        <v>4</v>
      </c>
      <c r="L441" t="s">
        <v>8432</v>
      </c>
    </row>
    <row r="442" spans="1:12">
      <c r="A442" s="10">
        <v>46197</v>
      </c>
      <c r="B442" s="102" t="s">
        <v>8433</v>
      </c>
      <c r="C442" s="11" t="s">
        <v>648</v>
      </c>
      <c r="D442" s="11" t="s">
        <v>8434</v>
      </c>
      <c r="E442" s="11" t="s">
        <v>17</v>
      </c>
      <c r="F442" s="12" t="s">
        <v>8435</v>
      </c>
      <c r="G442" s="11" t="s">
        <v>8200</v>
      </c>
      <c r="H442" s="13" t="s">
        <v>8356</v>
      </c>
      <c r="I442" s="10">
        <v>46197</v>
      </c>
      <c r="J442" s="10" t="s">
        <v>4</v>
      </c>
      <c r="L442" t="s">
        <v>8436</v>
      </c>
    </row>
    <row r="443" spans="1:12">
      <c r="A443" s="10">
        <v>46197</v>
      </c>
      <c r="B443" s="11" t="s">
        <v>8437</v>
      </c>
      <c r="C443" s="11" t="s">
        <v>1053</v>
      </c>
      <c r="D443" s="11" t="s">
        <v>7532</v>
      </c>
      <c r="E443" s="11" t="s">
        <v>13</v>
      </c>
      <c r="F443" s="12" t="s">
        <v>8438</v>
      </c>
      <c r="G443" s="11" t="s">
        <v>6891</v>
      </c>
      <c r="H443" s="13" t="s">
        <v>8428</v>
      </c>
      <c r="I443" s="10">
        <v>46197</v>
      </c>
      <c r="J443" s="10">
        <v>46272.666666666701</v>
      </c>
      <c r="K443" t="s">
        <v>4</v>
      </c>
      <c r="L443" t="s">
        <v>8439</v>
      </c>
    </row>
    <row r="444" spans="1:12" ht="30">
      <c r="A444" s="10">
        <v>46197</v>
      </c>
      <c r="B444" s="11" t="s">
        <v>8440</v>
      </c>
      <c r="C444" s="11" t="s">
        <v>1053</v>
      </c>
      <c r="D444" s="11" t="s">
        <v>7532</v>
      </c>
      <c r="E444" s="11" t="s">
        <v>13</v>
      </c>
      <c r="F444" s="12" t="s">
        <v>8441</v>
      </c>
      <c r="G444" s="11" t="s">
        <v>6891</v>
      </c>
      <c r="H444" s="13" t="s">
        <v>8442</v>
      </c>
      <c r="I444" s="10">
        <v>46197</v>
      </c>
      <c r="J444" s="10">
        <v>46272.666666666701</v>
      </c>
      <c r="K444" t="s">
        <v>4</v>
      </c>
      <c r="L444" t="s">
        <v>8443</v>
      </c>
    </row>
    <row r="445" spans="1:12">
      <c r="A445" s="10">
        <v>46197</v>
      </c>
      <c r="B445" s="11" t="s">
        <v>8444</v>
      </c>
      <c r="C445" s="11" t="s">
        <v>2369</v>
      </c>
      <c r="D445" s="11" t="s">
        <v>6961</v>
      </c>
      <c r="E445" s="11" t="s">
        <v>18</v>
      </c>
      <c r="F445" s="12" t="s">
        <v>8445</v>
      </c>
      <c r="G445" s="11" t="s">
        <v>7553</v>
      </c>
      <c r="H445" s="13" t="s">
        <v>7618</v>
      </c>
      <c r="I445" s="10">
        <v>46197</v>
      </c>
      <c r="J445" s="10" t="s">
        <v>8269</v>
      </c>
      <c r="L445" t="s">
        <v>8446</v>
      </c>
    </row>
    <row r="446" spans="1:12" ht="60">
      <c r="A446" s="10">
        <v>46197</v>
      </c>
      <c r="B446" s="11" t="s">
        <v>8447</v>
      </c>
      <c r="C446" s="11" t="s">
        <v>1348</v>
      </c>
      <c r="D446" s="11" t="s">
        <v>7010</v>
      </c>
      <c r="E446" s="11" t="s">
        <v>17</v>
      </c>
      <c r="F446" s="12" t="s">
        <v>8448</v>
      </c>
      <c r="G446" s="11" t="s">
        <v>7553</v>
      </c>
      <c r="H446" s="13" t="s">
        <v>7618</v>
      </c>
      <c r="I446" s="10">
        <v>46197</v>
      </c>
      <c r="J446" s="10" t="s">
        <v>4</v>
      </c>
      <c r="L446" t="s">
        <v>8449</v>
      </c>
    </row>
    <row r="447" spans="1:12" ht="30">
      <c r="A447" s="10">
        <v>46197</v>
      </c>
      <c r="B447" s="12" t="s">
        <v>8450</v>
      </c>
      <c r="C447" s="11" t="s">
        <v>1779</v>
      </c>
      <c r="D447" s="11" t="s">
        <v>7383</v>
      </c>
      <c r="E447" s="11" t="s">
        <v>18</v>
      </c>
      <c r="F447" s="12" t="s">
        <v>8451</v>
      </c>
      <c r="G447" s="11" t="s">
        <v>6891</v>
      </c>
      <c r="H447" s="13" t="s">
        <v>8428</v>
      </c>
      <c r="I447" s="10">
        <v>46197</v>
      </c>
      <c r="J447" s="10" t="s">
        <v>4</v>
      </c>
      <c r="L447" t="s">
        <v>8452</v>
      </c>
    </row>
    <row r="448" spans="1:12">
      <c r="A448" s="10">
        <v>46197</v>
      </c>
      <c r="B448" s="11" t="s">
        <v>8453</v>
      </c>
      <c r="C448" s="11" t="s">
        <v>700</v>
      </c>
      <c r="D448" s="11" t="s">
        <v>7726</v>
      </c>
      <c r="E448" s="11" t="s">
        <v>18</v>
      </c>
      <c r="F448" s="12" t="s">
        <v>8454</v>
      </c>
      <c r="G448" s="11" t="s">
        <v>7553</v>
      </c>
      <c r="H448" s="13" t="s">
        <v>7618</v>
      </c>
      <c r="I448" s="10">
        <v>46197</v>
      </c>
      <c r="J448" s="10">
        <v>46275.666666666701</v>
      </c>
      <c r="K448" t="s">
        <v>4</v>
      </c>
      <c r="L448" t="s">
        <v>8455</v>
      </c>
    </row>
    <row r="449" spans="1:12" ht="105">
      <c r="A449" s="10">
        <v>46197</v>
      </c>
      <c r="B449" s="12" t="s">
        <v>8456</v>
      </c>
      <c r="C449" s="11" t="s">
        <v>461</v>
      </c>
      <c r="D449" s="11" t="s">
        <v>6982</v>
      </c>
      <c r="E449" s="11" t="s">
        <v>17</v>
      </c>
      <c r="F449" s="12" t="s">
        <v>8457</v>
      </c>
      <c r="G449" s="11" t="s">
        <v>7553</v>
      </c>
      <c r="H449" s="13" t="s">
        <v>7618</v>
      </c>
      <c r="I449" s="10">
        <v>46197</v>
      </c>
      <c r="J449" s="10" t="s">
        <v>4</v>
      </c>
      <c r="L449" t="s">
        <v>8458</v>
      </c>
    </row>
    <row r="450" spans="1:12" ht="75">
      <c r="A450" s="10">
        <v>46197</v>
      </c>
      <c r="B450" s="12" t="s">
        <v>8459</v>
      </c>
      <c r="C450" s="11" t="s">
        <v>461</v>
      </c>
      <c r="D450" s="11" t="s">
        <v>6982</v>
      </c>
      <c r="E450" s="11" t="s">
        <v>17</v>
      </c>
      <c r="F450" s="12" t="s">
        <v>8460</v>
      </c>
      <c r="G450" s="11" t="s">
        <v>7553</v>
      </c>
      <c r="H450" s="13" t="s">
        <v>7618</v>
      </c>
      <c r="I450" s="10">
        <v>46197</v>
      </c>
      <c r="J450" s="10" t="s">
        <v>4</v>
      </c>
      <c r="L450" t="s">
        <v>8461</v>
      </c>
    </row>
    <row r="451" spans="1:12" ht="90">
      <c r="A451" s="10">
        <v>46197</v>
      </c>
      <c r="B451" s="101" t="s">
        <v>8462</v>
      </c>
      <c r="C451" s="11" t="s">
        <v>983</v>
      </c>
      <c r="D451" s="11" t="s">
        <v>7058</v>
      </c>
      <c r="E451" s="11" t="s">
        <v>17</v>
      </c>
      <c r="F451" s="12" t="s">
        <v>8463</v>
      </c>
      <c r="G451" s="11" t="s">
        <v>7553</v>
      </c>
      <c r="H451" s="13" t="s">
        <v>8464</v>
      </c>
      <c r="I451" s="10">
        <v>46197</v>
      </c>
      <c r="J451" s="10" t="s">
        <v>8465</v>
      </c>
      <c r="L451" t="s">
        <v>8466</v>
      </c>
    </row>
    <row r="452" spans="1:12">
      <c r="A452" s="10">
        <v>46197</v>
      </c>
      <c r="B452" s="11" t="s">
        <v>8467</v>
      </c>
      <c r="C452" s="11" t="s">
        <v>1436</v>
      </c>
      <c r="D452" s="11" t="s">
        <v>6920</v>
      </c>
      <c r="F452" s="11" t="s">
        <v>8468</v>
      </c>
      <c r="G452" s="11" t="s">
        <v>7553</v>
      </c>
      <c r="H452" s="13" t="s">
        <v>7618</v>
      </c>
      <c r="I452" s="10">
        <v>46198</v>
      </c>
      <c r="J452" s="10" t="s">
        <v>8421</v>
      </c>
      <c r="L452" t="s">
        <v>8469</v>
      </c>
    </row>
    <row r="453" spans="1:12" ht="45">
      <c r="A453" s="10">
        <v>46197</v>
      </c>
      <c r="B453" s="11" t="s">
        <v>8470</v>
      </c>
      <c r="C453" s="11" t="s">
        <v>1555</v>
      </c>
      <c r="D453" s="11" t="s">
        <v>6897</v>
      </c>
      <c r="E453" s="11" t="s">
        <v>17</v>
      </c>
      <c r="F453" s="12" t="s">
        <v>8471</v>
      </c>
      <c r="G453" s="11" t="s">
        <v>8200</v>
      </c>
      <c r="H453" s="13" t="s">
        <v>8356</v>
      </c>
      <c r="I453" s="10">
        <v>46197</v>
      </c>
      <c r="J453" s="10" t="s">
        <v>8376</v>
      </c>
      <c r="L453" t="s">
        <v>8472</v>
      </c>
    </row>
    <row r="454" spans="1:12">
      <c r="A454" s="10">
        <v>46197</v>
      </c>
      <c r="B454" s="32" t="s">
        <v>8473</v>
      </c>
      <c r="C454" s="11" t="s">
        <v>1512</v>
      </c>
      <c r="D454" s="11" t="s">
        <v>7170</v>
      </c>
      <c r="E454" s="11" t="s">
        <v>17</v>
      </c>
      <c r="F454" s="12" t="s">
        <v>8474</v>
      </c>
      <c r="G454" s="11" t="s">
        <v>8200</v>
      </c>
      <c r="H454" s="13" t="s">
        <v>8475</v>
      </c>
      <c r="I454" s="10">
        <v>46197</v>
      </c>
      <c r="J454" s="10" t="s">
        <v>4</v>
      </c>
      <c r="L454" t="s">
        <v>8476</v>
      </c>
    </row>
    <row r="455" spans="1:12" ht="45">
      <c r="A455" s="10">
        <v>46197</v>
      </c>
      <c r="B455" s="11" t="s">
        <v>8477</v>
      </c>
      <c r="C455" s="11" t="s">
        <v>7316</v>
      </c>
      <c r="D455" s="11" t="s">
        <v>7317</v>
      </c>
      <c r="E455" s="11" t="s">
        <v>18</v>
      </c>
      <c r="F455" s="12" t="s">
        <v>8478</v>
      </c>
      <c r="G455" s="11" t="s">
        <v>7553</v>
      </c>
      <c r="H455" s="13" t="s">
        <v>8479</v>
      </c>
      <c r="I455" s="10">
        <v>46198</v>
      </c>
      <c r="J455" s="10" t="s">
        <v>4916</v>
      </c>
      <c r="L455" t="s">
        <v>8480</v>
      </c>
    </row>
    <row r="456" spans="1:12" ht="30">
      <c r="A456" s="10">
        <v>46197</v>
      </c>
      <c r="B456" s="103" t="s">
        <v>8481</v>
      </c>
      <c r="C456" s="11" t="s">
        <v>682</v>
      </c>
      <c r="D456" s="11" t="s">
        <v>7277</v>
      </c>
      <c r="E456" s="11" t="s">
        <v>18</v>
      </c>
      <c r="F456" s="12" t="s">
        <v>8482</v>
      </c>
      <c r="G456" s="11" t="s">
        <v>6922</v>
      </c>
      <c r="H456" s="13" t="s">
        <v>7618</v>
      </c>
      <c r="I456" s="10">
        <v>46198</v>
      </c>
      <c r="J456" s="10" t="s">
        <v>4</v>
      </c>
      <c r="L456" t="s">
        <v>8483</v>
      </c>
    </row>
    <row r="457" spans="1:12">
      <c r="A457" s="10">
        <v>46197</v>
      </c>
      <c r="B457" s="104" t="s">
        <v>8484</v>
      </c>
      <c r="C457" s="11" t="s">
        <v>682</v>
      </c>
      <c r="D457" s="11" t="s">
        <v>7277</v>
      </c>
      <c r="E457" s="11" t="s">
        <v>18</v>
      </c>
      <c r="F457" s="12" t="s">
        <v>8485</v>
      </c>
      <c r="G457" s="11" t="s">
        <v>6922</v>
      </c>
      <c r="H457" s="13" t="s">
        <v>7618</v>
      </c>
      <c r="I457" s="10">
        <v>46198</v>
      </c>
      <c r="J457" s="10" t="s">
        <v>4</v>
      </c>
      <c r="L457" t="s">
        <v>8486</v>
      </c>
    </row>
    <row r="458" spans="1:12" ht="30">
      <c r="A458" s="10">
        <v>46197</v>
      </c>
      <c r="B458" s="9" t="s">
        <v>8487</v>
      </c>
      <c r="C458" s="11" t="s">
        <v>682</v>
      </c>
      <c r="D458" s="11" t="s">
        <v>7277</v>
      </c>
      <c r="E458" s="11" t="s">
        <v>18</v>
      </c>
      <c r="F458" s="12" t="s">
        <v>8488</v>
      </c>
      <c r="G458" s="11" t="s">
        <v>6922</v>
      </c>
      <c r="H458" s="13" t="s">
        <v>7618</v>
      </c>
      <c r="I458" s="10">
        <v>46198</v>
      </c>
      <c r="J458" s="10" t="s">
        <v>4</v>
      </c>
      <c r="L458" s="179" t="s">
        <v>8489</v>
      </c>
    </row>
    <row r="459" spans="1:12">
      <c r="A459" s="10">
        <v>46197</v>
      </c>
      <c r="B459" s="11" t="s">
        <v>8490</v>
      </c>
      <c r="C459" s="11" t="s">
        <v>496</v>
      </c>
      <c r="D459" s="11" t="s">
        <v>7608</v>
      </c>
      <c r="E459" s="11" t="s">
        <v>17</v>
      </c>
      <c r="F459" s="12" t="s">
        <v>8491</v>
      </c>
      <c r="G459" s="11" t="s">
        <v>8200</v>
      </c>
      <c r="H459" s="13" t="s">
        <v>7618</v>
      </c>
      <c r="I459" s="10">
        <v>46198</v>
      </c>
      <c r="J459" s="10" t="s">
        <v>4</v>
      </c>
      <c r="L459" t="s">
        <v>8492</v>
      </c>
    </row>
    <row r="460" spans="1:12">
      <c r="A460" s="10">
        <v>46198</v>
      </c>
      <c r="B460" s="11" t="s">
        <v>8493</v>
      </c>
      <c r="C460" s="11" t="s">
        <v>5231</v>
      </c>
      <c r="D460" s="11" t="s">
        <v>8494</v>
      </c>
      <c r="E460" s="11" t="s">
        <v>17</v>
      </c>
      <c r="F460" s="12" t="s">
        <v>8495</v>
      </c>
      <c r="G460" s="11" t="s">
        <v>7553</v>
      </c>
      <c r="H460" s="13" t="s">
        <v>7618</v>
      </c>
      <c r="I460" s="10">
        <v>46198</v>
      </c>
      <c r="J460" s="10" t="s">
        <v>8496</v>
      </c>
      <c r="L460" t="s">
        <v>8497</v>
      </c>
    </row>
    <row r="461" spans="1:12">
      <c r="A461" s="10">
        <v>46198</v>
      </c>
      <c r="B461" s="11" t="s">
        <v>8498</v>
      </c>
      <c r="C461" s="11" t="s">
        <v>585</v>
      </c>
      <c r="D461" s="11" t="s">
        <v>7144</v>
      </c>
      <c r="E461" s="11" t="s">
        <v>17</v>
      </c>
      <c r="F461" s="12" t="s">
        <v>8499</v>
      </c>
      <c r="G461" s="11" t="s">
        <v>6891</v>
      </c>
      <c r="H461" s="13" t="s">
        <v>8428</v>
      </c>
      <c r="I461" s="10">
        <v>46198</v>
      </c>
      <c r="J461" s="10" t="s">
        <v>8500</v>
      </c>
      <c r="L461" t="s">
        <v>8501</v>
      </c>
    </row>
    <row r="462" spans="1:12" ht="30">
      <c r="A462" s="10">
        <v>46198</v>
      </c>
      <c r="B462" s="11" t="s">
        <v>8502</v>
      </c>
      <c r="C462" s="11" t="s">
        <v>1053</v>
      </c>
      <c r="D462" s="11" t="s">
        <v>7532</v>
      </c>
      <c r="E462" s="11" t="s">
        <v>13</v>
      </c>
      <c r="F462" s="12" t="s">
        <v>8503</v>
      </c>
      <c r="G462" s="11" t="s">
        <v>6891</v>
      </c>
      <c r="H462" s="13" t="s">
        <v>8504</v>
      </c>
      <c r="I462" s="10">
        <v>46198</v>
      </c>
      <c r="J462" s="10">
        <v>46272.666666666701</v>
      </c>
      <c r="K462" t="s">
        <v>4</v>
      </c>
      <c r="L462" t="s">
        <v>8505</v>
      </c>
    </row>
    <row r="463" spans="1:12">
      <c r="A463" s="10">
        <v>46198</v>
      </c>
      <c r="B463" s="11" t="s">
        <v>8506</v>
      </c>
      <c r="C463" s="11" t="s">
        <v>1824</v>
      </c>
      <c r="D463" s="11" t="s">
        <v>8333</v>
      </c>
      <c r="E463" s="11" t="s">
        <v>17</v>
      </c>
      <c r="F463" s="12" t="s">
        <v>8507</v>
      </c>
      <c r="G463" s="11" t="s">
        <v>8200</v>
      </c>
      <c r="H463" s="13" t="s">
        <v>7618</v>
      </c>
      <c r="I463" s="10">
        <v>46198</v>
      </c>
      <c r="J463" s="10">
        <v>46201.666666666701</v>
      </c>
      <c r="K463" t="s">
        <v>4</v>
      </c>
      <c r="L463" t="s">
        <v>8508</v>
      </c>
    </row>
    <row r="464" spans="1:12" ht="105">
      <c r="A464" s="10">
        <v>46198</v>
      </c>
      <c r="B464" s="11" t="s">
        <v>8509</v>
      </c>
      <c r="C464" s="11" t="s">
        <v>674</v>
      </c>
      <c r="D464" s="11" t="s">
        <v>6993</v>
      </c>
      <c r="E464" s="11" t="s">
        <v>8510</v>
      </c>
      <c r="F464" s="12" t="s">
        <v>8511</v>
      </c>
      <c r="G464" s="11" t="s">
        <v>8200</v>
      </c>
      <c r="H464" s="13" t="s">
        <v>7618</v>
      </c>
      <c r="I464" s="10">
        <v>46198</v>
      </c>
      <c r="J464" s="10">
        <v>46203</v>
      </c>
      <c r="L464" t="s">
        <v>8512</v>
      </c>
    </row>
    <row r="465" spans="1:12">
      <c r="A465" s="10">
        <v>46198</v>
      </c>
      <c r="B465" s="11" t="s">
        <v>8513</v>
      </c>
      <c r="C465" s="11" t="s">
        <v>1040</v>
      </c>
      <c r="D465" s="11" t="s">
        <v>8514</v>
      </c>
      <c r="E465" s="11" t="s">
        <v>17</v>
      </c>
      <c r="F465" s="12" t="s">
        <v>8515</v>
      </c>
      <c r="G465" s="11" t="s">
        <v>7553</v>
      </c>
      <c r="H465" s="13" t="s">
        <v>8516</v>
      </c>
      <c r="I465" s="10">
        <v>46198</v>
      </c>
      <c r="J465" s="10" t="s">
        <v>4</v>
      </c>
      <c r="L465" t="s">
        <v>8517</v>
      </c>
    </row>
    <row r="466" spans="1:12" ht="15.75">
      <c r="A466" s="10">
        <v>46198</v>
      </c>
      <c r="B466" s="101" t="s">
        <v>8518</v>
      </c>
      <c r="C466" s="11" t="s">
        <v>983</v>
      </c>
      <c r="D466" s="11" t="s">
        <v>7058</v>
      </c>
      <c r="E466" s="11" t="s">
        <v>17</v>
      </c>
      <c r="F466" s="12" t="s">
        <v>8519</v>
      </c>
      <c r="G466" s="11" t="s">
        <v>8200</v>
      </c>
      <c r="H466" s="13" t="s">
        <v>7618</v>
      </c>
      <c r="I466" s="10">
        <v>46198</v>
      </c>
      <c r="J466" s="10" t="s">
        <v>4916</v>
      </c>
      <c r="L466" t="s">
        <v>8520</v>
      </c>
    </row>
    <row r="467" spans="1:12" ht="30">
      <c r="A467" s="10">
        <v>46198</v>
      </c>
      <c r="B467" s="11" t="s">
        <v>8521</v>
      </c>
      <c r="C467" s="11" t="s">
        <v>1348</v>
      </c>
      <c r="D467" s="11" t="s">
        <v>7010</v>
      </c>
      <c r="E467" s="11" t="s">
        <v>17</v>
      </c>
      <c r="F467" s="12" t="s">
        <v>8482</v>
      </c>
      <c r="G467" s="11" t="s">
        <v>6922</v>
      </c>
      <c r="H467" s="13" t="s">
        <v>7618</v>
      </c>
      <c r="I467" s="10">
        <v>46198</v>
      </c>
      <c r="J467" s="10" t="s">
        <v>4</v>
      </c>
      <c r="L467" t="s">
        <v>8522</v>
      </c>
    </row>
    <row r="468" spans="1:12" ht="45">
      <c r="A468" s="10">
        <v>46198</v>
      </c>
      <c r="B468" s="11" t="s">
        <v>8523</v>
      </c>
      <c r="C468" s="11" t="s">
        <v>2270</v>
      </c>
      <c r="D468" s="11" t="s">
        <v>7650</v>
      </c>
      <c r="E468" s="11" t="s">
        <v>8524</v>
      </c>
      <c r="F468" s="12" t="s">
        <v>8525</v>
      </c>
      <c r="G468" s="11" t="s">
        <v>6922</v>
      </c>
      <c r="H468" s="13" t="s">
        <v>7618</v>
      </c>
      <c r="I468" s="10">
        <v>46198</v>
      </c>
      <c r="J468" s="10" t="s">
        <v>6955</v>
      </c>
      <c r="L468" t="s">
        <v>8526</v>
      </c>
    </row>
    <row r="469" spans="1:12">
      <c r="A469" s="10">
        <v>46198</v>
      </c>
      <c r="B469" s="11" t="s">
        <v>8527</v>
      </c>
      <c r="C469" s="11" t="s">
        <v>2369</v>
      </c>
      <c r="D469" s="11" t="s">
        <v>6961</v>
      </c>
      <c r="E469" s="11" t="s">
        <v>18</v>
      </c>
      <c r="F469" s="12" t="s">
        <v>8528</v>
      </c>
      <c r="G469" s="11" t="s">
        <v>8200</v>
      </c>
      <c r="H469" s="13" t="s">
        <v>7618</v>
      </c>
      <c r="I469" s="10">
        <v>46199</v>
      </c>
      <c r="J469" s="10" t="s">
        <v>6955</v>
      </c>
      <c r="L469" t="s">
        <v>8529</v>
      </c>
    </row>
    <row r="470" spans="1:12" ht="45">
      <c r="A470" s="10">
        <v>46198</v>
      </c>
      <c r="B470" s="11" t="s">
        <v>8530</v>
      </c>
      <c r="C470" s="11" t="s">
        <v>2270</v>
      </c>
      <c r="D470" s="11" t="s">
        <v>7650</v>
      </c>
      <c r="E470" s="11" t="s">
        <v>8524</v>
      </c>
      <c r="F470" s="12" t="s">
        <v>8531</v>
      </c>
      <c r="G470" s="11" t="s">
        <v>8200</v>
      </c>
      <c r="H470" s="13" t="s">
        <v>7618</v>
      </c>
      <c r="I470" s="10">
        <v>46199</v>
      </c>
      <c r="J470" s="10" t="s">
        <v>4916</v>
      </c>
      <c r="L470" t="s">
        <v>8532</v>
      </c>
    </row>
    <row r="471" spans="1:12">
      <c r="A471" s="10">
        <v>46199</v>
      </c>
      <c r="B471" s="11" t="s">
        <v>8533</v>
      </c>
      <c r="C471" s="11" t="s">
        <v>1436</v>
      </c>
      <c r="D471" s="11" t="s">
        <v>6920</v>
      </c>
      <c r="E471" s="11" t="s">
        <v>18</v>
      </c>
      <c r="F471" s="12" t="s">
        <v>8534</v>
      </c>
      <c r="G471" s="11" t="s">
        <v>8200</v>
      </c>
      <c r="H471" s="13" t="s">
        <v>7618</v>
      </c>
      <c r="I471" s="10">
        <v>46199</v>
      </c>
      <c r="J471" s="10" t="s">
        <v>8421</v>
      </c>
      <c r="L471" t="s">
        <v>8535</v>
      </c>
    </row>
    <row r="472" spans="1:12">
      <c r="A472" s="10">
        <v>46199</v>
      </c>
      <c r="B472" s="11" t="s">
        <v>8536</v>
      </c>
      <c r="C472" s="11" t="s">
        <v>585</v>
      </c>
      <c r="D472" s="11" t="s">
        <v>7973</v>
      </c>
      <c r="E472" s="11" t="s">
        <v>17</v>
      </c>
      <c r="F472" s="12" t="s">
        <v>8537</v>
      </c>
      <c r="G472" s="11" t="s">
        <v>8200</v>
      </c>
      <c r="H472" s="13" t="s">
        <v>7618</v>
      </c>
      <c r="I472" s="10">
        <v>46199</v>
      </c>
      <c r="J472" s="10" t="s">
        <v>8538</v>
      </c>
      <c r="L472" t="s">
        <v>8539</v>
      </c>
    </row>
    <row r="473" spans="1:12" ht="45">
      <c r="A473" s="10">
        <v>46199</v>
      </c>
      <c r="B473" s="11" t="s">
        <v>8540</v>
      </c>
      <c r="C473" s="11" t="s">
        <v>1348</v>
      </c>
      <c r="D473" s="11" t="s">
        <v>7010</v>
      </c>
      <c r="E473" s="11" t="s">
        <v>17</v>
      </c>
      <c r="F473" s="12" t="s">
        <v>8541</v>
      </c>
      <c r="G473" s="11" t="s">
        <v>8200</v>
      </c>
      <c r="H473" s="13" t="s">
        <v>8542</v>
      </c>
      <c r="I473" s="10">
        <v>46199</v>
      </c>
      <c r="J473" s="10" t="s">
        <v>4</v>
      </c>
      <c r="L473" t="s">
        <v>8543</v>
      </c>
    </row>
    <row r="474" spans="1:12" ht="30">
      <c r="A474" s="10">
        <v>46199</v>
      </c>
      <c r="B474" s="11" t="s">
        <v>8544</v>
      </c>
      <c r="C474" s="11" t="s">
        <v>1348</v>
      </c>
      <c r="D474" s="11" t="s">
        <v>7010</v>
      </c>
      <c r="E474" s="11" t="s">
        <v>17</v>
      </c>
      <c r="F474" s="12" t="s">
        <v>8545</v>
      </c>
      <c r="G474" s="11" t="s">
        <v>8200</v>
      </c>
      <c r="H474" s="13" t="s">
        <v>7618</v>
      </c>
      <c r="I474" s="10">
        <v>46202</v>
      </c>
      <c r="J474" s="10" t="s">
        <v>4</v>
      </c>
      <c r="L474" t="s">
        <v>8546</v>
      </c>
    </row>
    <row r="475" spans="1:12">
      <c r="A475" s="10">
        <v>46199</v>
      </c>
      <c r="B475" s="11" t="s">
        <v>8547</v>
      </c>
      <c r="C475" s="11" t="s">
        <v>1252</v>
      </c>
      <c r="D475" s="11" t="s">
        <v>7038</v>
      </c>
      <c r="E475" s="11" t="s">
        <v>17</v>
      </c>
      <c r="F475" s="12" t="s">
        <v>8548</v>
      </c>
      <c r="G475" s="11" t="s">
        <v>8200</v>
      </c>
      <c r="H475" s="13" t="s">
        <v>7618</v>
      </c>
      <c r="I475" s="10">
        <v>46202</v>
      </c>
      <c r="J475" s="10" t="s">
        <v>4</v>
      </c>
      <c r="L475" t="s">
        <v>8549</v>
      </c>
    </row>
    <row r="476" spans="1:12" ht="30">
      <c r="A476" s="10">
        <v>46199</v>
      </c>
      <c r="B476" s="11" t="s">
        <v>8550</v>
      </c>
      <c r="C476" s="11" t="s">
        <v>1252</v>
      </c>
      <c r="D476" s="11" t="s">
        <v>7038</v>
      </c>
      <c r="E476" s="11" t="s">
        <v>17</v>
      </c>
      <c r="F476" s="12" t="s">
        <v>8551</v>
      </c>
      <c r="G476" s="11" t="s">
        <v>8200</v>
      </c>
      <c r="H476" s="105" t="s">
        <v>8552</v>
      </c>
      <c r="I476" s="10">
        <v>46202</v>
      </c>
      <c r="J476" s="10" t="s">
        <v>4</v>
      </c>
      <c r="L476" t="s">
        <v>8553</v>
      </c>
    </row>
    <row r="477" spans="1:12">
      <c r="A477" s="10">
        <v>46199</v>
      </c>
      <c r="B477" s="106" t="s">
        <v>8554</v>
      </c>
      <c r="C477" s="11" t="s">
        <v>518</v>
      </c>
      <c r="D477" s="11" t="s">
        <v>6916</v>
      </c>
      <c r="E477" s="11" t="s">
        <v>17</v>
      </c>
      <c r="F477" s="12" t="s">
        <v>8555</v>
      </c>
      <c r="G477" s="11" t="s">
        <v>8200</v>
      </c>
      <c r="H477" s="13" t="s">
        <v>7618</v>
      </c>
      <c r="I477" s="10">
        <v>46202</v>
      </c>
      <c r="J477" s="10" t="s">
        <v>8556</v>
      </c>
      <c r="L477" t="s">
        <v>8557</v>
      </c>
    </row>
    <row r="478" spans="1:12" ht="30">
      <c r="A478" s="10">
        <v>46199</v>
      </c>
      <c r="B478" s="11" t="s">
        <v>8558</v>
      </c>
      <c r="C478" s="11" t="s">
        <v>1252</v>
      </c>
      <c r="D478" s="11" t="s">
        <v>7038</v>
      </c>
      <c r="E478" s="11" t="s">
        <v>17</v>
      </c>
      <c r="F478" s="12" t="s">
        <v>8559</v>
      </c>
      <c r="G478" s="11" t="s">
        <v>8200</v>
      </c>
      <c r="H478" s="13" t="s">
        <v>7618</v>
      </c>
      <c r="I478" s="10">
        <v>46202</v>
      </c>
      <c r="J478" s="10" t="s">
        <v>4</v>
      </c>
      <c r="L478" t="s">
        <v>8560</v>
      </c>
    </row>
    <row r="479" spans="1:12">
      <c r="A479" s="10">
        <v>46199</v>
      </c>
      <c r="B479" s="39" t="s">
        <v>8561</v>
      </c>
      <c r="C479" s="11" t="s">
        <v>810</v>
      </c>
      <c r="D479" s="11" t="s">
        <v>7043</v>
      </c>
      <c r="E479" s="11" t="s">
        <v>17</v>
      </c>
      <c r="F479" s="77" t="s">
        <v>8562</v>
      </c>
      <c r="G479" s="11" t="s">
        <v>6922</v>
      </c>
      <c r="H479" s="13" t="s">
        <v>8563</v>
      </c>
      <c r="I479" s="10">
        <v>46199</v>
      </c>
      <c r="J479" s="10" t="s">
        <v>4</v>
      </c>
      <c r="L479" t="s">
        <v>8564</v>
      </c>
    </row>
    <row r="480" spans="1:12" ht="30">
      <c r="A480" s="10">
        <v>46199</v>
      </c>
      <c r="B480" s="12" t="s">
        <v>8565</v>
      </c>
      <c r="C480" s="11" t="s">
        <v>1779</v>
      </c>
      <c r="D480" s="11" t="s">
        <v>7061</v>
      </c>
      <c r="E480" s="11" t="s">
        <v>18</v>
      </c>
      <c r="F480" s="12" t="s">
        <v>8566</v>
      </c>
      <c r="G480" s="11" t="s">
        <v>6891</v>
      </c>
      <c r="H480" s="13" t="s">
        <v>8563</v>
      </c>
      <c r="I480" s="10">
        <v>46199</v>
      </c>
      <c r="J480" s="10" t="s">
        <v>4</v>
      </c>
      <c r="L480" t="s">
        <v>8567</v>
      </c>
    </row>
    <row r="481" spans="1:12" ht="30">
      <c r="A481" s="10">
        <v>46199</v>
      </c>
      <c r="B481" s="12" t="s">
        <v>8568</v>
      </c>
      <c r="C481" s="11" t="s">
        <v>1053</v>
      </c>
      <c r="D481" s="11" t="s">
        <v>7532</v>
      </c>
      <c r="E481" s="11" t="s">
        <v>13</v>
      </c>
      <c r="F481" s="12" t="s">
        <v>8569</v>
      </c>
      <c r="G481" s="11" t="s">
        <v>6891</v>
      </c>
      <c r="H481" s="13" t="s">
        <v>8570</v>
      </c>
      <c r="I481" s="10">
        <v>46199</v>
      </c>
      <c r="J481" s="10">
        <v>46272.666666666701</v>
      </c>
      <c r="K481" t="s">
        <v>4</v>
      </c>
      <c r="L481" t="s">
        <v>8571</v>
      </c>
    </row>
    <row r="482" spans="1:12" ht="30">
      <c r="A482" s="41">
        <v>46199</v>
      </c>
      <c r="B482" s="43" t="s">
        <v>8572</v>
      </c>
      <c r="C482" s="43" t="s">
        <v>700</v>
      </c>
      <c r="D482" s="43" t="s">
        <v>7726</v>
      </c>
      <c r="E482" s="43" t="s">
        <v>18</v>
      </c>
      <c r="F482" s="42" t="s">
        <v>8573</v>
      </c>
      <c r="G482" s="11" t="s">
        <v>6922</v>
      </c>
      <c r="H482" s="13" t="s">
        <v>8563</v>
      </c>
      <c r="I482" s="10">
        <v>46199</v>
      </c>
      <c r="J482" s="10">
        <v>46275.666666666701</v>
      </c>
      <c r="K482" t="s">
        <v>4</v>
      </c>
      <c r="L482" t="s">
        <v>8574</v>
      </c>
    </row>
    <row r="483" spans="1:12" ht="30">
      <c r="A483" s="44">
        <v>46199</v>
      </c>
      <c r="B483" s="107" t="s">
        <v>8575</v>
      </c>
      <c r="C483" s="46" t="s">
        <v>1512</v>
      </c>
      <c r="D483" s="46" t="s">
        <v>7170</v>
      </c>
      <c r="E483" s="46" t="s">
        <v>17</v>
      </c>
      <c r="F483" s="50" t="s">
        <v>8576</v>
      </c>
      <c r="G483" s="11" t="s">
        <v>8200</v>
      </c>
      <c r="H483" s="13" t="s">
        <v>8577</v>
      </c>
      <c r="I483" s="10">
        <v>46202</v>
      </c>
      <c r="J483" s="10"/>
      <c r="L483" t="s">
        <v>8578</v>
      </c>
    </row>
    <row r="484" spans="1:12" ht="30">
      <c r="A484" s="108">
        <v>46199</v>
      </c>
      <c r="B484" s="109" t="s">
        <v>8579</v>
      </c>
      <c r="C484" s="110" t="s">
        <v>648</v>
      </c>
      <c r="D484" s="110" t="s">
        <v>8434</v>
      </c>
      <c r="E484" s="62" t="s">
        <v>17</v>
      </c>
      <c r="F484" s="111" t="s">
        <v>8580</v>
      </c>
      <c r="G484" s="48" t="s">
        <v>8200</v>
      </c>
      <c r="H484" s="13" t="s">
        <v>8581</v>
      </c>
      <c r="I484" s="10">
        <v>46202</v>
      </c>
      <c r="J484" s="10" t="s">
        <v>4</v>
      </c>
      <c r="L484" t="s">
        <v>8582</v>
      </c>
    </row>
    <row r="485" spans="1:12" ht="69" customHeight="1">
      <c r="A485" s="112">
        <v>46199</v>
      </c>
      <c r="B485" s="113" t="s">
        <v>204</v>
      </c>
      <c r="C485" s="62" t="s">
        <v>648</v>
      </c>
      <c r="D485" s="62" t="s">
        <v>8434</v>
      </c>
      <c r="E485" s="114" t="s">
        <v>17</v>
      </c>
      <c r="F485" s="115" t="s">
        <v>8583</v>
      </c>
      <c r="G485" s="48" t="s">
        <v>7553</v>
      </c>
      <c r="H485" s="13" t="s">
        <v>7618</v>
      </c>
      <c r="I485" s="116">
        <v>46209</v>
      </c>
      <c r="J485" s="10"/>
      <c r="L485" t="s">
        <v>8584</v>
      </c>
    </row>
    <row r="486" spans="1:12" ht="30">
      <c r="A486" s="117">
        <v>46199</v>
      </c>
      <c r="B486" s="118" t="s">
        <v>8585</v>
      </c>
      <c r="C486" s="119" t="s">
        <v>1512</v>
      </c>
      <c r="D486" s="119" t="s">
        <v>7170</v>
      </c>
      <c r="E486" s="46" t="s">
        <v>17</v>
      </c>
      <c r="F486" s="50" t="s">
        <v>8586</v>
      </c>
      <c r="G486" s="11" t="s">
        <v>8200</v>
      </c>
      <c r="H486" s="13" t="s">
        <v>7618</v>
      </c>
      <c r="I486" s="10">
        <v>46202</v>
      </c>
      <c r="J486" s="10" t="s">
        <v>4</v>
      </c>
      <c r="L486" t="s">
        <v>8587</v>
      </c>
    </row>
    <row r="487" spans="1:12" ht="75">
      <c r="A487" s="44">
        <v>46199</v>
      </c>
      <c r="B487" s="50" t="s">
        <v>8588</v>
      </c>
      <c r="C487" s="11" t="s">
        <v>1779</v>
      </c>
      <c r="D487" s="11" t="s">
        <v>7061</v>
      </c>
      <c r="E487" s="11" t="s">
        <v>18</v>
      </c>
      <c r="F487" s="50" t="s">
        <v>8589</v>
      </c>
      <c r="G487" s="48" t="s">
        <v>6891</v>
      </c>
      <c r="H487" s="13" t="s">
        <v>8590</v>
      </c>
      <c r="I487" s="10">
        <v>46199</v>
      </c>
      <c r="J487" s="10" t="s">
        <v>4</v>
      </c>
      <c r="L487" s="179" t="s">
        <v>8591</v>
      </c>
    </row>
    <row r="488" spans="1:12" ht="60">
      <c r="A488" s="44">
        <v>46199</v>
      </c>
      <c r="B488" s="46" t="s">
        <v>8592</v>
      </c>
      <c r="C488" s="46" t="s">
        <v>1371</v>
      </c>
      <c r="D488" s="46" t="s">
        <v>7164</v>
      </c>
      <c r="E488" s="46" t="s">
        <v>17</v>
      </c>
      <c r="F488" s="50" t="s">
        <v>8593</v>
      </c>
      <c r="G488" s="48" t="s">
        <v>6891</v>
      </c>
      <c r="H488" s="13" t="s">
        <v>8594</v>
      </c>
      <c r="I488" s="10">
        <v>46199</v>
      </c>
      <c r="J488" s="10" t="s">
        <v>8595</v>
      </c>
      <c r="L488" t="s">
        <v>8596</v>
      </c>
    </row>
    <row r="489" spans="1:12" ht="45">
      <c r="A489" s="44">
        <v>46199</v>
      </c>
      <c r="B489" s="46" t="s">
        <v>8597</v>
      </c>
      <c r="C489" s="46" t="s">
        <v>1371</v>
      </c>
      <c r="D489" s="46" t="s">
        <v>7164</v>
      </c>
      <c r="E489" s="46" t="s">
        <v>17</v>
      </c>
      <c r="F489" s="50" t="s">
        <v>8598</v>
      </c>
      <c r="G489" s="48" t="s">
        <v>6891</v>
      </c>
      <c r="H489" s="13" t="s">
        <v>8599</v>
      </c>
      <c r="I489" s="10">
        <v>46199</v>
      </c>
      <c r="J489" s="10" t="s">
        <v>6955</v>
      </c>
      <c r="L489" t="s">
        <v>8600</v>
      </c>
    </row>
    <row r="490" spans="1:12" ht="45">
      <c r="A490" s="10">
        <v>46199</v>
      </c>
      <c r="B490" s="46" t="s">
        <v>8601</v>
      </c>
      <c r="C490" s="46" t="s">
        <v>518</v>
      </c>
      <c r="D490" s="46" t="s">
        <v>6916</v>
      </c>
      <c r="E490" s="46" t="s">
        <v>17</v>
      </c>
      <c r="F490" s="64" t="s">
        <v>8602</v>
      </c>
      <c r="G490" s="48" t="s">
        <v>7553</v>
      </c>
      <c r="H490" s="13" t="s">
        <v>8603</v>
      </c>
      <c r="I490" s="10">
        <v>46202</v>
      </c>
      <c r="J490" s="10" t="s">
        <v>8604</v>
      </c>
      <c r="L490" t="s">
        <v>8605</v>
      </c>
    </row>
    <row r="491" spans="1:12" ht="60">
      <c r="A491" s="10">
        <v>46199</v>
      </c>
      <c r="B491" s="46" t="s">
        <v>8606</v>
      </c>
      <c r="C491" s="46" t="s">
        <v>674</v>
      </c>
      <c r="D491" s="46" t="s">
        <v>6993</v>
      </c>
      <c r="E491" s="46" t="s">
        <v>8510</v>
      </c>
      <c r="F491" s="50" t="s">
        <v>8607</v>
      </c>
      <c r="G491" s="11" t="s">
        <v>8200</v>
      </c>
      <c r="H491" s="13" t="s">
        <v>8356</v>
      </c>
      <c r="I491" s="10">
        <v>46202</v>
      </c>
      <c r="J491" s="10">
        <v>46203</v>
      </c>
      <c r="L491" t="s">
        <v>8608</v>
      </c>
    </row>
    <row r="492" spans="1:12">
      <c r="A492" s="10">
        <v>46199</v>
      </c>
      <c r="B492" s="46" t="s">
        <v>8609</v>
      </c>
      <c r="C492" s="46" t="s">
        <v>496</v>
      </c>
      <c r="D492" s="46" t="s">
        <v>7608</v>
      </c>
      <c r="E492" s="46" t="s">
        <v>17</v>
      </c>
      <c r="F492" s="50" t="s">
        <v>8610</v>
      </c>
      <c r="G492" s="11" t="s">
        <v>8200</v>
      </c>
      <c r="H492" s="13" t="s">
        <v>7618</v>
      </c>
      <c r="I492" s="10">
        <v>46202</v>
      </c>
      <c r="J492" s="10" t="s">
        <v>8611</v>
      </c>
      <c r="L492" t="s">
        <v>8612</v>
      </c>
    </row>
    <row r="493" spans="1:12">
      <c r="A493" s="10">
        <v>46199</v>
      </c>
      <c r="B493" s="120" t="s">
        <v>8613</v>
      </c>
      <c r="C493" s="46" t="s">
        <v>518</v>
      </c>
      <c r="D493" s="46" t="s">
        <v>6916</v>
      </c>
      <c r="E493" s="46" t="s">
        <v>17</v>
      </c>
      <c r="F493" s="64" t="s">
        <v>8614</v>
      </c>
      <c r="G493" s="11" t="s">
        <v>8200</v>
      </c>
      <c r="H493" s="13" t="s">
        <v>7618</v>
      </c>
      <c r="I493" s="10">
        <v>46202</v>
      </c>
      <c r="J493" s="10" t="s">
        <v>8421</v>
      </c>
      <c r="L493" t="s">
        <v>8615</v>
      </c>
    </row>
    <row r="494" spans="1:12">
      <c r="A494" s="10">
        <v>46199</v>
      </c>
      <c r="B494" s="11" t="s">
        <v>8616</v>
      </c>
      <c r="C494" s="11" t="s">
        <v>5231</v>
      </c>
      <c r="D494" s="11" t="s">
        <v>8494</v>
      </c>
      <c r="E494" s="11" t="s">
        <v>17</v>
      </c>
      <c r="F494" s="12" t="s">
        <v>8617</v>
      </c>
      <c r="G494" s="48" t="s">
        <v>7553</v>
      </c>
      <c r="H494" s="121" t="s">
        <v>8618</v>
      </c>
      <c r="I494" s="10">
        <v>46202</v>
      </c>
      <c r="J494" s="10"/>
      <c r="L494" t="s">
        <v>8619</v>
      </c>
    </row>
    <row r="495" spans="1:12">
      <c r="A495" s="10">
        <v>46202</v>
      </c>
      <c r="B495" s="11" t="s">
        <v>8620</v>
      </c>
      <c r="C495" s="11" t="s">
        <v>585</v>
      </c>
      <c r="D495" s="11" t="s">
        <v>7144</v>
      </c>
      <c r="E495" s="11" t="s">
        <v>17</v>
      </c>
      <c r="F495" s="12" t="s">
        <v>8621</v>
      </c>
      <c r="G495" s="11" t="s">
        <v>6891</v>
      </c>
      <c r="H495" s="122" t="s">
        <v>7618</v>
      </c>
      <c r="I495" s="122">
        <v>46202</v>
      </c>
      <c r="J495" s="10" t="s">
        <v>8622</v>
      </c>
      <c r="L495" t="s">
        <v>8623</v>
      </c>
    </row>
    <row r="496" spans="1:12">
      <c r="A496" s="10">
        <v>46202</v>
      </c>
      <c r="B496" s="11" t="s">
        <v>8624</v>
      </c>
      <c r="C496" s="11" t="s">
        <v>585</v>
      </c>
      <c r="D496" s="11" t="s">
        <v>7144</v>
      </c>
      <c r="E496" s="11" t="s">
        <v>17</v>
      </c>
      <c r="F496" s="12" t="s">
        <v>8625</v>
      </c>
      <c r="G496" s="11" t="s">
        <v>6891</v>
      </c>
      <c r="H496" s="122" t="s">
        <v>7618</v>
      </c>
      <c r="I496" s="122">
        <v>46202</v>
      </c>
      <c r="J496" s="10" t="s">
        <v>8626</v>
      </c>
      <c r="L496" t="s">
        <v>8627</v>
      </c>
    </row>
    <row r="497" spans="1:12">
      <c r="A497" s="10">
        <v>46202</v>
      </c>
      <c r="B497" s="35" t="s">
        <v>8628</v>
      </c>
      <c r="C497" s="11" t="s">
        <v>1874</v>
      </c>
      <c r="D497" s="11" t="s">
        <v>7000</v>
      </c>
      <c r="E497" s="11" t="s">
        <v>17</v>
      </c>
      <c r="F497" s="12" t="s">
        <v>8629</v>
      </c>
      <c r="G497" s="11" t="s">
        <v>8200</v>
      </c>
      <c r="H497" s="13" t="s">
        <v>7618</v>
      </c>
      <c r="I497" s="10">
        <v>46202</v>
      </c>
      <c r="J497" s="10" t="s">
        <v>4</v>
      </c>
      <c r="L497" t="s">
        <v>8630</v>
      </c>
    </row>
    <row r="498" spans="1:12" ht="30">
      <c r="A498" s="10">
        <v>46202</v>
      </c>
      <c r="B498" s="35" t="s">
        <v>8631</v>
      </c>
      <c r="C498" s="11" t="s">
        <v>1874</v>
      </c>
      <c r="D498" s="11" t="s">
        <v>7000</v>
      </c>
      <c r="E498" s="11" t="s">
        <v>17</v>
      </c>
      <c r="F498" s="12" t="s">
        <v>8632</v>
      </c>
      <c r="G498" s="11" t="s">
        <v>8200</v>
      </c>
      <c r="H498" s="13" t="s">
        <v>7618</v>
      </c>
      <c r="I498" s="10">
        <v>46202</v>
      </c>
      <c r="J498" s="10" t="s">
        <v>4</v>
      </c>
      <c r="L498" t="s">
        <v>8633</v>
      </c>
    </row>
    <row r="499" spans="1:12" ht="30">
      <c r="A499" s="10">
        <v>46202</v>
      </c>
      <c r="B499" s="34" t="s">
        <v>8634</v>
      </c>
      <c r="C499" s="11" t="s">
        <v>7316</v>
      </c>
      <c r="D499" s="11" t="s">
        <v>8635</v>
      </c>
      <c r="E499" s="11" t="s">
        <v>18</v>
      </c>
      <c r="F499" s="12" t="s">
        <v>8636</v>
      </c>
      <c r="G499" s="11" t="s">
        <v>8200</v>
      </c>
      <c r="H499" s="13" t="s">
        <v>7618</v>
      </c>
      <c r="I499" s="10">
        <v>46202</v>
      </c>
      <c r="J499" s="10" t="s">
        <v>4</v>
      </c>
      <c r="L499" t="s">
        <v>8637</v>
      </c>
    </row>
    <row r="500" spans="1:12" ht="30">
      <c r="A500" s="10">
        <v>46202</v>
      </c>
      <c r="B500" s="123" t="s">
        <v>8638</v>
      </c>
      <c r="C500" s="11" t="s">
        <v>560</v>
      </c>
      <c r="D500" s="11" t="s">
        <v>7918</v>
      </c>
      <c r="E500" s="11" t="s">
        <v>8639</v>
      </c>
      <c r="F500" s="12" t="s">
        <v>8640</v>
      </c>
      <c r="G500" s="11" t="s">
        <v>8200</v>
      </c>
      <c r="H500" s="13" t="s">
        <v>8641</v>
      </c>
      <c r="I500" s="10">
        <v>46202</v>
      </c>
      <c r="J500" s="10"/>
      <c r="L500" t="s">
        <v>8642</v>
      </c>
    </row>
    <row r="501" spans="1:12" ht="30">
      <c r="A501" s="10">
        <v>46202</v>
      </c>
      <c r="B501" s="11" t="s">
        <v>8643</v>
      </c>
      <c r="C501" s="11" t="s">
        <v>560</v>
      </c>
      <c r="D501" s="11" t="s">
        <v>7918</v>
      </c>
      <c r="E501" s="11" t="s">
        <v>8639</v>
      </c>
      <c r="F501" s="12" t="s">
        <v>8644</v>
      </c>
      <c r="G501" s="11" t="s">
        <v>8200</v>
      </c>
      <c r="H501" s="13" t="s">
        <v>7618</v>
      </c>
      <c r="I501" s="10">
        <v>46202</v>
      </c>
      <c r="J501" s="10"/>
      <c r="L501" t="s">
        <v>8645</v>
      </c>
    </row>
    <row r="502" spans="1:12" ht="90">
      <c r="A502" s="10">
        <v>46202</v>
      </c>
      <c r="B502" s="11" t="s">
        <v>8646</v>
      </c>
      <c r="C502" s="11" t="s">
        <v>1555</v>
      </c>
      <c r="D502" s="11" t="s">
        <v>6897</v>
      </c>
      <c r="E502" s="11" t="s">
        <v>17</v>
      </c>
      <c r="F502" s="12" t="s">
        <v>8647</v>
      </c>
      <c r="G502" s="11" t="s">
        <v>8200</v>
      </c>
      <c r="H502" s="13" t="s">
        <v>8648</v>
      </c>
      <c r="I502" s="10">
        <v>46202</v>
      </c>
      <c r="J502" s="10" t="s">
        <v>8376</v>
      </c>
      <c r="L502" t="s">
        <v>8649</v>
      </c>
    </row>
    <row r="503" spans="1:12">
      <c r="A503" s="10">
        <v>46202</v>
      </c>
      <c r="B503" s="11" t="s">
        <v>8650</v>
      </c>
      <c r="C503" s="11" t="s">
        <v>839</v>
      </c>
      <c r="D503" s="11" t="s">
        <v>7152</v>
      </c>
      <c r="E503" s="11" t="s">
        <v>18</v>
      </c>
      <c r="F503" s="12" t="s">
        <v>8651</v>
      </c>
      <c r="G503" s="11" t="s">
        <v>8200</v>
      </c>
      <c r="H503" s="13" t="s">
        <v>7618</v>
      </c>
      <c r="I503" s="10">
        <v>46202</v>
      </c>
      <c r="J503" s="10">
        <v>46202</v>
      </c>
      <c r="L503" t="s">
        <v>8652</v>
      </c>
    </row>
    <row r="504" spans="1:12">
      <c r="A504" s="10">
        <v>46202</v>
      </c>
      <c r="B504" s="11" t="s">
        <v>8653</v>
      </c>
      <c r="C504" s="11" t="s">
        <v>839</v>
      </c>
      <c r="D504" s="11" t="s">
        <v>7152</v>
      </c>
      <c r="E504" s="11" t="s">
        <v>18</v>
      </c>
      <c r="F504" s="12" t="s">
        <v>8654</v>
      </c>
      <c r="G504" s="11" t="s">
        <v>8200</v>
      </c>
      <c r="H504" s="13" t="s">
        <v>7618</v>
      </c>
      <c r="I504" s="10">
        <v>46202</v>
      </c>
      <c r="J504" s="10">
        <v>46202</v>
      </c>
      <c r="L504" t="s">
        <v>8655</v>
      </c>
    </row>
    <row r="505" spans="1:12" ht="30">
      <c r="A505" s="10">
        <v>46197</v>
      </c>
      <c r="B505" s="11" t="s">
        <v>8656</v>
      </c>
      <c r="C505" s="11" t="s">
        <v>1371</v>
      </c>
      <c r="D505" s="11" t="s">
        <v>7164</v>
      </c>
      <c r="E505" s="11" t="s">
        <v>17</v>
      </c>
      <c r="F505" s="12" t="s">
        <v>8657</v>
      </c>
      <c r="G505" s="11" t="s">
        <v>8200</v>
      </c>
      <c r="H505" s="13" t="s">
        <v>8658</v>
      </c>
      <c r="I505" s="10">
        <v>46202</v>
      </c>
      <c r="J505" s="10"/>
      <c r="L505" t="s">
        <v>8659</v>
      </c>
    </row>
    <row r="506" spans="1:12" ht="30">
      <c r="A506" s="10">
        <v>46202</v>
      </c>
      <c r="B506" s="12" t="s">
        <v>8660</v>
      </c>
      <c r="C506" s="11" t="s">
        <v>7316</v>
      </c>
      <c r="D506" s="11" t="s">
        <v>8635</v>
      </c>
      <c r="E506" s="11" t="s">
        <v>18</v>
      </c>
      <c r="F506" s="12" t="s">
        <v>8661</v>
      </c>
      <c r="G506" s="11" t="s">
        <v>8200</v>
      </c>
      <c r="H506" s="13" t="s">
        <v>8662</v>
      </c>
      <c r="I506" s="10">
        <v>46202</v>
      </c>
      <c r="J506" s="10" t="s">
        <v>4</v>
      </c>
      <c r="L506" t="s">
        <v>8663</v>
      </c>
    </row>
    <row r="507" spans="1:12">
      <c r="A507" s="10">
        <v>46202</v>
      </c>
      <c r="B507" s="11" t="s">
        <v>8664</v>
      </c>
      <c r="C507" s="11" t="s">
        <v>1436</v>
      </c>
      <c r="D507" s="11" t="s">
        <v>6920</v>
      </c>
      <c r="E507" s="11" t="s">
        <v>18</v>
      </c>
      <c r="F507" s="12" t="s">
        <v>8665</v>
      </c>
      <c r="G507" s="11" t="s">
        <v>8200</v>
      </c>
      <c r="H507" s="13" t="s">
        <v>7618</v>
      </c>
      <c r="I507" s="10">
        <v>46202</v>
      </c>
      <c r="J507" s="10" t="s">
        <v>8666</v>
      </c>
      <c r="L507" t="s">
        <v>8667</v>
      </c>
    </row>
    <row r="508" spans="1:12" ht="210">
      <c r="A508" s="10">
        <v>46203</v>
      </c>
      <c r="B508" s="12" t="s">
        <v>8668</v>
      </c>
      <c r="C508" s="11" t="s">
        <v>1348</v>
      </c>
      <c r="D508" s="11" t="s">
        <v>7010</v>
      </c>
      <c r="E508" s="11" t="s">
        <v>17</v>
      </c>
      <c r="F508" s="12" t="s">
        <v>8669</v>
      </c>
      <c r="G508" s="11" t="s">
        <v>7553</v>
      </c>
      <c r="H508" s="13" t="s">
        <v>7618</v>
      </c>
      <c r="I508" s="116">
        <v>46209</v>
      </c>
      <c r="J508" s="124" t="s">
        <v>4</v>
      </c>
      <c r="L508" t="s">
        <v>8670</v>
      </c>
    </row>
    <row r="509" spans="1:12" ht="90">
      <c r="A509" s="10">
        <v>46203</v>
      </c>
      <c r="B509" s="12" t="s">
        <v>8671</v>
      </c>
      <c r="C509" s="11" t="s">
        <v>7316</v>
      </c>
      <c r="D509" s="11" t="s">
        <v>8635</v>
      </c>
      <c r="E509" s="11" t="s">
        <v>18</v>
      </c>
      <c r="F509" s="12" t="s">
        <v>8672</v>
      </c>
      <c r="G509" s="11" t="s">
        <v>8200</v>
      </c>
      <c r="H509" s="13" t="s">
        <v>7618</v>
      </c>
      <c r="I509" s="10">
        <v>46203</v>
      </c>
      <c r="J509" s="10" t="s">
        <v>8611</v>
      </c>
      <c r="L509" t="s">
        <v>8673</v>
      </c>
    </row>
    <row r="510" spans="1:12" ht="30">
      <c r="A510" s="10">
        <v>46203</v>
      </c>
      <c r="B510" s="11" t="s">
        <v>8674</v>
      </c>
      <c r="C510" s="11" t="s">
        <v>1109</v>
      </c>
      <c r="D510" s="11" t="s">
        <v>7053</v>
      </c>
      <c r="E510" s="11" t="s">
        <v>17</v>
      </c>
      <c r="F510" s="12" t="s">
        <v>8675</v>
      </c>
      <c r="G510" s="11" t="s">
        <v>8200</v>
      </c>
      <c r="H510" s="13" t="s">
        <v>7618</v>
      </c>
      <c r="I510" s="10">
        <v>46203</v>
      </c>
      <c r="J510" s="10" t="s">
        <v>4</v>
      </c>
      <c r="L510" t="s">
        <v>8676</v>
      </c>
    </row>
    <row r="511" spans="1:12" ht="30">
      <c r="A511" s="10">
        <v>46203</v>
      </c>
      <c r="B511" s="12" t="s">
        <v>8677</v>
      </c>
      <c r="C511" s="11" t="s">
        <v>7316</v>
      </c>
      <c r="D511" s="11" t="s">
        <v>8635</v>
      </c>
      <c r="E511" s="11" t="s">
        <v>18</v>
      </c>
      <c r="F511" s="12" t="s">
        <v>8678</v>
      </c>
      <c r="G511" s="11" t="s">
        <v>8200</v>
      </c>
      <c r="H511" s="13" t="s">
        <v>7618</v>
      </c>
      <c r="I511" s="10">
        <v>46203</v>
      </c>
      <c r="J511" s="10" t="s">
        <v>8611</v>
      </c>
      <c r="L511" t="s">
        <v>8679</v>
      </c>
    </row>
    <row r="512" spans="1:12">
      <c r="A512" s="10">
        <v>46203</v>
      </c>
      <c r="B512" s="11" t="s">
        <v>8680</v>
      </c>
      <c r="C512" s="11" t="s">
        <v>518</v>
      </c>
      <c r="D512" s="11" t="s">
        <v>6916</v>
      </c>
      <c r="E512" s="11" t="s">
        <v>17</v>
      </c>
      <c r="F512" s="12" t="s">
        <v>8681</v>
      </c>
      <c r="G512" s="11" t="s">
        <v>8200</v>
      </c>
      <c r="H512" s="13" t="s">
        <v>8682</v>
      </c>
      <c r="I512" s="10">
        <v>46203</v>
      </c>
      <c r="J512" s="10" t="s">
        <v>8611</v>
      </c>
      <c r="L512" t="s">
        <v>8683</v>
      </c>
    </row>
    <row r="513" spans="1:12">
      <c r="A513" s="10">
        <v>46203</v>
      </c>
      <c r="B513" s="11" t="s">
        <v>8684</v>
      </c>
      <c r="C513" s="11" t="s">
        <v>518</v>
      </c>
      <c r="D513" s="11" t="s">
        <v>6916</v>
      </c>
      <c r="E513" s="11" t="s">
        <v>17</v>
      </c>
      <c r="F513" s="12" t="s">
        <v>8681</v>
      </c>
      <c r="G513" s="11" t="s">
        <v>8200</v>
      </c>
      <c r="H513" s="13" t="s">
        <v>8682</v>
      </c>
      <c r="I513" s="10">
        <v>46203</v>
      </c>
      <c r="J513" s="10" t="s">
        <v>8611</v>
      </c>
      <c r="L513" t="s">
        <v>8685</v>
      </c>
    </row>
    <row r="514" spans="1:12" ht="165">
      <c r="A514" s="10">
        <v>46203</v>
      </c>
      <c r="B514" s="11" t="s">
        <v>8686</v>
      </c>
      <c r="C514" s="11" t="s">
        <v>1555</v>
      </c>
      <c r="D514" s="11" t="s">
        <v>6897</v>
      </c>
      <c r="E514" s="11" t="s">
        <v>17</v>
      </c>
      <c r="F514" s="12" t="s">
        <v>8687</v>
      </c>
      <c r="G514" s="11" t="s">
        <v>8200</v>
      </c>
      <c r="H514" s="13" t="s">
        <v>8688</v>
      </c>
      <c r="I514" s="10">
        <v>46203</v>
      </c>
      <c r="J514" s="10" t="s">
        <v>8376</v>
      </c>
      <c r="L514" t="s">
        <v>8689</v>
      </c>
    </row>
    <row r="515" spans="1:12" ht="30">
      <c r="A515" s="10">
        <v>46203</v>
      </c>
      <c r="B515" s="11" t="s">
        <v>8690</v>
      </c>
      <c r="C515" s="11" t="s">
        <v>2270</v>
      </c>
      <c r="D515" s="11" t="s">
        <v>7650</v>
      </c>
      <c r="E515" s="11" t="s">
        <v>8691</v>
      </c>
      <c r="F515" s="12" t="s">
        <v>8692</v>
      </c>
      <c r="G515" s="11" t="s">
        <v>6922</v>
      </c>
      <c r="H515" s="13" t="s">
        <v>8428</v>
      </c>
      <c r="I515" s="10">
        <v>46205</v>
      </c>
      <c r="J515" s="10" t="s">
        <v>4</v>
      </c>
      <c r="L515" t="s">
        <v>8693</v>
      </c>
    </row>
    <row r="516" spans="1:12" ht="30">
      <c r="A516" s="10">
        <v>46203</v>
      </c>
      <c r="B516" s="11" t="s">
        <v>8694</v>
      </c>
      <c r="C516" s="11" t="s">
        <v>4584</v>
      </c>
      <c r="D516" s="11" t="s">
        <v>7174</v>
      </c>
      <c r="E516" s="11" t="s">
        <v>17</v>
      </c>
      <c r="F516" s="12" t="s">
        <v>7492</v>
      </c>
      <c r="G516" s="11" t="s">
        <v>8200</v>
      </c>
      <c r="H516" s="13" t="s">
        <v>8658</v>
      </c>
      <c r="I516" s="10">
        <v>46204</v>
      </c>
      <c r="J516" s="10">
        <v>46204.166666666701</v>
      </c>
      <c r="K516" t="s">
        <v>4</v>
      </c>
      <c r="L516" t="s">
        <v>8695</v>
      </c>
    </row>
    <row r="517" spans="1:12" ht="30">
      <c r="A517" s="10">
        <v>46203</v>
      </c>
      <c r="B517" s="11" t="s">
        <v>8696</v>
      </c>
      <c r="C517" s="11" t="s">
        <v>1824</v>
      </c>
      <c r="D517" s="11" t="s">
        <v>8333</v>
      </c>
      <c r="E517" s="11" t="s">
        <v>17</v>
      </c>
      <c r="F517" s="12" t="s">
        <v>8697</v>
      </c>
      <c r="G517" s="11" t="s">
        <v>8200</v>
      </c>
      <c r="H517" s="13" t="s">
        <v>8658</v>
      </c>
      <c r="I517" s="10">
        <v>46204</v>
      </c>
      <c r="J517" s="10">
        <v>46203.666666666701</v>
      </c>
      <c r="K517" t="s">
        <v>4</v>
      </c>
      <c r="L517" t="s">
        <v>8698</v>
      </c>
    </row>
    <row r="518" spans="1:12">
      <c r="A518" s="10">
        <v>46204</v>
      </c>
      <c r="B518" s="11" t="s">
        <v>8699</v>
      </c>
      <c r="C518" s="11" t="s">
        <v>2168</v>
      </c>
      <c r="D518" s="11" t="s">
        <v>7102</v>
      </c>
      <c r="E518" s="11" t="s">
        <v>17</v>
      </c>
      <c r="F518" s="66" t="s">
        <v>8700</v>
      </c>
      <c r="G518" s="11" t="s">
        <v>8200</v>
      </c>
      <c r="H518" s="13" t="s">
        <v>7618</v>
      </c>
      <c r="I518" s="10">
        <v>46204</v>
      </c>
      <c r="J518" s="10" t="s">
        <v>8701</v>
      </c>
      <c r="L518" t="s">
        <v>8702</v>
      </c>
    </row>
    <row r="519" spans="1:12">
      <c r="A519" s="10">
        <v>46204</v>
      </c>
      <c r="B519" s="11" t="s">
        <v>8703</v>
      </c>
      <c r="C519" s="11" t="s">
        <v>1371</v>
      </c>
      <c r="D519" s="11" t="s">
        <v>7164</v>
      </c>
      <c r="E519" s="11" t="s">
        <v>17</v>
      </c>
      <c r="F519" s="12" t="s">
        <v>8704</v>
      </c>
      <c r="G519" s="11" t="s">
        <v>8200</v>
      </c>
      <c r="H519" s="13" t="s">
        <v>7618</v>
      </c>
      <c r="I519" s="10">
        <v>46204</v>
      </c>
      <c r="J519" s="10" t="s">
        <v>4</v>
      </c>
      <c r="L519" t="s">
        <v>8705</v>
      </c>
    </row>
    <row r="520" spans="1:12">
      <c r="A520" s="10">
        <v>46204</v>
      </c>
      <c r="B520" s="11" t="s">
        <v>8706</v>
      </c>
      <c r="C520" s="11" t="s">
        <v>1371</v>
      </c>
      <c r="D520" s="11" t="s">
        <v>7164</v>
      </c>
      <c r="E520" s="11" t="s">
        <v>17</v>
      </c>
      <c r="F520" s="12" t="s">
        <v>8707</v>
      </c>
      <c r="G520" s="11" t="s">
        <v>8200</v>
      </c>
      <c r="H520" s="13" t="s">
        <v>7618</v>
      </c>
      <c r="I520" s="10">
        <v>46204</v>
      </c>
      <c r="J520" s="10" t="s">
        <v>4</v>
      </c>
      <c r="L520" t="s">
        <v>8708</v>
      </c>
    </row>
    <row r="521" spans="1:12">
      <c r="A521" s="10">
        <v>46204</v>
      </c>
      <c r="B521" s="11" t="s">
        <v>8709</v>
      </c>
      <c r="C521" s="11" t="s">
        <v>1371</v>
      </c>
      <c r="D521" s="11" t="s">
        <v>7164</v>
      </c>
      <c r="E521" s="11" t="s">
        <v>17</v>
      </c>
      <c r="F521" s="12" t="s">
        <v>8710</v>
      </c>
      <c r="G521" s="11" t="s">
        <v>8200</v>
      </c>
      <c r="H521" s="13" t="s">
        <v>7618</v>
      </c>
      <c r="I521" s="10">
        <v>46204</v>
      </c>
      <c r="J521" s="10" t="s">
        <v>4</v>
      </c>
      <c r="L521" t="s">
        <v>8711</v>
      </c>
    </row>
    <row r="522" spans="1:12">
      <c r="A522" s="10">
        <v>46204</v>
      </c>
      <c r="B522" s="11" t="s">
        <v>8712</v>
      </c>
      <c r="C522" s="11" t="s">
        <v>518</v>
      </c>
      <c r="D522" s="11" t="s">
        <v>6916</v>
      </c>
      <c r="E522" s="11" t="s">
        <v>17</v>
      </c>
      <c r="F522" s="12" t="s">
        <v>8713</v>
      </c>
      <c r="G522" s="11" t="s">
        <v>8200</v>
      </c>
      <c r="H522" s="13" t="s">
        <v>7618</v>
      </c>
      <c r="I522" s="10">
        <v>46205</v>
      </c>
      <c r="J522" s="10" t="s">
        <v>8714</v>
      </c>
      <c r="L522" t="s">
        <v>8715</v>
      </c>
    </row>
    <row r="523" spans="1:12">
      <c r="A523" s="10">
        <v>46204</v>
      </c>
      <c r="B523" s="11" t="s">
        <v>8716</v>
      </c>
      <c r="C523" s="11" t="s">
        <v>1053</v>
      </c>
      <c r="D523" s="11" t="s">
        <v>7532</v>
      </c>
      <c r="E523" s="11" t="s">
        <v>13</v>
      </c>
      <c r="F523" s="12" t="s">
        <v>8717</v>
      </c>
      <c r="G523" s="11" t="s">
        <v>6891</v>
      </c>
      <c r="H523" s="13" t="s">
        <v>8428</v>
      </c>
      <c r="I523" s="10">
        <v>46204</v>
      </c>
      <c r="J523" s="10">
        <v>46272.666666666701</v>
      </c>
      <c r="K523" t="s">
        <v>4</v>
      </c>
      <c r="L523" t="s">
        <v>8718</v>
      </c>
    </row>
    <row r="524" spans="1:12">
      <c r="A524" s="10">
        <v>46204</v>
      </c>
      <c r="B524" s="11" t="s">
        <v>8719</v>
      </c>
      <c r="C524" s="11" t="s">
        <v>518</v>
      </c>
      <c r="D524" s="11" t="s">
        <v>6916</v>
      </c>
      <c r="E524" s="11" t="s">
        <v>17</v>
      </c>
      <c r="F524" s="12" t="s">
        <v>8720</v>
      </c>
      <c r="G524" s="11" t="s">
        <v>6891</v>
      </c>
      <c r="H524" s="13" t="s">
        <v>8428</v>
      </c>
      <c r="I524" s="10">
        <v>46205</v>
      </c>
      <c r="J524" s="10" t="s">
        <v>8714</v>
      </c>
      <c r="L524" t="s">
        <v>8721</v>
      </c>
    </row>
    <row r="525" spans="1:12">
      <c r="A525" s="10">
        <v>46204</v>
      </c>
      <c r="B525" s="11" t="s">
        <v>8722</v>
      </c>
      <c r="C525" s="11" t="s">
        <v>496</v>
      </c>
      <c r="D525" s="11" t="s">
        <v>7608</v>
      </c>
      <c r="E525" s="11" t="s">
        <v>17</v>
      </c>
      <c r="F525" s="12" t="s">
        <v>8723</v>
      </c>
      <c r="G525" s="11" t="s">
        <v>6891</v>
      </c>
      <c r="H525" s="13" t="s">
        <v>8428</v>
      </c>
      <c r="I525" s="10">
        <v>46205</v>
      </c>
      <c r="J525" s="10" t="s">
        <v>4</v>
      </c>
      <c r="L525" t="s">
        <v>8724</v>
      </c>
    </row>
    <row r="526" spans="1:12" ht="105">
      <c r="A526" s="10">
        <v>46204</v>
      </c>
      <c r="B526" s="11" t="s">
        <v>8725</v>
      </c>
      <c r="C526" s="11" t="s">
        <v>1348</v>
      </c>
      <c r="D526" s="11" t="s">
        <v>7010</v>
      </c>
      <c r="E526" s="11" t="s">
        <v>17</v>
      </c>
      <c r="F526" s="12" t="s">
        <v>8726</v>
      </c>
      <c r="G526" s="11" t="s">
        <v>6922</v>
      </c>
      <c r="H526" s="13" t="s">
        <v>8428</v>
      </c>
      <c r="I526" s="10">
        <v>46205</v>
      </c>
      <c r="J526" s="10" t="s">
        <v>4</v>
      </c>
      <c r="L526" t="s">
        <v>8727</v>
      </c>
    </row>
    <row r="527" spans="1:12" ht="45">
      <c r="A527" s="10">
        <v>46204</v>
      </c>
      <c r="B527" s="11" t="s">
        <v>8728</v>
      </c>
      <c r="C527" s="48" t="s">
        <v>2369</v>
      </c>
      <c r="D527" s="11" t="s">
        <v>6961</v>
      </c>
      <c r="E527" s="11" t="s">
        <v>18</v>
      </c>
      <c r="F527" s="12" t="s">
        <v>8729</v>
      </c>
      <c r="G527" s="11" t="s">
        <v>6922</v>
      </c>
      <c r="H527" s="122" t="s">
        <v>8428</v>
      </c>
      <c r="I527" s="10">
        <v>46205</v>
      </c>
      <c r="J527" s="10" t="s">
        <v>8730</v>
      </c>
      <c r="L527" t="s">
        <v>8731</v>
      </c>
    </row>
    <row r="528" spans="1:12" ht="30">
      <c r="A528" s="10">
        <v>46204</v>
      </c>
      <c r="B528" s="12" t="s">
        <v>8732</v>
      </c>
      <c r="C528" s="11" t="s">
        <v>1779</v>
      </c>
      <c r="D528" s="11" t="s">
        <v>7061</v>
      </c>
      <c r="E528" s="11" t="s">
        <v>18</v>
      </c>
      <c r="F528" s="12" t="s">
        <v>8733</v>
      </c>
      <c r="G528" s="11" t="s">
        <v>6891</v>
      </c>
      <c r="H528" s="122" t="s">
        <v>8428</v>
      </c>
      <c r="I528" s="10">
        <v>46204</v>
      </c>
      <c r="J528" s="10" t="s">
        <v>4</v>
      </c>
      <c r="L528" t="s">
        <v>8734</v>
      </c>
    </row>
    <row r="529" spans="1:12">
      <c r="A529" s="10">
        <v>46204</v>
      </c>
      <c r="B529" s="11" t="s">
        <v>8735</v>
      </c>
      <c r="C529" s="11" t="s">
        <v>1824</v>
      </c>
      <c r="D529" s="11" t="s">
        <v>8333</v>
      </c>
      <c r="E529" s="11" t="s">
        <v>17</v>
      </c>
      <c r="F529" s="12" t="s">
        <v>8736</v>
      </c>
      <c r="G529" s="11" t="s">
        <v>8200</v>
      </c>
      <c r="H529" s="13" t="s">
        <v>7618</v>
      </c>
      <c r="I529" s="10">
        <v>46209</v>
      </c>
      <c r="J529" s="10" t="s">
        <v>4</v>
      </c>
      <c r="L529" t="s">
        <v>8737</v>
      </c>
    </row>
    <row r="530" spans="1:12">
      <c r="A530" s="10">
        <v>46204</v>
      </c>
      <c r="B530" s="11" t="s">
        <v>8738</v>
      </c>
      <c r="C530" s="11" t="s">
        <v>741</v>
      </c>
      <c r="D530" s="11" t="s">
        <v>7028</v>
      </c>
      <c r="E530" s="11" t="s">
        <v>13</v>
      </c>
      <c r="F530" s="12" t="s">
        <v>8739</v>
      </c>
      <c r="G530" s="11" t="s">
        <v>6891</v>
      </c>
      <c r="H530" s="122" t="s">
        <v>8428</v>
      </c>
      <c r="I530" s="10">
        <v>46205</v>
      </c>
      <c r="J530" s="10"/>
      <c r="L530" t="s">
        <v>8740</v>
      </c>
    </row>
    <row r="531" spans="1:12">
      <c r="A531" s="10">
        <v>46204</v>
      </c>
      <c r="B531" s="125" t="s">
        <v>8741</v>
      </c>
      <c r="C531" s="11" t="s">
        <v>741</v>
      </c>
      <c r="D531" s="11" t="s">
        <v>7028</v>
      </c>
      <c r="E531" s="11" t="s">
        <v>13</v>
      </c>
      <c r="F531" s="12" t="s">
        <v>8739</v>
      </c>
      <c r="G531" s="11" t="s">
        <v>6891</v>
      </c>
      <c r="H531" s="122" t="s">
        <v>8428</v>
      </c>
      <c r="I531" s="10">
        <v>46205</v>
      </c>
      <c r="J531" s="10"/>
      <c r="L531" t="s">
        <v>8742</v>
      </c>
    </row>
    <row r="532" spans="1:12" ht="30">
      <c r="A532" s="10">
        <v>46204</v>
      </c>
      <c r="B532" s="11" t="s">
        <v>8743</v>
      </c>
      <c r="C532" s="11" t="s">
        <v>1371</v>
      </c>
      <c r="D532" s="11" t="s">
        <v>7164</v>
      </c>
      <c r="E532" s="11" t="s">
        <v>17</v>
      </c>
      <c r="F532" s="12" t="s">
        <v>8744</v>
      </c>
      <c r="G532" s="11" t="s">
        <v>6891</v>
      </c>
      <c r="H532" s="13" t="s">
        <v>8745</v>
      </c>
      <c r="I532" s="10">
        <v>46204</v>
      </c>
      <c r="J532" s="10"/>
      <c r="L532" t="s">
        <v>8746</v>
      </c>
    </row>
    <row r="533" spans="1:12" ht="45">
      <c r="A533" s="10">
        <v>46204</v>
      </c>
      <c r="B533" s="12" t="s">
        <v>8747</v>
      </c>
      <c r="C533" s="11" t="s">
        <v>461</v>
      </c>
      <c r="D533" s="11" t="s">
        <v>6982</v>
      </c>
      <c r="E533" s="11" t="s">
        <v>17</v>
      </c>
      <c r="F533" s="12" t="s">
        <v>8748</v>
      </c>
      <c r="G533" s="11" t="s">
        <v>8200</v>
      </c>
      <c r="H533" s="13" t="s">
        <v>8749</v>
      </c>
      <c r="I533" s="10">
        <v>46205</v>
      </c>
      <c r="J533" s="10" t="s">
        <v>4916</v>
      </c>
      <c r="L533" t="s">
        <v>8750</v>
      </c>
    </row>
    <row r="534" spans="1:12" ht="120">
      <c r="A534" s="10">
        <v>46204</v>
      </c>
      <c r="B534" s="12" t="s">
        <v>8751</v>
      </c>
      <c r="C534" s="11" t="s">
        <v>461</v>
      </c>
      <c r="D534" s="11" t="s">
        <v>6982</v>
      </c>
      <c r="E534" s="11" t="s">
        <v>17</v>
      </c>
      <c r="F534" s="12" t="s">
        <v>8752</v>
      </c>
      <c r="G534" s="11" t="s">
        <v>8200</v>
      </c>
      <c r="H534" s="13" t="s">
        <v>7618</v>
      </c>
      <c r="I534" s="10">
        <v>46205</v>
      </c>
      <c r="J534" s="10" t="s">
        <v>4916</v>
      </c>
      <c r="L534" t="s">
        <v>8753</v>
      </c>
    </row>
    <row r="535" spans="1:12" ht="60">
      <c r="A535" s="10">
        <v>46204</v>
      </c>
      <c r="B535" s="12" t="s">
        <v>8754</v>
      </c>
      <c r="C535" s="11" t="s">
        <v>461</v>
      </c>
      <c r="D535" s="11" t="s">
        <v>6982</v>
      </c>
      <c r="E535" s="11" t="s">
        <v>17</v>
      </c>
      <c r="F535" s="12" t="s">
        <v>8755</v>
      </c>
      <c r="G535" s="11" t="s">
        <v>8200</v>
      </c>
      <c r="H535" s="13" t="s">
        <v>7618</v>
      </c>
      <c r="I535" s="10">
        <v>46205</v>
      </c>
      <c r="J535" s="10" t="s">
        <v>4916</v>
      </c>
      <c r="L535" t="s">
        <v>8756</v>
      </c>
    </row>
    <row r="536" spans="1:12" ht="75">
      <c r="A536" s="10">
        <v>46204</v>
      </c>
      <c r="B536" s="12" t="s">
        <v>8757</v>
      </c>
      <c r="C536" s="11" t="s">
        <v>461</v>
      </c>
      <c r="D536" s="11" t="s">
        <v>6982</v>
      </c>
      <c r="E536" s="11" t="s">
        <v>17</v>
      </c>
      <c r="F536" s="12" t="s">
        <v>8758</v>
      </c>
      <c r="G536" s="11" t="s">
        <v>8200</v>
      </c>
      <c r="H536" s="13" t="s">
        <v>7618</v>
      </c>
      <c r="I536" s="10">
        <v>46205</v>
      </c>
      <c r="J536" s="10" t="s">
        <v>4916</v>
      </c>
      <c r="L536" t="s">
        <v>8759</v>
      </c>
    </row>
    <row r="537" spans="1:12">
      <c r="A537" s="10">
        <v>46205</v>
      </c>
      <c r="B537" s="11" t="s">
        <v>8760</v>
      </c>
      <c r="C537" s="11" t="s">
        <v>1436</v>
      </c>
      <c r="D537" s="11" t="s">
        <v>6920</v>
      </c>
      <c r="E537" s="11" t="s">
        <v>18</v>
      </c>
      <c r="F537" s="12" t="s">
        <v>8761</v>
      </c>
      <c r="G537" s="11" t="s">
        <v>6922</v>
      </c>
      <c r="H537" s="122" t="s">
        <v>8428</v>
      </c>
      <c r="I537" s="10">
        <v>46205</v>
      </c>
      <c r="J537" s="10" t="s">
        <v>8666</v>
      </c>
      <c r="L537" t="s">
        <v>8762</v>
      </c>
    </row>
    <row r="538" spans="1:12" ht="165">
      <c r="A538" s="10">
        <v>46205</v>
      </c>
      <c r="B538" s="11" t="s">
        <v>8763</v>
      </c>
      <c r="C538" s="11" t="s">
        <v>1555</v>
      </c>
      <c r="D538" s="11" t="s">
        <v>6897</v>
      </c>
      <c r="E538" s="11" t="s">
        <v>17</v>
      </c>
      <c r="F538" s="12" t="s">
        <v>8764</v>
      </c>
      <c r="G538" s="11" t="s">
        <v>6891</v>
      </c>
      <c r="H538" s="13" t="s">
        <v>7618</v>
      </c>
      <c r="I538" s="10">
        <v>46205</v>
      </c>
      <c r="J538" s="10" t="s">
        <v>8765</v>
      </c>
      <c r="L538" t="s">
        <v>8766</v>
      </c>
    </row>
    <row r="539" spans="1:12" ht="30">
      <c r="A539" s="10">
        <v>46205</v>
      </c>
      <c r="B539" s="11" t="s">
        <v>8767</v>
      </c>
      <c r="C539" s="11" t="s">
        <v>7316</v>
      </c>
      <c r="D539" s="11" t="s">
        <v>8635</v>
      </c>
      <c r="E539" s="11" t="s">
        <v>18</v>
      </c>
      <c r="F539" s="12" t="s">
        <v>8768</v>
      </c>
      <c r="G539" s="11" t="s">
        <v>6922</v>
      </c>
      <c r="H539" s="122" t="s">
        <v>8428</v>
      </c>
      <c r="I539" s="10">
        <v>46205</v>
      </c>
      <c r="J539" s="10" t="s">
        <v>4</v>
      </c>
      <c r="L539" t="s">
        <v>8769</v>
      </c>
    </row>
    <row r="540" spans="1:12" ht="75">
      <c r="A540" s="10">
        <v>46205</v>
      </c>
      <c r="B540" s="11" t="s">
        <v>198</v>
      </c>
      <c r="C540" s="11" t="s">
        <v>1555</v>
      </c>
      <c r="D540" s="11" t="s">
        <v>6897</v>
      </c>
      <c r="E540" s="11" t="s">
        <v>17</v>
      </c>
      <c r="F540" s="12" t="s">
        <v>8770</v>
      </c>
      <c r="G540" s="11" t="s">
        <v>6891</v>
      </c>
      <c r="H540" s="13" t="s">
        <v>7618</v>
      </c>
      <c r="I540" s="10">
        <v>46205</v>
      </c>
      <c r="J540" s="57" t="s">
        <v>8771</v>
      </c>
      <c r="L540" t="s">
        <v>8772</v>
      </c>
    </row>
    <row r="541" spans="1:12">
      <c r="A541" s="10">
        <v>46205</v>
      </c>
      <c r="B541" s="126" t="s">
        <v>8773</v>
      </c>
      <c r="C541" s="46" t="s">
        <v>1512</v>
      </c>
      <c r="D541" s="46" t="s">
        <v>7170</v>
      </c>
      <c r="E541" s="46" t="s">
        <v>17</v>
      </c>
      <c r="F541" s="12" t="s">
        <v>8774</v>
      </c>
      <c r="G541" s="11" t="s">
        <v>6891</v>
      </c>
      <c r="H541" s="13" t="s">
        <v>7618</v>
      </c>
      <c r="I541" s="10">
        <v>46205</v>
      </c>
      <c r="J541" s="10" t="s">
        <v>4</v>
      </c>
      <c r="L541" t="s">
        <v>8775</v>
      </c>
    </row>
    <row r="542" spans="1:12">
      <c r="A542" s="10">
        <v>46205</v>
      </c>
      <c r="B542" s="126" t="s">
        <v>8776</v>
      </c>
      <c r="C542" s="46" t="s">
        <v>1512</v>
      </c>
      <c r="D542" s="46" t="s">
        <v>7170</v>
      </c>
      <c r="E542" s="46" t="s">
        <v>17</v>
      </c>
      <c r="F542" s="12" t="s">
        <v>8777</v>
      </c>
      <c r="G542" s="11" t="s">
        <v>6891</v>
      </c>
      <c r="H542" s="13" t="s">
        <v>7618</v>
      </c>
      <c r="I542" s="10">
        <v>46205</v>
      </c>
      <c r="J542" s="10" t="s">
        <v>4</v>
      </c>
      <c r="L542" t="s">
        <v>8778</v>
      </c>
    </row>
    <row r="543" spans="1:12" ht="330">
      <c r="A543" s="10">
        <v>46205</v>
      </c>
      <c r="B543" s="11" t="s">
        <v>8779</v>
      </c>
      <c r="C543" s="11" t="s">
        <v>1555</v>
      </c>
      <c r="D543" s="11" t="s">
        <v>6897</v>
      </c>
      <c r="E543" s="11" t="s">
        <v>17</v>
      </c>
      <c r="F543" s="12" t="s">
        <v>8780</v>
      </c>
      <c r="G543" s="11" t="s">
        <v>6891</v>
      </c>
      <c r="H543" s="13" t="s">
        <v>7618</v>
      </c>
      <c r="I543" s="10">
        <v>46205</v>
      </c>
      <c r="J543" s="10" t="s">
        <v>8765</v>
      </c>
      <c r="L543" t="s">
        <v>8781</v>
      </c>
    </row>
    <row r="544" spans="1:12" ht="105">
      <c r="A544" s="10">
        <v>46205</v>
      </c>
      <c r="B544" s="11" t="s">
        <v>8782</v>
      </c>
      <c r="C544" s="11" t="s">
        <v>1555</v>
      </c>
      <c r="D544" s="11" t="s">
        <v>6897</v>
      </c>
      <c r="E544" s="11" t="s">
        <v>17</v>
      </c>
      <c r="F544" s="12" t="s">
        <v>8783</v>
      </c>
      <c r="G544" s="11" t="s">
        <v>6891</v>
      </c>
      <c r="H544" s="13" t="s">
        <v>7618</v>
      </c>
      <c r="I544" s="10">
        <v>46205</v>
      </c>
      <c r="J544" s="10" t="s">
        <v>8784</v>
      </c>
      <c r="L544" t="s">
        <v>8785</v>
      </c>
    </row>
    <row r="545" spans="1:12">
      <c r="A545" s="10">
        <v>46205</v>
      </c>
      <c r="B545" s="90" t="s">
        <v>8786</v>
      </c>
      <c r="C545" s="11" t="s">
        <v>2168</v>
      </c>
      <c r="D545" s="11" t="s">
        <v>7102</v>
      </c>
      <c r="E545" s="11" t="s">
        <v>17</v>
      </c>
      <c r="F545" s="66" t="s">
        <v>8787</v>
      </c>
      <c r="G545" s="11" t="s">
        <v>8200</v>
      </c>
      <c r="H545" s="13" t="s">
        <v>7618</v>
      </c>
      <c r="I545" s="10">
        <v>46205</v>
      </c>
      <c r="J545" s="10" t="s">
        <v>8701</v>
      </c>
      <c r="L545" t="s">
        <v>8788</v>
      </c>
    </row>
    <row r="546" spans="1:12" ht="210">
      <c r="A546" s="10">
        <v>46205</v>
      </c>
      <c r="B546" s="11" t="s">
        <v>8789</v>
      </c>
      <c r="C546" s="11" t="s">
        <v>1555</v>
      </c>
      <c r="D546" s="11" t="s">
        <v>6897</v>
      </c>
      <c r="E546" s="11" t="s">
        <v>17</v>
      </c>
      <c r="F546" s="12" t="s">
        <v>8790</v>
      </c>
      <c r="G546" s="11" t="s">
        <v>6891</v>
      </c>
      <c r="H546" s="13" t="s">
        <v>8563</v>
      </c>
      <c r="I546" s="10">
        <v>46205</v>
      </c>
      <c r="J546" s="10" t="s">
        <v>8791</v>
      </c>
      <c r="L546" t="s">
        <v>8792</v>
      </c>
    </row>
    <row r="547" spans="1:12">
      <c r="A547" s="10">
        <v>46205</v>
      </c>
      <c r="B547" s="11" t="s">
        <v>8793</v>
      </c>
      <c r="C547" s="11" t="s">
        <v>1371</v>
      </c>
      <c r="D547" s="11" t="s">
        <v>7164</v>
      </c>
      <c r="E547" s="11" t="s">
        <v>17</v>
      </c>
      <c r="F547" s="12" t="s">
        <v>8794</v>
      </c>
      <c r="G547" s="11" t="s">
        <v>6891</v>
      </c>
      <c r="H547" s="13" t="s">
        <v>8563</v>
      </c>
      <c r="I547" s="10">
        <v>46205</v>
      </c>
      <c r="J547" s="10" t="s">
        <v>4</v>
      </c>
      <c r="L547" t="s">
        <v>8795</v>
      </c>
    </row>
    <row r="548" spans="1:12">
      <c r="A548" s="10">
        <v>46205</v>
      </c>
      <c r="B548" s="11" t="s">
        <v>8796</v>
      </c>
      <c r="C548" s="11" t="s">
        <v>1252</v>
      </c>
      <c r="D548" s="11" t="s">
        <v>7038</v>
      </c>
      <c r="E548" s="11" t="s">
        <v>17</v>
      </c>
      <c r="F548" s="12" t="s">
        <v>8797</v>
      </c>
      <c r="G548" s="11" t="s">
        <v>6891</v>
      </c>
      <c r="H548" s="13" t="s">
        <v>8563</v>
      </c>
      <c r="I548" s="10">
        <v>46205</v>
      </c>
      <c r="J548" s="10" t="s">
        <v>8165</v>
      </c>
      <c r="L548" t="s">
        <v>8798</v>
      </c>
    </row>
    <row r="549" spans="1:12">
      <c r="A549" s="10">
        <v>46205</v>
      </c>
      <c r="B549" s="11" t="s">
        <v>8799</v>
      </c>
      <c r="C549" s="11" t="s">
        <v>1371</v>
      </c>
      <c r="D549" s="11" t="s">
        <v>7164</v>
      </c>
      <c r="E549" s="11" t="s">
        <v>17</v>
      </c>
      <c r="F549" s="12" t="s">
        <v>8800</v>
      </c>
      <c r="G549" s="11" t="s">
        <v>6891</v>
      </c>
      <c r="H549" s="13" t="s">
        <v>8563</v>
      </c>
      <c r="I549" s="10">
        <v>46205</v>
      </c>
      <c r="J549" s="10" t="s">
        <v>4</v>
      </c>
      <c r="L549" t="s">
        <v>8801</v>
      </c>
    </row>
    <row r="550" spans="1:12">
      <c r="A550" s="10">
        <v>46205</v>
      </c>
      <c r="B550" s="11" t="s">
        <v>8802</v>
      </c>
      <c r="C550" s="11" t="s">
        <v>585</v>
      </c>
      <c r="D550" s="11" t="s">
        <v>7144</v>
      </c>
      <c r="E550" s="11" t="s">
        <v>17</v>
      </c>
      <c r="F550" s="12" t="s">
        <v>8803</v>
      </c>
      <c r="G550" s="11" t="s">
        <v>6891</v>
      </c>
      <c r="H550" s="13" t="s">
        <v>8563</v>
      </c>
      <c r="I550" s="10">
        <v>46205</v>
      </c>
      <c r="J550" s="10" t="s">
        <v>8730</v>
      </c>
      <c r="L550" t="s">
        <v>8804</v>
      </c>
    </row>
    <row r="551" spans="1:12">
      <c r="A551" s="10">
        <v>46205</v>
      </c>
      <c r="B551" s="127" t="s">
        <v>8805</v>
      </c>
      <c r="C551" s="11" t="s">
        <v>1824</v>
      </c>
      <c r="D551" s="11" t="s">
        <v>8333</v>
      </c>
      <c r="E551" s="11" t="s">
        <v>17</v>
      </c>
      <c r="F551" s="12" t="s">
        <v>8806</v>
      </c>
      <c r="G551" s="11" t="s">
        <v>7553</v>
      </c>
      <c r="H551" s="13" t="s">
        <v>8563</v>
      </c>
      <c r="I551" s="10">
        <v>46205</v>
      </c>
      <c r="J551" s="10" t="s">
        <v>4</v>
      </c>
      <c r="L551" t="s">
        <v>8807</v>
      </c>
    </row>
    <row r="552" spans="1:12">
      <c r="A552" s="41">
        <v>46205</v>
      </c>
      <c r="B552" s="128" t="s">
        <v>8808</v>
      </c>
      <c r="C552" s="43" t="s">
        <v>1824</v>
      </c>
      <c r="D552" s="43" t="s">
        <v>8333</v>
      </c>
      <c r="E552" s="11" t="s">
        <v>17</v>
      </c>
      <c r="F552" s="12" t="s">
        <v>8809</v>
      </c>
      <c r="G552" s="11" t="s">
        <v>7553</v>
      </c>
      <c r="H552" s="13" t="s">
        <v>8563</v>
      </c>
      <c r="I552" s="10">
        <v>46205</v>
      </c>
      <c r="J552" s="10" t="s">
        <v>8810</v>
      </c>
      <c r="L552" t="s">
        <v>8811</v>
      </c>
    </row>
    <row r="553" spans="1:12" ht="15.75">
      <c r="A553" s="112">
        <v>46205</v>
      </c>
      <c r="B553" s="129" t="s">
        <v>8812</v>
      </c>
      <c r="C553" s="62" t="s">
        <v>648</v>
      </c>
      <c r="D553" s="62" t="s">
        <v>8434</v>
      </c>
      <c r="E553" s="130" t="s">
        <v>17</v>
      </c>
      <c r="F553" s="131" t="s">
        <v>8813</v>
      </c>
      <c r="G553" s="11" t="s">
        <v>7553</v>
      </c>
      <c r="H553" s="13" t="s">
        <v>8563</v>
      </c>
      <c r="I553" s="10">
        <v>46205</v>
      </c>
      <c r="J553" s="10" t="s">
        <v>4</v>
      </c>
      <c r="L553" t="s">
        <v>8814</v>
      </c>
    </row>
    <row r="554" spans="1:12" ht="15.75">
      <c r="A554" s="112">
        <v>46205</v>
      </c>
      <c r="B554" s="129" t="s">
        <v>8815</v>
      </c>
      <c r="C554" s="62" t="s">
        <v>648</v>
      </c>
      <c r="D554" s="62" t="s">
        <v>8434</v>
      </c>
      <c r="E554" s="130" t="s">
        <v>17</v>
      </c>
      <c r="F554" s="131" t="s">
        <v>8816</v>
      </c>
      <c r="G554" s="11" t="s">
        <v>7553</v>
      </c>
      <c r="H554" s="13" t="s">
        <v>8563</v>
      </c>
      <c r="I554" s="10">
        <v>46205</v>
      </c>
      <c r="J554" s="10" t="s">
        <v>4</v>
      </c>
      <c r="L554" t="s">
        <v>8817</v>
      </c>
    </row>
    <row r="555" spans="1:12" ht="75">
      <c r="A555" s="132">
        <v>46205</v>
      </c>
      <c r="B555" s="133" t="s">
        <v>8818</v>
      </c>
      <c r="C555" s="134" t="s">
        <v>461</v>
      </c>
      <c r="D555" s="134" t="s">
        <v>6982</v>
      </c>
      <c r="E555" s="135" t="s">
        <v>17</v>
      </c>
      <c r="F555" s="131" t="s">
        <v>8819</v>
      </c>
      <c r="G555" s="11" t="s">
        <v>7553</v>
      </c>
      <c r="H555" s="13" t="s">
        <v>8563</v>
      </c>
      <c r="I555" s="10">
        <v>46205</v>
      </c>
      <c r="J555" s="10" t="s">
        <v>8165</v>
      </c>
      <c r="L555" t="s">
        <v>8820</v>
      </c>
    </row>
    <row r="556" spans="1:12" ht="105">
      <c r="A556" s="136">
        <v>46205</v>
      </c>
      <c r="B556" s="12" t="s">
        <v>8821</v>
      </c>
      <c r="C556" s="135" t="s">
        <v>461</v>
      </c>
      <c r="D556" s="135" t="s">
        <v>6982</v>
      </c>
      <c r="E556" s="135" t="s">
        <v>17</v>
      </c>
      <c r="F556" s="12" t="s">
        <v>8822</v>
      </c>
      <c r="G556" s="11" t="s">
        <v>7553</v>
      </c>
      <c r="H556" s="13" t="s">
        <v>8563</v>
      </c>
      <c r="I556" s="10">
        <v>46205</v>
      </c>
      <c r="J556" s="10" t="s">
        <v>8165</v>
      </c>
      <c r="L556" t="s">
        <v>8823</v>
      </c>
    </row>
    <row r="557" spans="1:12" ht="75">
      <c r="A557" s="136">
        <v>46205</v>
      </c>
      <c r="B557" s="12" t="s">
        <v>8824</v>
      </c>
      <c r="C557" s="135" t="s">
        <v>461</v>
      </c>
      <c r="D557" s="135" t="s">
        <v>6982</v>
      </c>
      <c r="E557" s="135" t="s">
        <v>17</v>
      </c>
      <c r="F557" s="12" t="s">
        <v>8825</v>
      </c>
      <c r="G557" s="11" t="s">
        <v>7553</v>
      </c>
      <c r="H557" s="13" t="s">
        <v>8563</v>
      </c>
      <c r="I557" s="10">
        <v>46205</v>
      </c>
      <c r="J557" s="10" t="s">
        <v>8165</v>
      </c>
      <c r="L557" t="s">
        <v>8826</v>
      </c>
    </row>
    <row r="558" spans="1:12" ht="30">
      <c r="A558" s="137">
        <v>46205</v>
      </c>
      <c r="B558" s="43" t="s">
        <v>8827</v>
      </c>
      <c r="C558" s="43" t="s">
        <v>1252</v>
      </c>
      <c r="D558" s="43" t="s">
        <v>7038</v>
      </c>
      <c r="E558" s="11" t="s">
        <v>17</v>
      </c>
      <c r="F558" s="12" t="s">
        <v>8828</v>
      </c>
      <c r="G558" s="11" t="s">
        <v>7553</v>
      </c>
      <c r="H558" s="13" t="s">
        <v>8563</v>
      </c>
      <c r="I558" s="10">
        <v>46205</v>
      </c>
      <c r="J558" s="10" t="s">
        <v>8165</v>
      </c>
      <c r="L558" t="s">
        <v>8829</v>
      </c>
    </row>
    <row r="559" spans="1:12">
      <c r="A559" s="112">
        <v>46209</v>
      </c>
      <c r="B559" s="46" t="s">
        <v>8830</v>
      </c>
      <c r="C559" s="46" t="s">
        <v>1371</v>
      </c>
      <c r="D559" s="46" t="s">
        <v>7164</v>
      </c>
      <c r="E559" s="130" t="s">
        <v>17</v>
      </c>
      <c r="F559" s="12" t="s">
        <v>8831</v>
      </c>
      <c r="G559" s="11" t="s">
        <v>6891</v>
      </c>
      <c r="H559" s="13" t="s">
        <v>8563</v>
      </c>
      <c r="I559" s="10">
        <v>46209</v>
      </c>
      <c r="J559" s="10"/>
      <c r="L559" t="s">
        <v>8832</v>
      </c>
    </row>
    <row r="560" spans="1:12">
      <c r="A560" s="112">
        <v>46209</v>
      </c>
      <c r="B560" s="138" t="s">
        <v>8833</v>
      </c>
      <c r="C560" s="46" t="s">
        <v>1371</v>
      </c>
      <c r="D560" s="46" t="s">
        <v>7164</v>
      </c>
      <c r="E560" s="130" t="s">
        <v>17</v>
      </c>
      <c r="F560" s="12" t="s">
        <v>8834</v>
      </c>
      <c r="G560" s="11" t="s">
        <v>6891</v>
      </c>
      <c r="H560" s="13" t="s">
        <v>8563</v>
      </c>
      <c r="I560" s="10">
        <v>46209</v>
      </c>
      <c r="J560" s="10"/>
      <c r="L560" t="s">
        <v>8835</v>
      </c>
    </row>
    <row r="561" spans="1:12">
      <c r="A561" s="112">
        <v>46209</v>
      </c>
      <c r="B561" s="46" t="s">
        <v>8836</v>
      </c>
      <c r="C561" s="46" t="s">
        <v>1252</v>
      </c>
      <c r="D561" s="46" t="s">
        <v>7038</v>
      </c>
      <c r="E561" s="130" t="s">
        <v>17</v>
      </c>
      <c r="F561" s="12" t="s">
        <v>8837</v>
      </c>
      <c r="G561" s="11" t="s">
        <v>6891</v>
      </c>
      <c r="H561" s="13" t="s">
        <v>8563</v>
      </c>
      <c r="I561" s="10">
        <v>46209</v>
      </c>
      <c r="J561" s="10" t="s">
        <v>8165</v>
      </c>
      <c r="L561" t="s">
        <v>8838</v>
      </c>
    </row>
    <row r="562" spans="1:12" ht="120">
      <c r="A562" s="44">
        <v>46209</v>
      </c>
      <c r="B562" s="46" t="s">
        <v>8839</v>
      </c>
      <c r="C562" s="11" t="s">
        <v>1555</v>
      </c>
      <c r="D562" s="11" t="s">
        <v>8341</v>
      </c>
      <c r="E562" s="11" t="s">
        <v>17</v>
      </c>
      <c r="F562" s="12" t="s">
        <v>8840</v>
      </c>
      <c r="G562" s="11" t="s">
        <v>6891</v>
      </c>
      <c r="H562" s="13" t="s">
        <v>8841</v>
      </c>
      <c r="I562" s="10">
        <v>46209</v>
      </c>
      <c r="J562" s="10" t="s">
        <v>8730</v>
      </c>
      <c r="L562" t="s">
        <v>8842</v>
      </c>
    </row>
    <row r="563" spans="1:12" ht="30">
      <c r="A563" s="44">
        <v>46209</v>
      </c>
      <c r="B563" s="139" t="s">
        <v>8843</v>
      </c>
      <c r="C563" s="46" t="s">
        <v>518</v>
      </c>
      <c r="D563" s="46" t="s">
        <v>6916</v>
      </c>
      <c r="E563" s="11" t="s">
        <v>17</v>
      </c>
      <c r="F563" s="140" t="s">
        <v>8844</v>
      </c>
      <c r="G563" s="11" t="s">
        <v>8200</v>
      </c>
      <c r="H563" s="13" t="s">
        <v>8658</v>
      </c>
      <c r="I563" s="10">
        <v>46209</v>
      </c>
      <c r="J563" s="10" t="s">
        <v>8845</v>
      </c>
      <c r="L563" t="s">
        <v>8846</v>
      </c>
    </row>
    <row r="564" spans="1:12" ht="120">
      <c r="A564" s="44">
        <v>46209</v>
      </c>
      <c r="B564" s="46" t="s">
        <v>8847</v>
      </c>
      <c r="C564" s="11" t="s">
        <v>1555</v>
      </c>
      <c r="D564" s="11" t="s">
        <v>8341</v>
      </c>
      <c r="E564" s="11" t="s">
        <v>17</v>
      </c>
      <c r="F564" s="12" t="s">
        <v>8848</v>
      </c>
      <c r="G564" s="11" t="s">
        <v>6891</v>
      </c>
      <c r="H564" s="13" t="s">
        <v>8841</v>
      </c>
      <c r="I564" s="10">
        <v>46209</v>
      </c>
      <c r="J564" s="10" t="s">
        <v>8730</v>
      </c>
      <c r="L564" t="s">
        <v>8849</v>
      </c>
    </row>
    <row r="565" spans="1:12" ht="135">
      <c r="A565" s="44">
        <v>46209</v>
      </c>
      <c r="B565" s="52" t="s">
        <v>8850</v>
      </c>
      <c r="C565" s="11" t="s">
        <v>1555</v>
      </c>
      <c r="D565" s="11" t="s">
        <v>8341</v>
      </c>
      <c r="E565" s="11" t="s">
        <v>17</v>
      </c>
      <c r="F565" s="12" t="s">
        <v>8851</v>
      </c>
      <c r="G565" s="11" t="s">
        <v>6891</v>
      </c>
      <c r="H565" s="13" t="s">
        <v>8563</v>
      </c>
      <c r="I565" s="10">
        <v>46209</v>
      </c>
      <c r="J565" s="10" t="s">
        <v>8852</v>
      </c>
      <c r="L565" t="s">
        <v>8853</v>
      </c>
    </row>
    <row r="566" spans="1:12" ht="120">
      <c r="A566" s="44">
        <v>46209</v>
      </c>
      <c r="B566" s="52" t="s">
        <v>8854</v>
      </c>
      <c r="C566" s="11" t="s">
        <v>1555</v>
      </c>
      <c r="D566" s="11" t="s">
        <v>8341</v>
      </c>
      <c r="E566" s="11" t="s">
        <v>17</v>
      </c>
      <c r="F566" s="12" t="s">
        <v>8855</v>
      </c>
      <c r="G566" s="11" t="s">
        <v>6891</v>
      </c>
      <c r="H566" s="13" t="s">
        <v>8563</v>
      </c>
      <c r="I566" s="10">
        <v>46209</v>
      </c>
      <c r="J566" s="10" t="s">
        <v>8856</v>
      </c>
      <c r="L566" t="s">
        <v>8857</v>
      </c>
    </row>
    <row r="567" spans="1:12" ht="30">
      <c r="A567" s="44">
        <v>46209</v>
      </c>
      <c r="B567" s="11" t="s">
        <v>8858</v>
      </c>
      <c r="C567" s="11" t="s">
        <v>1371</v>
      </c>
      <c r="D567" s="11" t="s">
        <v>7164</v>
      </c>
      <c r="E567" s="11" t="s">
        <v>17</v>
      </c>
      <c r="F567" s="12" t="s">
        <v>8859</v>
      </c>
      <c r="G567" s="11" t="s">
        <v>6891</v>
      </c>
      <c r="H567" s="13" t="s">
        <v>8563</v>
      </c>
      <c r="I567" s="10">
        <v>46209</v>
      </c>
      <c r="J567" s="10"/>
      <c r="L567" t="s">
        <v>8860</v>
      </c>
    </row>
    <row r="568" spans="1:12" ht="30">
      <c r="A568" s="44">
        <v>46209</v>
      </c>
      <c r="B568" s="12" t="s">
        <v>8861</v>
      </c>
      <c r="C568" s="11" t="s">
        <v>1884</v>
      </c>
      <c r="D568" s="11" t="s">
        <v>7135</v>
      </c>
      <c r="E568" s="11" t="s">
        <v>17</v>
      </c>
      <c r="F568" s="12" t="s">
        <v>8862</v>
      </c>
      <c r="G568" s="11" t="s">
        <v>6891</v>
      </c>
      <c r="H568" s="13" t="s">
        <v>8563</v>
      </c>
      <c r="I568" s="10">
        <v>46209</v>
      </c>
      <c r="J568" s="10">
        <v>46210.666666666701</v>
      </c>
      <c r="K568" t="s">
        <v>4</v>
      </c>
      <c r="L568" s="179" t="s">
        <v>8863</v>
      </c>
    </row>
    <row r="569" spans="1:12" ht="30">
      <c r="A569" s="44">
        <v>46209</v>
      </c>
      <c r="B569" s="12" t="s">
        <v>8864</v>
      </c>
      <c r="C569" s="11" t="s">
        <v>1779</v>
      </c>
      <c r="D569" s="11" t="s">
        <v>8865</v>
      </c>
      <c r="E569" s="11" t="s">
        <v>18</v>
      </c>
      <c r="F569" s="12" t="s">
        <v>8866</v>
      </c>
      <c r="G569" s="11" t="s">
        <v>6891</v>
      </c>
      <c r="H569" s="13" t="s">
        <v>8563</v>
      </c>
      <c r="I569" s="10">
        <v>46209</v>
      </c>
      <c r="J569" s="10"/>
      <c r="L569" t="s">
        <v>8867</v>
      </c>
    </row>
    <row r="570" spans="1:12">
      <c r="A570" s="10">
        <v>46209</v>
      </c>
      <c r="B570" s="11" t="s">
        <v>8868</v>
      </c>
      <c r="C570" s="11" t="s">
        <v>1053</v>
      </c>
      <c r="D570" s="11" t="s">
        <v>7532</v>
      </c>
      <c r="E570" s="11" t="s">
        <v>13</v>
      </c>
      <c r="F570" s="12" t="s">
        <v>8869</v>
      </c>
      <c r="G570" s="11" t="s">
        <v>6891</v>
      </c>
      <c r="H570" s="13" t="s">
        <v>8563</v>
      </c>
      <c r="I570" s="10">
        <v>46209</v>
      </c>
      <c r="J570" s="10">
        <v>46272.666666666701</v>
      </c>
      <c r="K570" t="s">
        <v>4</v>
      </c>
      <c r="L570" t="s">
        <v>8870</v>
      </c>
    </row>
    <row r="571" spans="1:12">
      <c r="A571" s="10">
        <v>46209</v>
      </c>
      <c r="B571" s="11" t="s">
        <v>8871</v>
      </c>
      <c r="C571" s="11" t="s">
        <v>496</v>
      </c>
      <c r="D571" s="11" t="s">
        <v>7608</v>
      </c>
      <c r="E571" s="11" t="s">
        <v>17</v>
      </c>
      <c r="F571" s="12" t="s">
        <v>8872</v>
      </c>
      <c r="G571" s="11" t="s">
        <v>7553</v>
      </c>
      <c r="H571" s="13" t="s">
        <v>7618</v>
      </c>
      <c r="I571" s="10">
        <v>46209</v>
      </c>
      <c r="J571" s="10" t="s">
        <v>4</v>
      </c>
      <c r="L571" t="s">
        <v>8873</v>
      </c>
    </row>
    <row r="572" spans="1:12" ht="90">
      <c r="A572" s="41">
        <v>46209</v>
      </c>
      <c r="B572" s="43" t="s">
        <v>8874</v>
      </c>
      <c r="C572" s="43" t="s">
        <v>1555</v>
      </c>
      <c r="D572" s="43" t="s">
        <v>8341</v>
      </c>
      <c r="E572" s="43" t="s">
        <v>17</v>
      </c>
      <c r="F572" s="42" t="s">
        <v>8875</v>
      </c>
      <c r="G572" s="43" t="s">
        <v>7553</v>
      </c>
      <c r="H572" s="141" t="s">
        <v>8876</v>
      </c>
      <c r="I572" s="10">
        <v>46209</v>
      </c>
      <c r="J572" s="41" t="s">
        <v>8730</v>
      </c>
      <c r="L572" t="s">
        <v>8877</v>
      </c>
    </row>
    <row r="573" spans="1:12" s="20" customFormat="1" ht="90">
      <c r="A573" s="41">
        <v>46209</v>
      </c>
      <c r="B573" s="43" t="s">
        <v>8878</v>
      </c>
      <c r="C573" s="43" t="s">
        <v>1555</v>
      </c>
      <c r="D573" s="43" t="s">
        <v>8341</v>
      </c>
      <c r="E573" s="43" t="s">
        <v>17</v>
      </c>
      <c r="F573" s="142" t="s">
        <v>8879</v>
      </c>
      <c r="G573" s="119" t="s">
        <v>7553</v>
      </c>
      <c r="H573" s="141" t="s">
        <v>8876</v>
      </c>
      <c r="I573" s="10">
        <v>46209</v>
      </c>
      <c r="J573" s="41" t="s">
        <v>8730</v>
      </c>
      <c r="L573" s="20" t="s">
        <v>8880</v>
      </c>
    </row>
    <row r="574" spans="1:12" s="21" customFormat="1" ht="90">
      <c r="A574" s="41">
        <v>46209</v>
      </c>
      <c r="B574" s="143" t="s">
        <v>8881</v>
      </c>
      <c r="C574" s="43" t="s">
        <v>1555</v>
      </c>
      <c r="D574" s="43" t="s">
        <v>8341</v>
      </c>
      <c r="E574" s="43" t="s">
        <v>17</v>
      </c>
      <c r="F574" s="144" t="s">
        <v>8882</v>
      </c>
      <c r="G574" s="11" t="s">
        <v>8200</v>
      </c>
      <c r="H574" s="13" t="s">
        <v>8658</v>
      </c>
      <c r="I574" s="10">
        <v>46209</v>
      </c>
      <c r="J574" s="41" t="s">
        <v>8730</v>
      </c>
      <c r="L574" s="21" t="s">
        <v>8883</v>
      </c>
    </row>
    <row r="575" spans="1:12" ht="30">
      <c r="A575" s="41">
        <v>46209</v>
      </c>
      <c r="B575" s="52" t="s">
        <v>8884</v>
      </c>
      <c r="C575" s="52" t="s">
        <v>1371</v>
      </c>
      <c r="D575" s="52" t="s">
        <v>7442</v>
      </c>
      <c r="E575" s="43" t="s">
        <v>17</v>
      </c>
      <c r="F575" s="53" t="s">
        <v>8885</v>
      </c>
      <c r="G575" s="52" t="s">
        <v>6891</v>
      </c>
      <c r="H575" s="145" t="s">
        <v>8886</v>
      </c>
      <c r="I575" s="51">
        <v>46209</v>
      </c>
      <c r="J575" s="13" t="s">
        <v>8887</v>
      </c>
      <c r="L575" t="s">
        <v>8888</v>
      </c>
    </row>
    <row r="576" spans="1:12">
      <c r="A576" s="41">
        <v>46209</v>
      </c>
      <c r="B576" s="11" t="s">
        <v>8889</v>
      </c>
      <c r="C576" s="52" t="s">
        <v>1371</v>
      </c>
      <c r="D576" s="52" t="s">
        <v>7442</v>
      </c>
      <c r="E576" s="43" t="s">
        <v>17</v>
      </c>
      <c r="F576" s="12" t="s">
        <v>8890</v>
      </c>
      <c r="G576" s="11" t="s">
        <v>6891</v>
      </c>
      <c r="H576" s="13" t="s">
        <v>8563</v>
      </c>
      <c r="I576" s="10">
        <v>46209</v>
      </c>
      <c r="J576" s="10"/>
      <c r="L576" t="s">
        <v>8891</v>
      </c>
    </row>
    <row r="577" spans="1:12">
      <c r="A577" s="41">
        <v>46209</v>
      </c>
      <c r="B577" s="11" t="s">
        <v>8892</v>
      </c>
      <c r="C577" s="11" t="s">
        <v>1874</v>
      </c>
      <c r="D577" s="11" t="s">
        <v>7000</v>
      </c>
      <c r="E577" s="43" t="s">
        <v>17</v>
      </c>
      <c r="F577" s="12" t="s">
        <v>8893</v>
      </c>
      <c r="G577" s="11" t="s">
        <v>7553</v>
      </c>
      <c r="H577" s="13" t="s">
        <v>8688</v>
      </c>
      <c r="I577" s="10">
        <v>46209</v>
      </c>
      <c r="J577" s="57" t="s">
        <v>8894</v>
      </c>
      <c r="L577" t="s">
        <v>8895</v>
      </c>
    </row>
    <row r="578" spans="1:12" ht="30">
      <c r="A578" s="41">
        <v>46209</v>
      </c>
      <c r="B578" s="11" t="s">
        <v>8896</v>
      </c>
      <c r="C578" s="52" t="s">
        <v>1371</v>
      </c>
      <c r="D578" s="52" t="s">
        <v>7442</v>
      </c>
      <c r="E578" s="11" t="s">
        <v>17</v>
      </c>
      <c r="F578" s="12" t="s">
        <v>8897</v>
      </c>
      <c r="H578" s="13" t="s">
        <v>4</v>
      </c>
      <c r="J578" s="13" t="s">
        <v>8887</v>
      </c>
      <c r="L578" t="s">
        <v>8898</v>
      </c>
    </row>
    <row r="579" spans="1:12" ht="30">
      <c r="A579" s="41">
        <v>46209</v>
      </c>
      <c r="B579" s="11" t="s">
        <v>8899</v>
      </c>
      <c r="C579" s="11" t="s">
        <v>518</v>
      </c>
      <c r="D579" s="11" t="s">
        <v>6916</v>
      </c>
      <c r="E579" s="11" t="s">
        <v>17</v>
      </c>
      <c r="F579" s="12" t="s">
        <v>8900</v>
      </c>
      <c r="G579" s="11" t="s">
        <v>8200</v>
      </c>
      <c r="H579" s="13" t="s">
        <v>8658</v>
      </c>
      <c r="I579" s="10">
        <v>46209</v>
      </c>
      <c r="J579" s="10" t="s">
        <v>8666</v>
      </c>
      <c r="L579" t="s">
        <v>8901</v>
      </c>
    </row>
    <row r="580" spans="1:12">
      <c r="A580" s="41">
        <v>46209</v>
      </c>
      <c r="B580" s="11" t="s">
        <v>8902</v>
      </c>
      <c r="C580" s="11" t="s">
        <v>496</v>
      </c>
      <c r="D580" s="11" t="s">
        <v>7608</v>
      </c>
      <c r="E580" s="11" t="s">
        <v>17</v>
      </c>
      <c r="F580" s="12" t="s">
        <v>8903</v>
      </c>
      <c r="G580" s="11" t="s">
        <v>7553</v>
      </c>
      <c r="H580" s="13" t="s">
        <v>7618</v>
      </c>
      <c r="I580" s="10">
        <v>46209</v>
      </c>
      <c r="J580" s="10" t="s">
        <v>4</v>
      </c>
      <c r="L580" t="s">
        <v>8904</v>
      </c>
    </row>
    <row r="581" spans="1:12" ht="30">
      <c r="A581" s="41">
        <v>46209</v>
      </c>
      <c r="B581" s="11" t="s">
        <v>8905</v>
      </c>
      <c r="C581" s="52" t="s">
        <v>1371</v>
      </c>
      <c r="D581" s="52" t="s">
        <v>7442</v>
      </c>
      <c r="E581" s="11" t="s">
        <v>17</v>
      </c>
      <c r="F581" s="12" t="s">
        <v>8906</v>
      </c>
      <c r="G581" s="11" t="s">
        <v>7553</v>
      </c>
      <c r="H581" s="13" t="s">
        <v>8907</v>
      </c>
      <c r="I581" s="10">
        <v>46209</v>
      </c>
      <c r="J581" s="10"/>
      <c r="L581" t="s">
        <v>8908</v>
      </c>
    </row>
    <row r="582" spans="1:12" ht="75">
      <c r="A582" s="41">
        <v>46209</v>
      </c>
      <c r="B582" s="11" t="s">
        <v>8909</v>
      </c>
      <c r="C582" s="11" t="s">
        <v>2270</v>
      </c>
      <c r="D582" s="11" t="s">
        <v>7650</v>
      </c>
      <c r="E582" s="11" t="s">
        <v>8691</v>
      </c>
      <c r="F582" s="12" t="s">
        <v>8910</v>
      </c>
      <c r="G582" s="11" t="s">
        <v>7553</v>
      </c>
      <c r="H582" s="13" t="s">
        <v>7618</v>
      </c>
      <c r="I582" s="10">
        <v>46209</v>
      </c>
      <c r="J582" s="10" t="s">
        <v>4</v>
      </c>
      <c r="L582" t="s">
        <v>8911</v>
      </c>
    </row>
    <row r="583" spans="1:12" ht="75">
      <c r="A583" s="41">
        <v>46209</v>
      </c>
      <c r="B583" s="12" t="s">
        <v>8912</v>
      </c>
      <c r="C583" s="11" t="s">
        <v>461</v>
      </c>
      <c r="D583" s="11" t="s">
        <v>6982</v>
      </c>
      <c r="E583" s="11" t="s">
        <v>17</v>
      </c>
      <c r="F583" s="12" t="s">
        <v>8913</v>
      </c>
      <c r="G583" s="11" t="s">
        <v>7553</v>
      </c>
      <c r="H583" s="13" t="s">
        <v>8914</v>
      </c>
      <c r="I583" s="10">
        <v>46210</v>
      </c>
      <c r="J583" s="10"/>
      <c r="L583" t="s">
        <v>8915</v>
      </c>
    </row>
    <row r="584" spans="1:12" ht="30">
      <c r="A584" s="41">
        <v>46209</v>
      </c>
      <c r="B584" s="11" t="s">
        <v>8916</v>
      </c>
      <c r="C584" s="11" t="s">
        <v>2270</v>
      </c>
      <c r="D584" s="11" t="s">
        <v>7650</v>
      </c>
      <c r="E584" s="11" t="s">
        <v>8691</v>
      </c>
      <c r="F584" s="12" t="s">
        <v>8917</v>
      </c>
      <c r="G584" s="11" t="s">
        <v>6922</v>
      </c>
      <c r="H584" s="13" t="s">
        <v>7618</v>
      </c>
      <c r="I584" s="10">
        <v>46210</v>
      </c>
      <c r="J584" s="10" t="s">
        <v>4</v>
      </c>
      <c r="L584" t="s">
        <v>8918</v>
      </c>
    </row>
    <row r="585" spans="1:12">
      <c r="A585" s="41">
        <v>46209</v>
      </c>
      <c r="B585" s="11" t="s">
        <v>8919</v>
      </c>
      <c r="C585" s="11" t="s">
        <v>1201</v>
      </c>
      <c r="D585" s="11" t="s">
        <v>6911</v>
      </c>
      <c r="E585" s="11" t="s">
        <v>17</v>
      </c>
      <c r="F585" s="12" t="s">
        <v>8920</v>
      </c>
      <c r="G585" s="11" t="s">
        <v>7553</v>
      </c>
      <c r="H585" s="13" t="s">
        <v>7618</v>
      </c>
      <c r="I585" s="10">
        <v>46209</v>
      </c>
      <c r="J585" s="10" t="s">
        <v>4</v>
      </c>
      <c r="L585" t="s">
        <v>8921</v>
      </c>
    </row>
    <row r="586" spans="1:12">
      <c r="A586" s="41">
        <v>46209</v>
      </c>
      <c r="B586" s="11" t="s">
        <v>8922</v>
      </c>
      <c r="C586" s="11" t="s">
        <v>1824</v>
      </c>
      <c r="D586" s="11" t="s">
        <v>8333</v>
      </c>
      <c r="E586" s="11" t="s">
        <v>17</v>
      </c>
      <c r="F586" s="12" t="s">
        <v>8923</v>
      </c>
      <c r="G586" s="11" t="s">
        <v>7553</v>
      </c>
      <c r="H586" s="13" t="s">
        <v>7618</v>
      </c>
      <c r="I586" s="10">
        <v>46211</v>
      </c>
      <c r="J586" s="10" t="s">
        <v>4</v>
      </c>
      <c r="L586" t="s">
        <v>8924</v>
      </c>
    </row>
    <row r="587" spans="1:12" ht="45">
      <c r="A587" s="41">
        <v>46209</v>
      </c>
      <c r="B587" s="11" t="s">
        <v>8925</v>
      </c>
      <c r="C587" s="11" t="s">
        <v>1348</v>
      </c>
      <c r="D587" s="11" t="s">
        <v>7010</v>
      </c>
      <c r="E587" s="11" t="s">
        <v>17</v>
      </c>
      <c r="F587" s="12" t="s">
        <v>8926</v>
      </c>
      <c r="G587" s="11" t="s">
        <v>6922</v>
      </c>
      <c r="H587" s="13" t="s">
        <v>7618</v>
      </c>
      <c r="I587" s="10">
        <v>46210</v>
      </c>
      <c r="J587" s="10" t="s">
        <v>4</v>
      </c>
      <c r="L587" t="s">
        <v>8927</v>
      </c>
    </row>
    <row r="588" spans="1:12" ht="45">
      <c r="A588" s="41">
        <v>46209</v>
      </c>
      <c r="B588" s="11" t="s">
        <v>8928</v>
      </c>
      <c r="C588" s="11" t="s">
        <v>1348</v>
      </c>
      <c r="D588" s="11" t="s">
        <v>7010</v>
      </c>
      <c r="E588" s="11" t="s">
        <v>17</v>
      </c>
      <c r="F588" s="12" t="s">
        <v>8929</v>
      </c>
      <c r="G588" s="11" t="s">
        <v>6922</v>
      </c>
      <c r="H588" s="13" t="s">
        <v>7618</v>
      </c>
      <c r="I588" s="10">
        <v>46210</v>
      </c>
      <c r="J588" s="10" t="s">
        <v>4</v>
      </c>
      <c r="L588" t="s">
        <v>8930</v>
      </c>
    </row>
    <row r="589" spans="1:12">
      <c r="A589" s="41">
        <v>46210</v>
      </c>
      <c r="B589" s="11" t="s">
        <v>219</v>
      </c>
      <c r="C589" s="11" t="s">
        <v>585</v>
      </c>
      <c r="D589" s="11" t="s">
        <v>7144</v>
      </c>
      <c r="E589" s="11" t="s">
        <v>17</v>
      </c>
      <c r="F589" s="12" t="s">
        <v>8931</v>
      </c>
      <c r="G589" s="11" t="s">
        <v>6891</v>
      </c>
      <c r="H589" s="13" t="s">
        <v>8563</v>
      </c>
      <c r="I589" s="10">
        <v>46210</v>
      </c>
      <c r="J589" s="10" t="s">
        <v>8932</v>
      </c>
      <c r="L589" t="s">
        <v>8933</v>
      </c>
    </row>
    <row r="590" spans="1:12">
      <c r="A590" s="41">
        <v>46210</v>
      </c>
      <c r="B590" s="11" t="s">
        <v>8934</v>
      </c>
      <c r="C590" s="11" t="s">
        <v>1874</v>
      </c>
      <c r="D590" s="11" t="s">
        <v>7000</v>
      </c>
      <c r="E590" s="11" t="s">
        <v>17</v>
      </c>
      <c r="F590" s="12" t="s">
        <v>8935</v>
      </c>
      <c r="G590" s="11" t="s">
        <v>6891</v>
      </c>
      <c r="H590" s="13" t="s">
        <v>8563</v>
      </c>
      <c r="I590" s="10">
        <v>46210</v>
      </c>
      <c r="J590" s="10" t="s">
        <v>7821</v>
      </c>
      <c r="L590" t="s">
        <v>8936</v>
      </c>
    </row>
    <row r="591" spans="1:12">
      <c r="A591" s="41">
        <v>46210</v>
      </c>
      <c r="B591" s="11" t="s">
        <v>8937</v>
      </c>
      <c r="C591" s="11" t="s">
        <v>1252</v>
      </c>
      <c r="D591" s="11" t="s">
        <v>7038</v>
      </c>
      <c r="E591" s="11" t="s">
        <v>17</v>
      </c>
      <c r="F591" s="12" t="s">
        <v>8938</v>
      </c>
      <c r="G591" s="11" t="s">
        <v>6891</v>
      </c>
      <c r="H591" s="13" t="s">
        <v>8563</v>
      </c>
      <c r="I591" s="10">
        <v>46210</v>
      </c>
      <c r="J591" s="10" t="s">
        <v>8165</v>
      </c>
      <c r="L591" t="s">
        <v>8939</v>
      </c>
    </row>
    <row r="592" spans="1:12" ht="45">
      <c r="A592" s="10">
        <v>46210</v>
      </c>
      <c r="B592" s="11" t="s">
        <v>8940</v>
      </c>
      <c r="C592" s="11" t="s">
        <v>1109</v>
      </c>
      <c r="D592" s="11" t="s">
        <v>7053</v>
      </c>
      <c r="E592" s="11" t="s">
        <v>17</v>
      </c>
      <c r="F592" s="12" t="s">
        <v>8941</v>
      </c>
      <c r="G592" s="11" t="s">
        <v>6891</v>
      </c>
      <c r="H592" s="13" t="s">
        <v>8563</v>
      </c>
      <c r="I592" s="10">
        <v>46210</v>
      </c>
      <c r="J592" s="10"/>
      <c r="L592" t="s">
        <v>8942</v>
      </c>
    </row>
    <row r="593" spans="1:12">
      <c r="A593" s="10">
        <v>46210</v>
      </c>
      <c r="B593" s="11" t="s">
        <v>8943</v>
      </c>
      <c r="C593" s="11" t="s">
        <v>585</v>
      </c>
      <c r="D593" s="11" t="s">
        <v>7144</v>
      </c>
      <c r="E593" s="11" t="s">
        <v>17</v>
      </c>
      <c r="F593" s="12" t="s">
        <v>8944</v>
      </c>
      <c r="G593" s="11" t="s">
        <v>6891</v>
      </c>
      <c r="H593" s="13" t="s">
        <v>8563</v>
      </c>
      <c r="I593" s="10">
        <v>46210</v>
      </c>
      <c r="J593" s="10" t="s">
        <v>8945</v>
      </c>
      <c r="L593" t="s">
        <v>8946</v>
      </c>
    </row>
    <row r="594" spans="1:12" ht="105">
      <c r="A594" s="10">
        <v>46210</v>
      </c>
      <c r="B594" s="9" t="s">
        <v>8947</v>
      </c>
      <c r="C594" s="43" t="s">
        <v>1555</v>
      </c>
      <c r="D594" s="43" t="s">
        <v>8341</v>
      </c>
      <c r="E594" s="43" t="s">
        <v>17</v>
      </c>
      <c r="F594" s="12" t="s">
        <v>8948</v>
      </c>
      <c r="G594" s="11" t="s">
        <v>8200</v>
      </c>
      <c r="H594" s="13" t="s">
        <v>8648</v>
      </c>
      <c r="I594" s="10">
        <v>46211</v>
      </c>
      <c r="J594" s="10" t="s">
        <v>8856</v>
      </c>
      <c r="L594" t="s">
        <v>8949</v>
      </c>
    </row>
    <row r="595" spans="1:12" ht="45">
      <c r="A595" s="10">
        <v>46210</v>
      </c>
      <c r="B595" s="12" t="s">
        <v>8950</v>
      </c>
      <c r="C595" s="11" t="s">
        <v>461</v>
      </c>
      <c r="D595" s="11" t="s">
        <v>6982</v>
      </c>
      <c r="E595" s="43" t="s">
        <v>17</v>
      </c>
      <c r="F595" s="12" t="s">
        <v>8951</v>
      </c>
      <c r="G595" s="11" t="s">
        <v>8200</v>
      </c>
      <c r="H595" s="13" t="s">
        <v>8952</v>
      </c>
      <c r="I595" s="10">
        <v>46211</v>
      </c>
      <c r="J595" s="10" t="s">
        <v>4</v>
      </c>
      <c r="L595" t="s">
        <v>8953</v>
      </c>
    </row>
    <row r="596" spans="1:12" ht="45">
      <c r="A596" s="10">
        <v>46210</v>
      </c>
      <c r="B596" s="11" t="s">
        <v>8954</v>
      </c>
      <c r="C596" s="11" t="s">
        <v>2168</v>
      </c>
      <c r="D596" s="11" t="s">
        <v>7102</v>
      </c>
      <c r="E596" s="43" t="s">
        <v>17</v>
      </c>
      <c r="F596" s="12" t="s">
        <v>8955</v>
      </c>
      <c r="G596" s="11" t="s">
        <v>8200</v>
      </c>
      <c r="H596" s="13" t="s">
        <v>8956</v>
      </c>
      <c r="I596" s="10">
        <v>46211</v>
      </c>
      <c r="J596" s="10" t="s">
        <v>4</v>
      </c>
      <c r="L596" t="s">
        <v>8957</v>
      </c>
    </row>
    <row r="597" spans="1:12">
      <c r="A597" s="10">
        <v>46210</v>
      </c>
      <c r="B597" s="90" t="s">
        <v>8958</v>
      </c>
      <c r="C597" s="11" t="s">
        <v>983</v>
      </c>
      <c r="D597" s="11" t="s">
        <v>7058</v>
      </c>
      <c r="E597" s="43" t="s">
        <v>17</v>
      </c>
      <c r="F597" s="12" t="s">
        <v>8959</v>
      </c>
      <c r="G597" s="11" t="s">
        <v>6891</v>
      </c>
      <c r="H597" s="13" t="s">
        <v>8960</v>
      </c>
      <c r="I597" s="10">
        <v>46211</v>
      </c>
      <c r="J597" s="10" t="s">
        <v>8465</v>
      </c>
      <c r="L597" t="s">
        <v>8961</v>
      </c>
    </row>
    <row r="598" spans="1:12" ht="45">
      <c r="A598" s="10">
        <v>46210</v>
      </c>
      <c r="B598" s="11" t="s">
        <v>8962</v>
      </c>
      <c r="C598" s="11" t="s">
        <v>1824</v>
      </c>
      <c r="D598" s="11" t="s">
        <v>8333</v>
      </c>
      <c r="E598" s="11" t="s">
        <v>17</v>
      </c>
      <c r="F598" s="12" t="s">
        <v>8963</v>
      </c>
      <c r="G598" s="11" t="s">
        <v>8200</v>
      </c>
      <c r="H598" s="13" t="s">
        <v>8964</v>
      </c>
      <c r="I598" s="10">
        <v>46212</v>
      </c>
      <c r="J598" s="10" t="s">
        <v>4</v>
      </c>
      <c r="L598" t="s">
        <v>8965</v>
      </c>
    </row>
    <row r="599" spans="1:12" ht="45">
      <c r="A599" s="10">
        <v>46210</v>
      </c>
      <c r="B599" s="90" t="s">
        <v>8966</v>
      </c>
      <c r="C599" s="11" t="s">
        <v>983</v>
      </c>
      <c r="D599" s="11" t="s">
        <v>7058</v>
      </c>
      <c r="E599" s="43" t="s">
        <v>17</v>
      </c>
      <c r="F599" s="12" t="s">
        <v>8967</v>
      </c>
      <c r="G599" s="11" t="s">
        <v>6891</v>
      </c>
      <c r="H599" s="13" t="s">
        <v>8968</v>
      </c>
      <c r="I599" s="10">
        <v>46211</v>
      </c>
      <c r="J599" s="10" t="s">
        <v>8969</v>
      </c>
      <c r="L599" t="s">
        <v>8970</v>
      </c>
    </row>
    <row r="600" spans="1:12" ht="30">
      <c r="A600" s="57">
        <v>46210</v>
      </c>
      <c r="B600" s="123" t="s">
        <v>8971</v>
      </c>
      <c r="C600" s="123" t="s">
        <v>700</v>
      </c>
      <c r="D600" s="12" t="s">
        <v>7726</v>
      </c>
      <c r="E600" s="12" t="s">
        <v>18</v>
      </c>
      <c r="F600" s="12" t="s">
        <v>8972</v>
      </c>
      <c r="G600" s="11" t="s">
        <v>8200</v>
      </c>
      <c r="H600" s="13" t="s">
        <v>7618</v>
      </c>
      <c r="I600" s="10">
        <v>46212</v>
      </c>
      <c r="J600" s="10">
        <v>46275.666666666701</v>
      </c>
      <c r="K600" t="s">
        <v>4</v>
      </c>
      <c r="L600" t="s">
        <v>8973</v>
      </c>
    </row>
    <row r="601" spans="1:12" ht="30">
      <c r="A601" s="10">
        <v>46211</v>
      </c>
      <c r="B601" s="11" t="s">
        <v>8974</v>
      </c>
      <c r="C601" s="11" t="s">
        <v>1874</v>
      </c>
      <c r="D601" s="11" t="s">
        <v>7000</v>
      </c>
      <c r="E601" s="43" t="s">
        <v>17</v>
      </c>
      <c r="F601" s="12" t="s">
        <v>8975</v>
      </c>
      <c r="G601" s="11" t="s">
        <v>6891</v>
      </c>
      <c r="H601" s="13" t="s">
        <v>8563</v>
      </c>
      <c r="I601" s="10">
        <v>46211</v>
      </c>
      <c r="J601" s="10" t="s">
        <v>4</v>
      </c>
      <c r="L601" t="s">
        <v>8976</v>
      </c>
    </row>
    <row r="602" spans="1:12" ht="45">
      <c r="A602" s="10">
        <v>46211</v>
      </c>
      <c r="B602" s="11" t="s">
        <v>8977</v>
      </c>
      <c r="C602" s="11" t="s">
        <v>1371</v>
      </c>
      <c r="D602" s="11" t="s">
        <v>7164</v>
      </c>
      <c r="E602" s="43" t="s">
        <v>17</v>
      </c>
      <c r="F602" s="12" t="s">
        <v>8978</v>
      </c>
      <c r="G602" s="11" t="s">
        <v>6891</v>
      </c>
      <c r="H602" s="13" t="s">
        <v>8979</v>
      </c>
      <c r="I602" s="10">
        <v>46211</v>
      </c>
      <c r="J602" s="10"/>
      <c r="L602" t="s">
        <v>8980</v>
      </c>
    </row>
    <row r="603" spans="1:12">
      <c r="A603" s="10">
        <v>46211</v>
      </c>
      <c r="B603" s="90" t="s">
        <v>8981</v>
      </c>
      <c r="C603" s="146" t="s">
        <v>983</v>
      </c>
      <c r="D603" s="11" t="s">
        <v>7058</v>
      </c>
      <c r="E603" s="43" t="s">
        <v>17</v>
      </c>
      <c r="F603" s="12" t="s">
        <v>8982</v>
      </c>
      <c r="G603" s="11" t="s">
        <v>6891</v>
      </c>
      <c r="H603" s="13" t="s">
        <v>8563</v>
      </c>
      <c r="I603" s="10">
        <v>46211</v>
      </c>
      <c r="J603" s="10" t="s">
        <v>4916</v>
      </c>
      <c r="L603" t="s">
        <v>8983</v>
      </c>
    </row>
    <row r="604" spans="1:12" ht="45">
      <c r="A604" s="10">
        <v>46211</v>
      </c>
      <c r="B604" s="9" t="s">
        <v>8984</v>
      </c>
      <c r="C604" s="9" t="s">
        <v>1252</v>
      </c>
      <c r="D604" s="11" t="s">
        <v>7038</v>
      </c>
      <c r="E604" s="43" t="s">
        <v>17</v>
      </c>
      <c r="F604" s="12" t="s">
        <v>8985</v>
      </c>
      <c r="G604" s="11" t="s">
        <v>6891</v>
      </c>
      <c r="H604" s="13" t="s">
        <v>8986</v>
      </c>
      <c r="I604" s="10">
        <v>46211</v>
      </c>
      <c r="J604" s="10" t="s">
        <v>4</v>
      </c>
      <c r="L604" t="s">
        <v>8987</v>
      </c>
    </row>
    <row r="605" spans="1:12" ht="60">
      <c r="A605" s="10">
        <v>46211</v>
      </c>
      <c r="B605" s="12" t="s">
        <v>8988</v>
      </c>
      <c r="C605" s="43" t="s">
        <v>1555</v>
      </c>
      <c r="D605" s="43" t="s">
        <v>8341</v>
      </c>
      <c r="E605" s="43" t="s">
        <v>17</v>
      </c>
      <c r="F605" s="12" t="s">
        <v>8989</v>
      </c>
      <c r="G605" s="11" t="s">
        <v>8200</v>
      </c>
      <c r="H605" s="13" t="s">
        <v>7618</v>
      </c>
      <c r="I605" s="10">
        <v>46212</v>
      </c>
      <c r="J605" s="10" t="s">
        <v>8990</v>
      </c>
      <c r="L605" t="s">
        <v>8991</v>
      </c>
    </row>
    <row r="606" spans="1:12">
      <c r="A606" s="10">
        <v>46211</v>
      </c>
      <c r="B606" s="11" t="s">
        <v>8992</v>
      </c>
      <c r="C606" s="11" t="s">
        <v>1348</v>
      </c>
      <c r="D606" s="11" t="s">
        <v>7010</v>
      </c>
      <c r="E606" s="11" t="s">
        <v>17</v>
      </c>
      <c r="F606" s="12" t="s">
        <v>8993</v>
      </c>
      <c r="G606" s="11" t="s">
        <v>8200</v>
      </c>
      <c r="H606" s="13" t="s">
        <v>7618</v>
      </c>
      <c r="I606" s="10">
        <v>46212</v>
      </c>
      <c r="J606" s="10" t="s">
        <v>2896</v>
      </c>
      <c r="L606" t="s">
        <v>8994</v>
      </c>
    </row>
    <row r="607" spans="1:12" ht="30">
      <c r="A607" s="10">
        <v>46211</v>
      </c>
      <c r="B607" s="11" t="s">
        <v>8995</v>
      </c>
      <c r="C607" s="11" t="s">
        <v>585</v>
      </c>
      <c r="D607" s="11" t="s">
        <v>7144</v>
      </c>
      <c r="E607" s="11" t="s">
        <v>17</v>
      </c>
      <c r="F607" s="12" t="s">
        <v>8996</v>
      </c>
      <c r="G607" s="11" t="s">
        <v>6891</v>
      </c>
      <c r="H607" s="13" t="s">
        <v>8563</v>
      </c>
      <c r="I607" s="10">
        <v>46211</v>
      </c>
      <c r="J607" s="10" t="s">
        <v>8997</v>
      </c>
      <c r="L607" t="s">
        <v>8998</v>
      </c>
    </row>
    <row r="608" spans="1:12" ht="30">
      <c r="A608" s="10">
        <v>46211</v>
      </c>
      <c r="B608" s="11" t="s">
        <v>8999</v>
      </c>
      <c r="C608" s="11" t="s">
        <v>1053</v>
      </c>
      <c r="D608" s="11" t="s">
        <v>7532</v>
      </c>
      <c r="E608" s="11" t="s">
        <v>13</v>
      </c>
      <c r="F608" s="12" t="s">
        <v>9000</v>
      </c>
      <c r="G608" s="11" t="s">
        <v>6891</v>
      </c>
      <c r="H608" s="13" t="s">
        <v>9001</v>
      </c>
      <c r="I608" s="10">
        <v>46212</v>
      </c>
      <c r="J608" s="10">
        <v>46272.666666666701</v>
      </c>
      <c r="K608" t="s">
        <v>4</v>
      </c>
      <c r="L608" t="s">
        <v>9002</v>
      </c>
    </row>
    <row r="609" spans="1:12" ht="45">
      <c r="A609" s="10">
        <v>46211</v>
      </c>
      <c r="B609" s="139" t="s">
        <v>9003</v>
      </c>
      <c r="C609" s="11" t="s">
        <v>1512</v>
      </c>
      <c r="D609" s="11" t="s">
        <v>7170</v>
      </c>
      <c r="E609" s="11" t="s">
        <v>17</v>
      </c>
      <c r="F609" s="12" t="s">
        <v>9004</v>
      </c>
      <c r="G609" s="11" t="s">
        <v>8200</v>
      </c>
      <c r="H609" s="13" t="s">
        <v>8956</v>
      </c>
      <c r="I609" s="10">
        <v>46212</v>
      </c>
      <c r="J609" s="10"/>
      <c r="L609" t="s">
        <v>9005</v>
      </c>
    </row>
    <row r="610" spans="1:12" ht="45">
      <c r="B610" s="11" t="s">
        <v>9006</v>
      </c>
      <c r="C610" s="43" t="s">
        <v>1555</v>
      </c>
      <c r="D610" s="43" t="s">
        <v>8341</v>
      </c>
      <c r="E610" s="43" t="s">
        <v>17</v>
      </c>
      <c r="F610" s="12" t="s">
        <v>9007</v>
      </c>
      <c r="G610" s="11" t="s">
        <v>8200</v>
      </c>
      <c r="H610" s="13" t="s">
        <v>9008</v>
      </c>
      <c r="I610" s="10">
        <v>46212</v>
      </c>
      <c r="J610" s="10" t="s">
        <v>9009</v>
      </c>
      <c r="L610" t="s">
        <v>9010</v>
      </c>
    </row>
    <row r="611" spans="1:12">
      <c r="A611" s="10">
        <v>46211</v>
      </c>
      <c r="B611" s="11" t="s">
        <v>9011</v>
      </c>
      <c r="C611" s="11" t="s">
        <v>1824</v>
      </c>
      <c r="D611" s="11" t="s">
        <v>8333</v>
      </c>
      <c r="E611" s="11" t="s">
        <v>17</v>
      </c>
      <c r="F611" s="12" t="s">
        <v>9012</v>
      </c>
      <c r="G611" s="11" t="s">
        <v>8200</v>
      </c>
      <c r="H611" s="13" t="s">
        <v>7618</v>
      </c>
      <c r="I611" s="10">
        <v>46212</v>
      </c>
      <c r="J611" s="10" t="s">
        <v>4</v>
      </c>
      <c r="L611" t="s">
        <v>9013</v>
      </c>
    </row>
    <row r="612" spans="1:12" ht="45">
      <c r="A612" s="10">
        <v>46211</v>
      </c>
      <c r="B612" s="11" t="s">
        <v>9014</v>
      </c>
      <c r="C612" s="11" t="s">
        <v>2270</v>
      </c>
      <c r="D612" s="11" t="s">
        <v>7650</v>
      </c>
      <c r="E612" s="11" t="s">
        <v>8691</v>
      </c>
      <c r="F612" s="12" t="s">
        <v>9015</v>
      </c>
      <c r="G612" s="11" t="s">
        <v>8200</v>
      </c>
      <c r="H612" s="13" t="s">
        <v>9016</v>
      </c>
      <c r="I612" s="10">
        <v>46212</v>
      </c>
      <c r="J612" s="10" t="s">
        <v>4</v>
      </c>
      <c r="L612" t="s">
        <v>9017</v>
      </c>
    </row>
    <row r="613" spans="1:12" ht="30">
      <c r="A613" s="10">
        <v>46211</v>
      </c>
      <c r="B613" s="11" t="s">
        <v>9018</v>
      </c>
      <c r="C613" s="48" t="s">
        <v>2369</v>
      </c>
      <c r="D613" s="11" t="s">
        <v>6961</v>
      </c>
      <c r="E613" s="11" t="s">
        <v>18</v>
      </c>
      <c r="F613" s="12" t="s">
        <v>9019</v>
      </c>
      <c r="G613" s="11" t="s">
        <v>8200</v>
      </c>
      <c r="H613" s="13" t="s">
        <v>7618</v>
      </c>
      <c r="I613" s="10">
        <v>46212</v>
      </c>
      <c r="J613" s="10" t="s">
        <v>9009</v>
      </c>
      <c r="L613" t="s">
        <v>9020</v>
      </c>
    </row>
    <row r="614" spans="1:12" ht="30">
      <c r="A614" s="10">
        <v>46211</v>
      </c>
      <c r="B614" s="11" t="s">
        <v>9021</v>
      </c>
      <c r="C614" s="48" t="s">
        <v>2369</v>
      </c>
      <c r="D614" s="11" t="s">
        <v>6961</v>
      </c>
      <c r="E614" s="11" t="s">
        <v>18</v>
      </c>
      <c r="F614" s="12" t="s">
        <v>9022</v>
      </c>
      <c r="G614" s="11" t="s">
        <v>8200</v>
      </c>
      <c r="H614" s="13" t="s">
        <v>7618</v>
      </c>
      <c r="I614" s="10">
        <v>46212</v>
      </c>
      <c r="J614" s="10" t="s">
        <v>9009</v>
      </c>
      <c r="L614" t="s">
        <v>9023</v>
      </c>
    </row>
    <row r="615" spans="1:12" ht="45">
      <c r="A615" s="10">
        <v>46211</v>
      </c>
      <c r="B615" s="147"/>
      <c r="C615" s="11" t="s">
        <v>1201</v>
      </c>
      <c r="D615" s="11" t="s">
        <v>6911</v>
      </c>
      <c r="E615" s="11" t="s">
        <v>17</v>
      </c>
      <c r="F615" s="12" t="s">
        <v>9024</v>
      </c>
      <c r="G615" s="11" t="s">
        <v>6891</v>
      </c>
      <c r="H615" s="13" t="s">
        <v>8563</v>
      </c>
      <c r="I615" s="10">
        <v>46212</v>
      </c>
      <c r="J615" s="10"/>
      <c r="L615" t="s">
        <v>9025</v>
      </c>
    </row>
    <row r="616" spans="1:12">
      <c r="A616" s="10">
        <v>46212</v>
      </c>
      <c r="B616" s="11" t="s">
        <v>9026</v>
      </c>
      <c r="C616" s="11" t="s">
        <v>1252</v>
      </c>
      <c r="D616" s="11" t="s">
        <v>7038</v>
      </c>
      <c r="E616" s="11" t="s">
        <v>17</v>
      </c>
      <c r="F616" s="12" t="s">
        <v>9027</v>
      </c>
      <c r="G616" s="11" t="s">
        <v>6891</v>
      </c>
      <c r="H616" s="13" t="s">
        <v>8563</v>
      </c>
      <c r="I616" s="10">
        <v>46212</v>
      </c>
      <c r="J616" s="10" t="s">
        <v>4</v>
      </c>
      <c r="L616" t="s">
        <v>9028</v>
      </c>
    </row>
    <row r="617" spans="1:12">
      <c r="A617" s="10">
        <v>46212</v>
      </c>
      <c r="B617" s="11" t="s">
        <v>9029</v>
      </c>
      <c r="C617" s="11" t="s">
        <v>518</v>
      </c>
      <c r="D617" s="11" t="s">
        <v>6916</v>
      </c>
      <c r="E617" s="11" t="s">
        <v>17</v>
      </c>
      <c r="F617" s="12" t="s">
        <v>9030</v>
      </c>
      <c r="G617" s="11" t="s">
        <v>8200</v>
      </c>
      <c r="H617" s="13" t="s">
        <v>7618</v>
      </c>
      <c r="I617" s="10">
        <v>46212</v>
      </c>
      <c r="J617" s="10" t="s">
        <v>8856</v>
      </c>
      <c r="L617" t="s">
        <v>9031</v>
      </c>
    </row>
    <row r="618" spans="1:12" ht="75">
      <c r="A618" s="10">
        <v>46212</v>
      </c>
      <c r="B618" s="11" t="s">
        <v>9032</v>
      </c>
      <c r="C618" s="43" t="s">
        <v>1555</v>
      </c>
      <c r="D618" s="43" t="s">
        <v>8341</v>
      </c>
      <c r="E618" s="43" t="s">
        <v>17</v>
      </c>
      <c r="F618" s="12" t="s">
        <v>9033</v>
      </c>
      <c r="G618" s="11" t="s">
        <v>8200</v>
      </c>
      <c r="H618" s="13" t="s">
        <v>7618</v>
      </c>
      <c r="I618" s="10">
        <v>46212</v>
      </c>
      <c r="J618" s="10" t="s">
        <v>8852</v>
      </c>
      <c r="L618" t="s">
        <v>9034</v>
      </c>
    </row>
    <row r="619" spans="1:12">
      <c r="A619" s="10">
        <v>46212</v>
      </c>
      <c r="B619" s="11" t="s">
        <v>9035</v>
      </c>
      <c r="C619" s="11" t="s">
        <v>1252</v>
      </c>
      <c r="D619" s="11" t="s">
        <v>7038</v>
      </c>
      <c r="E619" s="11" t="s">
        <v>17</v>
      </c>
      <c r="F619" s="12" t="s">
        <v>9036</v>
      </c>
      <c r="G619" s="11" t="s">
        <v>6891</v>
      </c>
      <c r="H619" s="13" t="s">
        <v>8563</v>
      </c>
      <c r="I619" s="10">
        <v>46212</v>
      </c>
      <c r="J619" s="10" t="s">
        <v>4</v>
      </c>
      <c r="L619" t="s">
        <v>9037</v>
      </c>
    </row>
    <row r="620" spans="1:12">
      <c r="A620" s="10">
        <v>46212</v>
      </c>
      <c r="B620" s="11" t="s">
        <v>9038</v>
      </c>
      <c r="C620" s="11" t="s">
        <v>1252</v>
      </c>
      <c r="D620" s="11" t="s">
        <v>7038</v>
      </c>
      <c r="E620" s="11" t="s">
        <v>17</v>
      </c>
      <c r="F620" s="12" t="s">
        <v>9039</v>
      </c>
      <c r="G620" s="11" t="s">
        <v>6891</v>
      </c>
      <c r="H620" s="13" t="s">
        <v>8563</v>
      </c>
      <c r="I620" s="10">
        <v>46212</v>
      </c>
      <c r="J620" s="10" t="s">
        <v>4</v>
      </c>
      <c r="L620" t="s">
        <v>9040</v>
      </c>
    </row>
    <row r="621" spans="1:12" ht="30">
      <c r="A621" s="10">
        <v>46212</v>
      </c>
      <c r="B621" s="11" t="s">
        <v>9041</v>
      </c>
      <c r="C621" s="11" t="s">
        <v>1053</v>
      </c>
      <c r="D621" s="11" t="s">
        <v>7532</v>
      </c>
      <c r="E621" s="11" t="s">
        <v>13</v>
      </c>
      <c r="F621" s="12" t="s">
        <v>9042</v>
      </c>
      <c r="G621" s="11" t="s">
        <v>6891</v>
      </c>
      <c r="H621" s="13" t="s">
        <v>9043</v>
      </c>
      <c r="I621" s="10">
        <v>46212</v>
      </c>
      <c r="J621" s="10">
        <v>46272.666666666701</v>
      </c>
      <c r="K621" t="s">
        <v>4</v>
      </c>
      <c r="L621" t="s">
        <v>9044</v>
      </c>
    </row>
    <row r="622" spans="1:12">
      <c r="A622" s="10">
        <v>46212</v>
      </c>
      <c r="B622" s="11" t="s">
        <v>9045</v>
      </c>
      <c r="C622" s="11" t="s">
        <v>2168</v>
      </c>
      <c r="D622" s="11" t="s">
        <v>9046</v>
      </c>
      <c r="E622" s="11" t="s">
        <v>17</v>
      </c>
      <c r="F622" s="66" t="s">
        <v>9047</v>
      </c>
      <c r="G622" s="11" t="s">
        <v>6891</v>
      </c>
      <c r="H622" s="13" t="s">
        <v>8563</v>
      </c>
      <c r="I622" s="10">
        <v>46212</v>
      </c>
      <c r="J622" s="10" t="s">
        <v>9048</v>
      </c>
      <c r="L622" t="s">
        <v>9049</v>
      </c>
    </row>
    <row r="623" spans="1:12">
      <c r="A623" s="10">
        <v>46212</v>
      </c>
      <c r="B623" s="11" t="s">
        <v>9050</v>
      </c>
      <c r="C623" s="11" t="s">
        <v>625</v>
      </c>
      <c r="D623" s="11" t="s">
        <v>9051</v>
      </c>
      <c r="E623" s="11" t="s">
        <v>17</v>
      </c>
      <c r="F623" s="12" t="s">
        <v>9052</v>
      </c>
      <c r="G623" s="11" t="s">
        <v>6891</v>
      </c>
      <c r="H623" s="13" t="s">
        <v>8563</v>
      </c>
      <c r="I623" s="10">
        <v>46212</v>
      </c>
      <c r="J623" s="10"/>
      <c r="L623" t="s">
        <v>9053</v>
      </c>
    </row>
    <row r="624" spans="1:12">
      <c r="A624" s="10">
        <v>46212</v>
      </c>
      <c r="B624" s="11" t="s">
        <v>9054</v>
      </c>
      <c r="C624" s="43" t="s">
        <v>1824</v>
      </c>
      <c r="D624" s="43" t="s">
        <v>8333</v>
      </c>
      <c r="E624" s="11" t="s">
        <v>17</v>
      </c>
      <c r="F624" s="12" t="s">
        <v>9055</v>
      </c>
      <c r="G624" s="11" t="s">
        <v>6891</v>
      </c>
      <c r="H624" s="13" t="s">
        <v>8563</v>
      </c>
      <c r="I624" s="10">
        <v>46212</v>
      </c>
      <c r="J624" s="10" t="s">
        <v>4</v>
      </c>
      <c r="L624" t="s">
        <v>9056</v>
      </c>
    </row>
    <row r="625" spans="1:12">
      <c r="A625" s="10">
        <v>46212</v>
      </c>
      <c r="B625" s="139" t="s">
        <v>9057</v>
      </c>
      <c r="C625" s="11" t="s">
        <v>1512</v>
      </c>
      <c r="D625" s="11" t="s">
        <v>7170</v>
      </c>
      <c r="E625" s="11" t="s">
        <v>17</v>
      </c>
      <c r="F625" s="12" t="s">
        <v>9058</v>
      </c>
      <c r="G625" s="11" t="s">
        <v>8200</v>
      </c>
      <c r="H625" s="13" t="s">
        <v>7618</v>
      </c>
      <c r="I625" s="10">
        <v>46212</v>
      </c>
      <c r="J625" s="10"/>
      <c r="L625" t="s">
        <v>9059</v>
      </c>
    </row>
    <row r="626" spans="1:12" ht="45">
      <c r="A626" s="10">
        <v>46212</v>
      </c>
      <c r="B626" s="11" t="s">
        <v>167</v>
      </c>
      <c r="C626" s="11" t="s">
        <v>1371</v>
      </c>
      <c r="D626" s="11" t="s">
        <v>7164</v>
      </c>
      <c r="E626" s="11" t="s">
        <v>17</v>
      </c>
      <c r="F626" s="12" t="s">
        <v>9060</v>
      </c>
      <c r="G626" s="11" t="s">
        <v>8200</v>
      </c>
      <c r="H626" s="13" t="s">
        <v>7618</v>
      </c>
      <c r="I626" s="10">
        <v>46212</v>
      </c>
      <c r="J626" s="10"/>
      <c r="L626" t="s">
        <v>9061</v>
      </c>
    </row>
    <row r="627" spans="1:12" ht="30">
      <c r="A627" s="10">
        <v>46212</v>
      </c>
      <c r="B627" s="139" t="s">
        <v>9062</v>
      </c>
      <c r="C627" s="11" t="s">
        <v>518</v>
      </c>
      <c r="D627" s="11" t="s">
        <v>6916</v>
      </c>
      <c r="E627" s="11" t="s">
        <v>17</v>
      </c>
      <c r="F627" s="12" t="s">
        <v>9063</v>
      </c>
      <c r="G627" s="11" t="s">
        <v>8200</v>
      </c>
      <c r="H627" s="13" t="s">
        <v>9064</v>
      </c>
      <c r="I627" s="10">
        <v>46212</v>
      </c>
      <c r="J627" s="10" t="s">
        <v>8856</v>
      </c>
      <c r="L627" t="s">
        <v>9065</v>
      </c>
    </row>
    <row r="628" spans="1:12" ht="45">
      <c r="A628" s="10">
        <v>46212</v>
      </c>
      <c r="B628" s="11" t="s">
        <v>9066</v>
      </c>
      <c r="C628" s="11" t="s">
        <v>1371</v>
      </c>
      <c r="D628" s="11" t="s">
        <v>7164</v>
      </c>
      <c r="E628" s="11" t="s">
        <v>17</v>
      </c>
      <c r="F628" s="12" t="s">
        <v>9067</v>
      </c>
      <c r="G628" s="11" t="s">
        <v>8200</v>
      </c>
      <c r="H628" s="13" t="s">
        <v>8956</v>
      </c>
      <c r="I628" s="10">
        <v>46212</v>
      </c>
      <c r="J628" s="10"/>
      <c r="L628" t="s">
        <v>9068</v>
      </c>
    </row>
    <row r="629" spans="1:12" ht="75">
      <c r="A629" s="10">
        <v>46212</v>
      </c>
      <c r="B629" s="11" t="s">
        <v>8909</v>
      </c>
      <c r="C629" s="11" t="s">
        <v>2270</v>
      </c>
      <c r="D629" s="11" t="s">
        <v>7243</v>
      </c>
      <c r="E629" s="11" t="s">
        <v>8691</v>
      </c>
      <c r="F629" s="12" t="s">
        <v>8910</v>
      </c>
      <c r="G629" s="11" t="s">
        <v>8200</v>
      </c>
      <c r="H629" s="13" t="s">
        <v>7618</v>
      </c>
      <c r="I629" s="10">
        <v>46212</v>
      </c>
      <c r="J629" s="10" t="s">
        <v>4</v>
      </c>
      <c r="L629" t="s">
        <v>9069</v>
      </c>
    </row>
    <row r="630" spans="1:12" ht="60">
      <c r="A630" s="10">
        <v>46212</v>
      </c>
      <c r="B630" s="11" t="s">
        <v>9070</v>
      </c>
      <c r="C630" s="11" t="s">
        <v>1348</v>
      </c>
      <c r="D630" s="11" t="s">
        <v>7010</v>
      </c>
      <c r="E630" s="11" t="s">
        <v>17</v>
      </c>
      <c r="F630" s="12" t="s">
        <v>9071</v>
      </c>
      <c r="G630" s="11" t="s">
        <v>7553</v>
      </c>
      <c r="H630" s="13" t="s">
        <v>7618</v>
      </c>
      <c r="I630" s="10">
        <v>46212</v>
      </c>
      <c r="J630" s="10" t="s">
        <v>4</v>
      </c>
      <c r="L630" t="s">
        <v>9072</v>
      </c>
    </row>
    <row r="631" spans="1:12" ht="15.75">
      <c r="A631" s="10">
        <v>46212</v>
      </c>
      <c r="B631" s="11" t="s">
        <v>9073</v>
      </c>
      <c r="C631" s="11" t="s">
        <v>1348</v>
      </c>
      <c r="D631" s="11" t="s">
        <v>7010</v>
      </c>
      <c r="E631" s="11" t="s">
        <v>17</v>
      </c>
      <c r="F631" s="148" t="s">
        <v>9074</v>
      </c>
      <c r="G631" s="11" t="s">
        <v>7553</v>
      </c>
      <c r="H631" s="13" t="s">
        <v>7618</v>
      </c>
      <c r="I631" s="10">
        <v>46212</v>
      </c>
      <c r="J631" s="10" t="s">
        <v>4</v>
      </c>
      <c r="L631" s="179" t="s">
        <v>9075</v>
      </c>
    </row>
    <row r="632" spans="1:12" ht="30">
      <c r="A632" s="10">
        <v>46212</v>
      </c>
      <c r="B632" s="11" t="s">
        <v>9076</v>
      </c>
      <c r="C632" s="11" t="s">
        <v>1252</v>
      </c>
      <c r="D632" s="11" t="s">
        <v>7038</v>
      </c>
      <c r="E632" s="11" t="s">
        <v>17</v>
      </c>
      <c r="F632" s="12" t="s">
        <v>9077</v>
      </c>
      <c r="G632" s="11" t="s">
        <v>7553</v>
      </c>
      <c r="H632" s="13" t="s">
        <v>7618</v>
      </c>
      <c r="I632" s="10">
        <v>46212</v>
      </c>
      <c r="J632" s="10" t="s">
        <v>8165</v>
      </c>
      <c r="L632" t="s">
        <v>9078</v>
      </c>
    </row>
    <row r="633" spans="1:12">
      <c r="A633" s="10">
        <v>46212</v>
      </c>
      <c r="B633" s="149" t="s">
        <v>9079</v>
      </c>
      <c r="C633" s="150" t="s">
        <v>983</v>
      </c>
      <c r="D633" s="11" t="s">
        <v>7058</v>
      </c>
      <c r="E633" s="11" t="s">
        <v>17</v>
      </c>
      <c r="F633" s="12" t="s">
        <v>9080</v>
      </c>
      <c r="G633" s="11" t="s">
        <v>7553</v>
      </c>
      <c r="H633" s="13" t="s">
        <v>7618</v>
      </c>
      <c r="I633" s="10">
        <v>46217</v>
      </c>
      <c r="J633" s="10" t="s">
        <v>4916</v>
      </c>
      <c r="L633" t="s">
        <v>9081</v>
      </c>
    </row>
    <row r="634" spans="1:12" ht="45">
      <c r="A634" s="10">
        <v>46212</v>
      </c>
      <c r="B634" t="s">
        <v>9082</v>
      </c>
      <c r="C634" t="s">
        <v>1040</v>
      </c>
      <c r="D634" s="11" t="s">
        <v>8514</v>
      </c>
      <c r="E634" s="11" t="s">
        <v>17</v>
      </c>
      <c r="F634" s="12" t="s">
        <v>9083</v>
      </c>
      <c r="G634" s="11" t="s">
        <v>6922</v>
      </c>
      <c r="H634" s="13" t="s">
        <v>7618</v>
      </c>
      <c r="I634" s="10">
        <v>46213</v>
      </c>
      <c r="J634" s="10" t="s">
        <v>4</v>
      </c>
      <c r="L634" t="s">
        <v>9084</v>
      </c>
    </row>
    <row r="635" spans="1:12" ht="120">
      <c r="A635" s="10">
        <v>46212</v>
      </c>
      <c r="B635" s="11" t="s">
        <v>9085</v>
      </c>
      <c r="C635" t="s">
        <v>1040</v>
      </c>
      <c r="D635" s="11" t="s">
        <v>8514</v>
      </c>
      <c r="E635" s="11" t="s">
        <v>17</v>
      </c>
      <c r="F635" s="12" t="s">
        <v>9086</v>
      </c>
      <c r="G635" s="11" t="s">
        <v>6922</v>
      </c>
      <c r="H635" s="13" t="s">
        <v>7618</v>
      </c>
      <c r="I635" s="10">
        <v>46213</v>
      </c>
      <c r="J635" s="10" t="s">
        <v>4</v>
      </c>
      <c r="L635" t="s">
        <v>9087</v>
      </c>
    </row>
    <row r="636" spans="1:12" ht="60">
      <c r="A636" s="10">
        <v>46212</v>
      </c>
      <c r="B636" s="11" t="s">
        <v>9088</v>
      </c>
      <c r="C636" t="s">
        <v>1040</v>
      </c>
      <c r="D636" s="11" t="s">
        <v>8514</v>
      </c>
      <c r="E636" s="11" t="s">
        <v>17</v>
      </c>
      <c r="F636" s="12" t="s">
        <v>9089</v>
      </c>
      <c r="G636" s="11" t="s">
        <v>6922</v>
      </c>
      <c r="H636" s="13" t="s">
        <v>7618</v>
      </c>
      <c r="I636" s="10">
        <v>46213</v>
      </c>
      <c r="J636" s="10"/>
      <c r="L636" t="s">
        <v>9090</v>
      </c>
    </row>
    <row r="637" spans="1:12" ht="60">
      <c r="B637" s="11" t="s">
        <v>9091</v>
      </c>
      <c r="C637" t="s">
        <v>1040</v>
      </c>
      <c r="D637" s="11" t="s">
        <v>8514</v>
      </c>
      <c r="E637" s="11" t="s">
        <v>17</v>
      </c>
      <c r="F637" s="12" t="s">
        <v>9092</v>
      </c>
      <c r="G637" s="11" t="s">
        <v>6922</v>
      </c>
      <c r="H637" s="13" t="s">
        <v>7618</v>
      </c>
      <c r="I637" s="10">
        <v>46213</v>
      </c>
      <c r="J637" s="10" t="s">
        <v>4</v>
      </c>
      <c r="L637" t="s">
        <v>9093</v>
      </c>
    </row>
    <row r="638" spans="1:12" ht="90">
      <c r="A638" s="10">
        <v>46212</v>
      </c>
      <c r="B638" s="11" t="s">
        <v>9094</v>
      </c>
      <c r="C638" t="s">
        <v>1040</v>
      </c>
      <c r="D638" s="11" t="s">
        <v>8514</v>
      </c>
      <c r="E638" s="11" t="s">
        <v>17</v>
      </c>
      <c r="F638" s="12" t="s">
        <v>9095</v>
      </c>
      <c r="G638" s="11" t="s">
        <v>6922</v>
      </c>
      <c r="H638" s="13" t="s">
        <v>7618</v>
      </c>
      <c r="I638" s="10">
        <v>46213</v>
      </c>
      <c r="J638" s="10" t="s">
        <v>4</v>
      </c>
      <c r="L638" t="s">
        <v>9096</v>
      </c>
    </row>
    <row r="639" spans="1:12">
      <c r="A639" s="10">
        <v>46213</v>
      </c>
      <c r="B639" s="11" t="s">
        <v>9097</v>
      </c>
      <c r="C639" s="11" t="s">
        <v>1436</v>
      </c>
      <c r="D639" s="11" t="s">
        <v>6920</v>
      </c>
      <c r="E639" s="11" t="s">
        <v>18</v>
      </c>
      <c r="F639" s="12" t="s">
        <v>9098</v>
      </c>
      <c r="G639" s="11" t="s">
        <v>6922</v>
      </c>
      <c r="H639" s="13" t="s">
        <v>7618</v>
      </c>
      <c r="I639" s="10">
        <v>46213</v>
      </c>
      <c r="J639" s="10" t="s">
        <v>9009</v>
      </c>
      <c r="L639" t="s">
        <v>9099</v>
      </c>
    </row>
    <row r="640" spans="1:12">
      <c r="A640" s="10">
        <v>46213</v>
      </c>
      <c r="B640" s="11" t="s">
        <v>9100</v>
      </c>
      <c r="C640" s="11" t="s">
        <v>1371</v>
      </c>
      <c r="D640" s="11" t="s">
        <v>7164</v>
      </c>
      <c r="E640" s="11" t="s">
        <v>17</v>
      </c>
      <c r="F640" s="12" t="s">
        <v>9101</v>
      </c>
      <c r="G640" s="11" t="s">
        <v>7553</v>
      </c>
      <c r="H640" s="13" t="s">
        <v>7618</v>
      </c>
      <c r="I640" s="10">
        <v>46213</v>
      </c>
      <c r="J640" s="10" t="s">
        <v>9102</v>
      </c>
      <c r="L640" t="s">
        <v>9103</v>
      </c>
    </row>
    <row r="641" spans="1:12">
      <c r="A641" s="10">
        <v>46213</v>
      </c>
      <c r="B641" s="11" t="s">
        <v>9104</v>
      </c>
      <c r="C641" s="11" t="s">
        <v>1252</v>
      </c>
      <c r="D641" s="11" t="s">
        <v>7038</v>
      </c>
      <c r="E641" s="11" t="s">
        <v>17</v>
      </c>
      <c r="F641" s="12" t="s">
        <v>9105</v>
      </c>
      <c r="G641" s="11" t="s">
        <v>7553</v>
      </c>
      <c r="H641" s="13" t="s">
        <v>7618</v>
      </c>
      <c r="I641" s="10">
        <v>46213</v>
      </c>
      <c r="J641" s="10" t="s">
        <v>4</v>
      </c>
      <c r="L641" t="s">
        <v>9106</v>
      </c>
    </row>
    <row r="642" spans="1:12">
      <c r="A642" s="10">
        <v>46213</v>
      </c>
      <c r="B642" s="11" t="s">
        <v>9107</v>
      </c>
      <c r="C642" s="11" t="s">
        <v>1053</v>
      </c>
      <c r="D642" s="11" t="s">
        <v>7532</v>
      </c>
      <c r="E642" s="11" t="s">
        <v>13</v>
      </c>
      <c r="F642" s="12" t="s">
        <v>9108</v>
      </c>
      <c r="G642" s="11" t="s">
        <v>8200</v>
      </c>
      <c r="H642" s="13" t="s">
        <v>7618</v>
      </c>
      <c r="I642" s="10">
        <v>46217</v>
      </c>
      <c r="J642" s="10">
        <v>46272.666666666701</v>
      </c>
      <c r="K642" t="s">
        <v>4</v>
      </c>
      <c r="L642" t="s">
        <v>9109</v>
      </c>
    </row>
    <row r="643" spans="1:12" ht="165">
      <c r="A643" s="10">
        <v>46213</v>
      </c>
      <c r="B643" s="12" t="s">
        <v>9110</v>
      </c>
      <c r="C643" s="11" t="s">
        <v>461</v>
      </c>
      <c r="D643" s="11" t="s">
        <v>6982</v>
      </c>
      <c r="E643" s="11" t="s">
        <v>17</v>
      </c>
      <c r="F643" s="12" t="s">
        <v>9111</v>
      </c>
      <c r="G643" s="11" t="s">
        <v>7553</v>
      </c>
      <c r="H643" s="13" t="s">
        <v>7618</v>
      </c>
      <c r="I643" s="10">
        <v>46213</v>
      </c>
      <c r="J643" s="10" t="s">
        <v>4</v>
      </c>
      <c r="L643" t="s">
        <v>9112</v>
      </c>
    </row>
    <row r="644" spans="1:12" ht="90">
      <c r="A644" s="10">
        <v>46213</v>
      </c>
      <c r="B644" s="12" t="s">
        <v>9113</v>
      </c>
      <c r="C644" s="11" t="s">
        <v>461</v>
      </c>
      <c r="D644" s="11" t="s">
        <v>6982</v>
      </c>
      <c r="E644" s="11" t="s">
        <v>17</v>
      </c>
      <c r="F644" s="12" t="s">
        <v>9114</v>
      </c>
      <c r="G644" s="11" t="s">
        <v>7553</v>
      </c>
      <c r="H644" s="13" t="s">
        <v>7618</v>
      </c>
      <c r="I644" s="10">
        <v>46213</v>
      </c>
      <c r="J644" s="10"/>
      <c r="L644" t="s">
        <v>9115</v>
      </c>
    </row>
    <row r="645" spans="1:12" ht="30">
      <c r="A645" s="10">
        <v>46213</v>
      </c>
      <c r="B645" s="11" t="s">
        <v>9116</v>
      </c>
      <c r="C645" s="11" t="s">
        <v>2270</v>
      </c>
      <c r="D645" s="11" t="s">
        <v>7650</v>
      </c>
      <c r="E645" s="11" t="s">
        <v>9117</v>
      </c>
      <c r="F645" s="12" t="s">
        <v>9118</v>
      </c>
      <c r="G645" s="11" t="s">
        <v>7553</v>
      </c>
      <c r="H645" s="13" t="s">
        <v>7618</v>
      </c>
      <c r="I645" s="10">
        <v>46213</v>
      </c>
      <c r="J645" s="10" t="s">
        <v>9119</v>
      </c>
      <c r="L645" t="s">
        <v>9120</v>
      </c>
    </row>
    <row r="646" spans="1:12">
      <c r="A646" s="10">
        <v>46213</v>
      </c>
      <c r="B646" s="11" t="s">
        <v>9121</v>
      </c>
      <c r="C646" s="11" t="s">
        <v>1348</v>
      </c>
      <c r="D646" s="11" t="s">
        <v>7010</v>
      </c>
      <c r="E646" s="11" t="s">
        <v>17</v>
      </c>
      <c r="F646" s="12" t="s">
        <v>9122</v>
      </c>
      <c r="G646" s="11" t="s">
        <v>6922</v>
      </c>
      <c r="H646" s="13" t="s">
        <v>7618</v>
      </c>
      <c r="I646" s="10">
        <v>46213</v>
      </c>
      <c r="J646" s="10" t="s">
        <v>4</v>
      </c>
      <c r="L646" t="s">
        <v>9123</v>
      </c>
    </row>
    <row r="647" spans="1:12" ht="75">
      <c r="A647" s="10">
        <v>46213</v>
      </c>
      <c r="B647" s="11" t="s">
        <v>9124</v>
      </c>
      <c r="C647" s="11" t="s">
        <v>1348</v>
      </c>
      <c r="D647" s="11" t="s">
        <v>7010</v>
      </c>
      <c r="E647" s="11" t="s">
        <v>17</v>
      </c>
      <c r="F647" s="12" t="s">
        <v>9125</v>
      </c>
      <c r="G647" s="11" t="s">
        <v>6922</v>
      </c>
      <c r="H647" s="13" t="s">
        <v>7618</v>
      </c>
      <c r="I647" s="10">
        <v>46213</v>
      </c>
      <c r="J647" s="10" t="s">
        <v>4</v>
      </c>
      <c r="L647" t="s">
        <v>9126</v>
      </c>
    </row>
    <row r="648" spans="1:12" ht="45">
      <c r="A648" s="10">
        <v>46213</v>
      </c>
      <c r="B648" s="11" t="s">
        <v>9127</v>
      </c>
      <c r="C648" s="11" t="s">
        <v>1348</v>
      </c>
      <c r="D648" s="11" t="s">
        <v>7010</v>
      </c>
      <c r="E648" s="11" t="s">
        <v>17</v>
      </c>
      <c r="F648" s="12" t="s">
        <v>9128</v>
      </c>
      <c r="G648" s="11" t="s">
        <v>6922</v>
      </c>
      <c r="H648" s="13" t="s">
        <v>7618</v>
      </c>
      <c r="I648" s="10">
        <v>46213</v>
      </c>
      <c r="J648" s="10" t="s">
        <v>2896</v>
      </c>
      <c r="L648" t="s">
        <v>9129</v>
      </c>
    </row>
    <row r="649" spans="1:12" ht="45">
      <c r="A649" s="10">
        <v>46213</v>
      </c>
      <c r="B649" s="12" t="s">
        <v>9130</v>
      </c>
      <c r="C649" s="11" t="s">
        <v>1779</v>
      </c>
      <c r="D649" s="11" t="s">
        <v>7061</v>
      </c>
      <c r="E649" s="11" t="s">
        <v>18</v>
      </c>
      <c r="F649" s="12" t="s">
        <v>9131</v>
      </c>
      <c r="G649" s="11" t="s">
        <v>6922</v>
      </c>
      <c r="H649" s="13" t="s">
        <v>7618</v>
      </c>
      <c r="I649" s="10">
        <v>46213</v>
      </c>
      <c r="J649" s="10"/>
      <c r="L649" t="s">
        <v>9132</v>
      </c>
    </row>
    <row r="650" spans="1:12" ht="30">
      <c r="A650" s="10">
        <v>46213</v>
      </c>
      <c r="B650" s="11" t="s">
        <v>9133</v>
      </c>
      <c r="C650" s="11" t="s">
        <v>1252</v>
      </c>
      <c r="D650" s="11" t="s">
        <v>7038</v>
      </c>
      <c r="E650" s="11" t="s">
        <v>17</v>
      </c>
      <c r="F650" s="12" t="s">
        <v>9134</v>
      </c>
      <c r="G650" s="11" t="s">
        <v>7553</v>
      </c>
      <c r="H650" s="13" t="s">
        <v>7618</v>
      </c>
      <c r="I650" s="10">
        <v>46216</v>
      </c>
      <c r="J650" s="10" t="s">
        <v>4</v>
      </c>
      <c r="L650" t="s">
        <v>9135</v>
      </c>
    </row>
    <row r="651" spans="1:12" ht="30">
      <c r="A651" s="10">
        <v>46213</v>
      </c>
      <c r="B651" s="151" t="s">
        <v>9136</v>
      </c>
      <c r="C651" s="11" t="s">
        <v>1371</v>
      </c>
      <c r="D651" s="11" t="s">
        <v>7164</v>
      </c>
      <c r="E651" s="11" t="s">
        <v>17</v>
      </c>
      <c r="F651" s="12" t="s">
        <v>9137</v>
      </c>
      <c r="G651" s="11" t="s">
        <v>7553</v>
      </c>
      <c r="H651" s="13" t="s">
        <v>9138</v>
      </c>
      <c r="I651" s="10">
        <v>46216</v>
      </c>
      <c r="J651" s="10"/>
      <c r="L651" t="s">
        <v>9139</v>
      </c>
    </row>
    <row r="652" spans="1:12">
      <c r="A652" s="10">
        <v>46213</v>
      </c>
      <c r="B652" s="11" t="s">
        <v>9140</v>
      </c>
      <c r="C652" s="11" t="s">
        <v>1348</v>
      </c>
      <c r="D652" s="11" t="s">
        <v>7010</v>
      </c>
      <c r="E652" s="11" t="s">
        <v>17</v>
      </c>
      <c r="F652" s="12" t="s">
        <v>9141</v>
      </c>
      <c r="G652" s="11" t="s">
        <v>6922</v>
      </c>
      <c r="H652" s="13" t="s">
        <v>9142</v>
      </c>
      <c r="I652" s="10">
        <v>46213</v>
      </c>
      <c r="J652" s="10" t="s">
        <v>4</v>
      </c>
      <c r="L652" t="s">
        <v>9143</v>
      </c>
    </row>
    <row r="653" spans="1:12" ht="45">
      <c r="A653" s="10">
        <v>46213</v>
      </c>
      <c r="B653" s="12" t="s">
        <v>9144</v>
      </c>
      <c r="C653" s="11" t="s">
        <v>461</v>
      </c>
      <c r="D653" s="11" t="s">
        <v>6982</v>
      </c>
      <c r="E653" s="11" t="s">
        <v>17</v>
      </c>
      <c r="F653" s="12" t="s">
        <v>9145</v>
      </c>
      <c r="G653" s="11" t="s">
        <v>7553</v>
      </c>
      <c r="H653" s="13" t="s">
        <v>9146</v>
      </c>
      <c r="I653" s="10">
        <v>46216</v>
      </c>
      <c r="J653" s="10" t="s">
        <v>4</v>
      </c>
      <c r="L653" t="s">
        <v>9147</v>
      </c>
    </row>
    <row r="654" spans="1:12" ht="30">
      <c r="A654" s="10">
        <v>46213</v>
      </c>
      <c r="B654" s="11" t="s">
        <v>9148</v>
      </c>
      <c r="C654" s="11" t="s">
        <v>1824</v>
      </c>
      <c r="D654" s="11" t="s">
        <v>8333</v>
      </c>
      <c r="E654" s="11" t="s">
        <v>17</v>
      </c>
      <c r="F654" s="12" t="s">
        <v>9149</v>
      </c>
      <c r="G654" s="11" t="s">
        <v>7553</v>
      </c>
      <c r="H654" s="13" t="s">
        <v>9150</v>
      </c>
      <c r="I654" s="10">
        <v>46216</v>
      </c>
      <c r="J654" s="10" t="s">
        <v>4</v>
      </c>
      <c r="L654" t="s">
        <v>9151</v>
      </c>
    </row>
    <row r="655" spans="1:12" ht="30">
      <c r="A655" s="10">
        <v>46213</v>
      </c>
      <c r="B655" s="11" t="s">
        <v>268</v>
      </c>
      <c r="C655" s="11" t="s">
        <v>1371</v>
      </c>
      <c r="D655" s="11" t="s">
        <v>9152</v>
      </c>
      <c r="E655" s="11" t="s">
        <v>17</v>
      </c>
      <c r="F655" s="12" t="s">
        <v>9153</v>
      </c>
      <c r="G655" s="11" t="s">
        <v>7553</v>
      </c>
      <c r="H655" s="13" t="s">
        <v>7618</v>
      </c>
      <c r="I655" s="10">
        <v>46216</v>
      </c>
      <c r="J655" s="10"/>
      <c r="L655" t="s">
        <v>9154</v>
      </c>
    </row>
    <row r="656" spans="1:12">
      <c r="A656" s="10">
        <v>46213</v>
      </c>
      <c r="B656" s="11" t="s">
        <v>9155</v>
      </c>
      <c r="C656" s="48" t="s">
        <v>2369</v>
      </c>
      <c r="D656" s="11" t="s">
        <v>6961</v>
      </c>
      <c r="E656" s="11" t="s">
        <v>18</v>
      </c>
      <c r="F656" s="12" t="s">
        <v>9156</v>
      </c>
      <c r="G656" s="11" t="s">
        <v>6922</v>
      </c>
      <c r="H656" s="12" t="s">
        <v>7957</v>
      </c>
      <c r="I656" s="10">
        <v>46216</v>
      </c>
      <c r="J656" s="10" t="s">
        <v>9157</v>
      </c>
      <c r="L656" t="s">
        <v>9158</v>
      </c>
    </row>
    <row r="657" spans="1:12">
      <c r="A657" s="10">
        <v>46213</v>
      </c>
      <c r="B657" s="11" t="s">
        <v>9159</v>
      </c>
      <c r="C657" s="48" t="s">
        <v>2369</v>
      </c>
      <c r="D657" s="11" t="s">
        <v>6961</v>
      </c>
      <c r="E657" s="11" t="s">
        <v>18</v>
      </c>
      <c r="F657" s="12" t="s">
        <v>9160</v>
      </c>
      <c r="G657" s="11" t="s">
        <v>6922</v>
      </c>
      <c r="H657" s="12" t="s">
        <v>7957</v>
      </c>
      <c r="I657" s="10">
        <v>46216</v>
      </c>
      <c r="J657" s="10" t="s">
        <v>9161</v>
      </c>
      <c r="L657" t="s">
        <v>9162</v>
      </c>
    </row>
    <row r="658" spans="1:12">
      <c r="A658" s="10">
        <v>46213</v>
      </c>
      <c r="B658" s="11" t="s">
        <v>9163</v>
      </c>
      <c r="C658" s="48" t="s">
        <v>2369</v>
      </c>
      <c r="D658" s="11" t="s">
        <v>6961</v>
      </c>
      <c r="E658" s="11" t="s">
        <v>18</v>
      </c>
      <c r="F658" s="12" t="s">
        <v>9164</v>
      </c>
      <c r="G658" s="11" t="s">
        <v>7553</v>
      </c>
      <c r="H658" s="13" t="s">
        <v>7618</v>
      </c>
      <c r="I658" s="10">
        <v>46217</v>
      </c>
      <c r="J658" s="10" t="s">
        <v>9157</v>
      </c>
      <c r="L658" t="s">
        <v>9165</v>
      </c>
    </row>
    <row r="659" spans="1:12" ht="60">
      <c r="A659" s="10">
        <v>46213</v>
      </c>
      <c r="B659" s="11" t="s">
        <v>9166</v>
      </c>
      <c r="C659" s="48" t="s">
        <v>2369</v>
      </c>
      <c r="D659" s="11" t="s">
        <v>6961</v>
      </c>
      <c r="E659" s="11" t="s">
        <v>18</v>
      </c>
      <c r="F659" s="12" t="s">
        <v>9167</v>
      </c>
      <c r="G659" s="11" t="s">
        <v>7553</v>
      </c>
      <c r="H659" s="13" t="s">
        <v>9168</v>
      </c>
      <c r="I659" s="10">
        <v>46217</v>
      </c>
      <c r="J659" s="10" t="s">
        <v>9169</v>
      </c>
      <c r="L659" t="s">
        <v>9170</v>
      </c>
    </row>
    <row r="660" spans="1:12">
      <c r="A660" s="10">
        <v>46216</v>
      </c>
      <c r="B660" s="11" t="s">
        <v>9171</v>
      </c>
      <c r="C660" s="11" t="s">
        <v>518</v>
      </c>
      <c r="D660" s="11" t="s">
        <v>6916</v>
      </c>
      <c r="E660" s="11" t="s">
        <v>17</v>
      </c>
      <c r="F660" s="12" t="s">
        <v>9172</v>
      </c>
      <c r="G660" s="11" t="s">
        <v>7553</v>
      </c>
      <c r="H660" s="13" t="s">
        <v>7618</v>
      </c>
      <c r="I660" s="10">
        <v>46217</v>
      </c>
      <c r="J660" s="10" t="s">
        <v>9157</v>
      </c>
      <c r="L660" t="s">
        <v>9173</v>
      </c>
    </row>
    <row r="661" spans="1:12">
      <c r="A661" s="10">
        <v>46216</v>
      </c>
      <c r="B661" s="11" t="s">
        <v>9174</v>
      </c>
      <c r="C661" s="11" t="s">
        <v>1252</v>
      </c>
      <c r="D661" s="11" t="s">
        <v>7038</v>
      </c>
      <c r="E661" s="11" t="s">
        <v>17</v>
      </c>
      <c r="F661" s="12" t="s">
        <v>9175</v>
      </c>
      <c r="G661" s="11" t="s">
        <v>7553</v>
      </c>
      <c r="H661" s="13" t="s">
        <v>7618</v>
      </c>
      <c r="I661" s="10">
        <v>46217</v>
      </c>
      <c r="J661" s="10" t="s">
        <v>4</v>
      </c>
      <c r="L661" t="s">
        <v>9176</v>
      </c>
    </row>
    <row r="662" spans="1:12" ht="45">
      <c r="A662" s="10">
        <v>46216</v>
      </c>
      <c r="B662" s="11" t="s">
        <v>9177</v>
      </c>
      <c r="C662" s="43" t="s">
        <v>1555</v>
      </c>
      <c r="D662" s="43" t="s">
        <v>8341</v>
      </c>
      <c r="E662" s="43" t="s">
        <v>17</v>
      </c>
      <c r="F662" s="12" t="s">
        <v>9178</v>
      </c>
      <c r="G662" s="11" t="s">
        <v>6922</v>
      </c>
      <c r="H662" s="12" t="s">
        <v>7957</v>
      </c>
      <c r="I662" s="10">
        <v>46216</v>
      </c>
      <c r="J662" s="10" t="s">
        <v>8990</v>
      </c>
      <c r="L662" t="s">
        <v>9179</v>
      </c>
    </row>
    <row r="663" spans="1:12" ht="30">
      <c r="A663" s="10">
        <v>46216</v>
      </c>
      <c r="B663" s="11" t="s">
        <v>9180</v>
      </c>
      <c r="C663" s="11" t="s">
        <v>9181</v>
      </c>
      <c r="D663" s="11" t="s">
        <v>7144</v>
      </c>
      <c r="E663" s="11" t="s">
        <v>17</v>
      </c>
      <c r="F663" s="12" t="s">
        <v>9182</v>
      </c>
      <c r="G663" s="11" t="s">
        <v>6936</v>
      </c>
      <c r="H663" s="12" t="s">
        <v>7957</v>
      </c>
      <c r="I663" s="10">
        <v>46216</v>
      </c>
      <c r="J663" s="10" t="s">
        <v>9183</v>
      </c>
      <c r="L663" t="s">
        <v>9184</v>
      </c>
    </row>
    <row r="664" spans="1:12">
      <c r="A664" s="10">
        <v>46216</v>
      </c>
      <c r="B664" s="11" t="s">
        <v>9185</v>
      </c>
      <c r="C664" s="11" t="s">
        <v>9181</v>
      </c>
      <c r="D664" s="11" t="s">
        <v>7144</v>
      </c>
      <c r="E664" s="11" t="s">
        <v>17</v>
      </c>
      <c r="F664" s="12" t="s">
        <v>9186</v>
      </c>
      <c r="G664" s="11" t="s">
        <v>6936</v>
      </c>
      <c r="H664" s="12" t="s">
        <v>7957</v>
      </c>
      <c r="I664" s="10">
        <v>46216</v>
      </c>
      <c r="J664" s="10" t="s">
        <v>9161</v>
      </c>
      <c r="L664" t="s">
        <v>9187</v>
      </c>
    </row>
    <row r="665" spans="1:12" ht="30">
      <c r="A665" s="10">
        <v>46216</v>
      </c>
      <c r="B665" s="11" t="s">
        <v>9188</v>
      </c>
      <c r="C665" s="11" t="s">
        <v>1252</v>
      </c>
      <c r="D665" s="11" t="s">
        <v>7038</v>
      </c>
      <c r="E665" s="11" t="s">
        <v>17</v>
      </c>
      <c r="F665" s="12" t="s">
        <v>9189</v>
      </c>
      <c r="G665" s="11" t="s">
        <v>7553</v>
      </c>
      <c r="H665" s="13" t="s">
        <v>9190</v>
      </c>
      <c r="I665" s="10">
        <v>46217</v>
      </c>
      <c r="J665" s="10" t="s">
        <v>4</v>
      </c>
      <c r="L665" t="s">
        <v>9191</v>
      </c>
    </row>
    <row r="666" spans="1:12">
      <c r="A666" s="10">
        <v>46216</v>
      </c>
      <c r="B666" s="11" t="s">
        <v>9192</v>
      </c>
      <c r="C666" s="11" t="s">
        <v>1053</v>
      </c>
      <c r="D666" s="11" t="s">
        <v>7532</v>
      </c>
      <c r="E666" s="11" t="s">
        <v>13</v>
      </c>
      <c r="F666" s="12" t="s">
        <v>9193</v>
      </c>
      <c r="G666" s="11" t="s">
        <v>6891</v>
      </c>
      <c r="H666" s="13" t="s">
        <v>8563</v>
      </c>
      <c r="I666" s="10">
        <v>46217</v>
      </c>
      <c r="J666" s="10">
        <v>46272.666666666701</v>
      </c>
      <c r="K666" t="s">
        <v>4</v>
      </c>
      <c r="L666" t="s">
        <v>9194</v>
      </c>
    </row>
    <row r="667" spans="1:12">
      <c r="A667" s="10">
        <v>46216</v>
      </c>
      <c r="B667" s="11" t="s">
        <v>9195</v>
      </c>
      <c r="C667" s="11" t="s">
        <v>1348</v>
      </c>
      <c r="D667" s="11" t="s">
        <v>7010</v>
      </c>
      <c r="E667" s="11" t="s">
        <v>17</v>
      </c>
      <c r="F667" s="12" t="s">
        <v>9196</v>
      </c>
      <c r="G667" s="11" t="s">
        <v>6922</v>
      </c>
      <c r="H667" s="12" t="s">
        <v>7957</v>
      </c>
      <c r="I667" s="10">
        <v>46216</v>
      </c>
      <c r="J667" s="10" t="s">
        <v>4</v>
      </c>
      <c r="L667" t="s">
        <v>9197</v>
      </c>
    </row>
    <row r="668" spans="1:12" ht="45">
      <c r="A668" s="10">
        <v>46216</v>
      </c>
      <c r="B668" s="11" t="s">
        <v>9198</v>
      </c>
      <c r="C668" s="11" t="s">
        <v>1348</v>
      </c>
      <c r="D668" s="11" t="s">
        <v>7010</v>
      </c>
      <c r="E668" s="11" t="s">
        <v>17</v>
      </c>
      <c r="F668" s="12" t="s">
        <v>9199</v>
      </c>
      <c r="G668" s="11" t="s">
        <v>6922</v>
      </c>
      <c r="H668" s="13" t="s">
        <v>9200</v>
      </c>
      <c r="I668" s="10">
        <v>46216</v>
      </c>
      <c r="J668" s="10" t="s">
        <v>4</v>
      </c>
      <c r="L668" t="s">
        <v>9201</v>
      </c>
    </row>
    <row r="669" spans="1:12" ht="30">
      <c r="A669" s="10">
        <v>46216</v>
      </c>
      <c r="B669" s="43" t="s">
        <v>9202</v>
      </c>
      <c r="C669" s="43" t="s">
        <v>682</v>
      </c>
      <c r="D669" s="11" t="s">
        <v>7277</v>
      </c>
      <c r="E669" s="11" t="s">
        <v>18</v>
      </c>
      <c r="F669" s="12" t="s">
        <v>9203</v>
      </c>
      <c r="G669" s="11" t="s">
        <v>6891</v>
      </c>
      <c r="H669" s="13" t="s">
        <v>8563</v>
      </c>
      <c r="I669" s="10">
        <v>46217</v>
      </c>
      <c r="J669" s="10" t="s">
        <v>4</v>
      </c>
      <c r="L669" t="s">
        <v>9204</v>
      </c>
    </row>
    <row r="670" spans="1:12" ht="45">
      <c r="A670" s="59">
        <v>46216</v>
      </c>
      <c r="B670" s="152" t="s">
        <v>9205</v>
      </c>
      <c r="C670" s="153" t="s">
        <v>983</v>
      </c>
      <c r="D670" s="48" t="s">
        <v>7058</v>
      </c>
      <c r="E670" s="11" t="s">
        <v>9206</v>
      </c>
      <c r="F670" s="12" t="s">
        <v>9207</v>
      </c>
      <c r="G670" s="11" t="s">
        <v>7553</v>
      </c>
      <c r="H670" s="13" t="s">
        <v>9208</v>
      </c>
      <c r="I670" s="10">
        <v>46217</v>
      </c>
      <c r="J670" s="10" t="s">
        <v>4916</v>
      </c>
      <c r="L670" t="s">
        <v>9209</v>
      </c>
    </row>
    <row r="671" spans="1:12" ht="45">
      <c r="A671" s="59">
        <v>46216</v>
      </c>
      <c r="B671" s="18" t="s">
        <v>9210</v>
      </c>
      <c r="C671" s="18" t="s">
        <v>1371</v>
      </c>
      <c r="D671" s="48" t="s">
        <v>7164</v>
      </c>
      <c r="E671" s="11" t="s">
        <v>9206</v>
      </c>
      <c r="F671" s="12" t="s">
        <v>9211</v>
      </c>
      <c r="G671" s="11" t="s">
        <v>7553</v>
      </c>
      <c r="H671" s="13" t="s">
        <v>9212</v>
      </c>
      <c r="I671" s="10">
        <v>46217</v>
      </c>
      <c r="J671" s="10"/>
      <c r="L671" t="s">
        <v>9213</v>
      </c>
    </row>
    <row r="672" spans="1:12" ht="30">
      <c r="A672" s="59">
        <v>46216</v>
      </c>
      <c r="B672" s="152" t="s">
        <v>9214</v>
      </c>
      <c r="C672" s="153" t="s">
        <v>983</v>
      </c>
      <c r="D672" s="48" t="s">
        <v>7058</v>
      </c>
      <c r="E672" s="11" t="s">
        <v>9206</v>
      </c>
      <c r="F672" s="12" t="s">
        <v>9215</v>
      </c>
      <c r="G672" s="11" t="s">
        <v>7553</v>
      </c>
      <c r="H672" s="13" t="s">
        <v>9216</v>
      </c>
      <c r="I672" s="10">
        <v>46217</v>
      </c>
      <c r="J672" s="10" t="s">
        <v>9217</v>
      </c>
      <c r="L672" t="s">
        <v>9218</v>
      </c>
    </row>
    <row r="673" spans="1:12">
      <c r="A673" s="59">
        <v>46216</v>
      </c>
      <c r="B673" s="154" t="s">
        <v>9219</v>
      </c>
      <c r="C673" s="46" t="s">
        <v>2369</v>
      </c>
      <c r="D673" s="48" t="s">
        <v>6961</v>
      </c>
      <c r="E673" s="11" t="s">
        <v>18</v>
      </c>
      <c r="F673" s="12" t="s">
        <v>9220</v>
      </c>
      <c r="G673" s="11" t="s">
        <v>7553</v>
      </c>
      <c r="H673" s="13" t="s">
        <v>7618</v>
      </c>
      <c r="I673" s="10">
        <v>46217</v>
      </c>
      <c r="J673" s="10" t="s">
        <v>9221</v>
      </c>
      <c r="L673" t="s">
        <v>9222</v>
      </c>
    </row>
    <row r="674" spans="1:12" ht="30">
      <c r="A674" s="10">
        <v>46216</v>
      </c>
      <c r="B674" s="52" t="s">
        <v>9223</v>
      </c>
      <c r="C674" s="11" t="s">
        <v>496</v>
      </c>
      <c r="D674" s="11" t="s">
        <v>7608</v>
      </c>
      <c r="E674" s="11" t="s">
        <v>17</v>
      </c>
      <c r="F674" s="12" t="s">
        <v>9224</v>
      </c>
      <c r="G674" s="11" t="s">
        <v>6983</v>
      </c>
      <c r="H674" s="13" t="s">
        <v>9225</v>
      </c>
      <c r="I674" s="10">
        <v>46217</v>
      </c>
      <c r="J674" s="10" t="s">
        <v>4</v>
      </c>
      <c r="L674" t="s">
        <v>9226</v>
      </c>
    </row>
    <row r="675" spans="1:12" ht="135">
      <c r="A675" s="10">
        <v>46217</v>
      </c>
      <c r="B675" s="11" t="s">
        <v>9227</v>
      </c>
      <c r="C675" s="43" t="s">
        <v>1555</v>
      </c>
      <c r="D675" s="43" t="s">
        <v>8341</v>
      </c>
      <c r="E675" s="43" t="s">
        <v>17</v>
      </c>
      <c r="F675" s="12" t="s">
        <v>9228</v>
      </c>
      <c r="G675" s="11" t="s">
        <v>6922</v>
      </c>
      <c r="H675" s="13" t="s">
        <v>9229</v>
      </c>
      <c r="I675" s="10">
        <v>46217</v>
      </c>
      <c r="J675" s="57" t="s">
        <v>9230</v>
      </c>
      <c r="L675" t="s">
        <v>9231</v>
      </c>
    </row>
    <row r="676" spans="1:12" ht="30">
      <c r="A676" s="10">
        <v>46217</v>
      </c>
      <c r="B676" s="155" t="s">
        <v>9232</v>
      </c>
      <c r="C676" s="11" t="s">
        <v>540</v>
      </c>
      <c r="D676" s="11" t="s">
        <v>7258</v>
      </c>
      <c r="E676" s="11" t="s">
        <v>18</v>
      </c>
      <c r="F676" s="156" t="s">
        <v>9233</v>
      </c>
      <c r="G676" s="11" t="s">
        <v>7553</v>
      </c>
      <c r="H676" s="13" t="s">
        <v>9234</v>
      </c>
      <c r="I676" s="10">
        <v>46217</v>
      </c>
      <c r="J676" s="10" t="s">
        <v>4</v>
      </c>
      <c r="L676" t="s">
        <v>9235</v>
      </c>
    </row>
    <row r="677" spans="1:12" ht="30">
      <c r="A677" s="10">
        <v>46217</v>
      </c>
      <c r="B677" s="155" t="s">
        <v>9236</v>
      </c>
      <c r="C677" s="11" t="s">
        <v>540</v>
      </c>
      <c r="D677" s="11" t="s">
        <v>7258</v>
      </c>
      <c r="E677" s="11" t="s">
        <v>18</v>
      </c>
      <c r="F677" s="156" t="s">
        <v>9237</v>
      </c>
      <c r="G677" s="11" t="s">
        <v>7553</v>
      </c>
      <c r="H677" s="13" t="s">
        <v>9234</v>
      </c>
      <c r="I677" s="10">
        <v>46217</v>
      </c>
      <c r="J677" s="10" t="s">
        <v>4</v>
      </c>
      <c r="L677" t="s">
        <v>9238</v>
      </c>
    </row>
    <row r="678" spans="1:12" ht="30">
      <c r="A678" s="10">
        <v>46217</v>
      </c>
      <c r="B678" s="155" t="s">
        <v>9239</v>
      </c>
      <c r="C678" s="11" t="s">
        <v>540</v>
      </c>
      <c r="D678" s="11" t="s">
        <v>7258</v>
      </c>
      <c r="E678" s="11" t="s">
        <v>18</v>
      </c>
      <c r="F678" s="156" t="s">
        <v>9240</v>
      </c>
      <c r="G678" s="11" t="s">
        <v>7553</v>
      </c>
      <c r="H678" s="13" t="s">
        <v>9241</v>
      </c>
      <c r="I678" s="10">
        <v>46217</v>
      </c>
      <c r="J678" s="10" t="s">
        <v>4</v>
      </c>
      <c r="L678" t="s">
        <v>9242</v>
      </c>
    </row>
    <row r="679" spans="1:12" ht="30">
      <c r="A679" s="10">
        <v>46217</v>
      </c>
      <c r="B679" s="11" t="s">
        <v>9243</v>
      </c>
      <c r="C679" s="43" t="s">
        <v>1109</v>
      </c>
      <c r="D679" s="43" t="s">
        <v>7053</v>
      </c>
      <c r="E679" s="43" t="s">
        <v>17</v>
      </c>
      <c r="F679" s="12" t="s">
        <v>9244</v>
      </c>
      <c r="G679" s="11" t="s">
        <v>7553</v>
      </c>
      <c r="H679" s="13" t="s">
        <v>7618</v>
      </c>
      <c r="I679" s="10">
        <v>46217</v>
      </c>
      <c r="J679" s="10" t="s">
        <v>9221</v>
      </c>
      <c r="L679" t="s">
        <v>9245</v>
      </c>
    </row>
    <row r="680" spans="1:12" ht="45">
      <c r="A680" s="10">
        <v>46217</v>
      </c>
      <c r="B680" s="11" t="s">
        <v>9246</v>
      </c>
      <c r="C680" s="11" t="s">
        <v>1109</v>
      </c>
      <c r="D680" s="11" t="s">
        <v>7053</v>
      </c>
      <c r="E680" s="11" t="s">
        <v>17</v>
      </c>
      <c r="F680" s="12" t="s">
        <v>9247</v>
      </c>
      <c r="G680" s="11" t="s">
        <v>7553</v>
      </c>
      <c r="H680" s="13" t="s">
        <v>7618</v>
      </c>
      <c r="I680" s="10">
        <v>46217</v>
      </c>
      <c r="J680" s="10" t="s">
        <v>9221</v>
      </c>
      <c r="L680" t="s">
        <v>9248</v>
      </c>
    </row>
    <row r="681" spans="1:12" ht="30">
      <c r="A681" s="10">
        <v>46217</v>
      </c>
      <c r="B681" s="11" t="s">
        <v>9249</v>
      </c>
      <c r="C681" s="11" t="s">
        <v>1884</v>
      </c>
      <c r="D681" s="11" t="s">
        <v>9250</v>
      </c>
      <c r="E681" s="11" t="s">
        <v>17</v>
      </c>
      <c r="F681" s="12" t="s">
        <v>9251</v>
      </c>
      <c r="G681" s="11" t="s">
        <v>7553</v>
      </c>
      <c r="H681" s="13" t="s">
        <v>7618</v>
      </c>
      <c r="I681" s="10">
        <v>46217</v>
      </c>
      <c r="J681" s="10">
        <v>46222.666666666701</v>
      </c>
      <c r="K681" t="s">
        <v>4</v>
      </c>
      <c r="L681" t="s">
        <v>9252</v>
      </c>
    </row>
    <row r="682" spans="1:12">
      <c r="A682" s="10">
        <v>46217</v>
      </c>
      <c r="B682" s="11" t="s">
        <v>9253</v>
      </c>
      <c r="C682" s="11" t="s">
        <v>496</v>
      </c>
      <c r="D682" s="11" t="s">
        <v>7608</v>
      </c>
      <c r="E682" s="11" t="s">
        <v>17</v>
      </c>
      <c r="F682" s="12" t="s">
        <v>9254</v>
      </c>
      <c r="G682" s="11" t="s">
        <v>7553</v>
      </c>
      <c r="H682" s="13" t="s">
        <v>7618</v>
      </c>
      <c r="I682" s="10">
        <v>46217</v>
      </c>
      <c r="J682" s="10" t="s">
        <v>4</v>
      </c>
      <c r="L682" t="s">
        <v>9255</v>
      </c>
    </row>
    <row r="683" spans="1:12">
      <c r="A683" s="10">
        <v>46217</v>
      </c>
      <c r="B683" s="11" t="s">
        <v>9256</v>
      </c>
      <c r="C683" s="11" t="s">
        <v>1884</v>
      </c>
      <c r="D683" s="11" t="s">
        <v>9250</v>
      </c>
      <c r="E683" s="11" t="s">
        <v>17</v>
      </c>
      <c r="F683" s="12" t="s">
        <v>9257</v>
      </c>
      <c r="G683" s="11" t="s">
        <v>7553</v>
      </c>
      <c r="H683" s="13" t="s">
        <v>7618</v>
      </c>
      <c r="I683" s="10">
        <v>46217</v>
      </c>
      <c r="J683" s="10">
        <v>46219.666666666701</v>
      </c>
      <c r="K683" t="s">
        <v>4</v>
      </c>
      <c r="L683" t="s">
        <v>9258</v>
      </c>
    </row>
    <row r="684" spans="1:12">
      <c r="A684" s="10">
        <v>46217</v>
      </c>
      <c r="B684" s="11" t="s">
        <v>9259</v>
      </c>
      <c r="C684" s="11" t="s">
        <v>585</v>
      </c>
      <c r="D684" s="11" t="s">
        <v>7973</v>
      </c>
      <c r="E684" s="11" t="s">
        <v>17</v>
      </c>
      <c r="F684" s="12" t="s">
        <v>9257</v>
      </c>
      <c r="G684" s="11" t="s">
        <v>7553</v>
      </c>
      <c r="H684" s="13" t="s">
        <v>7618</v>
      </c>
      <c r="I684" s="10">
        <v>46217</v>
      </c>
      <c r="J684" s="10" t="s">
        <v>9169</v>
      </c>
      <c r="L684" t="s">
        <v>9260</v>
      </c>
    </row>
    <row r="685" spans="1:12" ht="30">
      <c r="A685" s="10">
        <v>46217</v>
      </c>
      <c r="B685" s="11" t="s">
        <v>9261</v>
      </c>
      <c r="C685" s="11" t="s">
        <v>7316</v>
      </c>
      <c r="D685" s="11" t="s">
        <v>7317</v>
      </c>
      <c r="E685" s="11" t="s">
        <v>9262</v>
      </c>
      <c r="F685" s="12" t="s">
        <v>9263</v>
      </c>
      <c r="G685" s="11" t="s">
        <v>7553</v>
      </c>
      <c r="H685" s="13" t="s">
        <v>7618</v>
      </c>
      <c r="I685" s="10">
        <v>46217</v>
      </c>
      <c r="J685" s="10"/>
      <c r="L685" s="179" t="s">
        <v>9264</v>
      </c>
    </row>
    <row r="686" spans="1:12" ht="30">
      <c r="A686" s="10">
        <v>46217</v>
      </c>
      <c r="B686" s="11" t="s">
        <v>353</v>
      </c>
      <c r="C686" s="11" t="s">
        <v>895</v>
      </c>
      <c r="D686" s="11" t="s">
        <v>9265</v>
      </c>
      <c r="E686" s="11" t="s">
        <v>18</v>
      </c>
      <c r="F686" s="12" t="s">
        <v>9266</v>
      </c>
      <c r="G686" s="11" t="s">
        <v>7553</v>
      </c>
      <c r="H686" s="13" t="s">
        <v>7618</v>
      </c>
      <c r="I686" s="10">
        <v>46217</v>
      </c>
      <c r="J686" s="10"/>
      <c r="L686" t="s">
        <v>9267</v>
      </c>
    </row>
    <row r="687" spans="1:12">
      <c r="A687" s="10">
        <v>46217</v>
      </c>
      <c r="B687" s="11" t="s">
        <v>354</v>
      </c>
      <c r="C687" s="11" t="s">
        <v>895</v>
      </c>
      <c r="D687" s="11" t="s">
        <v>9265</v>
      </c>
      <c r="E687" s="11" t="s">
        <v>18</v>
      </c>
      <c r="F687" s="12" t="s">
        <v>9268</v>
      </c>
      <c r="G687" s="11" t="s">
        <v>7553</v>
      </c>
      <c r="H687" s="13" t="s">
        <v>7618</v>
      </c>
      <c r="I687" s="10">
        <v>46217</v>
      </c>
      <c r="J687" s="10"/>
      <c r="L687" t="s">
        <v>9269</v>
      </c>
    </row>
    <row r="688" spans="1:12" ht="30">
      <c r="A688" s="10">
        <v>46217</v>
      </c>
      <c r="B688" s="11" t="s">
        <v>9270</v>
      </c>
      <c r="C688" s="11" t="s">
        <v>895</v>
      </c>
      <c r="D688" s="11" t="s">
        <v>9265</v>
      </c>
      <c r="E688" s="11" t="s">
        <v>18</v>
      </c>
      <c r="F688" s="12" t="s">
        <v>9271</v>
      </c>
      <c r="G688" s="11" t="s">
        <v>7553</v>
      </c>
      <c r="H688" s="13" t="s">
        <v>9272</v>
      </c>
      <c r="I688" s="10">
        <v>46217</v>
      </c>
      <c r="J688" s="10" t="s">
        <v>9273</v>
      </c>
      <c r="L688" t="s">
        <v>9274</v>
      </c>
    </row>
    <row r="689" spans="1:12">
      <c r="A689" s="10">
        <v>46217</v>
      </c>
      <c r="B689" s="11" t="s">
        <v>9275</v>
      </c>
      <c r="C689" s="11" t="s">
        <v>895</v>
      </c>
      <c r="D689" s="11" t="s">
        <v>9265</v>
      </c>
      <c r="E689" s="11" t="s">
        <v>18</v>
      </c>
      <c r="F689" s="12" t="s">
        <v>9276</v>
      </c>
      <c r="G689" s="11" t="s">
        <v>7553</v>
      </c>
      <c r="H689" s="13" t="s">
        <v>7618</v>
      </c>
      <c r="I689" s="10">
        <v>46217</v>
      </c>
      <c r="J689" s="10" t="s">
        <v>9161</v>
      </c>
      <c r="L689" t="s">
        <v>9277</v>
      </c>
    </row>
    <row r="690" spans="1:12" ht="30">
      <c r="A690" s="10">
        <v>46217</v>
      </c>
      <c r="B690" s="11" t="s">
        <v>9278</v>
      </c>
      <c r="C690" s="11" t="s">
        <v>895</v>
      </c>
      <c r="D690" s="11" t="s">
        <v>9265</v>
      </c>
      <c r="E690" s="11" t="s">
        <v>18</v>
      </c>
      <c r="F690" s="12" t="s">
        <v>9279</v>
      </c>
      <c r="G690" s="11" t="s">
        <v>7553</v>
      </c>
      <c r="H690" s="13" t="s">
        <v>7618</v>
      </c>
      <c r="I690" s="10">
        <v>46217</v>
      </c>
      <c r="J690" s="10"/>
      <c r="L690" t="s">
        <v>9280</v>
      </c>
    </row>
    <row r="691" spans="1:12">
      <c r="A691" s="10">
        <v>46217</v>
      </c>
      <c r="B691" s="11" t="s">
        <v>9281</v>
      </c>
      <c r="C691" s="11" t="s">
        <v>895</v>
      </c>
      <c r="D691" s="11" t="s">
        <v>9265</v>
      </c>
      <c r="E691" s="11" t="s">
        <v>18</v>
      </c>
      <c r="F691" s="12" t="s">
        <v>9282</v>
      </c>
      <c r="G691" s="11" t="s">
        <v>7553</v>
      </c>
      <c r="H691" s="13" t="s">
        <v>7618</v>
      </c>
      <c r="I691" s="10">
        <v>46217</v>
      </c>
      <c r="J691" s="10"/>
      <c r="L691" t="s">
        <v>9283</v>
      </c>
    </row>
    <row r="692" spans="1:12">
      <c r="A692" s="10">
        <v>46217</v>
      </c>
      <c r="B692" s="11" t="s">
        <v>9284</v>
      </c>
      <c r="C692" s="11" t="s">
        <v>895</v>
      </c>
      <c r="D692" s="11" t="s">
        <v>9265</v>
      </c>
      <c r="E692" s="11" t="s">
        <v>18</v>
      </c>
      <c r="F692" s="12" t="s">
        <v>9285</v>
      </c>
      <c r="G692" s="11" t="s">
        <v>7553</v>
      </c>
      <c r="H692" s="13" t="s">
        <v>7618</v>
      </c>
      <c r="I692" s="10">
        <v>46217</v>
      </c>
      <c r="J692" s="10"/>
      <c r="L692" t="s">
        <v>9286</v>
      </c>
    </row>
    <row r="693" spans="1:12" ht="45">
      <c r="A693" s="10">
        <v>46217</v>
      </c>
      <c r="B693" s="11" t="s">
        <v>9287</v>
      </c>
      <c r="C693" s="11" t="s">
        <v>895</v>
      </c>
      <c r="D693" s="11" t="s">
        <v>9265</v>
      </c>
      <c r="E693" s="11" t="s">
        <v>18</v>
      </c>
      <c r="F693" s="12" t="s">
        <v>9288</v>
      </c>
      <c r="G693" s="11" t="s">
        <v>7553</v>
      </c>
      <c r="H693" s="13" t="s">
        <v>9289</v>
      </c>
      <c r="I693" s="10">
        <v>46217</v>
      </c>
      <c r="J693" s="10" t="s">
        <v>9161</v>
      </c>
      <c r="L693" t="s">
        <v>9290</v>
      </c>
    </row>
    <row r="694" spans="1:12">
      <c r="A694" s="10">
        <v>46217</v>
      </c>
      <c r="B694" s="11" t="s">
        <v>24</v>
      </c>
      <c r="C694" s="11" t="s">
        <v>895</v>
      </c>
      <c r="D694" s="11" t="s">
        <v>9265</v>
      </c>
      <c r="E694" s="11" t="s">
        <v>18</v>
      </c>
      <c r="F694" s="12" t="s">
        <v>9291</v>
      </c>
      <c r="G694" s="11" t="s">
        <v>7553</v>
      </c>
      <c r="H694" s="13" t="s">
        <v>7618</v>
      </c>
      <c r="I694" s="10">
        <v>46217</v>
      </c>
      <c r="J694" s="10"/>
      <c r="L694" t="s">
        <v>9292</v>
      </c>
    </row>
    <row r="695" spans="1:12">
      <c r="A695" s="10">
        <v>46217</v>
      </c>
      <c r="B695" s="11" t="s">
        <v>355</v>
      </c>
      <c r="C695" s="11" t="s">
        <v>895</v>
      </c>
      <c r="D695" s="11" t="s">
        <v>9265</v>
      </c>
      <c r="E695" s="11" t="s">
        <v>18</v>
      </c>
      <c r="F695" s="12" t="s">
        <v>9293</v>
      </c>
      <c r="G695" s="11" t="s">
        <v>7553</v>
      </c>
      <c r="H695" s="13" t="s">
        <v>7618</v>
      </c>
      <c r="I695" s="10">
        <v>46217</v>
      </c>
      <c r="J695" s="10"/>
      <c r="L695" t="s">
        <v>9294</v>
      </c>
    </row>
    <row r="696" spans="1:12">
      <c r="A696" s="10">
        <v>46217</v>
      </c>
      <c r="B696" s="11" t="s">
        <v>81</v>
      </c>
      <c r="C696" s="11" t="s">
        <v>895</v>
      </c>
      <c r="D696" s="11" t="s">
        <v>9265</v>
      </c>
      <c r="E696" s="11" t="s">
        <v>18</v>
      </c>
      <c r="F696" s="12" t="s">
        <v>9295</v>
      </c>
      <c r="G696" s="11" t="s">
        <v>7553</v>
      </c>
      <c r="H696" s="13" t="s">
        <v>7618</v>
      </c>
      <c r="I696" s="10">
        <v>46217</v>
      </c>
      <c r="J696" s="10"/>
      <c r="L696" t="s">
        <v>9296</v>
      </c>
    </row>
    <row r="697" spans="1:12" ht="30">
      <c r="A697" s="10">
        <v>46217</v>
      </c>
      <c r="B697" s="11" t="s">
        <v>86</v>
      </c>
      <c r="C697" s="11" t="s">
        <v>895</v>
      </c>
      <c r="D697" s="11" t="s">
        <v>9265</v>
      </c>
      <c r="E697" s="11" t="s">
        <v>18</v>
      </c>
      <c r="F697" s="12" t="s">
        <v>9297</v>
      </c>
      <c r="G697" s="11" t="s">
        <v>7553</v>
      </c>
      <c r="H697" s="13" t="s">
        <v>7618</v>
      </c>
      <c r="I697" s="10">
        <v>46217</v>
      </c>
      <c r="J697" s="10"/>
      <c r="L697" t="s">
        <v>9298</v>
      </c>
    </row>
    <row r="698" spans="1:12">
      <c r="A698" s="10">
        <v>46217</v>
      </c>
      <c r="B698" s="11" t="s">
        <v>83</v>
      </c>
      <c r="C698" s="11" t="s">
        <v>895</v>
      </c>
      <c r="D698" s="11" t="s">
        <v>9265</v>
      </c>
      <c r="E698" s="11" t="s">
        <v>18</v>
      </c>
      <c r="F698" s="12" t="s">
        <v>9299</v>
      </c>
      <c r="G698" s="11" t="s">
        <v>7553</v>
      </c>
      <c r="H698" s="13" t="s">
        <v>7618</v>
      </c>
      <c r="I698" s="10">
        <v>46217</v>
      </c>
      <c r="J698" s="10"/>
      <c r="L698" t="s">
        <v>9300</v>
      </c>
    </row>
    <row r="699" spans="1:12" ht="45">
      <c r="A699" s="10">
        <v>46217</v>
      </c>
      <c r="B699" s="11" t="s">
        <v>9301</v>
      </c>
      <c r="C699" s="11" t="s">
        <v>1874</v>
      </c>
      <c r="D699" s="11" t="s">
        <v>7000</v>
      </c>
      <c r="E699" s="11" t="s">
        <v>17</v>
      </c>
      <c r="F699" s="12" t="s">
        <v>9302</v>
      </c>
      <c r="G699" s="11" t="s">
        <v>7553</v>
      </c>
      <c r="H699" s="13" t="s">
        <v>7618</v>
      </c>
      <c r="I699" s="10">
        <v>46217</v>
      </c>
      <c r="J699" s="10" t="s">
        <v>4</v>
      </c>
      <c r="L699" t="s">
        <v>9303</v>
      </c>
    </row>
    <row r="700" spans="1:12" ht="30">
      <c r="A700" s="10">
        <v>46217</v>
      </c>
      <c r="B700" s="157" t="s">
        <v>9304</v>
      </c>
      <c r="C700" s="11" t="s">
        <v>983</v>
      </c>
      <c r="D700" s="11" t="s">
        <v>7058</v>
      </c>
      <c r="E700" s="11" t="s">
        <v>17</v>
      </c>
      <c r="F700" s="12" t="s">
        <v>9305</v>
      </c>
      <c r="G700" s="11" t="s">
        <v>7553</v>
      </c>
      <c r="H700" s="13" t="s">
        <v>9306</v>
      </c>
      <c r="I700" s="10">
        <v>46218</v>
      </c>
      <c r="J700" s="10" t="s">
        <v>4916</v>
      </c>
      <c r="L700" t="s">
        <v>9307</v>
      </c>
    </row>
    <row r="701" spans="1:12" ht="90">
      <c r="A701" s="10">
        <v>46217</v>
      </c>
      <c r="B701" s="158" t="s">
        <v>9308</v>
      </c>
      <c r="C701" s="11" t="s">
        <v>983</v>
      </c>
      <c r="D701" s="11" t="s">
        <v>7058</v>
      </c>
      <c r="E701" s="11" t="s">
        <v>17</v>
      </c>
      <c r="F701" s="12" t="s">
        <v>9309</v>
      </c>
      <c r="G701" s="11" t="s">
        <v>6891</v>
      </c>
      <c r="H701" s="13" t="s">
        <v>8563</v>
      </c>
      <c r="I701" s="10">
        <v>46218</v>
      </c>
      <c r="J701" s="10" t="s">
        <v>4916</v>
      </c>
      <c r="L701" t="s">
        <v>9310</v>
      </c>
    </row>
    <row r="702" spans="1:12">
      <c r="A702" s="10">
        <v>46217</v>
      </c>
      <c r="B702" s="11" t="s">
        <v>9311</v>
      </c>
      <c r="C702" s="11" t="s">
        <v>1201</v>
      </c>
      <c r="D702" s="11" t="s">
        <v>6911</v>
      </c>
      <c r="E702" s="11" t="s">
        <v>17</v>
      </c>
      <c r="F702" s="12" t="s">
        <v>9257</v>
      </c>
      <c r="G702" s="11" t="s">
        <v>6891</v>
      </c>
      <c r="H702" s="13" t="s">
        <v>8563</v>
      </c>
      <c r="I702" s="10">
        <v>46218</v>
      </c>
      <c r="J702" s="10"/>
      <c r="L702" t="s">
        <v>9312</v>
      </c>
    </row>
    <row r="703" spans="1:12">
      <c r="A703" s="10">
        <v>46217</v>
      </c>
      <c r="B703" s="11" t="s">
        <v>72</v>
      </c>
      <c r="C703" s="11" t="s">
        <v>625</v>
      </c>
      <c r="D703" s="11" t="s">
        <v>9051</v>
      </c>
      <c r="E703" s="11" t="s">
        <v>17</v>
      </c>
      <c r="F703" s="12" t="s">
        <v>9313</v>
      </c>
      <c r="G703" s="11" t="s">
        <v>6891</v>
      </c>
      <c r="H703" s="13" t="s">
        <v>8563</v>
      </c>
      <c r="I703" s="10">
        <v>46218</v>
      </c>
      <c r="J703" s="10"/>
      <c r="L703" t="s">
        <v>9314</v>
      </c>
    </row>
    <row r="704" spans="1:12" ht="30">
      <c r="A704" s="10">
        <v>46217</v>
      </c>
      <c r="B704" s="90" t="s">
        <v>9315</v>
      </c>
      <c r="C704" s="11" t="s">
        <v>1053</v>
      </c>
      <c r="D704" s="11" t="s">
        <v>7532</v>
      </c>
      <c r="E704" s="11" t="s">
        <v>13</v>
      </c>
      <c r="F704" s="12" t="s">
        <v>9108</v>
      </c>
      <c r="G704" s="11" t="s">
        <v>6891</v>
      </c>
      <c r="H704" s="13" t="s">
        <v>9316</v>
      </c>
      <c r="I704" s="10">
        <v>46218</v>
      </c>
      <c r="J704" s="10">
        <v>46272.666666666701</v>
      </c>
      <c r="K704" t="s">
        <v>4</v>
      </c>
      <c r="L704" t="s">
        <v>9317</v>
      </c>
    </row>
    <row r="705" spans="1:12" ht="105">
      <c r="A705" s="10">
        <v>46217</v>
      </c>
      <c r="B705" s="11" t="s">
        <v>9318</v>
      </c>
      <c r="C705" s="43" t="s">
        <v>1555</v>
      </c>
      <c r="D705" s="43" t="s">
        <v>8341</v>
      </c>
      <c r="E705" s="43" t="s">
        <v>17</v>
      </c>
      <c r="F705" s="12" t="s">
        <v>9319</v>
      </c>
      <c r="G705" s="11" t="s">
        <v>6891</v>
      </c>
      <c r="H705" s="13" t="s">
        <v>8563</v>
      </c>
      <c r="I705" s="10">
        <v>46218</v>
      </c>
      <c r="J705" s="10" t="s">
        <v>9320</v>
      </c>
      <c r="L705" t="s">
        <v>9321</v>
      </c>
    </row>
    <row r="706" spans="1:12">
      <c r="A706" s="10">
        <v>46218</v>
      </c>
      <c r="B706" s="11" t="s">
        <v>9322</v>
      </c>
      <c r="C706" s="11" t="s">
        <v>1874</v>
      </c>
      <c r="D706" s="11" t="s">
        <v>7000</v>
      </c>
      <c r="E706" s="11" t="s">
        <v>17</v>
      </c>
      <c r="F706" s="12" t="s">
        <v>9323</v>
      </c>
      <c r="G706" s="11" t="s">
        <v>6891</v>
      </c>
      <c r="H706" s="13" t="s">
        <v>8563</v>
      </c>
      <c r="I706" s="10">
        <v>46218</v>
      </c>
      <c r="J706" s="10" t="s">
        <v>4</v>
      </c>
      <c r="L706" t="s">
        <v>9324</v>
      </c>
    </row>
    <row r="707" spans="1:12">
      <c r="A707" s="10">
        <v>46218</v>
      </c>
      <c r="B707" s="139" t="s">
        <v>9325</v>
      </c>
      <c r="C707" s="11" t="s">
        <v>1512</v>
      </c>
      <c r="D707" s="11" t="s">
        <v>7170</v>
      </c>
      <c r="E707" s="11" t="s">
        <v>17</v>
      </c>
      <c r="F707" s="12" t="s">
        <v>9326</v>
      </c>
      <c r="G707" s="11" t="s">
        <v>6891</v>
      </c>
      <c r="H707" s="13" t="s">
        <v>8563</v>
      </c>
      <c r="I707" s="10">
        <v>46218</v>
      </c>
      <c r="J707" s="10"/>
      <c r="L707" t="s">
        <v>9327</v>
      </c>
    </row>
    <row r="708" spans="1:12">
      <c r="A708" s="10">
        <v>46218</v>
      </c>
      <c r="B708" s="11" t="s">
        <v>9328</v>
      </c>
      <c r="C708" s="11" t="s">
        <v>9329</v>
      </c>
      <c r="D708" s="11" t="s">
        <v>6916</v>
      </c>
      <c r="E708" s="11" t="s">
        <v>17</v>
      </c>
      <c r="F708" s="12" t="s">
        <v>9330</v>
      </c>
      <c r="G708" s="11" t="s">
        <v>6891</v>
      </c>
      <c r="H708" s="13" t="s">
        <v>8563</v>
      </c>
      <c r="I708" s="10">
        <v>46218</v>
      </c>
      <c r="J708" s="10" t="s">
        <v>9273</v>
      </c>
      <c r="L708" t="s">
        <v>9331</v>
      </c>
    </row>
    <row r="709" spans="1:12" ht="75">
      <c r="A709" s="10">
        <v>46218</v>
      </c>
      <c r="B709" s="11" t="s">
        <v>9332</v>
      </c>
      <c r="C709" s="11" t="s">
        <v>1348</v>
      </c>
      <c r="D709" s="11" t="s">
        <v>7010</v>
      </c>
      <c r="E709" s="11" t="s">
        <v>17</v>
      </c>
      <c r="F709" s="12" t="s">
        <v>9333</v>
      </c>
      <c r="G709" s="11" t="s">
        <v>6922</v>
      </c>
      <c r="H709" s="13" t="s">
        <v>9334</v>
      </c>
      <c r="I709" s="10">
        <v>46218</v>
      </c>
      <c r="J709" s="10" t="s">
        <v>4</v>
      </c>
      <c r="L709" t="s">
        <v>9335</v>
      </c>
    </row>
    <row r="710" spans="1:12" ht="45">
      <c r="A710" s="10">
        <v>46218</v>
      </c>
      <c r="B710" s="39" t="s">
        <v>9336</v>
      </c>
      <c r="C710" s="11" t="s">
        <v>1348</v>
      </c>
      <c r="D710" s="11" t="s">
        <v>7010</v>
      </c>
      <c r="E710" s="11" t="s">
        <v>17</v>
      </c>
      <c r="F710" s="12" t="s">
        <v>9337</v>
      </c>
      <c r="G710" s="11" t="s">
        <v>6922</v>
      </c>
      <c r="H710" s="13" t="s">
        <v>9334</v>
      </c>
      <c r="I710" s="10">
        <v>46218</v>
      </c>
      <c r="J710" s="10" t="s">
        <v>4</v>
      </c>
      <c r="L710" t="s">
        <v>9338</v>
      </c>
    </row>
    <row r="711" spans="1:12" ht="45">
      <c r="A711" s="10">
        <v>46218</v>
      </c>
      <c r="B711" s="11" t="s">
        <v>9339</v>
      </c>
      <c r="C711" s="11" t="s">
        <v>1824</v>
      </c>
      <c r="D711" s="11" t="s">
        <v>8333</v>
      </c>
      <c r="E711" s="11" t="s">
        <v>17</v>
      </c>
      <c r="F711" s="12" t="s">
        <v>9340</v>
      </c>
      <c r="G711" s="11" t="s">
        <v>7553</v>
      </c>
      <c r="H711" s="13" t="s">
        <v>9341</v>
      </c>
      <c r="I711" s="10">
        <v>46219</v>
      </c>
      <c r="J711" s="10" t="s">
        <v>4</v>
      </c>
      <c r="L711" t="s">
        <v>9342</v>
      </c>
    </row>
    <row r="712" spans="1:12" ht="30">
      <c r="A712" s="10">
        <v>46218</v>
      </c>
      <c r="B712" s="12" t="s">
        <v>9343</v>
      </c>
      <c r="C712" s="11" t="s">
        <v>1779</v>
      </c>
      <c r="D712" s="11" t="s">
        <v>7061</v>
      </c>
      <c r="E712" s="11" t="s">
        <v>18</v>
      </c>
      <c r="F712" s="12" t="s">
        <v>9344</v>
      </c>
      <c r="G712" s="11" t="s">
        <v>6922</v>
      </c>
      <c r="H712" s="13" t="s">
        <v>9229</v>
      </c>
      <c r="I712" s="10">
        <v>46218</v>
      </c>
      <c r="J712" s="10"/>
      <c r="L712" t="s">
        <v>9345</v>
      </c>
    </row>
    <row r="713" spans="1:12">
      <c r="A713" s="10">
        <v>46218</v>
      </c>
      <c r="B713" s="11" t="s">
        <v>9346</v>
      </c>
      <c r="C713" s="11" t="s">
        <v>741</v>
      </c>
      <c r="D713" s="11" t="s">
        <v>7028</v>
      </c>
      <c r="E713" s="11" t="s">
        <v>13</v>
      </c>
      <c r="F713" s="12" t="s">
        <v>9347</v>
      </c>
      <c r="G713" s="11" t="s">
        <v>7553</v>
      </c>
      <c r="H713" s="13" t="s">
        <v>7618</v>
      </c>
      <c r="I713" s="10">
        <v>46219</v>
      </c>
      <c r="J713" s="10"/>
      <c r="L713" t="s">
        <v>9348</v>
      </c>
    </row>
    <row r="714" spans="1:12" ht="30">
      <c r="A714" s="10">
        <v>46218</v>
      </c>
      <c r="B714" s="11" t="s">
        <v>9349</v>
      </c>
      <c r="C714" s="11" t="s">
        <v>1053</v>
      </c>
      <c r="D714" s="11" t="s">
        <v>7532</v>
      </c>
      <c r="E714" s="11" t="s">
        <v>13</v>
      </c>
      <c r="F714" s="12" t="s">
        <v>9108</v>
      </c>
      <c r="G714" s="11" t="s">
        <v>7553</v>
      </c>
      <c r="H714" s="13" t="s">
        <v>9350</v>
      </c>
      <c r="I714" s="10">
        <v>46219</v>
      </c>
      <c r="J714" s="10">
        <v>46272.666666666701</v>
      </c>
      <c r="K714" t="s">
        <v>4</v>
      </c>
      <c r="L714" t="s">
        <v>9351</v>
      </c>
    </row>
    <row r="715" spans="1:12" ht="45">
      <c r="A715" s="10">
        <v>46218</v>
      </c>
      <c r="B715" s="11" t="s">
        <v>9352</v>
      </c>
      <c r="C715" s="11" t="s">
        <v>674</v>
      </c>
      <c r="D715" s="11" t="s">
        <v>6993</v>
      </c>
      <c r="E715" s="11" t="s">
        <v>8510</v>
      </c>
      <c r="F715" s="12" t="s">
        <v>9353</v>
      </c>
      <c r="G715" s="11" t="s">
        <v>7553</v>
      </c>
      <c r="H715" s="13" t="s">
        <v>7618</v>
      </c>
      <c r="I715" s="10">
        <v>46219</v>
      </c>
      <c r="J715" s="10">
        <v>46220</v>
      </c>
      <c r="L715" t="s">
        <v>9354</v>
      </c>
    </row>
    <row r="716" spans="1:12">
      <c r="A716" s="10">
        <v>46218</v>
      </c>
      <c r="B716" s="11" t="s">
        <v>9355</v>
      </c>
      <c r="C716" s="11" t="s">
        <v>1436</v>
      </c>
      <c r="D716" s="11" t="s">
        <v>6920</v>
      </c>
      <c r="E716" s="11" t="s">
        <v>18</v>
      </c>
      <c r="F716" s="11" t="s">
        <v>9356</v>
      </c>
      <c r="G716" s="11" t="s">
        <v>6922</v>
      </c>
      <c r="H716" s="13" t="s">
        <v>9229</v>
      </c>
      <c r="I716" s="10">
        <v>46218</v>
      </c>
      <c r="J716" s="10" t="s">
        <v>4</v>
      </c>
      <c r="L716" t="s">
        <v>9357</v>
      </c>
    </row>
    <row r="717" spans="1:12" ht="147.75" customHeight="1">
      <c r="A717" s="10">
        <v>46218</v>
      </c>
      <c r="B717" s="12" t="s">
        <v>9358</v>
      </c>
      <c r="C717" s="11" t="s">
        <v>1874</v>
      </c>
      <c r="D717" s="11" t="s">
        <v>7000</v>
      </c>
      <c r="E717" s="11" t="s">
        <v>17</v>
      </c>
      <c r="F717" s="12" t="s">
        <v>9359</v>
      </c>
      <c r="G717" s="11" t="s">
        <v>7553</v>
      </c>
      <c r="H717" s="13" t="s">
        <v>7618</v>
      </c>
      <c r="I717" s="10">
        <v>46218</v>
      </c>
      <c r="J717" s="10" t="s">
        <v>4</v>
      </c>
      <c r="L717" t="s">
        <v>9360</v>
      </c>
    </row>
    <row r="718" spans="1:12" ht="30">
      <c r="A718" s="10">
        <v>46218</v>
      </c>
      <c r="B718" s="11" t="s">
        <v>9361</v>
      </c>
      <c r="C718" s="11" t="s">
        <v>2270</v>
      </c>
      <c r="D718" s="11" t="s">
        <v>7650</v>
      </c>
      <c r="E718" s="11" t="s">
        <v>8691</v>
      </c>
      <c r="F718" s="12" t="s">
        <v>9362</v>
      </c>
      <c r="G718" s="11" t="s">
        <v>6922</v>
      </c>
      <c r="H718" s="13" t="s">
        <v>9229</v>
      </c>
      <c r="I718" s="10">
        <v>46218</v>
      </c>
      <c r="J718" s="10" t="s">
        <v>4</v>
      </c>
      <c r="L718" t="s">
        <v>9363</v>
      </c>
    </row>
    <row r="719" spans="1:12" ht="30">
      <c r="A719" s="10">
        <v>46218</v>
      </c>
      <c r="B719" s="11" t="s">
        <v>9364</v>
      </c>
      <c r="C719" s="11" t="s">
        <v>741</v>
      </c>
      <c r="D719" s="11" t="s">
        <v>9365</v>
      </c>
      <c r="E719" s="11" t="s">
        <v>8639</v>
      </c>
      <c r="F719" s="12" t="s">
        <v>9366</v>
      </c>
      <c r="G719" s="11" t="s">
        <v>7553</v>
      </c>
      <c r="H719" s="13" t="s">
        <v>7618</v>
      </c>
      <c r="I719" s="10">
        <v>46219</v>
      </c>
      <c r="J719" s="10"/>
      <c r="L719" t="s">
        <v>9367</v>
      </c>
    </row>
    <row r="720" spans="1:12">
      <c r="A720" s="10">
        <v>46218</v>
      </c>
      <c r="B720" s="11" t="s">
        <v>9368</v>
      </c>
      <c r="C720" s="46" t="s">
        <v>2369</v>
      </c>
      <c r="D720" s="48" t="s">
        <v>6961</v>
      </c>
      <c r="E720" s="11" t="s">
        <v>18</v>
      </c>
      <c r="F720" s="12" t="s">
        <v>9369</v>
      </c>
      <c r="G720" s="11" t="s">
        <v>7553</v>
      </c>
      <c r="H720" s="13" t="s">
        <v>7618</v>
      </c>
      <c r="I720" s="10">
        <v>46219</v>
      </c>
      <c r="J720" s="10" t="s">
        <v>9370</v>
      </c>
      <c r="L720" t="s">
        <v>9371</v>
      </c>
    </row>
    <row r="721" spans="1:12" ht="30">
      <c r="A721" s="10">
        <v>46219</v>
      </c>
      <c r="B721" s="11" t="s">
        <v>9372</v>
      </c>
      <c r="C721" s="11" t="s">
        <v>1436</v>
      </c>
      <c r="D721" s="11" t="s">
        <v>6920</v>
      </c>
      <c r="E721" s="11" t="s">
        <v>18</v>
      </c>
      <c r="F721" s="12" t="s">
        <v>9373</v>
      </c>
      <c r="G721" s="11" t="s">
        <v>7553</v>
      </c>
      <c r="H721" s="13" t="s">
        <v>9374</v>
      </c>
      <c r="I721" s="10">
        <v>46219</v>
      </c>
      <c r="J721" s="10" t="s">
        <v>4</v>
      </c>
      <c r="L721" t="s">
        <v>9375</v>
      </c>
    </row>
    <row r="722" spans="1:12" ht="60">
      <c r="A722" s="10">
        <v>46219</v>
      </c>
      <c r="B722" s="11" t="s">
        <v>9376</v>
      </c>
      <c r="C722" s="11" t="s">
        <v>1348</v>
      </c>
      <c r="D722" s="11" t="s">
        <v>7010</v>
      </c>
      <c r="E722" s="11" t="s">
        <v>17</v>
      </c>
      <c r="F722" s="12" t="s">
        <v>9377</v>
      </c>
      <c r="G722" s="11" t="s">
        <v>6922</v>
      </c>
      <c r="H722" s="13" t="s">
        <v>9378</v>
      </c>
      <c r="I722" s="10">
        <v>46219</v>
      </c>
      <c r="J722" s="10" t="s">
        <v>4</v>
      </c>
      <c r="L722" s="179" t="s">
        <v>9379</v>
      </c>
    </row>
    <row r="723" spans="1:12">
      <c r="A723" s="10">
        <v>46219</v>
      </c>
      <c r="B723" s="11" t="s">
        <v>9380</v>
      </c>
      <c r="C723" s="11" t="s">
        <v>1348</v>
      </c>
      <c r="D723" s="11" t="s">
        <v>7010</v>
      </c>
      <c r="E723" s="11" t="s">
        <v>17</v>
      </c>
      <c r="F723" s="12" t="s">
        <v>9381</v>
      </c>
      <c r="G723" s="11" t="s">
        <v>6922</v>
      </c>
      <c r="H723" s="13" t="s">
        <v>7618</v>
      </c>
      <c r="I723" s="10">
        <v>46219</v>
      </c>
      <c r="J723" s="10" t="s">
        <v>4</v>
      </c>
      <c r="L723" s="179" t="s">
        <v>9382</v>
      </c>
    </row>
    <row r="724" spans="1:12">
      <c r="A724" s="10">
        <v>46219</v>
      </c>
      <c r="B724" s="11" t="s">
        <v>9383</v>
      </c>
      <c r="C724" s="11" t="s">
        <v>1824</v>
      </c>
      <c r="D724" s="11" t="s">
        <v>8333</v>
      </c>
      <c r="E724" s="11" t="s">
        <v>17</v>
      </c>
      <c r="F724" s="12" t="s">
        <v>9384</v>
      </c>
      <c r="G724" s="11" t="s">
        <v>7553</v>
      </c>
      <c r="H724" s="13" t="s">
        <v>7618</v>
      </c>
      <c r="I724" s="10">
        <v>46220</v>
      </c>
      <c r="J724" s="10" t="s">
        <v>4</v>
      </c>
      <c r="L724" t="s">
        <v>9385</v>
      </c>
    </row>
    <row r="725" spans="1:12">
      <c r="A725" s="10">
        <v>46219</v>
      </c>
      <c r="B725" s="11" t="s">
        <v>9386</v>
      </c>
      <c r="C725" s="11" t="s">
        <v>1348</v>
      </c>
      <c r="D725" s="11" t="s">
        <v>7010</v>
      </c>
      <c r="E725" s="11" t="s">
        <v>17</v>
      </c>
      <c r="F725" s="12" t="s">
        <v>9387</v>
      </c>
      <c r="G725" s="11" t="s">
        <v>6922</v>
      </c>
      <c r="H725" s="13" t="s">
        <v>7618</v>
      </c>
      <c r="I725" s="10">
        <v>46219</v>
      </c>
      <c r="J725" s="10" t="s">
        <v>4</v>
      </c>
      <c r="L725" t="s">
        <v>9388</v>
      </c>
    </row>
    <row r="726" spans="1:12" ht="30">
      <c r="A726" s="10">
        <v>46219</v>
      </c>
      <c r="B726" s="11" t="s">
        <v>9389</v>
      </c>
      <c r="C726" s="11" t="s">
        <v>1201</v>
      </c>
      <c r="D726" s="11" t="s">
        <v>9390</v>
      </c>
      <c r="E726" s="11" t="s">
        <v>17</v>
      </c>
      <c r="F726" s="12" t="s">
        <v>9391</v>
      </c>
      <c r="G726" s="11" t="s">
        <v>7553</v>
      </c>
      <c r="H726" s="13" t="s">
        <v>9392</v>
      </c>
      <c r="I726" s="10">
        <v>46219</v>
      </c>
      <c r="J726" s="10"/>
      <c r="L726" t="s">
        <v>9393</v>
      </c>
    </row>
    <row r="727" spans="1:12" ht="30">
      <c r="A727" s="10">
        <v>46219</v>
      </c>
      <c r="B727" s="43" t="s">
        <v>9394</v>
      </c>
      <c r="C727" s="43" t="s">
        <v>1109</v>
      </c>
      <c r="D727" s="11" t="s">
        <v>7053</v>
      </c>
      <c r="E727" s="11" t="s">
        <v>17</v>
      </c>
      <c r="F727" s="12" t="s">
        <v>9395</v>
      </c>
      <c r="G727" s="11" t="s">
        <v>7553</v>
      </c>
      <c r="H727" s="13" t="s">
        <v>7618</v>
      </c>
      <c r="I727" s="10">
        <v>46219</v>
      </c>
      <c r="J727" s="10"/>
      <c r="L727" t="s">
        <v>9396</v>
      </c>
    </row>
    <row r="728" spans="1:12" ht="30">
      <c r="A728" s="59">
        <v>46219</v>
      </c>
      <c r="B728" s="159" t="s">
        <v>9397</v>
      </c>
      <c r="C728" s="160" t="s">
        <v>1371</v>
      </c>
      <c r="D728" s="48" t="s">
        <v>7164</v>
      </c>
      <c r="E728" s="11" t="s">
        <v>17</v>
      </c>
      <c r="F728" s="12" t="s">
        <v>9398</v>
      </c>
      <c r="G728" s="11" t="s">
        <v>6983</v>
      </c>
      <c r="H728" s="13" t="s">
        <v>3639</v>
      </c>
      <c r="J728" s="10"/>
      <c r="L728" t="s">
        <v>9399</v>
      </c>
    </row>
    <row r="729" spans="1:12" ht="26.25">
      <c r="A729" s="59">
        <v>46219</v>
      </c>
      <c r="B729" s="161" t="s">
        <v>9400</v>
      </c>
      <c r="C729" s="160" t="s">
        <v>983</v>
      </c>
      <c r="D729" s="48" t="s">
        <v>7058</v>
      </c>
      <c r="E729" s="11" t="s">
        <v>17</v>
      </c>
      <c r="F729" s="12" t="s">
        <v>9401</v>
      </c>
      <c r="G729" s="11" t="s">
        <v>6922</v>
      </c>
      <c r="H729" s="13" t="s">
        <v>9402</v>
      </c>
      <c r="I729" s="10">
        <v>46230</v>
      </c>
      <c r="J729" s="10" t="s">
        <v>9403</v>
      </c>
      <c r="L729" t="s">
        <v>9404</v>
      </c>
    </row>
    <row r="730" spans="1:12" ht="45">
      <c r="A730" s="59">
        <v>46219</v>
      </c>
      <c r="B730" s="79" t="s">
        <v>9405</v>
      </c>
      <c r="C730" s="46" t="s">
        <v>700</v>
      </c>
      <c r="D730" s="48" t="s">
        <v>7726</v>
      </c>
      <c r="E730" s="11" t="s">
        <v>18</v>
      </c>
      <c r="F730" s="12" t="s">
        <v>9406</v>
      </c>
      <c r="G730" s="11" t="s">
        <v>6922</v>
      </c>
      <c r="H730" s="13" t="s">
        <v>7618</v>
      </c>
      <c r="I730" s="10">
        <v>46219</v>
      </c>
      <c r="J730" s="10">
        <v>46275.666666666701</v>
      </c>
      <c r="K730" t="s">
        <v>4</v>
      </c>
      <c r="L730" t="s">
        <v>9407</v>
      </c>
    </row>
    <row r="731" spans="1:12">
      <c r="A731" s="10">
        <v>46220</v>
      </c>
      <c r="B731" s="52" t="s">
        <v>9408</v>
      </c>
      <c r="C731" s="52" t="s">
        <v>1436</v>
      </c>
      <c r="D731" s="11" t="s">
        <v>6920</v>
      </c>
      <c r="E731" s="11" t="s">
        <v>18</v>
      </c>
      <c r="F731" s="12" t="s">
        <v>9409</v>
      </c>
      <c r="G731" s="11" t="s">
        <v>6922</v>
      </c>
      <c r="H731" s="13" t="s">
        <v>7618</v>
      </c>
      <c r="I731" s="10">
        <v>46219</v>
      </c>
      <c r="J731" s="10" t="s">
        <v>4</v>
      </c>
      <c r="L731" t="s">
        <v>9410</v>
      </c>
    </row>
    <row r="732" spans="1:12" ht="30">
      <c r="A732" s="10">
        <v>46220</v>
      </c>
      <c r="B732" s="11" t="s">
        <v>9411</v>
      </c>
      <c r="C732" s="11" t="s">
        <v>1348</v>
      </c>
      <c r="D732" s="11" t="s">
        <v>7010</v>
      </c>
      <c r="E732" s="11" t="s">
        <v>17</v>
      </c>
      <c r="F732" s="12" t="s">
        <v>9412</v>
      </c>
      <c r="G732" s="11" t="s">
        <v>6922</v>
      </c>
      <c r="H732" s="13" t="s">
        <v>9334</v>
      </c>
      <c r="I732" s="10">
        <v>46219</v>
      </c>
      <c r="J732" s="10" t="s">
        <v>2896</v>
      </c>
      <c r="L732" t="s">
        <v>9413</v>
      </c>
    </row>
    <row r="733" spans="1:12">
      <c r="A733" s="10">
        <v>46220</v>
      </c>
      <c r="B733" s="11" t="s">
        <v>9414</v>
      </c>
      <c r="C733" s="43" t="s">
        <v>1824</v>
      </c>
      <c r="D733" s="43" t="s">
        <v>8333</v>
      </c>
      <c r="E733" s="11" t="s">
        <v>17</v>
      </c>
      <c r="F733" s="12" t="s">
        <v>9415</v>
      </c>
      <c r="G733" s="11" t="s">
        <v>6922</v>
      </c>
      <c r="H733" s="13" t="s">
        <v>7618</v>
      </c>
      <c r="I733" s="10">
        <v>46219</v>
      </c>
      <c r="J733" s="10" t="s">
        <v>4</v>
      </c>
      <c r="L733" t="s">
        <v>9416</v>
      </c>
    </row>
    <row r="734" spans="1:12">
      <c r="A734" s="10">
        <v>46220</v>
      </c>
      <c r="B734" s="11" t="s">
        <v>9417</v>
      </c>
      <c r="C734" s="11" t="s">
        <v>1779</v>
      </c>
      <c r="D734" s="11" t="s">
        <v>7061</v>
      </c>
      <c r="E734" s="11" t="s">
        <v>18</v>
      </c>
      <c r="F734" s="12" t="s">
        <v>9418</v>
      </c>
      <c r="G734" s="11" t="s">
        <v>6922</v>
      </c>
      <c r="H734" s="13" t="s">
        <v>9402</v>
      </c>
      <c r="I734" s="10">
        <v>46230</v>
      </c>
      <c r="J734" s="10"/>
      <c r="L734" t="s">
        <v>9419</v>
      </c>
    </row>
    <row r="735" spans="1:12">
      <c r="A735" s="10">
        <v>46220</v>
      </c>
      <c r="B735" s="11" t="s">
        <v>9420</v>
      </c>
      <c r="C735" s="11" t="s">
        <v>2168</v>
      </c>
      <c r="D735" s="11" t="s">
        <v>7102</v>
      </c>
      <c r="E735" s="11" t="s">
        <v>17</v>
      </c>
      <c r="F735" s="12" t="s">
        <v>9421</v>
      </c>
      <c r="G735" s="11" t="s">
        <v>7553</v>
      </c>
      <c r="H735" s="13" t="s">
        <v>7618</v>
      </c>
      <c r="I735" s="10">
        <v>46220</v>
      </c>
      <c r="J735" s="10" t="s">
        <v>9422</v>
      </c>
      <c r="L735" t="s">
        <v>9423</v>
      </c>
    </row>
    <row r="736" spans="1:12">
      <c r="A736" s="10">
        <v>46220</v>
      </c>
      <c r="B736" s="11" t="s">
        <v>9424</v>
      </c>
      <c r="C736" s="11" t="s">
        <v>1252</v>
      </c>
      <c r="D736" s="11" t="s">
        <v>7038</v>
      </c>
      <c r="E736" s="11" t="s">
        <v>17</v>
      </c>
      <c r="F736" s="12" t="s">
        <v>9425</v>
      </c>
      <c r="G736" s="11" t="s">
        <v>7553</v>
      </c>
      <c r="H736" s="13" t="s">
        <v>7618</v>
      </c>
      <c r="I736" s="10">
        <v>46220</v>
      </c>
      <c r="J736" s="10" t="s">
        <v>4</v>
      </c>
      <c r="L736" t="s">
        <v>9426</v>
      </c>
    </row>
    <row r="737" spans="1:12">
      <c r="B737" s="11" t="s">
        <v>9427</v>
      </c>
      <c r="C737" s="11" t="s">
        <v>585</v>
      </c>
      <c r="D737" s="11" t="s">
        <v>7144</v>
      </c>
      <c r="E737" s="11" t="s">
        <v>17</v>
      </c>
      <c r="F737" s="12" t="s">
        <v>9425</v>
      </c>
      <c r="G737" s="11" t="s">
        <v>7553</v>
      </c>
      <c r="H737" s="13" t="s">
        <v>7618</v>
      </c>
      <c r="I737" s="10">
        <v>46220</v>
      </c>
      <c r="J737" s="10" t="s">
        <v>9428</v>
      </c>
      <c r="L737" t="s">
        <v>9429</v>
      </c>
    </row>
    <row r="738" spans="1:12" ht="30">
      <c r="A738" s="10">
        <v>46220</v>
      </c>
      <c r="B738" s="11" t="s">
        <v>9430</v>
      </c>
      <c r="C738" s="11" t="s">
        <v>2270</v>
      </c>
      <c r="D738" s="11" t="s">
        <v>7650</v>
      </c>
      <c r="E738" s="11" t="s">
        <v>8691</v>
      </c>
      <c r="F738" s="12" t="s">
        <v>9431</v>
      </c>
      <c r="G738" s="11" t="s">
        <v>6922</v>
      </c>
      <c r="H738" s="13" t="s">
        <v>9432</v>
      </c>
      <c r="I738" s="10">
        <v>46219</v>
      </c>
      <c r="J738" s="10" t="s">
        <v>9433</v>
      </c>
      <c r="L738" t="s">
        <v>9434</v>
      </c>
    </row>
    <row r="739" spans="1:12" ht="60">
      <c r="A739" s="10">
        <v>46220</v>
      </c>
      <c r="B739" s="12" t="s">
        <v>9435</v>
      </c>
      <c r="C739" s="11" t="s">
        <v>1874</v>
      </c>
      <c r="D739" s="11" t="s">
        <v>7000</v>
      </c>
      <c r="E739" s="11" t="s">
        <v>17</v>
      </c>
      <c r="F739" s="12" t="s">
        <v>9436</v>
      </c>
      <c r="G739" s="11" t="s">
        <v>7553</v>
      </c>
      <c r="H739" s="13" t="s">
        <v>9437</v>
      </c>
      <c r="I739" s="10">
        <v>46220</v>
      </c>
      <c r="J739" s="10" t="s">
        <v>4</v>
      </c>
      <c r="L739" t="s">
        <v>9438</v>
      </c>
    </row>
    <row r="740" spans="1:12">
      <c r="A740" s="10">
        <v>46220</v>
      </c>
      <c r="B740" s="11" t="s">
        <v>236</v>
      </c>
      <c r="C740" s="11" t="s">
        <v>9329</v>
      </c>
      <c r="D740" s="11" t="s">
        <v>6916</v>
      </c>
      <c r="E740" s="11" t="s">
        <v>17</v>
      </c>
      <c r="F740" s="12" t="s">
        <v>9439</v>
      </c>
      <c r="G740" s="11" t="s">
        <v>7553</v>
      </c>
      <c r="H740" s="13" t="s">
        <v>7618</v>
      </c>
      <c r="I740" s="10">
        <v>46223</v>
      </c>
      <c r="J740" s="10" t="s">
        <v>9440</v>
      </c>
      <c r="L740" t="s">
        <v>9441</v>
      </c>
    </row>
    <row r="741" spans="1:12" ht="30">
      <c r="A741" s="10">
        <v>46220</v>
      </c>
      <c r="B741" s="11" t="s">
        <v>9442</v>
      </c>
      <c r="C741" s="11" t="s">
        <v>9329</v>
      </c>
      <c r="D741" s="11" t="s">
        <v>6916</v>
      </c>
      <c r="E741" s="11" t="s">
        <v>17</v>
      </c>
      <c r="F741" s="12" t="s">
        <v>9443</v>
      </c>
      <c r="G741" s="11" t="s">
        <v>7553</v>
      </c>
      <c r="H741" s="13" t="s">
        <v>9444</v>
      </c>
      <c r="I741" s="10">
        <v>46223</v>
      </c>
      <c r="J741" s="10" t="s">
        <v>9445</v>
      </c>
      <c r="L741" t="s">
        <v>9446</v>
      </c>
    </row>
    <row r="742" spans="1:12" ht="45">
      <c r="A742" s="10">
        <v>46220</v>
      </c>
      <c r="B742" s="11" t="s">
        <v>9447</v>
      </c>
      <c r="C742" s="11" t="s">
        <v>496</v>
      </c>
      <c r="D742" s="11" t="s">
        <v>9448</v>
      </c>
      <c r="E742" s="11" t="s">
        <v>17</v>
      </c>
      <c r="F742" s="12" t="s">
        <v>9449</v>
      </c>
      <c r="G742" s="11" t="s">
        <v>7553</v>
      </c>
      <c r="H742" s="13" t="s">
        <v>8956</v>
      </c>
      <c r="I742" s="10">
        <v>46223</v>
      </c>
      <c r="J742" s="10" t="s">
        <v>4</v>
      </c>
      <c r="L742" t="s">
        <v>9450</v>
      </c>
    </row>
    <row r="743" spans="1:12">
      <c r="A743" s="10">
        <v>46220</v>
      </c>
      <c r="B743" s="11" t="s">
        <v>9451</v>
      </c>
      <c r="C743" s="11" t="s">
        <v>1371</v>
      </c>
      <c r="D743" s="11" t="s">
        <v>7164</v>
      </c>
      <c r="E743" s="11" t="s">
        <v>17</v>
      </c>
      <c r="F743" s="12" t="s">
        <v>9452</v>
      </c>
      <c r="G743" s="11" t="s">
        <v>7553</v>
      </c>
      <c r="H743" s="13" t="s">
        <v>7618</v>
      </c>
      <c r="I743" s="10">
        <v>46223</v>
      </c>
      <c r="J743" s="10"/>
      <c r="L743" t="s">
        <v>9453</v>
      </c>
    </row>
    <row r="744" spans="1:12" ht="45">
      <c r="A744" s="10">
        <v>46220</v>
      </c>
      <c r="B744" s="11" t="s">
        <v>9454</v>
      </c>
      <c r="C744" s="46" t="s">
        <v>2369</v>
      </c>
      <c r="D744" s="48" t="s">
        <v>6961</v>
      </c>
      <c r="E744" s="11" t="s">
        <v>18</v>
      </c>
      <c r="F744" s="12" t="s">
        <v>9455</v>
      </c>
      <c r="G744" s="11" t="s">
        <v>7553</v>
      </c>
      <c r="H744" s="13" t="s">
        <v>9456</v>
      </c>
      <c r="I744" s="10">
        <v>46223</v>
      </c>
      <c r="J744" s="10" t="s">
        <v>9320</v>
      </c>
      <c r="L744" t="s">
        <v>9457</v>
      </c>
    </row>
    <row r="745" spans="1:12">
      <c r="A745" s="10">
        <v>46223</v>
      </c>
      <c r="B745" s="11" t="s">
        <v>9458</v>
      </c>
      <c r="C745" s="11" t="s">
        <v>9329</v>
      </c>
      <c r="D745" s="11" t="s">
        <v>6916</v>
      </c>
      <c r="E745" s="11" t="s">
        <v>17</v>
      </c>
      <c r="F745" s="140" t="s">
        <v>9459</v>
      </c>
      <c r="G745" s="11" t="s">
        <v>7553</v>
      </c>
      <c r="H745" s="13" t="s">
        <v>7618</v>
      </c>
      <c r="I745" s="10">
        <v>46223</v>
      </c>
      <c r="J745" s="10" t="s">
        <v>9445</v>
      </c>
      <c r="L745" s="179" t="s">
        <v>9460</v>
      </c>
    </row>
    <row r="746" spans="1:12">
      <c r="A746" s="10">
        <v>46223</v>
      </c>
      <c r="B746" s="11" t="s">
        <v>261</v>
      </c>
      <c r="C746" s="11" t="s">
        <v>2168</v>
      </c>
      <c r="D746" s="11" t="s">
        <v>7102</v>
      </c>
      <c r="E746" s="11" t="s">
        <v>17</v>
      </c>
      <c r="F746" s="12" t="s">
        <v>9461</v>
      </c>
      <c r="G746" s="11" t="s">
        <v>7553</v>
      </c>
      <c r="H746" s="13" t="s">
        <v>7618</v>
      </c>
      <c r="I746" s="10">
        <v>46223</v>
      </c>
      <c r="J746" s="10"/>
      <c r="L746" t="s">
        <v>9462</v>
      </c>
    </row>
    <row r="747" spans="1:12" ht="45">
      <c r="A747" s="10">
        <v>46223</v>
      </c>
      <c r="B747" s="11" t="s">
        <v>9463</v>
      </c>
      <c r="C747" s="11" t="s">
        <v>496</v>
      </c>
      <c r="D747" s="11" t="s">
        <v>9448</v>
      </c>
      <c r="E747" s="11" t="s">
        <v>17</v>
      </c>
      <c r="F747" s="12" t="s">
        <v>9464</v>
      </c>
      <c r="G747" s="11" t="s">
        <v>7553</v>
      </c>
      <c r="H747" s="13" t="s">
        <v>8956</v>
      </c>
      <c r="I747" s="10">
        <v>46223</v>
      </c>
      <c r="J747" s="10" t="s">
        <v>4</v>
      </c>
      <c r="L747" t="s">
        <v>9465</v>
      </c>
    </row>
    <row r="748" spans="1:12" ht="75">
      <c r="A748" s="10">
        <v>46223</v>
      </c>
      <c r="B748" s="11" t="s">
        <v>255</v>
      </c>
      <c r="C748" s="11" t="s">
        <v>1555</v>
      </c>
      <c r="D748" s="11" t="s">
        <v>6897</v>
      </c>
      <c r="E748" s="11" t="s">
        <v>17</v>
      </c>
      <c r="F748" s="12" t="s">
        <v>9466</v>
      </c>
      <c r="G748" s="11" t="s">
        <v>7553</v>
      </c>
      <c r="H748" s="13" t="s">
        <v>7618</v>
      </c>
      <c r="I748" s="10">
        <v>46223</v>
      </c>
      <c r="J748" s="10" t="s">
        <v>9467</v>
      </c>
      <c r="L748" t="s">
        <v>9468</v>
      </c>
    </row>
    <row r="749" spans="1:12">
      <c r="A749" s="59">
        <v>46219</v>
      </c>
      <c r="B749" s="162" t="s">
        <v>9469</v>
      </c>
      <c r="C749" s="18" t="s">
        <v>810</v>
      </c>
      <c r="D749" s="48" t="s">
        <v>7043</v>
      </c>
      <c r="E749" s="11" t="s">
        <v>17</v>
      </c>
      <c r="J749" s="10"/>
      <c r="L749" t="s">
        <v>9470</v>
      </c>
    </row>
    <row r="750" spans="1:12" ht="30">
      <c r="A750" s="10">
        <v>46223</v>
      </c>
      <c r="B750" s="11" t="s">
        <v>9471</v>
      </c>
      <c r="C750" s="11" t="s">
        <v>1348</v>
      </c>
      <c r="D750" s="11" t="s">
        <v>7010</v>
      </c>
      <c r="E750" s="11" t="s">
        <v>17</v>
      </c>
      <c r="F750" s="12" t="s">
        <v>9472</v>
      </c>
      <c r="G750" s="11" t="s">
        <v>7553</v>
      </c>
      <c r="H750" s="13" t="s">
        <v>7618</v>
      </c>
      <c r="I750" s="10">
        <v>46223</v>
      </c>
      <c r="J750" s="10" t="s">
        <v>4</v>
      </c>
      <c r="L750" t="s">
        <v>9473</v>
      </c>
    </row>
    <row r="751" spans="1:12">
      <c r="A751" s="10">
        <v>46223</v>
      </c>
      <c r="B751" s="11" t="s">
        <v>9474</v>
      </c>
      <c r="C751" s="43" t="s">
        <v>1824</v>
      </c>
      <c r="D751" s="43" t="s">
        <v>8333</v>
      </c>
      <c r="E751" s="11" t="s">
        <v>17</v>
      </c>
      <c r="F751" s="12" t="s">
        <v>9475</v>
      </c>
      <c r="G751" s="11" t="s">
        <v>7553</v>
      </c>
      <c r="H751" s="13" t="s">
        <v>7618</v>
      </c>
      <c r="I751" s="10">
        <v>46223</v>
      </c>
      <c r="J751" s="10" t="s">
        <v>4</v>
      </c>
      <c r="L751" t="s">
        <v>9476</v>
      </c>
    </row>
    <row r="752" spans="1:12">
      <c r="A752" s="10">
        <v>46223</v>
      </c>
      <c r="B752" s="12" t="s">
        <v>9477</v>
      </c>
      <c r="C752" s="11" t="s">
        <v>560</v>
      </c>
      <c r="D752" s="11" t="s">
        <v>7918</v>
      </c>
      <c r="E752" s="11" t="s">
        <v>9478</v>
      </c>
      <c r="J752" s="10"/>
      <c r="L752" t="s">
        <v>9479</v>
      </c>
    </row>
    <row r="753" spans="1:12" ht="30">
      <c r="A753" s="10">
        <v>46223</v>
      </c>
      <c r="B753" s="12" t="s">
        <v>9480</v>
      </c>
      <c r="C753" s="11" t="s">
        <v>1779</v>
      </c>
      <c r="D753" s="11" t="s">
        <v>7061</v>
      </c>
      <c r="E753" s="11" t="s">
        <v>18</v>
      </c>
      <c r="F753" s="12" t="s">
        <v>9481</v>
      </c>
      <c r="G753" s="11" t="s">
        <v>6922</v>
      </c>
      <c r="H753" s="13" t="s">
        <v>7618</v>
      </c>
      <c r="I753" s="10">
        <v>46223</v>
      </c>
      <c r="J753" s="10"/>
      <c r="L753" t="s">
        <v>9482</v>
      </c>
    </row>
    <row r="754" spans="1:12" ht="75">
      <c r="A754" s="10">
        <v>46223</v>
      </c>
      <c r="B754" s="12" t="s">
        <v>9483</v>
      </c>
      <c r="C754" s="11" t="s">
        <v>461</v>
      </c>
      <c r="D754" s="11" t="s">
        <v>6982</v>
      </c>
      <c r="E754" s="11" t="s">
        <v>17</v>
      </c>
      <c r="F754" s="12" t="s">
        <v>9484</v>
      </c>
      <c r="G754" s="11" t="s">
        <v>7553</v>
      </c>
      <c r="H754" s="13" t="s">
        <v>7618</v>
      </c>
      <c r="I754" s="10">
        <v>46224</v>
      </c>
      <c r="J754" s="10" t="s">
        <v>4</v>
      </c>
      <c r="L754" t="s">
        <v>9485</v>
      </c>
    </row>
    <row r="755" spans="1:12" ht="60">
      <c r="A755" s="10">
        <v>46223</v>
      </c>
      <c r="B755" s="11" t="s">
        <v>9486</v>
      </c>
      <c r="C755" s="11" t="s">
        <v>461</v>
      </c>
      <c r="D755" s="11" t="s">
        <v>6982</v>
      </c>
      <c r="E755" s="11" t="s">
        <v>17</v>
      </c>
      <c r="F755" s="12" t="s">
        <v>9487</v>
      </c>
      <c r="G755" s="11" t="s">
        <v>7553</v>
      </c>
      <c r="H755" s="13" t="s">
        <v>7618</v>
      </c>
      <c r="I755" s="10">
        <v>46224</v>
      </c>
      <c r="J755" s="10" t="s">
        <v>4</v>
      </c>
      <c r="L755" t="s">
        <v>9488</v>
      </c>
    </row>
    <row r="756" spans="1:12" ht="30">
      <c r="A756" s="10">
        <v>46223</v>
      </c>
      <c r="B756" s="12" t="s">
        <v>108</v>
      </c>
      <c r="C756" s="11" t="s">
        <v>682</v>
      </c>
      <c r="D756" s="11" t="s">
        <v>7277</v>
      </c>
      <c r="E756" s="11" t="s">
        <v>18</v>
      </c>
      <c r="F756" s="12" t="s">
        <v>9489</v>
      </c>
      <c r="G756" s="11" t="s">
        <v>6891</v>
      </c>
      <c r="H756" s="13" t="s">
        <v>7618</v>
      </c>
      <c r="I756" s="10">
        <v>46225</v>
      </c>
      <c r="J756" s="10"/>
      <c r="L756" t="s">
        <v>9490</v>
      </c>
    </row>
    <row r="757" spans="1:12">
      <c r="A757" s="10">
        <v>46224</v>
      </c>
      <c r="B757" s="11" t="s">
        <v>9491</v>
      </c>
      <c r="C757" s="11" t="s">
        <v>1252</v>
      </c>
      <c r="D757" s="11" t="s">
        <v>7038</v>
      </c>
      <c r="E757" s="11" t="s">
        <v>17</v>
      </c>
      <c r="F757" s="12" t="s">
        <v>9492</v>
      </c>
      <c r="G757" s="11" t="s">
        <v>7553</v>
      </c>
      <c r="H757" s="13" t="s">
        <v>7618</v>
      </c>
      <c r="I757" s="10">
        <v>46224</v>
      </c>
      <c r="J757" s="10" t="s">
        <v>4</v>
      </c>
      <c r="L757" s="179" t="s">
        <v>9493</v>
      </c>
    </row>
    <row r="758" spans="1:12">
      <c r="A758" s="10">
        <v>46224</v>
      </c>
      <c r="B758" s="11" t="s">
        <v>9494</v>
      </c>
      <c r="C758" s="11" t="s">
        <v>1874</v>
      </c>
      <c r="D758" s="11" t="s">
        <v>7000</v>
      </c>
      <c r="E758" s="11" t="s">
        <v>17</v>
      </c>
      <c r="F758" s="12" t="s">
        <v>9495</v>
      </c>
      <c r="G758" s="11" t="s">
        <v>7553</v>
      </c>
      <c r="H758" s="13" t="s">
        <v>7618</v>
      </c>
      <c r="I758" s="10">
        <v>46224</v>
      </c>
      <c r="J758" s="10" t="s">
        <v>4</v>
      </c>
      <c r="L758" t="s">
        <v>9496</v>
      </c>
    </row>
    <row r="759" spans="1:12" ht="105">
      <c r="A759" s="10">
        <v>46224</v>
      </c>
      <c r="B759" s="11" t="s">
        <v>9497</v>
      </c>
      <c r="C759" s="11" t="s">
        <v>1555</v>
      </c>
      <c r="D759" s="11" t="s">
        <v>6897</v>
      </c>
      <c r="E759" s="11" t="s">
        <v>17</v>
      </c>
      <c r="F759" s="12" t="s">
        <v>9498</v>
      </c>
      <c r="G759" s="11" t="s">
        <v>7553</v>
      </c>
      <c r="H759" s="13" t="s">
        <v>9499</v>
      </c>
      <c r="I759" s="10">
        <v>46224</v>
      </c>
      <c r="J759" s="10" t="s">
        <v>9500</v>
      </c>
      <c r="L759" t="s">
        <v>9501</v>
      </c>
    </row>
    <row r="760" spans="1:12">
      <c r="A760" s="10">
        <v>46224</v>
      </c>
      <c r="B760" s="163" t="s">
        <v>9502</v>
      </c>
      <c r="C760" s="150" t="s">
        <v>983</v>
      </c>
      <c r="D760" s="11" t="s">
        <v>6890</v>
      </c>
      <c r="E760" s="11" t="s">
        <v>17</v>
      </c>
      <c r="F760" s="12" t="s">
        <v>9503</v>
      </c>
      <c r="G760" s="11" t="s">
        <v>7553</v>
      </c>
      <c r="H760" s="13" t="s">
        <v>7618</v>
      </c>
      <c r="I760" s="10">
        <v>46224</v>
      </c>
      <c r="J760" s="10" t="s">
        <v>4</v>
      </c>
      <c r="L760" t="s">
        <v>9504</v>
      </c>
    </row>
    <row r="761" spans="1:12" ht="30">
      <c r="A761" s="10">
        <v>46224</v>
      </c>
      <c r="B761" s="149" t="s">
        <v>9505</v>
      </c>
      <c r="C761" s="150" t="s">
        <v>983</v>
      </c>
      <c r="D761" s="11" t="s">
        <v>6890</v>
      </c>
      <c r="E761" s="11" t="s">
        <v>17</v>
      </c>
      <c r="F761" s="12" t="s">
        <v>9506</v>
      </c>
      <c r="G761" s="11" t="s">
        <v>8200</v>
      </c>
      <c r="H761" s="13" t="s">
        <v>8577</v>
      </c>
      <c r="I761" s="10">
        <v>46224</v>
      </c>
      <c r="J761" s="10" t="s">
        <v>9507</v>
      </c>
      <c r="L761" t="s">
        <v>9508</v>
      </c>
    </row>
    <row r="762" spans="1:12" ht="60">
      <c r="A762" s="10">
        <v>46224</v>
      </c>
      <c r="B762" s="123" t="s">
        <v>9509</v>
      </c>
      <c r="C762" s="11" t="s">
        <v>2168</v>
      </c>
      <c r="D762" s="11" t="s">
        <v>7102</v>
      </c>
      <c r="E762" s="11" t="s">
        <v>17</v>
      </c>
      <c r="F762" s="12" t="s">
        <v>9510</v>
      </c>
      <c r="G762" s="11" t="s">
        <v>7553</v>
      </c>
      <c r="H762" s="13" t="s">
        <v>9511</v>
      </c>
      <c r="I762" s="10">
        <v>46224</v>
      </c>
      <c r="J762" s="10" t="s">
        <v>9512</v>
      </c>
      <c r="L762" t="s">
        <v>9513</v>
      </c>
    </row>
    <row r="763" spans="1:12" ht="45">
      <c r="A763" s="10">
        <v>46224</v>
      </c>
      <c r="B763" s="149" t="s">
        <v>9514</v>
      </c>
      <c r="C763" s="150" t="s">
        <v>983</v>
      </c>
      <c r="D763" s="11" t="s">
        <v>6890</v>
      </c>
      <c r="E763" s="11" t="s">
        <v>17</v>
      </c>
      <c r="F763" s="12" t="s">
        <v>9515</v>
      </c>
      <c r="G763" s="11" t="s">
        <v>7553</v>
      </c>
      <c r="H763" s="13" t="s">
        <v>9516</v>
      </c>
      <c r="I763" s="10">
        <v>46224</v>
      </c>
      <c r="J763" s="10" t="s">
        <v>4916</v>
      </c>
      <c r="L763" t="s">
        <v>9517</v>
      </c>
    </row>
    <row r="764" spans="1:12" ht="30">
      <c r="A764" s="10">
        <v>46224</v>
      </c>
      <c r="B764" s="9" t="s">
        <v>9518</v>
      </c>
      <c r="C764" s="43" t="s">
        <v>1824</v>
      </c>
      <c r="D764" s="43" t="s">
        <v>8333</v>
      </c>
      <c r="E764" s="11" t="s">
        <v>17</v>
      </c>
      <c r="F764" s="12" t="s">
        <v>9519</v>
      </c>
      <c r="G764" s="11" t="s">
        <v>7553</v>
      </c>
      <c r="H764" s="13" t="s">
        <v>7618</v>
      </c>
      <c r="I764" s="10">
        <v>46224</v>
      </c>
      <c r="J764" s="10" t="s">
        <v>4</v>
      </c>
      <c r="L764" t="s">
        <v>9520</v>
      </c>
    </row>
    <row r="765" spans="1:12" ht="105">
      <c r="A765" s="10">
        <v>46224</v>
      </c>
      <c r="B765" s="88" t="s">
        <v>9521</v>
      </c>
      <c r="C765" s="11" t="s">
        <v>1555</v>
      </c>
      <c r="D765" s="11" t="s">
        <v>6897</v>
      </c>
      <c r="E765" s="11" t="s">
        <v>17</v>
      </c>
      <c r="F765" s="12" t="s">
        <v>9522</v>
      </c>
      <c r="G765" s="11" t="s">
        <v>7553</v>
      </c>
      <c r="H765" s="13" t="s">
        <v>9523</v>
      </c>
      <c r="I765" s="10">
        <v>46224</v>
      </c>
      <c r="J765" s="10" t="s">
        <v>9524</v>
      </c>
      <c r="L765" t="s">
        <v>9525</v>
      </c>
    </row>
    <row r="766" spans="1:12" ht="45">
      <c r="A766" s="10">
        <v>46224</v>
      </c>
      <c r="B766" s="11" t="s">
        <v>9526</v>
      </c>
      <c r="C766" s="11" t="s">
        <v>518</v>
      </c>
      <c r="D766" s="11" t="s">
        <v>6916</v>
      </c>
      <c r="E766" s="11" t="s">
        <v>17</v>
      </c>
      <c r="F766" s="12" t="s">
        <v>9527</v>
      </c>
      <c r="G766" s="11" t="s">
        <v>7553</v>
      </c>
      <c r="H766" s="13" t="s">
        <v>9528</v>
      </c>
      <c r="I766" s="10">
        <v>46224</v>
      </c>
      <c r="J766" s="10"/>
      <c r="L766" t="s">
        <v>9529</v>
      </c>
    </row>
    <row r="767" spans="1:12" ht="75">
      <c r="A767" s="10">
        <v>46224</v>
      </c>
      <c r="B767" s="12" t="s">
        <v>9530</v>
      </c>
      <c r="C767" s="11" t="s">
        <v>461</v>
      </c>
      <c r="D767" s="11" t="s">
        <v>6982</v>
      </c>
      <c r="E767" s="11" t="s">
        <v>17</v>
      </c>
      <c r="F767" s="12" t="s">
        <v>9531</v>
      </c>
      <c r="G767" s="11" t="s">
        <v>7553</v>
      </c>
      <c r="H767" s="13" t="s">
        <v>9532</v>
      </c>
      <c r="I767" s="10">
        <v>46225</v>
      </c>
      <c r="J767" s="10" t="s">
        <v>4916</v>
      </c>
      <c r="L767" t="s">
        <v>9533</v>
      </c>
    </row>
    <row r="768" spans="1:12">
      <c r="A768" s="10">
        <v>46225</v>
      </c>
      <c r="B768" s="11" t="s">
        <v>9534</v>
      </c>
      <c r="C768" s="11" t="s">
        <v>4584</v>
      </c>
      <c r="D768" s="11" t="s">
        <v>7174</v>
      </c>
      <c r="E768" s="11" t="s">
        <v>17</v>
      </c>
      <c r="F768" s="12" t="s">
        <v>9535</v>
      </c>
      <c r="G768" s="11" t="s">
        <v>7553</v>
      </c>
      <c r="H768" s="13" t="s">
        <v>7618</v>
      </c>
      <c r="I768" s="10">
        <v>46225</v>
      </c>
      <c r="J768" s="57">
        <v>46225.166666666701</v>
      </c>
      <c r="K768" t="s">
        <v>4</v>
      </c>
      <c r="L768" t="s">
        <v>9536</v>
      </c>
    </row>
    <row r="769" spans="1:12" ht="81.75" customHeight="1">
      <c r="A769" s="10">
        <v>46225</v>
      </c>
      <c r="B769" s="164" t="s">
        <v>9537</v>
      </c>
      <c r="C769" s="150" t="s">
        <v>983</v>
      </c>
      <c r="D769" s="11" t="s">
        <v>6890</v>
      </c>
      <c r="E769" s="11" t="s">
        <v>17</v>
      </c>
      <c r="F769" s="12" t="s">
        <v>9538</v>
      </c>
      <c r="G769" s="11" t="s">
        <v>7553</v>
      </c>
      <c r="H769" s="13" t="s">
        <v>7618</v>
      </c>
      <c r="I769" s="10">
        <v>46225</v>
      </c>
      <c r="J769" s="10" t="s">
        <v>4</v>
      </c>
      <c r="L769" t="s">
        <v>9539</v>
      </c>
    </row>
    <row r="770" spans="1:12" ht="45">
      <c r="A770" s="10">
        <v>46225</v>
      </c>
      <c r="B770" s="139" t="s">
        <v>9540</v>
      </c>
      <c r="C770" s="11" t="s">
        <v>1512</v>
      </c>
      <c r="D770" s="11" t="s">
        <v>7170</v>
      </c>
      <c r="E770" s="11" t="s">
        <v>17</v>
      </c>
      <c r="F770" s="12" t="s">
        <v>9541</v>
      </c>
      <c r="G770" s="11" t="s">
        <v>7553</v>
      </c>
      <c r="H770" s="13" t="s">
        <v>7618</v>
      </c>
      <c r="I770" s="10">
        <v>46225</v>
      </c>
      <c r="J770" s="10"/>
      <c r="L770" t="s">
        <v>9542</v>
      </c>
    </row>
    <row r="771" spans="1:12" ht="30">
      <c r="A771" s="10">
        <v>46225</v>
      </c>
      <c r="B771" s="11" t="s">
        <v>9543</v>
      </c>
      <c r="C771" s="11" t="s">
        <v>1779</v>
      </c>
      <c r="D771" s="11" t="s">
        <v>7061</v>
      </c>
      <c r="E771" s="11" t="s">
        <v>18</v>
      </c>
      <c r="F771" s="12" t="s">
        <v>9544</v>
      </c>
      <c r="G771" s="11" t="s">
        <v>7553</v>
      </c>
      <c r="H771" s="13" t="s">
        <v>7618</v>
      </c>
      <c r="I771" s="10">
        <v>46226</v>
      </c>
      <c r="J771" s="10"/>
      <c r="L771" t="s">
        <v>9545</v>
      </c>
    </row>
    <row r="772" spans="1:12" ht="30">
      <c r="A772" s="10">
        <v>46225</v>
      </c>
      <c r="B772" s="11" t="s">
        <v>9546</v>
      </c>
      <c r="C772" s="11" t="s">
        <v>1884</v>
      </c>
      <c r="D772" s="11" t="s">
        <v>7135</v>
      </c>
      <c r="E772" s="11" t="s">
        <v>17</v>
      </c>
      <c r="F772" s="12" t="s">
        <v>9547</v>
      </c>
      <c r="G772" s="11" t="s">
        <v>7553</v>
      </c>
      <c r="H772" s="13" t="s">
        <v>7618</v>
      </c>
      <c r="I772" s="10">
        <v>46225</v>
      </c>
      <c r="J772" s="10">
        <v>46224.666666666701</v>
      </c>
      <c r="K772" t="s">
        <v>4</v>
      </c>
      <c r="L772" t="s">
        <v>9548</v>
      </c>
    </row>
    <row r="773" spans="1:12">
      <c r="A773" s="10">
        <v>46225</v>
      </c>
      <c r="B773" s="11" t="s">
        <v>9549</v>
      </c>
      <c r="C773" s="11" t="s">
        <v>1436</v>
      </c>
      <c r="D773" s="11" t="s">
        <v>6920</v>
      </c>
      <c r="E773" s="11" t="s">
        <v>18</v>
      </c>
      <c r="F773" s="12" t="s">
        <v>9550</v>
      </c>
      <c r="G773" s="11" t="s">
        <v>7553</v>
      </c>
      <c r="H773" s="13" t="s">
        <v>7618</v>
      </c>
      <c r="I773" s="10">
        <v>46226</v>
      </c>
      <c r="J773" s="10" t="s">
        <v>4</v>
      </c>
      <c r="L773" t="s">
        <v>9551</v>
      </c>
    </row>
    <row r="774" spans="1:12">
      <c r="A774" s="10">
        <v>46225</v>
      </c>
      <c r="B774" s="11" t="s">
        <v>9552</v>
      </c>
      <c r="C774" s="11" t="s">
        <v>1252</v>
      </c>
      <c r="D774" s="11" t="s">
        <v>7038</v>
      </c>
      <c r="E774" s="11" t="s">
        <v>17</v>
      </c>
      <c r="F774" s="12" t="s">
        <v>9553</v>
      </c>
      <c r="G774" s="11" t="s">
        <v>7553</v>
      </c>
      <c r="H774" s="13" t="s">
        <v>7618</v>
      </c>
      <c r="I774" s="10">
        <v>46225</v>
      </c>
      <c r="J774" s="10" t="s">
        <v>4</v>
      </c>
      <c r="L774" t="s">
        <v>9554</v>
      </c>
    </row>
    <row r="775" spans="1:12" ht="30">
      <c r="A775" s="10">
        <v>46225</v>
      </c>
      <c r="B775" s="11" t="s">
        <v>9555</v>
      </c>
      <c r="C775" s="11" t="s">
        <v>1252</v>
      </c>
      <c r="D775" s="11" t="s">
        <v>7038</v>
      </c>
      <c r="E775" s="11" t="s">
        <v>17</v>
      </c>
      <c r="F775" s="12" t="s">
        <v>9556</v>
      </c>
      <c r="G775" s="11" t="s">
        <v>7553</v>
      </c>
      <c r="H775" s="13" t="s">
        <v>7618</v>
      </c>
      <c r="I775" s="10">
        <v>46225</v>
      </c>
      <c r="J775" s="10" t="s">
        <v>4</v>
      </c>
      <c r="L775" t="s">
        <v>9557</v>
      </c>
    </row>
    <row r="776" spans="1:12" ht="30">
      <c r="A776" s="10">
        <v>46225</v>
      </c>
      <c r="B776" s="11" t="s">
        <v>9558</v>
      </c>
      <c r="C776" s="11" t="s">
        <v>1874</v>
      </c>
      <c r="D776" s="11" t="s">
        <v>7000</v>
      </c>
      <c r="E776" s="11" t="s">
        <v>17</v>
      </c>
      <c r="F776" s="12" t="s">
        <v>9559</v>
      </c>
      <c r="G776" s="11" t="s">
        <v>7553</v>
      </c>
      <c r="H776" s="13" t="s">
        <v>7618</v>
      </c>
      <c r="I776" s="10">
        <v>46226</v>
      </c>
      <c r="J776" s="10" t="s">
        <v>4</v>
      </c>
      <c r="L776" t="s">
        <v>9560</v>
      </c>
    </row>
    <row r="777" spans="1:12" ht="45">
      <c r="A777" s="10">
        <v>46225</v>
      </c>
      <c r="B777" s="149" t="s">
        <v>9561</v>
      </c>
      <c r="C777" s="150" t="s">
        <v>983</v>
      </c>
      <c r="D777" s="11" t="s">
        <v>6890</v>
      </c>
      <c r="E777" s="11" t="s">
        <v>17</v>
      </c>
      <c r="F777" s="12" t="s">
        <v>9562</v>
      </c>
      <c r="G777" s="11" t="s">
        <v>8200</v>
      </c>
      <c r="H777" s="13" t="s">
        <v>8956</v>
      </c>
      <c r="I777" s="10">
        <v>46226</v>
      </c>
      <c r="J777" s="10" t="s">
        <v>4</v>
      </c>
      <c r="L777" t="s">
        <v>9563</v>
      </c>
    </row>
    <row r="778" spans="1:12" ht="30">
      <c r="A778" s="10">
        <v>46225</v>
      </c>
      <c r="B778" s="12" t="s">
        <v>9564</v>
      </c>
      <c r="C778" s="11" t="s">
        <v>1779</v>
      </c>
      <c r="D778" s="11" t="s">
        <v>7061</v>
      </c>
      <c r="E778" s="11" t="s">
        <v>18</v>
      </c>
      <c r="F778" s="12" t="s">
        <v>9565</v>
      </c>
      <c r="G778" s="11" t="s">
        <v>7553</v>
      </c>
      <c r="H778" s="13" t="s">
        <v>7618</v>
      </c>
      <c r="I778" s="10">
        <v>46226</v>
      </c>
      <c r="J778" s="10"/>
      <c r="L778" t="s">
        <v>9566</v>
      </c>
    </row>
    <row r="779" spans="1:12">
      <c r="A779" s="10">
        <v>46225</v>
      </c>
      <c r="B779" s="11" t="s">
        <v>9567</v>
      </c>
      <c r="C779" s="11" t="s">
        <v>1371</v>
      </c>
      <c r="D779" s="11" t="s">
        <v>7164</v>
      </c>
      <c r="E779" s="11" t="s">
        <v>17</v>
      </c>
      <c r="F779" s="12" t="s">
        <v>9568</v>
      </c>
      <c r="G779" s="11" t="s">
        <v>7553</v>
      </c>
      <c r="H779" s="13" t="s">
        <v>7618</v>
      </c>
      <c r="I779" s="10">
        <v>46226</v>
      </c>
      <c r="J779" s="10"/>
      <c r="L779" t="s">
        <v>9569</v>
      </c>
    </row>
    <row r="780" spans="1:12" ht="30">
      <c r="A780" s="10">
        <v>46225</v>
      </c>
      <c r="B780" s="12" t="s">
        <v>9570</v>
      </c>
      <c r="C780" s="11" t="s">
        <v>625</v>
      </c>
      <c r="D780" s="11" t="s">
        <v>9051</v>
      </c>
      <c r="E780" s="11" t="s">
        <v>17</v>
      </c>
      <c r="F780" s="12" t="s">
        <v>9571</v>
      </c>
      <c r="G780" s="11" t="s">
        <v>7553</v>
      </c>
      <c r="H780" s="13" t="s">
        <v>9572</v>
      </c>
      <c r="I780" s="10">
        <v>46226</v>
      </c>
      <c r="J780" s="10"/>
      <c r="L780" t="s">
        <v>9573</v>
      </c>
    </row>
    <row r="781" spans="1:12" ht="105">
      <c r="A781" s="10">
        <v>46225</v>
      </c>
      <c r="B781" s="11" t="s">
        <v>9574</v>
      </c>
      <c r="C781" s="11" t="s">
        <v>1555</v>
      </c>
      <c r="D781" s="11" t="s">
        <v>6897</v>
      </c>
      <c r="E781" s="11" t="s">
        <v>17</v>
      </c>
      <c r="F781" s="12" t="s">
        <v>9575</v>
      </c>
      <c r="G781" s="11" t="s">
        <v>7553</v>
      </c>
      <c r="H781" s="13" t="s">
        <v>7618</v>
      </c>
      <c r="I781" s="10">
        <v>46226</v>
      </c>
      <c r="J781" s="10" t="s">
        <v>9576</v>
      </c>
      <c r="L781" t="s">
        <v>9577</v>
      </c>
    </row>
    <row r="782" spans="1:12" ht="105">
      <c r="A782" s="10">
        <v>46225</v>
      </c>
      <c r="B782" s="11" t="s">
        <v>9578</v>
      </c>
      <c r="C782" s="11" t="s">
        <v>1555</v>
      </c>
      <c r="D782" s="11" t="s">
        <v>6897</v>
      </c>
      <c r="E782" s="11" t="s">
        <v>17</v>
      </c>
      <c r="F782" s="12" t="s">
        <v>9579</v>
      </c>
      <c r="H782" s="13" t="s">
        <v>9523</v>
      </c>
      <c r="I782" s="10">
        <v>46224</v>
      </c>
      <c r="J782" s="10" t="s">
        <v>9580</v>
      </c>
      <c r="L782" t="s">
        <v>9581</v>
      </c>
    </row>
    <row r="783" spans="1:12">
      <c r="A783" s="10">
        <v>46225</v>
      </c>
      <c r="B783" s="11" t="s">
        <v>9582</v>
      </c>
      <c r="C783" s="11" t="s">
        <v>741</v>
      </c>
      <c r="D783" s="11" t="s">
        <v>7028</v>
      </c>
      <c r="E783" s="11" t="s">
        <v>13</v>
      </c>
      <c r="F783" s="12" t="s">
        <v>9583</v>
      </c>
      <c r="G783" s="11" t="s">
        <v>7553</v>
      </c>
      <c r="H783" s="13" t="s">
        <v>7618</v>
      </c>
      <c r="I783" s="10">
        <v>46226</v>
      </c>
      <c r="J783" s="10"/>
      <c r="L783" t="s">
        <v>9584</v>
      </c>
    </row>
    <row r="784" spans="1:12" ht="30">
      <c r="A784" s="10">
        <v>46226</v>
      </c>
      <c r="B784" s="11" t="s">
        <v>9585</v>
      </c>
      <c r="C784" s="11" t="s">
        <v>839</v>
      </c>
      <c r="D784" s="11" t="s">
        <v>7152</v>
      </c>
      <c r="E784" s="11" t="s">
        <v>18</v>
      </c>
      <c r="F784" s="12" t="s">
        <v>9586</v>
      </c>
      <c r="G784" s="11" t="s">
        <v>7553</v>
      </c>
      <c r="H784" s="13" t="s">
        <v>7618</v>
      </c>
      <c r="I784" s="10">
        <v>46226</v>
      </c>
      <c r="J784" s="10" t="s">
        <v>4</v>
      </c>
      <c r="L784" t="s">
        <v>9587</v>
      </c>
    </row>
    <row r="785" spans="1:12">
      <c r="A785" s="10">
        <v>46226</v>
      </c>
      <c r="B785" s="12" t="s">
        <v>9588</v>
      </c>
      <c r="C785" s="11" t="s">
        <v>1874</v>
      </c>
      <c r="D785" s="11" t="s">
        <v>7000</v>
      </c>
      <c r="E785" s="11" t="s">
        <v>17</v>
      </c>
      <c r="F785" s="12" t="s">
        <v>9589</v>
      </c>
      <c r="G785" s="11" t="s">
        <v>7553</v>
      </c>
      <c r="H785" s="13" t="s">
        <v>7618</v>
      </c>
      <c r="I785" s="10">
        <v>46226</v>
      </c>
      <c r="J785" s="10" t="s">
        <v>4</v>
      </c>
      <c r="L785" t="s">
        <v>9590</v>
      </c>
    </row>
    <row r="786" spans="1:12">
      <c r="A786" s="10">
        <v>46226</v>
      </c>
      <c r="B786" s="11" t="s">
        <v>9591</v>
      </c>
      <c r="C786" s="11" t="s">
        <v>4584</v>
      </c>
      <c r="D786" s="11" t="s">
        <v>7174</v>
      </c>
      <c r="E786" s="11" t="s">
        <v>17</v>
      </c>
      <c r="F786" s="12" t="s">
        <v>9592</v>
      </c>
      <c r="G786" s="11" t="s">
        <v>7553</v>
      </c>
      <c r="H786" s="13" t="s">
        <v>7618</v>
      </c>
      <c r="I786" s="10">
        <v>46226</v>
      </c>
      <c r="J786" s="57">
        <v>46226.166666666701</v>
      </c>
      <c r="K786" t="s">
        <v>4</v>
      </c>
      <c r="L786" t="s">
        <v>9593</v>
      </c>
    </row>
    <row r="787" spans="1:12" ht="75">
      <c r="A787" s="10">
        <v>46226</v>
      </c>
      <c r="B787" s="11" t="s">
        <v>9594</v>
      </c>
      <c r="C787" s="11" t="s">
        <v>1555</v>
      </c>
      <c r="D787" s="11" t="s">
        <v>6897</v>
      </c>
      <c r="E787" s="11" t="s">
        <v>17</v>
      </c>
      <c r="F787" s="12" t="s">
        <v>9595</v>
      </c>
      <c r="G787" s="11" t="s">
        <v>8200</v>
      </c>
      <c r="H787" s="13" t="s">
        <v>8956</v>
      </c>
      <c r="I787" s="10">
        <v>46226</v>
      </c>
      <c r="J787" s="10" t="s">
        <v>9580</v>
      </c>
      <c r="L787" t="s">
        <v>9596</v>
      </c>
    </row>
    <row r="788" spans="1:12" ht="30">
      <c r="A788" s="10">
        <v>46226</v>
      </c>
      <c r="B788" s="12" t="s">
        <v>9597</v>
      </c>
      <c r="C788" s="11" t="s">
        <v>1779</v>
      </c>
      <c r="D788" s="11" t="s">
        <v>7061</v>
      </c>
      <c r="E788" s="11" t="s">
        <v>18</v>
      </c>
      <c r="F788" s="12" t="s">
        <v>9598</v>
      </c>
      <c r="G788" s="11" t="s">
        <v>7553</v>
      </c>
      <c r="H788" s="13" t="s">
        <v>7618</v>
      </c>
      <c r="I788" s="10">
        <v>46226</v>
      </c>
      <c r="J788" s="10"/>
      <c r="L788" t="s">
        <v>9599</v>
      </c>
    </row>
    <row r="789" spans="1:12">
      <c r="A789" s="10">
        <v>46226</v>
      </c>
      <c r="B789" s="70" t="s">
        <v>9600</v>
      </c>
      <c r="C789" s="11" t="s">
        <v>810</v>
      </c>
      <c r="D789" s="11" t="s">
        <v>7043</v>
      </c>
      <c r="E789" s="11" t="s">
        <v>17</v>
      </c>
      <c r="F789" s="12" t="s">
        <v>9601</v>
      </c>
      <c r="G789" s="11" t="s">
        <v>7553</v>
      </c>
      <c r="H789" s="13" t="s">
        <v>7618</v>
      </c>
      <c r="I789" s="10">
        <v>46232</v>
      </c>
      <c r="J789" s="10" t="s">
        <v>4916</v>
      </c>
      <c r="L789" t="s">
        <v>9602</v>
      </c>
    </row>
    <row r="790" spans="1:12" ht="30">
      <c r="A790" s="10">
        <v>46226</v>
      </c>
      <c r="B790" s="11" t="s">
        <v>9603</v>
      </c>
      <c r="C790" s="11" t="s">
        <v>585</v>
      </c>
      <c r="D790" s="11" t="s">
        <v>7144</v>
      </c>
      <c r="E790" s="11" t="s">
        <v>17</v>
      </c>
      <c r="F790" s="12" t="s">
        <v>9604</v>
      </c>
      <c r="G790" s="11" t="s">
        <v>9605</v>
      </c>
      <c r="H790" s="13" t="s">
        <v>9606</v>
      </c>
      <c r="I790" s="10">
        <v>46226</v>
      </c>
      <c r="J790" s="10" t="s">
        <v>4</v>
      </c>
      <c r="L790" t="s">
        <v>9607</v>
      </c>
    </row>
    <row r="791" spans="1:12" ht="90">
      <c r="A791" s="10">
        <v>46226</v>
      </c>
      <c r="B791" s="11" t="s">
        <v>9608</v>
      </c>
      <c r="C791" s="11" t="s">
        <v>585</v>
      </c>
      <c r="D791" s="11" t="s">
        <v>7144</v>
      </c>
      <c r="E791" s="11" t="s">
        <v>17</v>
      </c>
      <c r="F791" s="12" t="s">
        <v>9609</v>
      </c>
      <c r="G791" s="11" t="s">
        <v>9605</v>
      </c>
      <c r="H791" s="13" t="s">
        <v>9610</v>
      </c>
      <c r="I791" s="10">
        <v>46226</v>
      </c>
      <c r="J791" s="10" t="s">
        <v>4</v>
      </c>
      <c r="L791" t="s">
        <v>9611</v>
      </c>
    </row>
    <row r="792" spans="1:12">
      <c r="A792" s="10">
        <v>46226</v>
      </c>
      <c r="B792" s="165" t="s">
        <v>9612</v>
      </c>
      <c r="C792" s="11" t="s">
        <v>810</v>
      </c>
      <c r="D792" s="11" t="s">
        <v>7043</v>
      </c>
      <c r="E792" s="11" t="s">
        <v>17</v>
      </c>
      <c r="F792" s="12" t="s">
        <v>9613</v>
      </c>
      <c r="G792" s="11" t="s">
        <v>7553</v>
      </c>
      <c r="H792" s="13" t="s">
        <v>7618</v>
      </c>
      <c r="I792" s="10">
        <v>46227</v>
      </c>
      <c r="J792" s="10"/>
      <c r="L792" t="s">
        <v>9614</v>
      </c>
    </row>
    <row r="793" spans="1:12">
      <c r="A793" s="10">
        <v>46226</v>
      </c>
      <c r="B793" s="149" t="s">
        <v>9615</v>
      </c>
      <c r="C793" s="150" t="s">
        <v>983</v>
      </c>
      <c r="D793" s="11" t="s">
        <v>6890</v>
      </c>
      <c r="E793" s="11" t="s">
        <v>17</v>
      </c>
      <c r="F793" s="12" t="s">
        <v>9616</v>
      </c>
      <c r="G793" s="11" t="s">
        <v>7553</v>
      </c>
      <c r="H793" s="13" t="s">
        <v>7618</v>
      </c>
      <c r="I793" s="10">
        <v>46227</v>
      </c>
      <c r="J793" s="10" t="s">
        <v>4</v>
      </c>
      <c r="L793" t="s">
        <v>9617</v>
      </c>
    </row>
    <row r="794" spans="1:12" ht="90">
      <c r="A794" s="10">
        <v>46226</v>
      </c>
      <c r="B794" s="9" t="s">
        <v>9618</v>
      </c>
      <c r="C794" s="11" t="s">
        <v>1555</v>
      </c>
      <c r="D794" s="11" t="s">
        <v>6897</v>
      </c>
      <c r="E794" s="11" t="s">
        <v>17</v>
      </c>
      <c r="F794" s="12" t="s">
        <v>9619</v>
      </c>
      <c r="G794" s="11" t="s">
        <v>7553</v>
      </c>
      <c r="H794" s="13" t="s">
        <v>9523</v>
      </c>
      <c r="I794" s="10">
        <v>46227</v>
      </c>
      <c r="J794" s="10" t="s">
        <v>9500</v>
      </c>
      <c r="L794" t="s">
        <v>9620</v>
      </c>
    </row>
    <row r="795" spans="1:12" ht="150">
      <c r="A795" s="10">
        <v>46226</v>
      </c>
      <c r="B795" s="11" t="s">
        <v>9621</v>
      </c>
      <c r="C795" s="11" t="s">
        <v>1555</v>
      </c>
      <c r="D795" s="11" t="s">
        <v>6897</v>
      </c>
      <c r="E795" s="11" t="s">
        <v>17</v>
      </c>
      <c r="F795" s="166" t="s">
        <v>9622</v>
      </c>
      <c r="G795" s="11" t="s">
        <v>7553</v>
      </c>
      <c r="H795" s="13" t="s">
        <v>9623</v>
      </c>
      <c r="I795" s="10">
        <v>46227</v>
      </c>
      <c r="J795" s="10" t="s">
        <v>9500</v>
      </c>
      <c r="L795" t="s">
        <v>9624</v>
      </c>
    </row>
    <row r="796" spans="1:12" ht="30">
      <c r="A796" s="10">
        <v>46226</v>
      </c>
      <c r="B796" s="11" t="s">
        <v>9625</v>
      </c>
      <c r="C796" s="11" t="s">
        <v>585</v>
      </c>
      <c r="D796" s="11" t="s">
        <v>7144</v>
      </c>
      <c r="E796" s="11" t="s">
        <v>17</v>
      </c>
      <c r="F796" s="12" t="s">
        <v>9626</v>
      </c>
      <c r="G796" s="11" t="s">
        <v>7553</v>
      </c>
      <c r="H796" s="13" t="s">
        <v>7618</v>
      </c>
      <c r="I796" s="10">
        <v>46227</v>
      </c>
      <c r="J796" s="10" t="s">
        <v>9627</v>
      </c>
      <c r="L796" t="s">
        <v>9628</v>
      </c>
    </row>
    <row r="797" spans="1:12" ht="45">
      <c r="A797" s="10">
        <v>46226</v>
      </c>
      <c r="B797" s="11" t="s">
        <v>9629</v>
      </c>
      <c r="C797" s="11" t="s">
        <v>1371</v>
      </c>
      <c r="D797" s="11" t="s">
        <v>7164</v>
      </c>
      <c r="E797" s="11" t="s">
        <v>17</v>
      </c>
      <c r="F797" s="12" t="s">
        <v>9630</v>
      </c>
      <c r="G797" s="11" t="s">
        <v>7553</v>
      </c>
      <c r="H797" s="13" t="s">
        <v>9631</v>
      </c>
      <c r="I797" s="10">
        <v>46227</v>
      </c>
      <c r="J797" s="10"/>
      <c r="L797" t="s">
        <v>9632</v>
      </c>
    </row>
    <row r="798" spans="1:12" ht="45">
      <c r="A798" s="10">
        <v>46226</v>
      </c>
      <c r="B798" s="11" t="s">
        <v>9633</v>
      </c>
      <c r="C798" s="11" t="s">
        <v>1371</v>
      </c>
      <c r="D798" s="11" t="s">
        <v>7164</v>
      </c>
      <c r="E798" s="11" t="s">
        <v>17</v>
      </c>
      <c r="F798" s="12" t="s">
        <v>9634</v>
      </c>
      <c r="G798" s="11" t="s">
        <v>7553</v>
      </c>
      <c r="H798" s="13" t="s">
        <v>9635</v>
      </c>
      <c r="I798" s="10">
        <v>46227</v>
      </c>
      <c r="J798" s="10"/>
      <c r="L798" t="s">
        <v>9636</v>
      </c>
    </row>
    <row r="799" spans="1:12" ht="30">
      <c r="A799" s="10">
        <v>46226</v>
      </c>
      <c r="B799" s="11" t="s">
        <v>9637</v>
      </c>
      <c r="C799" s="11" t="s">
        <v>1109</v>
      </c>
      <c r="D799" s="11" t="s">
        <v>7053</v>
      </c>
      <c r="E799" s="11" t="s">
        <v>17</v>
      </c>
      <c r="F799" s="12" t="s">
        <v>9638</v>
      </c>
      <c r="G799" s="11" t="s">
        <v>7553</v>
      </c>
      <c r="H799" s="13" t="s">
        <v>7618</v>
      </c>
      <c r="I799" s="10">
        <v>46227</v>
      </c>
      <c r="J799" s="10"/>
      <c r="L799" t="s">
        <v>9639</v>
      </c>
    </row>
    <row r="800" spans="1:12" ht="60">
      <c r="A800" s="10">
        <v>46226</v>
      </c>
      <c r="B800" s="12" t="s">
        <v>9640</v>
      </c>
      <c r="C800" s="11" t="s">
        <v>461</v>
      </c>
      <c r="D800" s="11" t="s">
        <v>6982</v>
      </c>
      <c r="E800" s="11" t="s">
        <v>17</v>
      </c>
      <c r="F800" s="12" t="s">
        <v>9641</v>
      </c>
      <c r="G800" s="11" t="s">
        <v>7553</v>
      </c>
      <c r="H800" s="13" t="s">
        <v>7618</v>
      </c>
      <c r="I800" s="10">
        <v>46227</v>
      </c>
      <c r="J800" s="10" t="s">
        <v>4916</v>
      </c>
      <c r="L800" t="s">
        <v>9642</v>
      </c>
    </row>
    <row r="801" spans="1:12" ht="60">
      <c r="A801" s="10">
        <v>46226</v>
      </c>
      <c r="B801" s="12" t="s">
        <v>9643</v>
      </c>
      <c r="C801" s="11" t="s">
        <v>461</v>
      </c>
      <c r="D801" s="11" t="s">
        <v>6982</v>
      </c>
      <c r="E801" s="11" t="s">
        <v>17</v>
      </c>
      <c r="F801" s="12" t="s">
        <v>9644</v>
      </c>
      <c r="G801" s="11" t="s">
        <v>7553</v>
      </c>
      <c r="H801" s="13" t="s">
        <v>7618</v>
      </c>
      <c r="I801" s="10">
        <v>46227</v>
      </c>
      <c r="J801" s="10"/>
      <c r="L801" t="s">
        <v>9645</v>
      </c>
    </row>
    <row r="802" spans="1:12" ht="90">
      <c r="A802" s="10">
        <v>46226</v>
      </c>
      <c r="B802" s="12" t="s">
        <v>9646</v>
      </c>
      <c r="C802" s="11" t="s">
        <v>461</v>
      </c>
      <c r="D802" s="11" t="s">
        <v>6982</v>
      </c>
      <c r="E802" s="11" t="s">
        <v>17</v>
      </c>
      <c r="F802" s="12" t="s">
        <v>9647</v>
      </c>
      <c r="G802" s="11" t="s">
        <v>7553</v>
      </c>
      <c r="H802" s="13" t="s">
        <v>7618</v>
      </c>
      <c r="I802" s="10">
        <v>46227</v>
      </c>
      <c r="J802" s="10"/>
      <c r="L802" t="s">
        <v>9648</v>
      </c>
    </row>
    <row r="803" spans="1:12">
      <c r="A803" s="10">
        <v>46226</v>
      </c>
      <c r="B803" s="11" t="s">
        <v>9649</v>
      </c>
      <c r="C803" s="46" t="s">
        <v>2369</v>
      </c>
      <c r="D803" s="48" t="s">
        <v>6961</v>
      </c>
      <c r="E803" s="11" t="s">
        <v>18</v>
      </c>
      <c r="F803" s="12" t="s">
        <v>9650</v>
      </c>
      <c r="G803" s="11" t="s">
        <v>7553</v>
      </c>
      <c r="H803" s="13" t="s">
        <v>7618</v>
      </c>
      <c r="I803" s="10">
        <v>46227</v>
      </c>
      <c r="J803" s="10" t="s">
        <v>9651</v>
      </c>
      <c r="L803" t="s">
        <v>9652</v>
      </c>
    </row>
    <row r="804" spans="1:12" ht="60">
      <c r="A804" s="10">
        <v>46227</v>
      </c>
      <c r="B804" s="82" t="s">
        <v>9653</v>
      </c>
      <c r="C804" s="11" t="s">
        <v>983</v>
      </c>
      <c r="D804" s="11" t="s">
        <v>6890</v>
      </c>
      <c r="E804" s="11" t="s">
        <v>17</v>
      </c>
      <c r="F804" s="12" t="s">
        <v>9654</v>
      </c>
      <c r="G804" s="11" t="s">
        <v>7553</v>
      </c>
      <c r="H804" s="13" t="s">
        <v>7618</v>
      </c>
      <c r="I804" s="10">
        <v>46227</v>
      </c>
      <c r="J804" s="10" t="s">
        <v>4</v>
      </c>
      <c r="L804" t="s">
        <v>9655</v>
      </c>
    </row>
    <row r="805" spans="1:12">
      <c r="B805" s="11" t="s">
        <v>9656</v>
      </c>
      <c r="C805" s="11" t="s">
        <v>496</v>
      </c>
      <c r="D805" s="11" t="s">
        <v>7608</v>
      </c>
      <c r="E805" s="11" t="s">
        <v>17</v>
      </c>
      <c r="F805" s="12" t="s">
        <v>9657</v>
      </c>
      <c r="G805" s="11" t="s">
        <v>7553</v>
      </c>
      <c r="H805" s="13" t="s">
        <v>7618</v>
      </c>
      <c r="I805" s="10">
        <v>46227</v>
      </c>
      <c r="J805" s="10" t="s">
        <v>4</v>
      </c>
      <c r="L805" t="s">
        <v>9658</v>
      </c>
    </row>
    <row r="806" spans="1:12">
      <c r="B806" s="11" t="s">
        <v>9659</v>
      </c>
      <c r="C806" s="11" t="s">
        <v>496</v>
      </c>
      <c r="D806" s="11" t="s">
        <v>7608</v>
      </c>
      <c r="E806" s="11" t="s">
        <v>17</v>
      </c>
      <c r="F806" s="12" t="s">
        <v>9660</v>
      </c>
      <c r="G806" s="11" t="s">
        <v>7553</v>
      </c>
      <c r="H806" s="13" t="s">
        <v>7618</v>
      </c>
      <c r="I806" s="10">
        <v>46230</v>
      </c>
      <c r="J806" s="10">
        <v>46233</v>
      </c>
      <c r="L806" t="s">
        <v>9661</v>
      </c>
    </row>
    <row r="807" spans="1:12">
      <c r="A807" s="10">
        <v>46227</v>
      </c>
      <c r="B807" s="11" t="s">
        <v>9662</v>
      </c>
      <c r="C807" s="11" t="s">
        <v>1512</v>
      </c>
      <c r="D807" s="11" t="s">
        <v>7170</v>
      </c>
      <c r="E807" s="11" t="s">
        <v>17</v>
      </c>
      <c r="F807" s="12" t="s">
        <v>9663</v>
      </c>
      <c r="G807" s="11" t="s">
        <v>7553</v>
      </c>
      <c r="H807" s="13" t="s">
        <v>9664</v>
      </c>
      <c r="I807" s="10">
        <v>46230</v>
      </c>
      <c r="J807" s="10"/>
      <c r="L807" t="s">
        <v>9665</v>
      </c>
    </row>
    <row r="808" spans="1:12" ht="29.25">
      <c r="A808" s="10">
        <v>46227</v>
      </c>
      <c r="B808" s="11" t="s">
        <v>9666</v>
      </c>
      <c r="C808" s="11" t="s">
        <v>4584</v>
      </c>
      <c r="D808" s="11" t="s">
        <v>7174</v>
      </c>
      <c r="E808" s="11" t="s">
        <v>17</v>
      </c>
      <c r="F808" s="12" t="s">
        <v>9667</v>
      </c>
      <c r="G808" s="11" t="s">
        <v>7553</v>
      </c>
      <c r="H808" s="13" t="s">
        <v>7618</v>
      </c>
      <c r="I808" s="10">
        <v>46230</v>
      </c>
      <c r="J808" s="57">
        <v>46231.166666666701</v>
      </c>
      <c r="K808" t="s">
        <v>4</v>
      </c>
      <c r="L808" t="s">
        <v>9668</v>
      </c>
    </row>
    <row r="809" spans="1:12" ht="45">
      <c r="A809" s="10">
        <v>46227</v>
      </c>
      <c r="B809" s="11" t="s">
        <v>322</v>
      </c>
      <c r="C809" s="11" t="s">
        <v>2270</v>
      </c>
      <c r="D809" s="11" t="s">
        <v>7243</v>
      </c>
      <c r="E809" s="11" t="s">
        <v>9117</v>
      </c>
      <c r="F809" s="12" t="s">
        <v>9669</v>
      </c>
      <c r="G809" s="11" t="s">
        <v>7553</v>
      </c>
      <c r="H809" s="13" t="s">
        <v>7618</v>
      </c>
      <c r="I809" s="10">
        <v>46230</v>
      </c>
      <c r="J809" s="10" t="s">
        <v>9670</v>
      </c>
      <c r="L809" t="s">
        <v>9671</v>
      </c>
    </row>
    <row r="810" spans="1:12" ht="45">
      <c r="A810" s="10">
        <v>46227</v>
      </c>
      <c r="B810" s="11" t="s">
        <v>9672</v>
      </c>
      <c r="C810" s="46" t="s">
        <v>2369</v>
      </c>
      <c r="D810" s="48" t="s">
        <v>6961</v>
      </c>
      <c r="E810" s="11" t="s">
        <v>18</v>
      </c>
      <c r="F810" s="12" t="s">
        <v>9673</v>
      </c>
      <c r="G810" s="11" t="s">
        <v>7553</v>
      </c>
      <c r="H810" s="13" t="s">
        <v>9674</v>
      </c>
      <c r="I810" s="10">
        <v>46230</v>
      </c>
      <c r="J810" s="10" t="s">
        <v>9500</v>
      </c>
      <c r="L810" t="s">
        <v>9675</v>
      </c>
    </row>
    <row r="811" spans="1:12" ht="75">
      <c r="A811" s="10">
        <v>46230</v>
      </c>
      <c r="B811" s="11" t="s">
        <v>9676</v>
      </c>
      <c r="C811" s="11" t="s">
        <v>518</v>
      </c>
      <c r="D811" s="11" t="s">
        <v>6916</v>
      </c>
      <c r="E811" s="11" t="s">
        <v>17</v>
      </c>
      <c r="F811" s="12" t="s">
        <v>9677</v>
      </c>
      <c r="G811" s="11" t="s">
        <v>7553</v>
      </c>
      <c r="H811" s="13" t="s">
        <v>9678</v>
      </c>
      <c r="I811" s="10">
        <v>46230</v>
      </c>
      <c r="J811" s="10" t="s">
        <v>9651</v>
      </c>
      <c r="L811" t="s">
        <v>9679</v>
      </c>
    </row>
    <row r="812" spans="1:12" ht="93" customHeight="1">
      <c r="A812" s="10">
        <v>46230</v>
      </c>
      <c r="B812" s="11" t="s">
        <v>9680</v>
      </c>
      <c r="C812" s="11" t="s">
        <v>1874</v>
      </c>
      <c r="D812" s="11" t="s">
        <v>7000</v>
      </c>
      <c r="E812" s="11" t="s">
        <v>17</v>
      </c>
      <c r="F812" s="12" t="s">
        <v>9681</v>
      </c>
      <c r="G812" s="11" t="s">
        <v>7553</v>
      </c>
      <c r="H812" s="13" t="s">
        <v>7618</v>
      </c>
      <c r="I812" s="10">
        <v>46231</v>
      </c>
      <c r="J812" s="10" t="s">
        <v>4</v>
      </c>
      <c r="L812" t="s">
        <v>9682</v>
      </c>
    </row>
    <row r="813" spans="1:12">
      <c r="A813" s="10">
        <v>46230</v>
      </c>
      <c r="B813" s="11" t="s">
        <v>281</v>
      </c>
      <c r="C813" s="11" t="s">
        <v>540</v>
      </c>
      <c r="D813" s="11" t="s">
        <v>7258</v>
      </c>
      <c r="E813" s="11" t="s">
        <v>18</v>
      </c>
      <c r="F813" s="12" t="s">
        <v>9683</v>
      </c>
      <c r="G813" s="11" t="s">
        <v>7553</v>
      </c>
      <c r="H813" s="13" t="s">
        <v>7618</v>
      </c>
      <c r="I813" s="10">
        <v>46231</v>
      </c>
      <c r="J813" s="10"/>
      <c r="L813" t="s">
        <v>9684</v>
      </c>
    </row>
    <row r="814" spans="1:12">
      <c r="A814" s="10">
        <v>46230</v>
      </c>
      <c r="B814" s="11" t="s">
        <v>9685</v>
      </c>
      <c r="C814" s="11" t="s">
        <v>1874</v>
      </c>
      <c r="D814" s="11" t="s">
        <v>7000</v>
      </c>
      <c r="E814" s="11" t="s">
        <v>17</v>
      </c>
      <c r="F814" s="12" t="s">
        <v>9686</v>
      </c>
      <c r="G814" s="11" t="s">
        <v>7553</v>
      </c>
      <c r="H814" s="13" t="s">
        <v>7618</v>
      </c>
      <c r="I814" s="10">
        <v>46231</v>
      </c>
      <c r="J814" s="10" t="s">
        <v>4</v>
      </c>
      <c r="L814" t="s">
        <v>9687</v>
      </c>
    </row>
    <row r="815" spans="1:12" ht="30">
      <c r="A815" s="10">
        <v>46230</v>
      </c>
      <c r="B815" s="11" t="s">
        <v>9688</v>
      </c>
      <c r="C815" s="11" t="s">
        <v>1109</v>
      </c>
      <c r="D815" s="11" t="s">
        <v>7053</v>
      </c>
      <c r="E815" s="11" t="s">
        <v>17</v>
      </c>
      <c r="F815" s="12" t="s">
        <v>9689</v>
      </c>
      <c r="G815" s="11" t="s">
        <v>7553</v>
      </c>
      <c r="H815" s="13" t="s">
        <v>7618</v>
      </c>
      <c r="I815" s="10">
        <v>46232</v>
      </c>
      <c r="J815" s="10"/>
      <c r="L815" t="s">
        <v>9690</v>
      </c>
    </row>
    <row r="816" spans="1:12" ht="30">
      <c r="A816" s="10">
        <v>46230</v>
      </c>
      <c r="B816" s="12" t="s">
        <v>9691</v>
      </c>
      <c r="C816" s="11" t="s">
        <v>625</v>
      </c>
      <c r="D816" s="11" t="s">
        <v>9051</v>
      </c>
      <c r="E816" s="11" t="s">
        <v>17</v>
      </c>
      <c r="F816" s="12" t="s">
        <v>9692</v>
      </c>
      <c r="G816" s="11" t="s">
        <v>7553</v>
      </c>
      <c r="H816" s="13" t="s">
        <v>9523</v>
      </c>
      <c r="I816" s="10">
        <v>46232</v>
      </c>
      <c r="J816" s="10"/>
      <c r="L816" t="s">
        <v>9693</v>
      </c>
    </row>
    <row r="817" spans="1:12" ht="30">
      <c r="A817" s="10">
        <v>46230</v>
      </c>
      <c r="B817" s="11" t="s">
        <v>9694</v>
      </c>
      <c r="C817" s="11" t="s">
        <v>7316</v>
      </c>
      <c r="D817" s="11" t="s">
        <v>7317</v>
      </c>
      <c r="E817" s="11" t="s">
        <v>9262</v>
      </c>
      <c r="F817" s="12" t="s">
        <v>9695</v>
      </c>
      <c r="G817" s="11" t="s">
        <v>7553</v>
      </c>
      <c r="H817" s="13" t="s">
        <v>9696</v>
      </c>
      <c r="I817" s="10">
        <v>46232</v>
      </c>
      <c r="J817" s="10"/>
      <c r="L817" t="s">
        <v>9697</v>
      </c>
    </row>
    <row r="818" spans="1:12" ht="30">
      <c r="A818" s="10">
        <v>46230</v>
      </c>
      <c r="B818" s="11" t="s">
        <v>9698</v>
      </c>
      <c r="C818" s="11" t="s">
        <v>1053</v>
      </c>
      <c r="D818" s="11" t="s">
        <v>7532</v>
      </c>
      <c r="E818" s="11" t="s">
        <v>13</v>
      </c>
      <c r="F818" s="12" t="s">
        <v>9699</v>
      </c>
      <c r="G818" s="11" t="s">
        <v>7553</v>
      </c>
      <c r="H818" s="13" t="s">
        <v>9523</v>
      </c>
      <c r="I818" s="10">
        <v>46232</v>
      </c>
      <c r="J818" s="10">
        <v>46272.666666666701</v>
      </c>
      <c r="K818" t="s">
        <v>4</v>
      </c>
      <c r="L818" t="s">
        <v>9700</v>
      </c>
    </row>
    <row r="819" spans="1:12" ht="30">
      <c r="A819" s="10">
        <v>46230</v>
      </c>
      <c r="B819" s="12" t="s">
        <v>9701</v>
      </c>
      <c r="C819" s="11" t="s">
        <v>1779</v>
      </c>
      <c r="D819" s="11" t="s">
        <v>7383</v>
      </c>
      <c r="E819" s="11" t="s">
        <v>9262</v>
      </c>
      <c r="F819" s="12" t="s">
        <v>9702</v>
      </c>
      <c r="G819" s="11" t="s">
        <v>7553</v>
      </c>
      <c r="H819" s="13" t="s">
        <v>7618</v>
      </c>
      <c r="I819" s="10">
        <v>46232</v>
      </c>
      <c r="J819" s="10"/>
      <c r="L819" t="s">
        <v>9703</v>
      </c>
    </row>
    <row r="820" spans="1:12" ht="60">
      <c r="A820" s="10">
        <v>46230</v>
      </c>
      <c r="B820" s="11" t="s">
        <v>9704</v>
      </c>
      <c r="C820" s="11" t="s">
        <v>1555</v>
      </c>
      <c r="D820" s="11" t="s">
        <v>6897</v>
      </c>
      <c r="E820" s="11" t="s">
        <v>17</v>
      </c>
      <c r="F820" s="12" t="s">
        <v>9705</v>
      </c>
      <c r="G820" s="11" t="s">
        <v>7553</v>
      </c>
      <c r="H820" s="13" t="s">
        <v>9706</v>
      </c>
      <c r="I820" s="10">
        <v>46232</v>
      </c>
      <c r="J820" s="10" t="s">
        <v>9707</v>
      </c>
      <c r="L820" t="s">
        <v>9708</v>
      </c>
    </row>
    <row r="821" spans="1:12" ht="60">
      <c r="A821" s="10">
        <v>46230</v>
      </c>
      <c r="B821" s="11" t="s">
        <v>9709</v>
      </c>
      <c r="C821" s="11" t="s">
        <v>1555</v>
      </c>
      <c r="D821" s="11" t="s">
        <v>6897</v>
      </c>
      <c r="E821" s="11" t="s">
        <v>17</v>
      </c>
      <c r="F821" s="12" t="s">
        <v>9710</v>
      </c>
      <c r="G821" s="11" t="s">
        <v>8200</v>
      </c>
      <c r="H821" s="13" t="s">
        <v>8352</v>
      </c>
      <c r="I821" s="10">
        <v>46232</v>
      </c>
      <c r="J821" s="10" t="s">
        <v>9711</v>
      </c>
      <c r="L821" t="s">
        <v>9712</v>
      </c>
    </row>
    <row r="822" spans="1:12">
      <c r="A822" s="10">
        <v>46230</v>
      </c>
      <c r="B822" s="11" t="s">
        <v>9713</v>
      </c>
      <c r="C822" s="11" t="s">
        <v>839</v>
      </c>
      <c r="D822" s="11" t="s">
        <v>7152</v>
      </c>
      <c r="E822" s="11" t="s">
        <v>18</v>
      </c>
      <c r="F822" s="12" t="s">
        <v>9714</v>
      </c>
      <c r="G822" s="11" t="s">
        <v>7553</v>
      </c>
      <c r="H822" s="13" t="s">
        <v>7618</v>
      </c>
      <c r="I822" s="10">
        <v>46232</v>
      </c>
      <c r="J822" s="10" t="s">
        <v>4</v>
      </c>
      <c r="L822" t="s">
        <v>9715</v>
      </c>
    </row>
    <row r="823" spans="1:12">
      <c r="A823" s="10">
        <v>46230</v>
      </c>
      <c r="B823" s="11" t="s">
        <v>231</v>
      </c>
      <c r="C823" s="11" t="s">
        <v>585</v>
      </c>
      <c r="D823" s="11" t="s">
        <v>7144</v>
      </c>
      <c r="E823" s="11" t="s">
        <v>17</v>
      </c>
      <c r="F823" s="12" t="s">
        <v>9716</v>
      </c>
      <c r="G823" s="11" t="s">
        <v>7553</v>
      </c>
      <c r="H823" s="13" t="s">
        <v>7618</v>
      </c>
      <c r="I823" s="10">
        <v>46232</v>
      </c>
      <c r="J823" s="10" t="s">
        <v>9717</v>
      </c>
      <c r="L823" t="s">
        <v>9718</v>
      </c>
    </row>
    <row r="824" spans="1:12">
      <c r="A824" s="10">
        <v>46230</v>
      </c>
      <c r="B824" s="11" t="s">
        <v>9719</v>
      </c>
      <c r="C824" s="11" t="s">
        <v>585</v>
      </c>
      <c r="D824" s="11" t="s">
        <v>7144</v>
      </c>
      <c r="E824" s="11" t="s">
        <v>17</v>
      </c>
      <c r="F824" s="12" t="s">
        <v>9720</v>
      </c>
      <c r="G824" s="11" t="s">
        <v>7553</v>
      </c>
      <c r="H824" s="13" t="s">
        <v>7618</v>
      </c>
      <c r="I824" s="10">
        <v>46232</v>
      </c>
      <c r="J824" s="10" t="s">
        <v>9721</v>
      </c>
      <c r="L824" t="s">
        <v>9722</v>
      </c>
    </row>
    <row r="825" spans="1:12" ht="45">
      <c r="A825" s="10">
        <v>46230</v>
      </c>
      <c r="B825" s="167" t="s">
        <v>9723</v>
      </c>
      <c r="C825" s="11" t="s">
        <v>983</v>
      </c>
      <c r="D825" s="11" t="s">
        <v>6890</v>
      </c>
      <c r="E825" s="11" t="s">
        <v>17</v>
      </c>
      <c r="F825" s="12" t="s">
        <v>9724</v>
      </c>
      <c r="G825" s="11" t="s">
        <v>8200</v>
      </c>
      <c r="H825" s="13" t="s">
        <v>8956</v>
      </c>
      <c r="I825" s="10">
        <v>46232</v>
      </c>
      <c r="J825" s="10" t="s">
        <v>9403</v>
      </c>
      <c r="L825" t="s">
        <v>9725</v>
      </c>
    </row>
    <row r="826" spans="1:12" ht="30">
      <c r="A826" s="10">
        <v>46230</v>
      </c>
      <c r="B826" s="11" t="s">
        <v>9726</v>
      </c>
      <c r="C826" s="11" t="s">
        <v>1371</v>
      </c>
      <c r="D826" s="11" t="s">
        <v>7164</v>
      </c>
      <c r="E826" s="11" t="s">
        <v>17</v>
      </c>
      <c r="F826" s="12" t="s">
        <v>9727</v>
      </c>
      <c r="G826" s="11" t="s">
        <v>7553</v>
      </c>
      <c r="H826" s="13" t="s">
        <v>9706</v>
      </c>
      <c r="I826" s="10">
        <v>46232</v>
      </c>
      <c r="J826" s="10"/>
      <c r="L826" t="s">
        <v>9728</v>
      </c>
    </row>
    <row r="827" spans="1:12">
      <c r="A827" s="10">
        <v>46231</v>
      </c>
      <c r="B827" s="11" t="s">
        <v>9729</v>
      </c>
      <c r="C827" s="11" t="s">
        <v>1371</v>
      </c>
      <c r="D827" s="11" t="s">
        <v>7164</v>
      </c>
      <c r="E827" s="11" t="s">
        <v>17</v>
      </c>
      <c r="F827" s="12" t="s">
        <v>9730</v>
      </c>
      <c r="G827" s="11" t="s">
        <v>7553</v>
      </c>
      <c r="H827" s="13" t="s">
        <v>7618</v>
      </c>
      <c r="I827" s="10">
        <v>46232</v>
      </c>
      <c r="J827" s="10"/>
      <c r="L827" t="s">
        <v>9731</v>
      </c>
    </row>
    <row r="828" spans="1:12">
      <c r="A828" s="10">
        <v>46231</v>
      </c>
      <c r="B828" s="11" t="s">
        <v>9732</v>
      </c>
      <c r="C828" s="11" t="s">
        <v>1512</v>
      </c>
      <c r="D828" s="11" t="s">
        <v>7170</v>
      </c>
      <c r="E828" s="11" t="s">
        <v>17</v>
      </c>
      <c r="F828" s="12" t="s">
        <v>9733</v>
      </c>
      <c r="G828" s="11" t="s">
        <v>7553</v>
      </c>
      <c r="H828" s="13" t="s">
        <v>7618</v>
      </c>
      <c r="I828" s="10">
        <v>46232</v>
      </c>
      <c r="J828" s="10"/>
      <c r="L828" t="s">
        <v>9734</v>
      </c>
    </row>
    <row r="829" spans="1:12">
      <c r="A829" s="10">
        <v>46231</v>
      </c>
      <c r="B829" s="11" t="s">
        <v>9735</v>
      </c>
      <c r="C829" s="11" t="s">
        <v>1512</v>
      </c>
      <c r="D829" s="11" t="s">
        <v>7170</v>
      </c>
      <c r="E829" s="11" t="s">
        <v>17</v>
      </c>
      <c r="F829" s="12" t="s">
        <v>9736</v>
      </c>
      <c r="G829" s="11" t="s">
        <v>7553</v>
      </c>
      <c r="H829" s="13" t="s">
        <v>7618</v>
      </c>
      <c r="I829" s="10">
        <v>46232</v>
      </c>
      <c r="J829" s="10"/>
      <c r="L829" t="s">
        <v>9737</v>
      </c>
    </row>
    <row r="830" spans="1:12">
      <c r="A830" s="10">
        <v>46231</v>
      </c>
      <c r="B830" s="11" t="s">
        <v>9738</v>
      </c>
      <c r="C830" s="11" t="s">
        <v>700</v>
      </c>
      <c r="D830" s="11" t="s">
        <v>7726</v>
      </c>
      <c r="E830" s="11" t="s">
        <v>18</v>
      </c>
      <c r="F830" s="12" t="s">
        <v>9739</v>
      </c>
      <c r="G830" s="11" t="s">
        <v>7553</v>
      </c>
      <c r="H830" s="13" t="s">
        <v>7618</v>
      </c>
      <c r="I830" s="10">
        <v>46232</v>
      </c>
      <c r="J830" s="10">
        <v>46275.666666666701</v>
      </c>
      <c r="K830" t="s">
        <v>4</v>
      </c>
      <c r="L830" t="s">
        <v>9740</v>
      </c>
    </row>
    <row r="831" spans="1:12" ht="30">
      <c r="A831" s="10">
        <v>46231</v>
      </c>
      <c r="B831" s="11" t="s">
        <v>9741</v>
      </c>
      <c r="C831" s="11" t="s">
        <v>585</v>
      </c>
      <c r="D831" s="11" t="s">
        <v>7144</v>
      </c>
      <c r="E831" s="11" t="s">
        <v>17</v>
      </c>
      <c r="F831" s="12" t="s">
        <v>9742</v>
      </c>
      <c r="G831" s="11" t="s">
        <v>7553</v>
      </c>
      <c r="H831" s="13" t="s">
        <v>7618</v>
      </c>
      <c r="I831" s="10">
        <v>46232</v>
      </c>
      <c r="J831" s="10" t="s">
        <v>4</v>
      </c>
      <c r="L831" t="s">
        <v>9743</v>
      </c>
    </row>
    <row r="832" spans="1:12" ht="45">
      <c r="A832" s="10">
        <v>46231</v>
      </c>
      <c r="B832" s="11" t="s">
        <v>9744</v>
      </c>
      <c r="C832" s="11" t="s">
        <v>700</v>
      </c>
      <c r="D832" s="11" t="s">
        <v>7726</v>
      </c>
      <c r="E832" s="11" t="s">
        <v>18</v>
      </c>
      <c r="F832" s="12" t="s">
        <v>9745</v>
      </c>
      <c r="G832" s="11" t="s">
        <v>7553</v>
      </c>
      <c r="H832" s="13" t="s">
        <v>7618</v>
      </c>
      <c r="I832" s="10">
        <v>46232</v>
      </c>
      <c r="J832" s="10">
        <v>46275.666666666701</v>
      </c>
      <c r="K832" t="s">
        <v>4</v>
      </c>
      <c r="L832" t="s">
        <v>9746</v>
      </c>
    </row>
    <row r="833" spans="1:12" ht="45">
      <c r="A833" s="10">
        <v>46231</v>
      </c>
      <c r="B833" s="11" t="s">
        <v>9747</v>
      </c>
      <c r="C833" s="11" t="s">
        <v>700</v>
      </c>
      <c r="D833" s="11" t="s">
        <v>7726</v>
      </c>
      <c r="E833" s="11" t="s">
        <v>18</v>
      </c>
      <c r="F833" s="12" t="s">
        <v>9748</v>
      </c>
      <c r="G833" s="11" t="s">
        <v>7553</v>
      </c>
      <c r="H833" s="13" t="s">
        <v>9749</v>
      </c>
      <c r="I833" s="10">
        <v>46232</v>
      </c>
      <c r="J833" s="10">
        <v>46275.666666666701</v>
      </c>
      <c r="K833" t="s">
        <v>4</v>
      </c>
      <c r="L833" t="s">
        <v>9750</v>
      </c>
    </row>
    <row r="834" spans="1:12" ht="30">
      <c r="A834" s="10">
        <v>46231</v>
      </c>
      <c r="B834" s="11" t="s">
        <v>9751</v>
      </c>
      <c r="C834" s="11" t="s">
        <v>1348</v>
      </c>
      <c r="D834" s="11" t="s">
        <v>7010</v>
      </c>
      <c r="E834" s="11" t="s">
        <v>17</v>
      </c>
      <c r="F834" s="12" t="s">
        <v>9752</v>
      </c>
      <c r="G834" s="11" t="s">
        <v>7553</v>
      </c>
      <c r="H834" s="13" t="s">
        <v>9753</v>
      </c>
      <c r="I834" s="10">
        <v>46232</v>
      </c>
      <c r="J834" s="10" t="s">
        <v>4</v>
      </c>
      <c r="L834" t="s">
        <v>9754</v>
      </c>
    </row>
    <row r="835" spans="1:12" ht="60">
      <c r="A835" s="10">
        <v>46231</v>
      </c>
      <c r="B835" s="11" t="s">
        <v>9755</v>
      </c>
      <c r="C835" s="11" t="s">
        <v>1348</v>
      </c>
      <c r="D835" s="11" t="s">
        <v>7010</v>
      </c>
      <c r="E835" s="11" t="s">
        <v>17</v>
      </c>
      <c r="F835" s="12" t="s">
        <v>9756</v>
      </c>
      <c r="G835" s="11" t="s">
        <v>7553</v>
      </c>
      <c r="H835" s="13" t="s">
        <v>9757</v>
      </c>
      <c r="I835" s="10">
        <v>46232</v>
      </c>
      <c r="J835" s="10" t="s">
        <v>4</v>
      </c>
      <c r="L835" t="s">
        <v>9758</v>
      </c>
    </row>
    <row r="836" spans="1:12" ht="105">
      <c r="A836" s="10">
        <v>46231</v>
      </c>
      <c r="B836" s="11" t="s">
        <v>9759</v>
      </c>
      <c r="C836" s="11" t="s">
        <v>1555</v>
      </c>
      <c r="D836" s="11" t="s">
        <v>6897</v>
      </c>
      <c r="E836" s="11" t="s">
        <v>17</v>
      </c>
      <c r="F836" s="12" t="s">
        <v>9760</v>
      </c>
      <c r="G836" s="11" t="s">
        <v>7553</v>
      </c>
      <c r="H836" s="13" t="s">
        <v>7618</v>
      </c>
      <c r="I836" s="10">
        <v>46232</v>
      </c>
      <c r="J836" s="10" t="s">
        <v>9761</v>
      </c>
      <c r="L836" t="s">
        <v>9762</v>
      </c>
    </row>
    <row r="837" spans="1:12" ht="30">
      <c r="A837" s="10">
        <v>46231</v>
      </c>
      <c r="B837" s="11" t="s">
        <v>9763</v>
      </c>
      <c r="C837" s="11" t="s">
        <v>585</v>
      </c>
      <c r="D837" s="11" t="s">
        <v>7144</v>
      </c>
      <c r="E837" s="11" t="s">
        <v>17</v>
      </c>
      <c r="F837" s="12" t="s">
        <v>9764</v>
      </c>
      <c r="G837" s="11" t="s">
        <v>7553</v>
      </c>
      <c r="H837" s="13" t="s">
        <v>7618</v>
      </c>
      <c r="I837" s="10">
        <v>46232</v>
      </c>
      <c r="J837" s="10" t="s">
        <v>9765</v>
      </c>
      <c r="L837" t="s">
        <v>9766</v>
      </c>
    </row>
    <row r="838" spans="1:12" ht="45">
      <c r="A838" s="10">
        <v>46231</v>
      </c>
      <c r="B838" s="11" t="s">
        <v>9767</v>
      </c>
      <c r="C838" s="11" t="s">
        <v>1874</v>
      </c>
      <c r="D838" s="11" t="s">
        <v>7000</v>
      </c>
      <c r="E838" s="11" t="s">
        <v>17</v>
      </c>
      <c r="F838" s="12" t="s">
        <v>9768</v>
      </c>
      <c r="G838" s="11" t="s">
        <v>7553</v>
      </c>
      <c r="H838" s="13" t="s">
        <v>7618</v>
      </c>
      <c r="I838" s="10">
        <v>46232</v>
      </c>
      <c r="J838" s="10" t="s">
        <v>4</v>
      </c>
      <c r="L838" t="s">
        <v>9769</v>
      </c>
    </row>
    <row r="839" spans="1:12" ht="30">
      <c r="A839" s="10">
        <v>46232</v>
      </c>
      <c r="B839" s="11" t="s">
        <v>9770</v>
      </c>
      <c r="C839" s="11" t="s">
        <v>1884</v>
      </c>
      <c r="D839" s="11" t="s">
        <v>7135</v>
      </c>
      <c r="E839" s="11" t="s">
        <v>17</v>
      </c>
      <c r="F839" s="12" t="s">
        <v>9771</v>
      </c>
      <c r="G839" s="11" t="s">
        <v>7553</v>
      </c>
      <c r="H839" s="13" t="s">
        <v>7618</v>
      </c>
      <c r="I839" s="10">
        <v>46232</v>
      </c>
      <c r="J839" s="10">
        <v>46233.666666666701</v>
      </c>
      <c r="K839" t="s">
        <v>4</v>
      </c>
      <c r="L839" t="s">
        <v>9772</v>
      </c>
    </row>
    <row r="840" spans="1:12" ht="29.25">
      <c r="A840" s="10">
        <v>46232</v>
      </c>
      <c r="B840" s="11" t="s">
        <v>9773</v>
      </c>
      <c r="C840" s="11" t="s">
        <v>1884</v>
      </c>
      <c r="D840" s="11" t="s">
        <v>7135</v>
      </c>
      <c r="E840" s="11" t="s">
        <v>17</v>
      </c>
      <c r="F840" s="12" t="s">
        <v>9774</v>
      </c>
      <c r="G840" s="11" t="s">
        <v>7553</v>
      </c>
      <c r="H840" s="13" t="s">
        <v>7618</v>
      </c>
      <c r="I840" s="10">
        <v>46232</v>
      </c>
      <c r="J840" s="57">
        <v>46236.666666666701</v>
      </c>
      <c r="K840" t="s">
        <v>4</v>
      </c>
      <c r="L840" t="s">
        <v>9775</v>
      </c>
    </row>
    <row r="841" spans="1:12" ht="75">
      <c r="A841" s="10">
        <v>46232</v>
      </c>
      <c r="B841" s="11" t="s">
        <v>9776</v>
      </c>
      <c r="C841" s="11" t="s">
        <v>1555</v>
      </c>
      <c r="D841" s="11" t="s">
        <v>6897</v>
      </c>
      <c r="E841" s="11" t="s">
        <v>17</v>
      </c>
      <c r="F841" s="12" t="s">
        <v>9777</v>
      </c>
      <c r="G841" s="11" t="s">
        <v>7553</v>
      </c>
      <c r="H841" s="13" t="s">
        <v>7618</v>
      </c>
      <c r="I841" s="10">
        <v>46233</v>
      </c>
      <c r="J841" s="10" t="s">
        <v>9778</v>
      </c>
      <c r="L841" t="s">
        <v>9779</v>
      </c>
    </row>
    <row r="842" spans="1:12" ht="75">
      <c r="A842" s="10">
        <v>46232</v>
      </c>
      <c r="B842" s="11" t="s">
        <v>9780</v>
      </c>
      <c r="C842" s="11" t="s">
        <v>1555</v>
      </c>
      <c r="D842" s="11" t="s">
        <v>6897</v>
      </c>
      <c r="E842" s="11" t="s">
        <v>17</v>
      </c>
      <c r="F842" s="12" t="s">
        <v>9781</v>
      </c>
      <c r="G842" s="11" t="s">
        <v>7553</v>
      </c>
      <c r="H842" s="13" t="s">
        <v>9523</v>
      </c>
      <c r="I842" s="10">
        <v>46233</v>
      </c>
      <c r="J842" s="10" t="s">
        <v>9761</v>
      </c>
      <c r="L842" t="s">
        <v>9782</v>
      </c>
    </row>
    <row r="843" spans="1:12" ht="75">
      <c r="A843" s="10">
        <v>46232</v>
      </c>
      <c r="B843" s="11" t="s">
        <v>46</v>
      </c>
      <c r="C843" s="11" t="s">
        <v>1555</v>
      </c>
      <c r="D843" s="11" t="s">
        <v>6897</v>
      </c>
      <c r="E843" s="11" t="s">
        <v>17</v>
      </c>
      <c r="F843" s="12" t="s">
        <v>9783</v>
      </c>
      <c r="G843" s="11" t="s">
        <v>7553</v>
      </c>
      <c r="H843" s="13" t="s">
        <v>7618</v>
      </c>
      <c r="I843" s="10">
        <v>46233</v>
      </c>
      <c r="J843" s="10" t="s">
        <v>9784</v>
      </c>
      <c r="L843" t="s">
        <v>9785</v>
      </c>
    </row>
    <row r="844" spans="1:12">
      <c r="A844" s="10">
        <v>46232</v>
      </c>
      <c r="B844" s="11" t="s">
        <v>278</v>
      </c>
      <c r="C844" s="11" t="s">
        <v>1348</v>
      </c>
      <c r="D844" s="11" t="s">
        <v>7010</v>
      </c>
      <c r="E844" s="11" t="s">
        <v>17</v>
      </c>
      <c r="F844" s="12" t="s">
        <v>9786</v>
      </c>
      <c r="G844" s="11" t="s">
        <v>7553</v>
      </c>
      <c r="H844" s="13" t="s">
        <v>7618</v>
      </c>
      <c r="I844" s="10">
        <v>46233</v>
      </c>
      <c r="J844" s="10" t="s">
        <v>4</v>
      </c>
      <c r="L844" t="s">
        <v>9787</v>
      </c>
    </row>
    <row r="845" spans="1:12" ht="30">
      <c r="A845" s="10">
        <v>46232</v>
      </c>
      <c r="B845" s="11" t="s">
        <v>9788</v>
      </c>
      <c r="C845" s="11" t="s">
        <v>1348</v>
      </c>
      <c r="D845" s="11" t="s">
        <v>7010</v>
      </c>
      <c r="E845" s="11" t="s">
        <v>17</v>
      </c>
      <c r="F845" s="12" t="s">
        <v>9789</v>
      </c>
      <c r="G845" s="11" t="s">
        <v>7553</v>
      </c>
      <c r="H845" s="13" t="s">
        <v>9523</v>
      </c>
      <c r="I845" s="10">
        <v>46233</v>
      </c>
      <c r="J845" s="10" t="s">
        <v>4</v>
      </c>
      <c r="L845" t="s">
        <v>9790</v>
      </c>
    </row>
    <row r="846" spans="1:12" ht="90">
      <c r="A846" s="10">
        <v>46232</v>
      </c>
      <c r="B846" s="11" t="s">
        <v>9791</v>
      </c>
      <c r="C846" s="11" t="s">
        <v>1348</v>
      </c>
      <c r="D846" s="11" t="s">
        <v>7010</v>
      </c>
      <c r="E846" s="11" t="s">
        <v>17</v>
      </c>
      <c r="F846" s="12" t="s">
        <v>9792</v>
      </c>
      <c r="G846" s="11" t="s">
        <v>7553</v>
      </c>
      <c r="H846" s="13" t="s">
        <v>9793</v>
      </c>
      <c r="I846" s="10">
        <v>46233</v>
      </c>
      <c r="J846" s="10" t="s">
        <v>4</v>
      </c>
      <c r="L846" t="s">
        <v>9794</v>
      </c>
    </row>
    <row r="847" spans="1:12" ht="30">
      <c r="A847" s="10">
        <v>46232</v>
      </c>
      <c r="B847" s="11" t="s">
        <v>9795</v>
      </c>
      <c r="C847" s="11" t="s">
        <v>1348</v>
      </c>
      <c r="D847" s="11" t="s">
        <v>7010</v>
      </c>
      <c r="E847" s="11" t="s">
        <v>17</v>
      </c>
      <c r="F847" s="12" t="s">
        <v>9796</v>
      </c>
      <c r="G847" s="11" t="s">
        <v>7553</v>
      </c>
      <c r="H847" s="13" t="s">
        <v>9523</v>
      </c>
      <c r="I847" s="10">
        <v>46233</v>
      </c>
      <c r="J847" s="10" t="s">
        <v>4</v>
      </c>
      <c r="L847" t="s">
        <v>9797</v>
      </c>
    </row>
    <row r="848" spans="1:12" ht="90">
      <c r="A848" s="10">
        <v>46232</v>
      </c>
      <c r="B848" s="11" t="s">
        <v>332</v>
      </c>
      <c r="C848" s="11" t="s">
        <v>1555</v>
      </c>
      <c r="D848" s="11" t="s">
        <v>6897</v>
      </c>
      <c r="E848" s="11" t="s">
        <v>17</v>
      </c>
      <c r="F848" s="88" t="s">
        <v>9798</v>
      </c>
      <c r="G848" s="11" t="s">
        <v>7553</v>
      </c>
      <c r="H848" s="13" t="s">
        <v>7618</v>
      </c>
      <c r="I848" s="10">
        <v>46233</v>
      </c>
      <c r="J848" s="168" t="s">
        <v>9799</v>
      </c>
      <c r="L848" t="s">
        <v>9800</v>
      </c>
    </row>
    <row r="849" spans="1:12">
      <c r="A849" s="10">
        <v>46232</v>
      </c>
      <c r="B849" s="11" t="s">
        <v>9801</v>
      </c>
      <c r="C849" s="11" t="s">
        <v>1779</v>
      </c>
      <c r="D849" s="11" t="s">
        <v>7383</v>
      </c>
      <c r="E849" s="11" t="s">
        <v>18</v>
      </c>
      <c r="F849" s="12" t="s">
        <v>9802</v>
      </c>
      <c r="G849" s="11" t="s">
        <v>7553</v>
      </c>
      <c r="H849" s="13" t="s">
        <v>7618</v>
      </c>
      <c r="I849" s="10">
        <v>46233</v>
      </c>
      <c r="J849" s="10"/>
      <c r="L849" t="s">
        <v>9803</v>
      </c>
    </row>
    <row r="850" spans="1:12" ht="45">
      <c r="A850" s="10">
        <v>46232</v>
      </c>
      <c r="B850" s="12" t="s">
        <v>9804</v>
      </c>
      <c r="C850" s="11" t="s">
        <v>1779</v>
      </c>
      <c r="D850" s="11" t="s">
        <v>7383</v>
      </c>
      <c r="E850" s="11" t="s">
        <v>18</v>
      </c>
      <c r="F850" s="12" t="s">
        <v>9805</v>
      </c>
      <c r="G850" s="11" t="s">
        <v>7553</v>
      </c>
      <c r="H850" s="13" t="s">
        <v>7618</v>
      </c>
      <c r="I850" s="10">
        <v>46233</v>
      </c>
      <c r="J850" s="10"/>
      <c r="L850" t="s">
        <v>9806</v>
      </c>
    </row>
    <row r="851" spans="1:12" ht="45">
      <c r="A851" s="10">
        <v>46232</v>
      </c>
      <c r="B851" s="82" t="s">
        <v>9807</v>
      </c>
      <c r="C851" s="11" t="s">
        <v>983</v>
      </c>
      <c r="D851" s="11" t="s">
        <v>6890</v>
      </c>
      <c r="E851" s="11" t="s">
        <v>17</v>
      </c>
      <c r="F851" s="12" t="s">
        <v>9808</v>
      </c>
      <c r="G851" s="11" t="s">
        <v>7553</v>
      </c>
      <c r="H851" s="13" t="s">
        <v>7618</v>
      </c>
      <c r="I851" s="10">
        <v>46233</v>
      </c>
      <c r="J851" s="10" t="s">
        <v>4916</v>
      </c>
      <c r="L851" t="s">
        <v>9809</v>
      </c>
    </row>
    <row r="852" spans="1:12" ht="45">
      <c r="A852" s="10">
        <v>46232</v>
      </c>
      <c r="B852" s="11" t="s">
        <v>9810</v>
      </c>
      <c r="C852" s="11" t="s">
        <v>1779</v>
      </c>
      <c r="D852" s="11" t="s">
        <v>7383</v>
      </c>
      <c r="E852" s="11" t="s">
        <v>18</v>
      </c>
      <c r="F852" s="12" t="s">
        <v>9811</v>
      </c>
      <c r="G852" s="11" t="s">
        <v>7553</v>
      </c>
      <c r="H852" s="13" t="s">
        <v>7618</v>
      </c>
      <c r="I852" s="10">
        <v>46233</v>
      </c>
      <c r="J852" s="10"/>
      <c r="L852" t="s">
        <v>9812</v>
      </c>
    </row>
    <row r="853" spans="1:12">
      <c r="A853" s="10">
        <v>46232</v>
      </c>
      <c r="B853" s="11" t="s">
        <v>9813</v>
      </c>
      <c r="C853" s="11" t="s">
        <v>741</v>
      </c>
      <c r="D853" s="11" t="s">
        <v>7028</v>
      </c>
      <c r="E853" s="11" t="s">
        <v>13</v>
      </c>
      <c r="F853" s="12" t="s">
        <v>9814</v>
      </c>
      <c r="G853" s="11" t="s">
        <v>7553</v>
      </c>
      <c r="H853" s="13" t="s">
        <v>7618</v>
      </c>
      <c r="I853" s="10">
        <v>46233</v>
      </c>
      <c r="J853" s="10"/>
      <c r="L853" t="s">
        <v>9815</v>
      </c>
    </row>
    <row r="854" spans="1:12" ht="60">
      <c r="A854" s="10">
        <v>46232</v>
      </c>
      <c r="B854" s="11" t="s">
        <v>9816</v>
      </c>
      <c r="C854" s="11" t="s">
        <v>839</v>
      </c>
      <c r="D854" s="11" t="s">
        <v>7152</v>
      </c>
      <c r="E854" s="11" t="s">
        <v>18</v>
      </c>
      <c r="F854" s="12" t="s">
        <v>9817</v>
      </c>
      <c r="G854" s="11" t="s">
        <v>7553</v>
      </c>
      <c r="H854" s="13" t="s">
        <v>9818</v>
      </c>
      <c r="I854" s="10">
        <v>46233</v>
      </c>
      <c r="J854" s="10" t="s">
        <v>4</v>
      </c>
      <c r="L854" t="s">
        <v>9819</v>
      </c>
    </row>
    <row r="855" spans="1:12" ht="135">
      <c r="A855" s="169">
        <v>46232</v>
      </c>
      <c r="B855" s="147" t="s">
        <v>9820</v>
      </c>
      <c r="C855" s="135" t="s">
        <v>648</v>
      </c>
      <c r="D855" s="135" t="s">
        <v>8434</v>
      </c>
      <c r="E855" s="135" t="s">
        <v>17</v>
      </c>
      <c r="F855" s="170" t="s">
        <v>9821</v>
      </c>
      <c r="G855" s="11" t="s">
        <v>7553</v>
      </c>
      <c r="H855" s="13" t="s">
        <v>9822</v>
      </c>
      <c r="I855" s="10">
        <v>46233</v>
      </c>
      <c r="J855" s="10" t="s">
        <v>4</v>
      </c>
      <c r="L855" t="s">
        <v>9823</v>
      </c>
    </row>
    <row r="856" spans="1:12" ht="30">
      <c r="A856" s="169">
        <v>46232</v>
      </c>
      <c r="B856" s="12" t="s">
        <v>9824</v>
      </c>
      <c r="C856" s="11" t="s">
        <v>7316</v>
      </c>
      <c r="D856" s="11" t="s">
        <v>7317</v>
      </c>
      <c r="E856" s="11" t="s">
        <v>9262</v>
      </c>
      <c r="F856" s="12" t="s">
        <v>9825</v>
      </c>
      <c r="G856" s="11" t="s">
        <v>7553</v>
      </c>
      <c r="H856" s="13" t="s">
        <v>7618</v>
      </c>
      <c r="I856" s="10">
        <v>46233</v>
      </c>
      <c r="J856" s="10" t="s">
        <v>4</v>
      </c>
      <c r="L856" t="s">
        <v>9826</v>
      </c>
    </row>
    <row r="857" spans="1:12">
      <c r="A857" s="10">
        <v>46232</v>
      </c>
      <c r="B857" s="11" t="s">
        <v>9827</v>
      </c>
      <c r="C857" s="11" t="s">
        <v>1053</v>
      </c>
      <c r="D857" s="11" t="s">
        <v>7532</v>
      </c>
      <c r="E857" s="11" t="s">
        <v>13</v>
      </c>
      <c r="F857" s="12" t="s">
        <v>9828</v>
      </c>
      <c r="G857" s="11" t="s">
        <v>7553</v>
      </c>
      <c r="H857" s="13" t="s">
        <v>7618</v>
      </c>
      <c r="I857" s="10">
        <v>46233</v>
      </c>
      <c r="J857" s="10">
        <v>46272.666666666701</v>
      </c>
      <c r="K857" t="s">
        <v>4</v>
      </c>
      <c r="L857" t="s">
        <v>9829</v>
      </c>
    </row>
    <row r="858" spans="1:12" ht="26.25">
      <c r="A858" s="10">
        <v>46232</v>
      </c>
      <c r="B858" s="164" t="s">
        <v>9830</v>
      </c>
      <c r="C858" s="11" t="s">
        <v>983</v>
      </c>
      <c r="D858" s="11" t="s">
        <v>6890</v>
      </c>
      <c r="E858" s="11" t="s">
        <v>17</v>
      </c>
      <c r="F858" s="12" t="s">
        <v>9831</v>
      </c>
      <c r="G858" s="11" t="s">
        <v>7553</v>
      </c>
      <c r="H858" s="13" t="s">
        <v>9664</v>
      </c>
      <c r="I858" s="10">
        <v>46234</v>
      </c>
      <c r="J858" s="10" t="s">
        <v>4</v>
      </c>
      <c r="L858" t="s">
        <v>9832</v>
      </c>
    </row>
    <row r="859" spans="1:12">
      <c r="A859" s="10">
        <v>46232</v>
      </c>
      <c r="B859" s="8" t="s">
        <v>9833</v>
      </c>
      <c r="C859" s="11" t="s">
        <v>1824</v>
      </c>
      <c r="D859" s="11" t="s">
        <v>8333</v>
      </c>
      <c r="E859" s="11" t="s">
        <v>17</v>
      </c>
      <c r="F859" s="12" t="s">
        <v>9834</v>
      </c>
      <c r="G859" s="11" t="s">
        <v>7553</v>
      </c>
      <c r="H859" s="13" t="s">
        <v>9835</v>
      </c>
      <c r="I859" s="10">
        <v>46234</v>
      </c>
      <c r="J859" s="10" t="s">
        <v>4</v>
      </c>
      <c r="L859" t="s">
        <v>9836</v>
      </c>
    </row>
    <row r="860" spans="1:12" ht="30">
      <c r="A860" s="10">
        <v>46232</v>
      </c>
      <c r="B860" s="12" t="s">
        <v>9837</v>
      </c>
      <c r="C860" s="11" t="s">
        <v>461</v>
      </c>
      <c r="D860" s="11" t="s">
        <v>6982</v>
      </c>
      <c r="E860" s="11" t="s">
        <v>17</v>
      </c>
      <c r="F860" s="12" t="s">
        <v>9838</v>
      </c>
      <c r="G860" s="11" t="s">
        <v>7553</v>
      </c>
      <c r="H860" s="13" t="s">
        <v>9839</v>
      </c>
      <c r="I860" s="10">
        <v>46234</v>
      </c>
      <c r="J860" s="10"/>
      <c r="L860" t="s">
        <v>9840</v>
      </c>
    </row>
    <row r="861" spans="1:12" ht="30">
      <c r="A861" s="10">
        <v>46232</v>
      </c>
      <c r="B861" s="11" t="s">
        <v>9841</v>
      </c>
      <c r="C861" s="11" t="s">
        <v>1824</v>
      </c>
      <c r="D861" s="11" t="s">
        <v>8333</v>
      </c>
      <c r="E861" s="11" t="s">
        <v>17</v>
      </c>
      <c r="F861" s="12" t="s">
        <v>9842</v>
      </c>
      <c r="G861" s="11" t="s">
        <v>7553</v>
      </c>
      <c r="H861" s="13" t="s">
        <v>9843</v>
      </c>
      <c r="I861" s="10">
        <v>46234</v>
      </c>
      <c r="J861" s="10" t="s">
        <v>4</v>
      </c>
      <c r="L861" t="s">
        <v>9844</v>
      </c>
    </row>
    <row r="862" spans="1:12">
      <c r="A862" s="10">
        <v>46233</v>
      </c>
      <c r="B862" s="11" t="s">
        <v>9845</v>
      </c>
      <c r="C862" s="11" t="s">
        <v>1252</v>
      </c>
      <c r="D862" s="11" t="s">
        <v>7038</v>
      </c>
      <c r="E862" s="11" t="s">
        <v>17</v>
      </c>
      <c r="F862" s="12" t="s">
        <v>9846</v>
      </c>
      <c r="G862" s="11" t="s">
        <v>7553</v>
      </c>
      <c r="H862" s="13" t="s">
        <v>7618</v>
      </c>
      <c r="I862" s="10">
        <v>46234</v>
      </c>
      <c r="J862" s="10" t="s">
        <v>4</v>
      </c>
      <c r="L862" t="s">
        <v>9847</v>
      </c>
    </row>
    <row r="863" spans="1:12" ht="30">
      <c r="A863" s="10">
        <v>46233</v>
      </c>
      <c r="B863" s="11" t="s">
        <v>9848</v>
      </c>
      <c r="C863" s="11" t="s">
        <v>741</v>
      </c>
      <c r="D863" s="11" t="s">
        <v>7028</v>
      </c>
      <c r="E863" s="11" t="s">
        <v>13</v>
      </c>
      <c r="F863" s="12" t="s">
        <v>9849</v>
      </c>
      <c r="G863" s="11" t="s">
        <v>7553</v>
      </c>
      <c r="H863" s="13" t="s">
        <v>7618</v>
      </c>
      <c r="I863" s="10">
        <v>46234</v>
      </c>
      <c r="J863" s="10"/>
      <c r="L863" t="s">
        <v>9850</v>
      </c>
    </row>
    <row r="864" spans="1:12">
      <c r="A864" s="10">
        <v>46231</v>
      </c>
      <c r="B864" s="11" t="s">
        <v>9851</v>
      </c>
      <c r="C864" s="11" t="s">
        <v>1512</v>
      </c>
      <c r="D864" s="11" t="s">
        <v>7170</v>
      </c>
      <c r="E864" s="11" t="s">
        <v>17</v>
      </c>
      <c r="F864" s="12" t="s">
        <v>9852</v>
      </c>
      <c r="G864" s="11" t="s">
        <v>7553</v>
      </c>
      <c r="H864" s="13" t="s">
        <v>7618</v>
      </c>
      <c r="I864" s="10">
        <v>46234</v>
      </c>
      <c r="J864" s="10"/>
      <c r="L864" t="s">
        <v>9853</v>
      </c>
    </row>
    <row r="865" spans="1:12">
      <c r="A865" s="10">
        <v>46233</v>
      </c>
      <c r="B865" s="11" t="s">
        <v>9854</v>
      </c>
      <c r="C865" s="11" t="s">
        <v>1436</v>
      </c>
      <c r="D865" s="11" t="s">
        <v>6920</v>
      </c>
      <c r="E865" s="11" t="s">
        <v>18</v>
      </c>
      <c r="F865" s="12" t="s">
        <v>9855</v>
      </c>
      <c r="G865" s="11" t="s">
        <v>7553</v>
      </c>
      <c r="H865" s="13" t="s">
        <v>7618</v>
      </c>
      <c r="I865" s="10">
        <v>46234</v>
      </c>
      <c r="J865" s="10" t="s">
        <v>4</v>
      </c>
      <c r="L865" t="s">
        <v>9856</v>
      </c>
    </row>
    <row r="866" spans="1:12">
      <c r="A866" s="10">
        <v>46233</v>
      </c>
      <c r="B866" s="11" t="s">
        <v>327</v>
      </c>
      <c r="C866" s="11" t="s">
        <v>839</v>
      </c>
      <c r="D866" s="11" t="s">
        <v>7152</v>
      </c>
      <c r="E866" s="11" t="s">
        <v>9857</v>
      </c>
      <c r="F866" s="12" t="s">
        <v>9858</v>
      </c>
      <c r="G866" s="11" t="s">
        <v>7553</v>
      </c>
      <c r="H866" s="13" t="s">
        <v>7618</v>
      </c>
      <c r="I866" s="10">
        <v>46234</v>
      </c>
      <c r="J866" s="10" t="s">
        <v>4</v>
      </c>
      <c r="L866" t="s">
        <v>9859</v>
      </c>
    </row>
    <row r="867" spans="1:12" ht="45">
      <c r="A867" s="10">
        <v>46233</v>
      </c>
      <c r="B867" s="12" t="s">
        <v>9860</v>
      </c>
      <c r="C867" s="11" t="s">
        <v>1779</v>
      </c>
      <c r="D867" s="11" t="s">
        <v>7383</v>
      </c>
      <c r="E867" s="11" t="s">
        <v>18</v>
      </c>
      <c r="F867" s="12" t="s">
        <v>9861</v>
      </c>
      <c r="G867" s="11" t="s">
        <v>7553</v>
      </c>
      <c r="H867" s="13" t="s">
        <v>9706</v>
      </c>
      <c r="I867" s="10">
        <v>46234</v>
      </c>
      <c r="J867" s="10"/>
      <c r="L867" t="s">
        <v>9862</v>
      </c>
    </row>
    <row r="868" spans="1:12">
      <c r="A868" s="10">
        <v>46233</v>
      </c>
      <c r="B868" s="11" t="s">
        <v>9863</v>
      </c>
      <c r="C868" s="11" t="s">
        <v>741</v>
      </c>
      <c r="D868" s="11" t="s">
        <v>7028</v>
      </c>
      <c r="E868" s="11" t="s">
        <v>13</v>
      </c>
      <c r="F868" s="12" t="s">
        <v>9864</v>
      </c>
      <c r="G868" s="11" t="s">
        <v>7553</v>
      </c>
      <c r="H868" s="13" t="s">
        <v>7618</v>
      </c>
      <c r="I868" s="10">
        <v>46234</v>
      </c>
      <c r="J868" s="10"/>
      <c r="L868" t="s">
        <v>9865</v>
      </c>
    </row>
    <row r="869" spans="1:12">
      <c r="A869" s="10">
        <v>46233</v>
      </c>
      <c r="B869" s="171" t="s">
        <v>9866</v>
      </c>
      <c r="C869" s="11" t="s">
        <v>983</v>
      </c>
      <c r="D869" s="11" t="s">
        <v>6890</v>
      </c>
      <c r="E869" s="11" t="s">
        <v>17</v>
      </c>
      <c r="F869" s="12" t="s">
        <v>9867</v>
      </c>
      <c r="G869" s="11" t="s">
        <v>7553</v>
      </c>
      <c r="H869" s="13" t="s">
        <v>7618</v>
      </c>
      <c r="I869" s="10">
        <v>46234</v>
      </c>
      <c r="J869" s="10" t="s">
        <v>4</v>
      </c>
      <c r="L869" t="s">
        <v>9868</v>
      </c>
    </row>
    <row r="870" spans="1:12">
      <c r="B870" s="11" t="s">
        <v>9869</v>
      </c>
      <c r="C870" s="11" t="s">
        <v>496</v>
      </c>
      <c r="D870" s="11" t="s">
        <v>7608</v>
      </c>
      <c r="E870" s="11" t="s">
        <v>17</v>
      </c>
      <c r="F870" s="12" t="s">
        <v>9870</v>
      </c>
      <c r="G870" s="11" t="s">
        <v>7553</v>
      </c>
      <c r="H870" s="13" t="s">
        <v>7618</v>
      </c>
      <c r="I870" s="10">
        <v>46234</v>
      </c>
      <c r="J870" s="10">
        <v>46238</v>
      </c>
      <c r="L870" t="s">
        <v>9871</v>
      </c>
    </row>
    <row r="871" spans="1:12" ht="30">
      <c r="A871" s="10">
        <v>46233</v>
      </c>
      <c r="B871" s="12" t="s">
        <v>9872</v>
      </c>
      <c r="C871" s="11" t="s">
        <v>461</v>
      </c>
      <c r="D871" s="11" t="s">
        <v>6982</v>
      </c>
      <c r="E871" s="11" t="s">
        <v>17</v>
      </c>
      <c r="F871" s="12" t="s">
        <v>9873</v>
      </c>
      <c r="G871" s="11" t="s">
        <v>7553</v>
      </c>
      <c r="H871" s="13" t="s">
        <v>9874</v>
      </c>
      <c r="I871" s="10">
        <v>46234</v>
      </c>
      <c r="J871" s="10"/>
      <c r="L871" t="s">
        <v>9875</v>
      </c>
    </row>
    <row r="872" spans="1:12" ht="75">
      <c r="A872" s="10">
        <v>46233</v>
      </c>
      <c r="B872" s="11" t="s">
        <v>9876</v>
      </c>
      <c r="C872" s="11" t="s">
        <v>1053</v>
      </c>
      <c r="D872" s="11" t="s">
        <v>7532</v>
      </c>
      <c r="E872" s="11" t="s">
        <v>13</v>
      </c>
      <c r="F872" s="12" t="s">
        <v>9877</v>
      </c>
      <c r="G872" s="11" t="s">
        <v>7553</v>
      </c>
      <c r="H872" s="13" t="s">
        <v>9878</v>
      </c>
      <c r="I872" s="10">
        <v>46234</v>
      </c>
      <c r="J872" s="10">
        <v>46272.666666666701</v>
      </c>
      <c r="K872" t="s">
        <v>4</v>
      </c>
      <c r="L872" t="s">
        <v>9879</v>
      </c>
    </row>
    <row r="873" spans="1:12">
      <c r="A873" s="10">
        <v>46233</v>
      </c>
      <c r="B873" s="11" t="s">
        <v>9880</v>
      </c>
      <c r="C873" s="46" t="s">
        <v>2369</v>
      </c>
      <c r="D873" s="48" t="s">
        <v>6961</v>
      </c>
      <c r="E873" s="11" t="s">
        <v>18</v>
      </c>
      <c r="F873" s="12" t="s">
        <v>9881</v>
      </c>
      <c r="G873" s="11" t="s">
        <v>7553</v>
      </c>
      <c r="H873" s="13" t="s">
        <v>7618</v>
      </c>
      <c r="I873" s="10">
        <v>46234</v>
      </c>
      <c r="J873" s="10" t="s">
        <v>9882</v>
      </c>
      <c r="L873" t="s">
        <v>9883</v>
      </c>
    </row>
    <row r="874" spans="1:12" ht="90">
      <c r="A874" s="10">
        <v>46233</v>
      </c>
      <c r="B874" s="11" t="s">
        <v>9884</v>
      </c>
      <c r="C874" s="11" t="s">
        <v>1555</v>
      </c>
      <c r="D874" s="11" t="s">
        <v>6897</v>
      </c>
      <c r="E874" s="11" t="s">
        <v>17</v>
      </c>
      <c r="F874" s="12" t="s">
        <v>9885</v>
      </c>
      <c r="G874" s="11" t="s">
        <v>7553</v>
      </c>
      <c r="H874" s="13" t="s">
        <v>7618</v>
      </c>
      <c r="I874" s="10">
        <v>46234</v>
      </c>
      <c r="J874" s="10" t="s">
        <v>9886</v>
      </c>
      <c r="L874" t="s">
        <v>9887</v>
      </c>
    </row>
    <row r="875" spans="1:12" ht="45">
      <c r="A875" s="10">
        <v>46233</v>
      </c>
      <c r="B875" t="s">
        <v>9888</v>
      </c>
      <c r="C875" s="11" t="s">
        <v>2270</v>
      </c>
      <c r="D875" s="11" t="s">
        <v>7243</v>
      </c>
      <c r="E875" s="11" t="s">
        <v>8691</v>
      </c>
      <c r="F875" s="12" t="s">
        <v>9889</v>
      </c>
      <c r="G875" s="11" t="s">
        <v>7553</v>
      </c>
      <c r="H875" s="13" t="s">
        <v>7618</v>
      </c>
      <c r="I875" s="10">
        <v>46234</v>
      </c>
      <c r="J875" s="10" t="s">
        <v>4</v>
      </c>
      <c r="L875" t="s">
        <v>9890</v>
      </c>
    </row>
    <row r="876" spans="1:12" ht="60">
      <c r="A876" s="10">
        <v>46233</v>
      </c>
      <c r="B876" s="11" t="s">
        <v>9891</v>
      </c>
      <c r="C876" s="11" t="s">
        <v>2270</v>
      </c>
      <c r="D876" s="11" t="s">
        <v>7243</v>
      </c>
      <c r="E876" s="11" t="s">
        <v>8691</v>
      </c>
      <c r="F876" s="12" t="s">
        <v>9892</v>
      </c>
      <c r="G876" s="11" t="s">
        <v>7553</v>
      </c>
      <c r="H876" s="13" t="s">
        <v>7618</v>
      </c>
      <c r="I876" s="10">
        <v>46234</v>
      </c>
      <c r="J876" s="10" t="s">
        <v>4</v>
      </c>
      <c r="L876" t="s">
        <v>9893</v>
      </c>
    </row>
    <row r="877" spans="1:12">
      <c r="A877" s="10">
        <v>46234</v>
      </c>
      <c r="B877" s="11" t="s">
        <v>9894</v>
      </c>
      <c r="C877" s="11" t="s">
        <v>1371</v>
      </c>
      <c r="D877" s="11" t="s">
        <v>7164</v>
      </c>
      <c r="E877" s="11" t="s">
        <v>17</v>
      </c>
      <c r="F877" s="12" t="s">
        <v>9895</v>
      </c>
      <c r="G877" s="11" t="s">
        <v>7553</v>
      </c>
      <c r="H877" s="13" t="s">
        <v>7618</v>
      </c>
      <c r="I877" s="10">
        <v>46234</v>
      </c>
      <c r="J877" s="10"/>
      <c r="L877" t="s">
        <v>9896</v>
      </c>
    </row>
    <row r="878" spans="1:12" ht="30">
      <c r="A878" s="10">
        <v>46234</v>
      </c>
      <c r="B878" s="11" t="s">
        <v>9897</v>
      </c>
      <c r="C878" s="11" t="s">
        <v>1371</v>
      </c>
      <c r="D878" s="11" t="s">
        <v>7164</v>
      </c>
      <c r="E878" s="11" t="s">
        <v>17</v>
      </c>
      <c r="F878" s="12" t="s">
        <v>9898</v>
      </c>
      <c r="G878" s="11" t="s">
        <v>8200</v>
      </c>
      <c r="H878" s="13" t="s">
        <v>7618</v>
      </c>
      <c r="I878" s="10">
        <v>46234</v>
      </c>
      <c r="J878" s="10"/>
      <c r="L878" t="s">
        <v>9899</v>
      </c>
    </row>
    <row r="879" spans="1:12" ht="60">
      <c r="A879" s="10">
        <v>46234</v>
      </c>
      <c r="B879" s="11" t="s">
        <v>9900</v>
      </c>
      <c r="C879" s="11" t="s">
        <v>1371</v>
      </c>
      <c r="D879" s="11" t="s">
        <v>7164</v>
      </c>
      <c r="E879" s="11" t="s">
        <v>17</v>
      </c>
      <c r="F879" s="12" t="s">
        <v>9901</v>
      </c>
      <c r="G879" s="11" t="s">
        <v>7553</v>
      </c>
      <c r="H879" s="13" t="s">
        <v>9902</v>
      </c>
      <c r="I879" s="10">
        <v>46234</v>
      </c>
      <c r="J879" s="10"/>
      <c r="L879" t="s">
        <v>9903</v>
      </c>
    </row>
    <row r="880" spans="1:12" ht="30">
      <c r="A880" s="10">
        <v>46234</v>
      </c>
      <c r="B880" s="11" t="s">
        <v>9904</v>
      </c>
      <c r="C880" s="11" t="s">
        <v>585</v>
      </c>
      <c r="D880" s="11" t="s">
        <v>7144</v>
      </c>
      <c r="E880" s="11" t="s">
        <v>17</v>
      </c>
      <c r="F880" s="12" t="s">
        <v>9905</v>
      </c>
      <c r="G880" s="11" t="s">
        <v>8200</v>
      </c>
      <c r="H880" s="13" t="s">
        <v>7618</v>
      </c>
      <c r="I880" s="10">
        <v>46234</v>
      </c>
      <c r="J880" s="10" t="s">
        <v>9882</v>
      </c>
      <c r="L880" t="s">
        <v>9906</v>
      </c>
    </row>
    <row r="881" spans="1:12">
      <c r="A881" s="10">
        <v>46234</v>
      </c>
      <c r="B881" s="11" t="s">
        <v>9907</v>
      </c>
      <c r="C881" s="11" t="s">
        <v>518</v>
      </c>
      <c r="D881" s="11" t="s">
        <v>6916</v>
      </c>
      <c r="E881" s="11" t="s">
        <v>17</v>
      </c>
      <c r="F881" s="12" t="s">
        <v>9908</v>
      </c>
      <c r="G881" s="11" t="s">
        <v>7553</v>
      </c>
      <c r="H881" s="13" t="s">
        <v>7618</v>
      </c>
      <c r="I881" s="10">
        <v>46234</v>
      </c>
      <c r="J881" s="10" t="s">
        <v>9882</v>
      </c>
      <c r="L881" t="s">
        <v>9909</v>
      </c>
    </row>
    <row r="882" spans="1:12" ht="345">
      <c r="A882" s="10">
        <v>46234</v>
      </c>
      <c r="B882" s="172" t="s">
        <v>9910</v>
      </c>
      <c r="C882" s="11" t="s">
        <v>983</v>
      </c>
      <c r="D882" s="11" t="s">
        <v>6890</v>
      </c>
      <c r="E882" s="11" t="s">
        <v>17</v>
      </c>
      <c r="F882" s="12" t="s">
        <v>9911</v>
      </c>
      <c r="G882" s="11" t="s">
        <v>7553</v>
      </c>
      <c r="H882" s="13" t="s">
        <v>9912</v>
      </c>
      <c r="I882" s="10">
        <v>46237</v>
      </c>
      <c r="J882" s="10" t="s">
        <v>4</v>
      </c>
      <c r="L882" t="s">
        <v>9913</v>
      </c>
    </row>
    <row r="883" spans="1:12" ht="30">
      <c r="A883" s="10">
        <v>46234</v>
      </c>
      <c r="B883" s="11" t="s">
        <v>9914</v>
      </c>
      <c r="C883" s="11" t="s">
        <v>1348</v>
      </c>
      <c r="D883" s="11" t="s">
        <v>7010</v>
      </c>
      <c r="E883" s="11" t="s">
        <v>17</v>
      </c>
      <c r="F883" s="12" t="s">
        <v>9915</v>
      </c>
      <c r="G883" s="11" t="s">
        <v>7553</v>
      </c>
      <c r="H883" s="13" t="s">
        <v>9912</v>
      </c>
      <c r="I883" s="10">
        <v>46237</v>
      </c>
      <c r="J883" s="10" t="s">
        <v>4</v>
      </c>
      <c r="L883" s="179" t="s">
        <v>9916</v>
      </c>
    </row>
    <row r="884" spans="1:12">
      <c r="A884" s="10">
        <v>46234</v>
      </c>
      <c r="B884" s="11" t="s">
        <v>9917</v>
      </c>
      <c r="C884" s="11" t="s">
        <v>1348</v>
      </c>
      <c r="D884" s="11" t="s">
        <v>7010</v>
      </c>
      <c r="E884" s="11" t="s">
        <v>17</v>
      </c>
      <c r="F884" s="12" t="s">
        <v>9918</v>
      </c>
      <c r="G884" s="11" t="s">
        <v>7553</v>
      </c>
      <c r="H884" s="13" t="s">
        <v>9919</v>
      </c>
      <c r="I884" s="10">
        <v>46237</v>
      </c>
      <c r="J884" s="10" t="s">
        <v>4</v>
      </c>
      <c r="L884" t="s">
        <v>9920</v>
      </c>
    </row>
    <row r="885" spans="1:12">
      <c r="A885" s="10">
        <v>46234</v>
      </c>
      <c r="B885" s="11" t="s">
        <v>9921</v>
      </c>
      <c r="C885" s="11" t="s">
        <v>741</v>
      </c>
      <c r="D885" s="11" t="s">
        <v>7028</v>
      </c>
      <c r="E885" s="11" t="s">
        <v>13</v>
      </c>
      <c r="F885" s="12" t="s">
        <v>9922</v>
      </c>
      <c r="G885" s="11" t="s">
        <v>7553</v>
      </c>
      <c r="H885" s="13" t="s">
        <v>7618</v>
      </c>
      <c r="I885" s="10">
        <v>46237</v>
      </c>
      <c r="J885" s="10"/>
      <c r="L885" t="s">
        <v>9923</v>
      </c>
    </row>
    <row r="886" spans="1:12">
      <c r="A886" s="10">
        <v>46234</v>
      </c>
      <c r="B886" s="11" t="s">
        <v>9924</v>
      </c>
      <c r="C886" s="11" t="s">
        <v>1348</v>
      </c>
      <c r="D886" s="11" t="s">
        <v>7010</v>
      </c>
      <c r="E886" s="11" t="s">
        <v>17</v>
      </c>
      <c r="F886" s="12" t="s">
        <v>9918</v>
      </c>
      <c r="G886" s="11" t="s">
        <v>7553</v>
      </c>
      <c r="H886" s="13" t="s">
        <v>9919</v>
      </c>
      <c r="I886" s="10">
        <v>46237</v>
      </c>
      <c r="J886" s="10" t="s">
        <v>4</v>
      </c>
      <c r="L886" s="179" t="s">
        <v>9925</v>
      </c>
    </row>
    <row r="887" spans="1:12" ht="15.75">
      <c r="A887" s="10">
        <v>46234</v>
      </c>
      <c r="B887" s="157" t="s">
        <v>9926</v>
      </c>
      <c r="C887" s="11" t="s">
        <v>983</v>
      </c>
      <c r="D887" s="11" t="s">
        <v>6890</v>
      </c>
      <c r="E887" s="11" t="s">
        <v>17</v>
      </c>
      <c r="F887" s="12" t="s">
        <v>9927</v>
      </c>
      <c r="G887" s="11" t="s">
        <v>7553</v>
      </c>
      <c r="H887" s="13" t="s">
        <v>9928</v>
      </c>
      <c r="I887" s="10">
        <v>46237</v>
      </c>
      <c r="J887" s="10" t="s">
        <v>4916</v>
      </c>
      <c r="L887" t="s">
        <v>9929</v>
      </c>
    </row>
    <row r="888" spans="1:12" ht="45">
      <c r="A888" s="10">
        <v>46234</v>
      </c>
      <c r="B888" s="12" t="s">
        <v>9930</v>
      </c>
      <c r="C888" s="11" t="s">
        <v>625</v>
      </c>
      <c r="D888" s="11" t="s">
        <v>9051</v>
      </c>
      <c r="E888" s="11" t="s">
        <v>17</v>
      </c>
      <c r="F888" s="12" t="s">
        <v>9931</v>
      </c>
      <c r="G888" s="11" t="s">
        <v>7553</v>
      </c>
      <c r="H888" s="13" t="s">
        <v>9932</v>
      </c>
      <c r="I888" s="10">
        <v>46237</v>
      </c>
      <c r="J888" s="10"/>
      <c r="L888" s="179" t="s">
        <v>9933</v>
      </c>
    </row>
    <row r="889" spans="1:12" ht="30">
      <c r="A889" s="10">
        <v>46234</v>
      </c>
      <c r="B889" s="12" t="s">
        <v>9934</v>
      </c>
      <c r="C889" s="11" t="s">
        <v>625</v>
      </c>
      <c r="D889" s="11" t="s">
        <v>9051</v>
      </c>
      <c r="E889" s="11" t="s">
        <v>17</v>
      </c>
      <c r="F889" s="12" t="s">
        <v>9935</v>
      </c>
      <c r="G889" s="11" t="s">
        <v>7553</v>
      </c>
      <c r="H889" s="13" t="s">
        <v>9932</v>
      </c>
      <c r="I889" s="10">
        <v>46237</v>
      </c>
      <c r="J889" s="10"/>
      <c r="L889" s="179" t="s">
        <v>9936</v>
      </c>
    </row>
    <row r="890" spans="1:12" ht="30">
      <c r="A890" s="10">
        <v>46234</v>
      </c>
      <c r="B890" s="12" t="s">
        <v>9937</v>
      </c>
      <c r="C890" s="11" t="s">
        <v>625</v>
      </c>
      <c r="D890" s="11" t="s">
        <v>9051</v>
      </c>
      <c r="E890" s="11" t="s">
        <v>17</v>
      </c>
      <c r="F890" s="12" t="s">
        <v>9938</v>
      </c>
      <c r="G890" s="11" t="s">
        <v>7553</v>
      </c>
      <c r="H890" s="13" t="s">
        <v>9932</v>
      </c>
      <c r="I890" s="10">
        <v>46237</v>
      </c>
      <c r="J890" s="10"/>
      <c r="L890" t="s">
        <v>9939</v>
      </c>
    </row>
    <row r="891" spans="1:12" ht="30">
      <c r="A891" s="10">
        <v>46233</v>
      </c>
      <c r="B891" s="12" t="s">
        <v>9940</v>
      </c>
      <c r="C891" s="46" t="s">
        <v>2369</v>
      </c>
      <c r="D891" s="48" t="s">
        <v>7277</v>
      </c>
      <c r="E891" s="11" t="s">
        <v>18</v>
      </c>
      <c r="F891" s="12" t="s">
        <v>9938</v>
      </c>
      <c r="G891" s="11" t="s">
        <v>7553</v>
      </c>
      <c r="H891" s="13" t="s">
        <v>9932</v>
      </c>
      <c r="I891" s="10">
        <v>46237</v>
      </c>
      <c r="J891" s="10"/>
      <c r="L891" t="s">
        <v>9941</v>
      </c>
    </row>
    <row r="892" spans="1:12">
      <c r="A892" s="10">
        <v>46233</v>
      </c>
      <c r="B892" s="11" t="s">
        <v>9942</v>
      </c>
      <c r="C892" s="11" t="s">
        <v>741</v>
      </c>
      <c r="D892" s="11" t="s">
        <v>7028</v>
      </c>
      <c r="E892" s="11" t="s">
        <v>13</v>
      </c>
      <c r="F892" s="12" t="s">
        <v>9943</v>
      </c>
      <c r="G892" s="11" t="s">
        <v>7553</v>
      </c>
      <c r="H892" s="13" t="s">
        <v>7618</v>
      </c>
      <c r="I892" s="10">
        <v>46237</v>
      </c>
      <c r="J892" s="10"/>
      <c r="L892" t="s">
        <v>9944</v>
      </c>
    </row>
    <row r="893" spans="1:12">
      <c r="A893" s="10">
        <v>46234</v>
      </c>
      <c r="B893" s="11" t="s">
        <v>9945</v>
      </c>
      <c r="C893" s="11" t="s">
        <v>1874</v>
      </c>
      <c r="D893" s="11" t="s">
        <v>7000</v>
      </c>
      <c r="E893" s="11" t="s">
        <v>17</v>
      </c>
      <c r="F893" s="12" t="s">
        <v>9946</v>
      </c>
      <c r="G893" s="11" t="s">
        <v>7553</v>
      </c>
      <c r="H893" s="13" t="s">
        <v>7618</v>
      </c>
      <c r="I893" s="10">
        <v>46237</v>
      </c>
      <c r="J893" s="57" t="s">
        <v>4</v>
      </c>
      <c r="L893" t="s">
        <v>9947</v>
      </c>
    </row>
    <row r="894" spans="1:12" ht="45">
      <c r="A894" s="10">
        <v>46234</v>
      </c>
      <c r="B894" s="11" t="s">
        <v>9948</v>
      </c>
      <c r="C894" s="11" t="s">
        <v>700</v>
      </c>
      <c r="D894" s="11" t="s">
        <v>7726</v>
      </c>
      <c r="E894" s="11" t="s">
        <v>18</v>
      </c>
      <c r="F894" s="12" t="s">
        <v>9949</v>
      </c>
      <c r="G894" s="11" t="s">
        <v>7553</v>
      </c>
      <c r="H894" s="13" t="s">
        <v>7618</v>
      </c>
      <c r="I894" s="10">
        <v>46237</v>
      </c>
      <c r="J894" s="10">
        <v>46275.666666666701</v>
      </c>
      <c r="K894" t="s">
        <v>4</v>
      </c>
      <c r="L894" t="s">
        <v>9950</v>
      </c>
    </row>
    <row r="895" spans="1:12" ht="60">
      <c r="A895" s="10">
        <v>46234</v>
      </c>
      <c r="B895" s="12" t="s">
        <v>9951</v>
      </c>
      <c r="C895" s="11" t="s">
        <v>461</v>
      </c>
      <c r="D895" s="11" t="s">
        <v>6982</v>
      </c>
      <c r="E895" s="11" t="s">
        <v>17</v>
      </c>
      <c r="F895" s="12" t="s">
        <v>9952</v>
      </c>
      <c r="G895" s="11" t="s">
        <v>7553</v>
      </c>
      <c r="H895" s="13" t="s">
        <v>7618</v>
      </c>
      <c r="I895" s="10">
        <v>46237</v>
      </c>
      <c r="J895" s="10"/>
      <c r="L895" t="s">
        <v>9953</v>
      </c>
    </row>
    <row r="896" spans="1:12" ht="60">
      <c r="A896" s="10">
        <v>46234</v>
      </c>
      <c r="B896" s="12" t="s">
        <v>9954</v>
      </c>
      <c r="C896" s="11" t="s">
        <v>461</v>
      </c>
      <c r="D896" s="11" t="s">
        <v>6982</v>
      </c>
      <c r="E896" s="11" t="s">
        <v>17</v>
      </c>
      <c r="F896" s="12" t="s">
        <v>9955</v>
      </c>
      <c r="G896" s="11" t="s">
        <v>7553</v>
      </c>
      <c r="H896" s="13" t="s">
        <v>7618</v>
      </c>
      <c r="I896" s="10">
        <v>46237</v>
      </c>
      <c r="J896" s="10"/>
      <c r="L896" t="s">
        <v>9956</v>
      </c>
    </row>
    <row r="897" spans="1:12">
      <c r="A897" s="10">
        <v>46237</v>
      </c>
      <c r="B897" s="11" t="s">
        <v>9957</v>
      </c>
      <c r="C897" s="46" t="s">
        <v>2369</v>
      </c>
      <c r="D897" s="48" t="s">
        <v>6961</v>
      </c>
      <c r="E897" s="11" t="s">
        <v>18</v>
      </c>
      <c r="F897" s="12" t="s">
        <v>9958</v>
      </c>
      <c r="G897" s="11" t="s">
        <v>7553</v>
      </c>
      <c r="H897" s="13" t="s">
        <v>7618</v>
      </c>
      <c r="I897" s="10">
        <v>46238</v>
      </c>
      <c r="J897" s="10" t="s">
        <v>9707</v>
      </c>
      <c r="L897" t="s">
        <v>9959</v>
      </c>
    </row>
    <row r="898" spans="1:12" ht="30">
      <c r="A898" s="10">
        <v>46237</v>
      </c>
      <c r="B898" s="11" t="s">
        <v>9960</v>
      </c>
      <c r="C898" s="11" t="s">
        <v>2168</v>
      </c>
      <c r="D898" s="11" t="s">
        <v>7102</v>
      </c>
      <c r="E898" s="11" t="s">
        <v>17</v>
      </c>
      <c r="F898" s="12" t="s">
        <v>9961</v>
      </c>
      <c r="G898" s="11" t="s">
        <v>7553</v>
      </c>
      <c r="H898" s="13" t="s">
        <v>9962</v>
      </c>
      <c r="I898" s="10">
        <v>46238</v>
      </c>
      <c r="J898" s="10" t="s">
        <v>9707</v>
      </c>
      <c r="L898" t="s">
        <v>9963</v>
      </c>
    </row>
    <row r="899" spans="1:12">
      <c r="A899" s="10">
        <v>46237</v>
      </c>
      <c r="B899" s="9" t="s">
        <v>9964</v>
      </c>
      <c r="C899" s="11" t="s">
        <v>518</v>
      </c>
      <c r="D899" s="11" t="s">
        <v>6916</v>
      </c>
      <c r="E899" s="11" t="s">
        <v>17</v>
      </c>
      <c r="F899" s="12" t="s">
        <v>9965</v>
      </c>
      <c r="G899" s="11" t="s">
        <v>7553</v>
      </c>
      <c r="H899" s="13" t="s">
        <v>7618</v>
      </c>
      <c r="I899" s="10">
        <v>46238</v>
      </c>
      <c r="J899" s="10" t="s">
        <v>9966</v>
      </c>
      <c r="L899" t="s">
        <v>9967</v>
      </c>
    </row>
    <row r="900" spans="1:12" ht="30">
      <c r="A900" s="10">
        <v>46237</v>
      </c>
      <c r="B900" s="11" t="s">
        <v>324</v>
      </c>
      <c r="C900" s="11" t="s">
        <v>2270</v>
      </c>
      <c r="D900" s="11" t="s">
        <v>7650</v>
      </c>
      <c r="E900" s="11" t="s">
        <v>8524</v>
      </c>
      <c r="F900" s="12" t="s">
        <v>9968</v>
      </c>
      <c r="G900" s="11" t="s">
        <v>7553</v>
      </c>
      <c r="H900" s="13" t="s">
        <v>7618</v>
      </c>
      <c r="I900" s="10">
        <v>46238</v>
      </c>
      <c r="J900" s="10" t="s">
        <v>9969</v>
      </c>
      <c r="L900" t="s">
        <v>9970</v>
      </c>
    </row>
    <row r="901" spans="1:12" ht="60">
      <c r="A901" s="10">
        <v>46237</v>
      </c>
      <c r="B901" s="11" t="s">
        <v>40</v>
      </c>
      <c r="C901" s="11" t="s">
        <v>2270</v>
      </c>
      <c r="D901" s="11" t="s">
        <v>7650</v>
      </c>
      <c r="E901" s="11" t="s">
        <v>8524</v>
      </c>
      <c r="F901" s="12" t="s">
        <v>9971</v>
      </c>
      <c r="G901" s="11" t="s">
        <v>7553</v>
      </c>
      <c r="H901" s="13" t="s">
        <v>7618</v>
      </c>
      <c r="I901" s="10">
        <v>46238</v>
      </c>
      <c r="J901" s="10" t="s">
        <v>9969</v>
      </c>
      <c r="L901" t="s">
        <v>9972</v>
      </c>
    </row>
    <row r="902" spans="1:12" ht="75">
      <c r="A902" s="10">
        <v>46237</v>
      </c>
      <c r="B902" s="173" t="s">
        <v>9973</v>
      </c>
      <c r="C902" s="173" t="s">
        <v>2270</v>
      </c>
      <c r="D902" s="173" t="s">
        <v>7243</v>
      </c>
      <c r="E902" s="11" t="s">
        <v>8524</v>
      </c>
      <c r="F902" s="12" t="s">
        <v>9974</v>
      </c>
      <c r="G902" s="11" t="s">
        <v>7553</v>
      </c>
      <c r="H902" s="13" t="s">
        <v>7618</v>
      </c>
      <c r="I902" s="10">
        <v>46238</v>
      </c>
      <c r="J902" s="10" t="s">
        <v>4</v>
      </c>
      <c r="L902" t="s">
        <v>9975</v>
      </c>
    </row>
    <row r="903" spans="1:12" ht="45">
      <c r="A903" s="10">
        <v>46237</v>
      </c>
      <c r="B903" s="11" t="s">
        <v>9976</v>
      </c>
      <c r="C903" s="11" t="s">
        <v>1109</v>
      </c>
      <c r="D903" s="11" t="s">
        <v>7053</v>
      </c>
      <c r="E903" s="11" t="s">
        <v>17</v>
      </c>
      <c r="F903" s="12" t="s">
        <v>9977</v>
      </c>
      <c r="G903" s="11" t="s">
        <v>7553</v>
      </c>
      <c r="H903" s="13" t="s">
        <v>9912</v>
      </c>
      <c r="I903" s="10">
        <v>46238</v>
      </c>
      <c r="J903" s="10"/>
      <c r="L903" t="s">
        <v>9978</v>
      </c>
    </row>
    <row r="904" spans="1:12" ht="30">
      <c r="A904" s="10">
        <v>46238</v>
      </c>
      <c r="B904" s="11" t="s">
        <v>9979</v>
      </c>
      <c r="C904" s="11" t="s">
        <v>585</v>
      </c>
      <c r="D904" s="11" t="s">
        <v>7144</v>
      </c>
      <c r="E904" s="11" t="s">
        <v>17</v>
      </c>
      <c r="F904" s="12" t="s">
        <v>9980</v>
      </c>
      <c r="G904" s="11" t="s">
        <v>7553</v>
      </c>
      <c r="H904" s="13" t="s">
        <v>9912</v>
      </c>
      <c r="I904" s="10">
        <v>46238</v>
      </c>
      <c r="J904" s="10" t="s">
        <v>4</v>
      </c>
      <c r="L904" t="s">
        <v>9981</v>
      </c>
    </row>
    <row r="905" spans="1:12">
      <c r="A905" s="10">
        <v>46238</v>
      </c>
      <c r="B905" s="11" t="s">
        <v>9982</v>
      </c>
      <c r="C905" s="11" t="s">
        <v>2168</v>
      </c>
      <c r="D905" s="11" t="s">
        <v>7102</v>
      </c>
      <c r="E905" s="11" t="s">
        <v>17</v>
      </c>
      <c r="F905" s="12" t="s">
        <v>9983</v>
      </c>
      <c r="G905" s="11" t="s">
        <v>7553</v>
      </c>
      <c r="H905" s="13" t="s">
        <v>7618</v>
      </c>
      <c r="I905" s="10">
        <v>46238</v>
      </c>
      <c r="J905" s="10" t="s">
        <v>9707</v>
      </c>
      <c r="L905" t="s">
        <v>9984</v>
      </c>
    </row>
    <row r="906" spans="1:12" ht="120">
      <c r="A906" s="10">
        <v>46238</v>
      </c>
      <c r="B906" s="11" t="s">
        <v>9985</v>
      </c>
      <c r="C906" s="11" t="s">
        <v>1555</v>
      </c>
      <c r="D906" s="11" t="s">
        <v>6897</v>
      </c>
      <c r="E906" s="11" t="s">
        <v>17</v>
      </c>
      <c r="F906" s="12" t="s">
        <v>9986</v>
      </c>
      <c r="G906" s="11" t="s">
        <v>7553</v>
      </c>
      <c r="H906" s="13" t="s">
        <v>9912</v>
      </c>
      <c r="I906" s="10">
        <v>46238</v>
      </c>
      <c r="J906" s="10" t="s">
        <v>9761</v>
      </c>
      <c r="L906" t="s">
        <v>9987</v>
      </c>
    </row>
    <row r="907" spans="1:12" ht="29.25">
      <c r="A907" s="10">
        <v>46238</v>
      </c>
      <c r="B907" s="11" t="s">
        <v>9988</v>
      </c>
      <c r="C907" s="11" t="s">
        <v>4584</v>
      </c>
      <c r="D907" s="11" t="s">
        <v>7174</v>
      </c>
      <c r="E907" s="11" t="s">
        <v>17</v>
      </c>
      <c r="F907" s="12" t="s">
        <v>9989</v>
      </c>
      <c r="G907" s="11" t="s">
        <v>7553</v>
      </c>
      <c r="H907" s="13" t="s">
        <v>7618</v>
      </c>
      <c r="I907" s="10">
        <v>46238</v>
      </c>
      <c r="J907" s="57">
        <v>46238.166666666701</v>
      </c>
      <c r="K907" t="s">
        <v>4</v>
      </c>
      <c r="L907" t="s">
        <v>9990</v>
      </c>
    </row>
    <row r="908" spans="1:12" ht="45">
      <c r="A908" s="10">
        <v>46238</v>
      </c>
      <c r="B908" s="11" t="s">
        <v>9991</v>
      </c>
      <c r="C908" s="11" t="s">
        <v>1874</v>
      </c>
      <c r="D908" s="11" t="s">
        <v>7000</v>
      </c>
      <c r="E908" s="11" t="s">
        <v>17</v>
      </c>
      <c r="F908" s="12" t="s">
        <v>9992</v>
      </c>
      <c r="G908" s="11" t="s">
        <v>8200</v>
      </c>
      <c r="H908" s="13" t="s">
        <v>8956</v>
      </c>
      <c r="I908" s="10">
        <v>46238</v>
      </c>
      <c r="J908" s="10" t="s">
        <v>9993</v>
      </c>
      <c r="L908" t="s">
        <v>9994</v>
      </c>
    </row>
    <row r="909" spans="1:12">
      <c r="A909" s="10">
        <v>46238</v>
      </c>
      <c r="B909" s="11" t="s">
        <v>9995</v>
      </c>
      <c r="C909" s="11" t="s">
        <v>518</v>
      </c>
      <c r="D909" s="11" t="s">
        <v>6916</v>
      </c>
      <c r="E909" s="11" t="s">
        <v>17</v>
      </c>
      <c r="F909" s="12" t="s">
        <v>9996</v>
      </c>
      <c r="G909" s="11" t="s">
        <v>7553</v>
      </c>
      <c r="H909" s="13" t="s">
        <v>9997</v>
      </c>
      <c r="I909" s="10">
        <v>46238</v>
      </c>
      <c r="J909" s="10" t="s">
        <v>9707</v>
      </c>
      <c r="L909" t="s">
        <v>9998</v>
      </c>
    </row>
    <row r="910" spans="1:12" ht="45">
      <c r="A910" s="10">
        <v>46238</v>
      </c>
      <c r="B910" s="149" t="s">
        <v>229</v>
      </c>
      <c r="C910" s="150" t="s">
        <v>983</v>
      </c>
      <c r="D910" s="11" t="s">
        <v>6890</v>
      </c>
      <c r="E910" s="11" t="s">
        <v>17</v>
      </c>
      <c r="F910" s="12" t="s">
        <v>9999</v>
      </c>
      <c r="G910" s="11" t="s">
        <v>7553</v>
      </c>
      <c r="H910" s="13" t="s">
        <v>10000</v>
      </c>
      <c r="I910" s="10">
        <v>46239</v>
      </c>
      <c r="J910" s="10"/>
      <c r="L910" t="s">
        <v>10001</v>
      </c>
    </row>
    <row r="911" spans="1:12" ht="30">
      <c r="A911" s="10">
        <v>46238</v>
      </c>
      <c r="B911" s="11" t="s">
        <v>10002</v>
      </c>
      <c r="C911" s="43" t="s">
        <v>1824</v>
      </c>
      <c r="D911" s="43" t="s">
        <v>8333</v>
      </c>
      <c r="E911" s="11" t="s">
        <v>17</v>
      </c>
      <c r="F911" s="12" t="s">
        <v>10003</v>
      </c>
      <c r="G911" s="11" t="s">
        <v>7553</v>
      </c>
      <c r="H911" s="13" t="s">
        <v>9706</v>
      </c>
      <c r="I911" s="10">
        <v>46239</v>
      </c>
      <c r="J911" s="10" t="s">
        <v>4</v>
      </c>
      <c r="L911" t="s">
        <v>10004</v>
      </c>
    </row>
    <row r="912" spans="1:12" ht="120">
      <c r="A912" s="10">
        <v>46238</v>
      </c>
      <c r="B912" s="11" t="s">
        <v>10005</v>
      </c>
      <c r="C912" s="11" t="s">
        <v>518</v>
      </c>
      <c r="D912" s="11" t="s">
        <v>6916</v>
      </c>
      <c r="E912" s="11" t="s">
        <v>17</v>
      </c>
      <c r="F912" s="77" t="s">
        <v>10006</v>
      </c>
      <c r="G912" s="11" t="s">
        <v>7553</v>
      </c>
      <c r="H912" s="13" t="s">
        <v>10007</v>
      </c>
      <c r="I912" s="10">
        <v>46239</v>
      </c>
      <c r="J912" s="10" t="s">
        <v>9707</v>
      </c>
      <c r="L912" t="s">
        <v>10008</v>
      </c>
    </row>
    <row r="913" spans="1:12" ht="30">
      <c r="A913" s="10">
        <v>46238</v>
      </c>
      <c r="B913" s="11" t="s">
        <v>10009</v>
      </c>
      <c r="C913" s="11" t="s">
        <v>585</v>
      </c>
      <c r="D913" s="11" t="s">
        <v>7144</v>
      </c>
      <c r="E913" s="11" t="s">
        <v>17</v>
      </c>
      <c r="F913" s="12" t="s">
        <v>10010</v>
      </c>
      <c r="G913" s="11" t="s">
        <v>7553</v>
      </c>
      <c r="H913" s="13" t="s">
        <v>7618</v>
      </c>
      <c r="I913" s="10">
        <v>46239</v>
      </c>
      <c r="J913" s="10" t="s">
        <v>10011</v>
      </c>
      <c r="L913" t="s">
        <v>10012</v>
      </c>
    </row>
    <row r="914" spans="1:12">
      <c r="A914" s="10">
        <v>46238</v>
      </c>
      <c r="B914" s="11" t="s">
        <v>10013</v>
      </c>
      <c r="C914" s="11" t="s">
        <v>1252</v>
      </c>
      <c r="D914" s="11" t="s">
        <v>7038</v>
      </c>
      <c r="E914" s="11" t="s">
        <v>17</v>
      </c>
      <c r="F914" s="12" t="s">
        <v>10014</v>
      </c>
      <c r="G914" s="11" t="s">
        <v>7553</v>
      </c>
      <c r="H914" s="13" t="s">
        <v>7618</v>
      </c>
      <c r="I914" s="10">
        <v>46239</v>
      </c>
      <c r="J914" s="10" t="s">
        <v>4</v>
      </c>
      <c r="L914" t="s">
        <v>10015</v>
      </c>
    </row>
    <row r="915" spans="1:12">
      <c r="A915" s="10">
        <v>46238</v>
      </c>
      <c r="B915" s="11" t="s">
        <v>287</v>
      </c>
      <c r="C915" s="11" t="s">
        <v>1436</v>
      </c>
      <c r="D915" s="11" t="s">
        <v>6920</v>
      </c>
      <c r="E915" s="11" t="s">
        <v>18</v>
      </c>
      <c r="F915" s="12" t="s">
        <v>10016</v>
      </c>
      <c r="G915" s="11" t="s">
        <v>7553</v>
      </c>
      <c r="H915" s="13" t="s">
        <v>7618</v>
      </c>
      <c r="I915" s="10">
        <v>46239</v>
      </c>
      <c r="J915" s="10"/>
      <c r="L915" t="s">
        <v>10017</v>
      </c>
    </row>
    <row r="916" spans="1:12" ht="45">
      <c r="A916" s="10">
        <v>46238</v>
      </c>
      <c r="B916" s="11" t="s">
        <v>192</v>
      </c>
      <c r="C916" s="11" t="s">
        <v>1053</v>
      </c>
      <c r="D916" s="11" t="s">
        <v>7532</v>
      </c>
      <c r="E916" s="11" t="s">
        <v>13</v>
      </c>
      <c r="F916" s="12" t="s">
        <v>10018</v>
      </c>
      <c r="G916" s="11" t="s">
        <v>7553</v>
      </c>
      <c r="H916" s="13" t="s">
        <v>7618</v>
      </c>
      <c r="I916" s="10">
        <v>46239</v>
      </c>
      <c r="J916" s="10">
        <v>46272.666666666701</v>
      </c>
      <c r="K916" t="s">
        <v>4</v>
      </c>
      <c r="L916" s="179" t="s">
        <v>10019</v>
      </c>
    </row>
    <row r="917" spans="1:12" ht="120">
      <c r="A917" s="10">
        <v>46239</v>
      </c>
      <c r="B917" s="11" t="s">
        <v>10020</v>
      </c>
      <c r="C917" s="11" t="s">
        <v>1436</v>
      </c>
      <c r="D917" s="11" t="s">
        <v>6920</v>
      </c>
      <c r="E917" s="11" t="s">
        <v>18</v>
      </c>
      <c r="F917" s="12" t="s">
        <v>10021</v>
      </c>
      <c r="G917" s="11" t="s">
        <v>7553</v>
      </c>
      <c r="H917" s="13" t="s">
        <v>10007</v>
      </c>
      <c r="I917" s="10">
        <v>46239</v>
      </c>
      <c r="J917" s="10"/>
      <c r="L917" t="s">
        <v>10022</v>
      </c>
    </row>
    <row r="918" spans="1:12" ht="30">
      <c r="A918" s="10">
        <v>46239</v>
      </c>
      <c r="B918" s="11" t="s">
        <v>10023</v>
      </c>
      <c r="C918" s="11" t="s">
        <v>741</v>
      </c>
      <c r="D918" s="11" t="s">
        <v>9365</v>
      </c>
      <c r="E918" s="11" t="s">
        <v>13</v>
      </c>
      <c r="F918" s="12" t="s">
        <v>10024</v>
      </c>
      <c r="G918" s="11" t="s">
        <v>7553</v>
      </c>
      <c r="H918" s="13" t="s">
        <v>7618</v>
      </c>
      <c r="I918" s="10">
        <v>46239</v>
      </c>
      <c r="J918" s="10"/>
      <c r="L918" t="s">
        <v>10025</v>
      </c>
    </row>
    <row r="919" spans="1:12" ht="120">
      <c r="A919" s="10">
        <v>46239</v>
      </c>
      <c r="B919" s="11" t="s">
        <v>10026</v>
      </c>
      <c r="C919" s="11" t="s">
        <v>1371</v>
      </c>
      <c r="D919" s="11" t="s">
        <v>7164</v>
      </c>
      <c r="E919" s="11" t="s">
        <v>17</v>
      </c>
      <c r="F919" s="12" t="s">
        <v>10027</v>
      </c>
      <c r="G919" s="11" t="s">
        <v>7553</v>
      </c>
      <c r="H919" s="13" t="s">
        <v>10028</v>
      </c>
      <c r="I919" s="10">
        <v>46239</v>
      </c>
      <c r="J919" s="10"/>
      <c r="L919" t="s">
        <v>10029</v>
      </c>
    </row>
    <row r="920" spans="1:12" ht="135">
      <c r="A920" s="10">
        <v>46239</v>
      </c>
      <c r="B920" s="11" t="s">
        <v>10030</v>
      </c>
      <c r="C920" s="11" t="s">
        <v>1436</v>
      </c>
      <c r="D920" s="11" t="s">
        <v>6920</v>
      </c>
      <c r="E920" s="11" t="s">
        <v>18</v>
      </c>
      <c r="F920" s="12" t="s">
        <v>10031</v>
      </c>
      <c r="G920" s="11" t="s">
        <v>7553</v>
      </c>
      <c r="H920" s="13" t="s">
        <v>10032</v>
      </c>
      <c r="I920" s="10">
        <v>46239</v>
      </c>
      <c r="J920" s="10"/>
      <c r="L920" t="s">
        <v>10033</v>
      </c>
    </row>
    <row r="921" spans="1:12" ht="120">
      <c r="A921" s="10">
        <v>46239</v>
      </c>
      <c r="B921" s="11" t="s">
        <v>10034</v>
      </c>
      <c r="C921" s="11" t="s">
        <v>1436</v>
      </c>
      <c r="D921" s="11" t="s">
        <v>6920</v>
      </c>
      <c r="E921" s="11" t="s">
        <v>18</v>
      </c>
      <c r="F921" s="12" t="s">
        <v>10035</v>
      </c>
      <c r="G921" s="11" t="s">
        <v>7553</v>
      </c>
      <c r="H921" s="13" t="s">
        <v>10036</v>
      </c>
      <c r="I921" s="10">
        <v>46239</v>
      </c>
      <c r="J921" s="10"/>
      <c r="L921" t="s">
        <v>10037</v>
      </c>
    </row>
    <row r="922" spans="1:12">
      <c r="A922" s="10">
        <v>46239</v>
      </c>
      <c r="B922" s="11" t="s">
        <v>10038</v>
      </c>
      <c r="C922" s="11" t="s">
        <v>1436</v>
      </c>
      <c r="D922" s="11" t="s">
        <v>6920</v>
      </c>
      <c r="E922" s="11" t="s">
        <v>18</v>
      </c>
      <c r="F922" s="12" t="s">
        <v>10039</v>
      </c>
      <c r="G922" s="11" t="s">
        <v>7553</v>
      </c>
      <c r="H922" s="13" t="s">
        <v>7618</v>
      </c>
      <c r="I922" s="10">
        <v>46239</v>
      </c>
      <c r="J922" s="10"/>
      <c r="L922" t="s">
        <v>10040</v>
      </c>
    </row>
    <row r="923" spans="1:12">
      <c r="A923" s="10">
        <v>46239</v>
      </c>
      <c r="B923" s="11" t="s">
        <v>10041</v>
      </c>
      <c r="C923" s="11" t="s">
        <v>585</v>
      </c>
      <c r="D923" s="11" t="s">
        <v>7144</v>
      </c>
      <c r="E923" s="11" t="s">
        <v>17</v>
      </c>
      <c r="F923" s="12" t="s">
        <v>10042</v>
      </c>
      <c r="G923" s="11" t="s">
        <v>7553</v>
      </c>
      <c r="H923" s="13" t="s">
        <v>10043</v>
      </c>
      <c r="I923" s="10">
        <v>46239</v>
      </c>
      <c r="J923" s="10" t="s">
        <v>4</v>
      </c>
      <c r="L923" t="s">
        <v>10044</v>
      </c>
    </row>
    <row r="924" spans="1:12">
      <c r="A924" s="10">
        <v>46239</v>
      </c>
      <c r="B924" s="11" t="s">
        <v>288</v>
      </c>
      <c r="C924" s="11" t="s">
        <v>1436</v>
      </c>
      <c r="D924" s="11" t="s">
        <v>6920</v>
      </c>
      <c r="E924" s="11" t="s">
        <v>18</v>
      </c>
      <c r="F924" s="12" t="s">
        <v>10045</v>
      </c>
      <c r="G924" s="11" t="s">
        <v>7553</v>
      </c>
      <c r="H924" s="13" t="s">
        <v>7618</v>
      </c>
      <c r="I924" s="10">
        <v>46240</v>
      </c>
      <c r="J924" s="10"/>
      <c r="L924" t="s">
        <v>10046</v>
      </c>
    </row>
    <row r="925" spans="1:12" ht="195">
      <c r="A925" s="10">
        <v>46239</v>
      </c>
      <c r="B925" s="11" t="s">
        <v>10047</v>
      </c>
      <c r="C925" s="11" t="s">
        <v>1555</v>
      </c>
      <c r="D925" s="11" t="s">
        <v>6897</v>
      </c>
      <c r="E925" s="11" t="s">
        <v>17</v>
      </c>
      <c r="F925" s="12" t="s">
        <v>10048</v>
      </c>
      <c r="G925" s="11" t="s">
        <v>7553</v>
      </c>
      <c r="H925" s="13" t="s">
        <v>9912</v>
      </c>
      <c r="I925" s="10">
        <v>46240</v>
      </c>
      <c r="J925" s="10" t="s">
        <v>9761</v>
      </c>
      <c r="L925" t="s">
        <v>10049</v>
      </c>
    </row>
    <row r="926" spans="1:12" ht="75">
      <c r="A926" s="10">
        <v>46239</v>
      </c>
      <c r="B926" s="11" t="s">
        <v>76</v>
      </c>
      <c r="C926" s="11" t="s">
        <v>1555</v>
      </c>
      <c r="D926" s="11" t="s">
        <v>6897</v>
      </c>
      <c r="E926" s="11" t="s">
        <v>17</v>
      </c>
      <c r="F926" s="12" t="s">
        <v>10050</v>
      </c>
      <c r="G926" s="11" t="s">
        <v>7553</v>
      </c>
      <c r="H926" s="13" t="s">
        <v>7618</v>
      </c>
      <c r="I926" s="10">
        <v>46240</v>
      </c>
      <c r="J926" s="10" t="s">
        <v>10051</v>
      </c>
      <c r="L926" t="s">
        <v>10052</v>
      </c>
    </row>
    <row r="927" spans="1:12" ht="90">
      <c r="A927" s="10">
        <v>46239</v>
      </c>
      <c r="B927" s="11" t="s">
        <v>10053</v>
      </c>
      <c r="C927" s="11" t="s">
        <v>1555</v>
      </c>
      <c r="D927" s="11" t="s">
        <v>6897</v>
      </c>
      <c r="E927" s="11" t="s">
        <v>17</v>
      </c>
      <c r="F927" s="12" t="s">
        <v>10054</v>
      </c>
      <c r="G927" s="11" t="s">
        <v>7553</v>
      </c>
      <c r="H927" s="13" t="s">
        <v>10055</v>
      </c>
      <c r="I927" s="10">
        <v>46240</v>
      </c>
      <c r="J927" s="10" t="s">
        <v>10056</v>
      </c>
      <c r="L927" t="s">
        <v>10057</v>
      </c>
    </row>
    <row r="928" spans="1:12" ht="30">
      <c r="A928" s="10">
        <v>46239</v>
      </c>
      <c r="B928" s="11" t="s">
        <v>10058</v>
      </c>
      <c r="C928" s="11" t="s">
        <v>1371</v>
      </c>
      <c r="D928" s="11" t="s">
        <v>7164</v>
      </c>
      <c r="E928" s="11" t="s">
        <v>17</v>
      </c>
      <c r="F928" s="12" t="s">
        <v>10059</v>
      </c>
      <c r="G928" s="11" t="s">
        <v>7553</v>
      </c>
      <c r="H928" s="13" t="s">
        <v>7618</v>
      </c>
      <c r="I928" s="10">
        <v>46240</v>
      </c>
      <c r="J928" s="10"/>
      <c r="L928" t="s">
        <v>10060</v>
      </c>
    </row>
    <row r="929" spans="1:12" ht="30">
      <c r="A929" s="10">
        <v>46240</v>
      </c>
      <c r="B929" s="11" t="s">
        <v>10061</v>
      </c>
      <c r="C929" s="11" t="s">
        <v>585</v>
      </c>
      <c r="D929" s="11" t="s">
        <v>7144</v>
      </c>
      <c r="E929" s="11" t="s">
        <v>17</v>
      </c>
      <c r="F929" s="12" t="s">
        <v>10062</v>
      </c>
      <c r="G929" s="11" t="s">
        <v>7553</v>
      </c>
      <c r="H929" s="13" t="s">
        <v>9912</v>
      </c>
      <c r="I929" s="10">
        <v>46240</v>
      </c>
      <c r="J929" s="10" t="s">
        <v>4</v>
      </c>
      <c r="L929" t="s">
        <v>10063</v>
      </c>
    </row>
    <row r="930" spans="1:12">
      <c r="A930" s="10">
        <v>46240</v>
      </c>
      <c r="B930" s="11" t="s">
        <v>339</v>
      </c>
      <c r="C930" s="11" t="s">
        <v>648</v>
      </c>
      <c r="D930" s="11" t="s">
        <v>8434</v>
      </c>
      <c r="E930" s="11" t="s">
        <v>17</v>
      </c>
      <c r="F930" s="12" t="s">
        <v>10064</v>
      </c>
      <c r="G930" s="11" t="s">
        <v>7553</v>
      </c>
      <c r="H930" s="13" t="s">
        <v>7618</v>
      </c>
      <c r="I930" s="10">
        <v>46240</v>
      </c>
      <c r="J930" s="10"/>
      <c r="L930" t="s">
        <v>10065</v>
      </c>
    </row>
    <row r="931" spans="1:12">
      <c r="A931" s="10">
        <v>46240</v>
      </c>
      <c r="B931" s="11" t="s">
        <v>296</v>
      </c>
      <c r="C931" s="11" t="s">
        <v>1252</v>
      </c>
      <c r="D931" s="11" t="s">
        <v>7038</v>
      </c>
      <c r="E931" s="11" t="s">
        <v>17</v>
      </c>
      <c r="F931" s="12" t="s">
        <v>10066</v>
      </c>
      <c r="G931" s="11" t="s">
        <v>7553</v>
      </c>
      <c r="H931" s="13" t="s">
        <v>7618</v>
      </c>
      <c r="I931" s="10">
        <v>46240</v>
      </c>
      <c r="J931" s="10" t="s">
        <v>4</v>
      </c>
      <c r="L931" t="s">
        <v>10067</v>
      </c>
    </row>
    <row r="932" spans="1:12" ht="30">
      <c r="A932" s="10">
        <v>46240</v>
      </c>
      <c r="B932" s="11" t="s">
        <v>29</v>
      </c>
      <c r="C932" s="11" t="s">
        <v>585</v>
      </c>
      <c r="D932" s="11" t="s">
        <v>7144</v>
      </c>
      <c r="E932" s="11" t="s">
        <v>17</v>
      </c>
      <c r="F932" s="12" t="s">
        <v>10068</v>
      </c>
      <c r="G932" s="11" t="s">
        <v>7553</v>
      </c>
      <c r="H932" s="13" t="s">
        <v>7618</v>
      </c>
      <c r="I932" s="10">
        <v>46240</v>
      </c>
      <c r="J932" s="10" t="s">
        <v>4</v>
      </c>
      <c r="L932" t="s">
        <v>10069</v>
      </c>
    </row>
    <row r="933" spans="1:12" ht="90">
      <c r="A933" s="10">
        <v>46240</v>
      </c>
      <c r="B933" s="11" t="s">
        <v>331</v>
      </c>
      <c r="C933" s="11" t="s">
        <v>1555</v>
      </c>
      <c r="D933" s="11" t="s">
        <v>6897</v>
      </c>
      <c r="E933" s="11" t="s">
        <v>17</v>
      </c>
      <c r="F933" s="12" t="s">
        <v>10070</v>
      </c>
      <c r="G933" s="11" t="s">
        <v>7553</v>
      </c>
      <c r="H933" s="13" t="s">
        <v>8352</v>
      </c>
      <c r="I933" s="10">
        <v>46240</v>
      </c>
      <c r="J933" s="10" t="s">
        <v>10071</v>
      </c>
      <c r="L933" t="s">
        <v>10072</v>
      </c>
    </row>
    <row r="934" spans="1:12" ht="135">
      <c r="A934" s="10">
        <v>46240</v>
      </c>
      <c r="B934" s="158" t="s">
        <v>228</v>
      </c>
      <c r="C934" s="11" t="s">
        <v>983</v>
      </c>
      <c r="D934" s="11" t="s">
        <v>6890</v>
      </c>
      <c r="E934" s="11" t="s">
        <v>17</v>
      </c>
      <c r="F934" s="12" t="s">
        <v>10073</v>
      </c>
      <c r="G934" s="11" t="s">
        <v>7553</v>
      </c>
      <c r="H934" s="13" t="s">
        <v>7618</v>
      </c>
      <c r="I934" s="10">
        <v>46240</v>
      </c>
      <c r="J934" s="10" t="s">
        <v>4916</v>
      </c>
      <c r="L934" t="s">
        <v>10074</v>
      </c>
    </row>
    <row r="935" spans="1:12">
      <c r="A935" s="10">
        <v>46240</v>
      </c>
      <c r="B935" s="158" t="s">
        <v>41</v>
      </c>
      <c r="C935" s="11" t="s">
        <v>983</v>
      </c>
      <c r="D935" s="11" t="s">
        <v>6890</v>
      </c>
      <c r="E935" s="11" t="s">
        <v>17</v>
      </c>
      <c r="F935" s="12" t="s">
        <v>10075</v>
      </c>
      <c r="G935" s="11" t="s">
        <v>7553</v>
      </c>
      <c r="H935" s="13" t="s">
        <v>7618</v>
      </c>
      <c r="I935" s="10">
        <v>46240</v>
      </c>
      <c r="J935" s="10" t="s">
        <v>4916</v>
      </c>
      <c r="L935" t="s">
        <v>10076</v>
      </c>
    </row>
    <row r="936" spans="1:12">
      <c r="A936" s="10">
        <v>46240</v>
      </c>
      <c r="B936" s="11" t="s">
        <v>266</v>
      </c>
      <c r="C936" s="43" t="s">
        <v>1824</v>
      </c>
      <c r="D936" s="43" t="s">
        <v>8333</v>
      </c>
      <c r="E936" s="11" t="s">
        <v>17</v>
      </c>
      <c r="F936" s="12" t="s">
        <v>10077</v>
      </c>
      <c r="G936" s="11" t="s">
        <v>7553</v>
      </c>
      <c r="H936" s="13" t="s">
        <v>7618</v>
      </c>
      <c r="I936" s="10">
        <v>46240</v>
      </c>
      <c r="J936" s="10" t="s">
        <v>4</v>
      </c>
      <c r="L936" t="s">
        <v>10078</v>
      </c>
    </row>
    <row r="937" spans="1:12">
      <c r="A937" s="10">
        <v>46240</v>
      </c>
      <c r="B937" s="11" t="s">
        <v>10079</v>
      </c>
      <c r="C937" s="11" t="s">
        <v>1824</v>
      </c>
      <c r="D937" s="11" t="s">
        <v>8333</v>
      </c>
      <c r="E937" s="11" t="s">
        <v>17</v>
      </c>
      <c r="F937" s="12" t="s">
        <v>10080</v>
      </c>
      <c r="G937" s="11" t="s">
        <v>7553</v>
      </c>
      <c r="H937" s="13" t="s">
        <v>7618</v>
      </c>
      <c r="I937" s="10">
        <v>46240</v>
      </c>
      <c r="J937" s="10" t="s">
        <v>4</v>
      </c>
      <c r="L937" t="s">
        <v>10081</v>
      </c>
    </row>
    <row r="938" spans="1:12">
      <c r="A938" s="10">
        <v>46240</v>
      </c>
      <c r="B938" s="11" t="s">
        <v>10082</v>
      </c>
      <c r="C938" s="11" t="s">
        <v>1824</v>
      </c>
      <c r="D938" s="11" t="s">
        <v>8333</v>
      </c>
      <c r="E938" s="11" t="s">
        <v>17</v>
      </c>
      <c r="F938" s="12" t="s">
        <v>10083</v>
      </c>
      <c r="G938" s="11" t="s">
        <v>7553</v>
      </c>
      <c r="H938" s="13" t="s">
        <v>7618</v>
      </c>
      <c r="I938" s="10">
        <v>46240</v>
      </c>
      <c r="J938" s="10" t="s">
        <v>4</v>
      </c>
      <c r="L938" t="s">
        <v>10084</v>
      </c>
    </row>
    <row r="939" spans="1:12" ht="30">
      <c r="A939" s="10">
        <v>46240</v>
      </c>
      <c r="B939" s="11" t="s">
        <v>347</v>
      </c>
      <c r="C939" s="11" t="s">
        <v>2168</v>
      </c>
      <c r="D939" s="11" t="s">
        <v>7102</v>
      </c>
      <c r="E939" s="11" t="s">
        <v>17</v>
      </c>
      <c r="F939" s="12" t="s">
        <v>10085</v>
      </c>
      <c r="G939" s="11" t="s">
        <v>7553</v>
      </c>
      <c r="H939" s="13" t="s">
        <v>7618</v>
      </c>
      <c r="I939" s="10">
        <v>46240</v>
      </c>
      <c r="J939" s="10">
        <v>46281.666666666701</v>
      </c>
      <c r="K939" t="s">
        <v>4</v>
      </c>
      <c r="L939" t="s">
        <v>10086</v>
      </c>
    </row>
    <row r="940" spans="1:12" ht="105">
      <c r="A940" s="10">
        <v>46240</v>
      </c>
      <c r="B940" s="11" t="s">
        <v>10087</v>
      </c>
      <c r="C940" s="11" t="s">
        <v>1555</v>
      </c>
      <c r="D940" s="11" t="s">
        <v>6897</v>
      </c>
      <c r="E940" s="11" t="s">
        <v>17</v>
      </c>
      <c r="F940" s="12" t="s">
        <v>10088</v>
      </c>
      <c r="G940" s="11" t="s">
        <v>7553</v>
      </c>
      <c r="H940" s="13" t="s">
        <v>7618</v>
      </c>
      <c r="I940" s="10">
        <v>46240</v>
      </c>
      <c r="J940" s="10" t="s">
        <v>10089</v>
      </c>
      <c r="L940" t="s">
        <v>10090</v>
      </c>
    </row>
    <row r="941" spans="1:12" ht="30">
      <c r="A941" s="10">
        <v>46240</v>
      </c>
      <c r="B941" s="11" t="s">
        <v>10091</v>
      </c>
      <c r="C941" s="11" t="s">
        <v>741</v>
      </c>
      <c r="D941" s="11" t="s">
        <v>7028</v>
      </c>
      <c r="E941" s="11" t="s">
        <v>13</v>
      </c>
      <c r="F941" s="12" t="s">
        <v>10092</v>
      </c>
      <c r="G941" s="11" t="s">
        <v>7553</v>
      </c>
      <c r="H941" s="13" t="s">
        <v>7618</v>
      </c>
      <c r="I941" s="10">
        <v>46240</v>
      </c>
      <c r="J941" s="10"/>
      <c r="L941" t="s">
        <v>10093</v>
      </c>
    </row>
    <row r="942" spans="1:12" ht="90">
      <c r="A942" s="10">
        <v>46240</v>
      </c>
      <c r="B942" s="11" t="s">
        <v>10094</v>
      </c>
      <c r="C942" s="11" t="s">
        <v>1555</v>
      </c>
      <c r="D942" s="11" t="s">
        <v>6897</v>
      </c>
      <c r="E942" s="11" t="s">
        <v>17</v>
      </c>
      <c r="F942" s="166" t="s">
        <v>10095</v>
      </c>
      <c r="G942" s="11" t="s">
        <v>7553</v>
      </c>
      <c r="H942" s="13" t="s">
        <v>10043</v>
      </c>
      <c r="I942" s="10">
        <v>46240</v>
      </c>
      <c r="J942" s="10" t="s">
        <v>10096</v>
      </c>
      <c r="L942" t="s">
        <v>10097</v>
      </c>
    </row>
    <row r="943" spans="1:12" ht="30">
      <c r="A943" s="10">
        <v>46240</v>
      </c>
      <c r="B943" s="11" t="s">
        <v>10098</v>
      </c>
      <c r="C943" s="11" t="s">
        <v>1874</v>
      </c>
      <c r="D943" s="11" t="s">
        <v>7000</v>
      </c>
      <c r="E943" s="11" t="s">
        <v>17</v>
      </c>
      <c r="F943" s="12" t="s">
        <v>10099</v>
      </c>
      <c r="G943" s="11" t="s">
        <v>7553</v>
      </c>
      <c r="H943" s="13" t="s">
        <v>7618</v>
      </c>
      <c r="I943" s="10">
        <v>46241</v>
      </c>
      <c r="J943" s="10" t="s">
        <v>4</v>
      </c>
      <c r="L943" t="s">
        <v>10100</v>
      </c>
    </row>
    <row r="944" spans="1:12" ht="45">
      <c r="A944" s="10">
        <v>46240</v>
      </c>
      <c r="B944" s="11" t="s">
        <v>10101</v>
      </c>
      <c r="C944" s="11" t="s">
        <v>4584</v>
      </c>
      <c r="D944" s="11" t="s">
        <v>7174</v>
      </c>
      <c r="E944" s="11" t="s">
        <v>17</v>
      </c>
      <c r="F944" s="12" t="s">
        <v>10102</v>
      </c>
      <c r="G944" s="11" t="s">
        <v>7553</v>
      </c>
      <c r="H944" s="13" t="s">
        <v>10103</v>
      </c>
      <c r="I944" s="10">
        <v>46241</v>
      </c>
      <c r="J944" s="10">
        <v>46241.166666666701</v>
      </c>
      <c r="K944" t="s">
        <v>4</v>
      </c>
      <c r="L944" t="s">
        <v>10104</v>
      </c>
    </row>
    <row r="945" spans="1:12" ht="60">
      <c r="A945" s="10">
        <v>46240</v>
      </c>
      <c r="B945" s="11" t="s">
        <v>10105</v>
      </c>
      <c r="C945" s="11" t="s">
        <v>1555</v>
      </c>
      <c r="D945" s="11" t="s">
        <v>6897</v>
      </c>
      <c r="E945" s="11" t="s">
        <v>17</v>
      </c>
      <c r="F945" s="12" t="s">
        <v>10106</v>
      </c>
      <c r="G945" s="11" t="s">
        <v>7553</v>
      </c>
      <c r="H945" s="13" t="s">
        <v>9912</v>
      </c>
      <c r="I945" s="10">
        <v>46241</v>
      </c>
      <c r="J945" s="10"/>
      <c r="L945" t="s">
        <v>10107</v>
      </c>
    </row>
    <row r="946" spans="1:12" ht="90">
      <c r="A946" s="10">
        <v>46240</v>
      </c>
      <c r="B946" s="11" t="s">
        <v>10108</v>
      </c>
      <c r="C946" s="11" t="s">
        <v>1555</v>
      </c>
      <c r="D946" s="11" t="s">
        <v>6897</v>
      </c>
      <c r="E946" s="11" t="s">
        <v>17</v>
      </c>
      <c r="F946" s="12" t="s">
        <v>10109</v>
      </c>
      <c r="G946" s="11" t="s">
        <v>7553</v>
      </c>
      <c r="H946" s="13" t="s">
        <v>9912</v>
      </c>
      <c r="I946" s="10">
        <v>46241</v>
      </c>
      <c r="J946" s="10" t="s">
        <v>10056</v>
      </c>
      <c r="L946" t="s">
        <v>10110</v>
      </c>
    </row>
    <row r="947" spans="1:12" ht="60">
      <c r="A947" s="10">
        <v>46240</v>
      </c>
      <c r="B947" s="12" t="s">
        <v>10111</v>
      </c>
      <c r="C947" s="11" t="s">
        <v>461</v>
      </c>
      <c r="D947" s="11" t="s">
        <v>6982</v>
      </c>
      <c r="E947" s="11" t="s">
        <v>17</v>
      </c>
      <c r="F947" s="12" t="s">
        <v>10112</v>
      </c>
      <c r="G947" s="11" t="s">
        <v>7553</v>
      </c>
      <c r="H947" s="13" t="s">
        <v>7618</v>
      </c>
      <c r="I947" s="10">
        <v>46241</v>
      </c>
      <c r="J947" s="10"/>
      <c r="L947" t="s">
        <v>10113</v>
      </c>
    </row>
    <row r="948" spans="1:12">
      <c r="A948" s="10">
        <v>46241</v>
      </c>
      <c r="B948" s="11" t="s">
        <v>253</v>
      </c>
      <c r="C948" s="43" t="s">
        <v>1824</v>
      </c>
      <c r="D948" s="43" t="s">
        <v>8333</v>
      </c>
      <c r="E948" s="11" t="s">
        <v>17</v>
      </c>
      <c r="F948" s="12" t="s">
        <v>10114</v>
      </c>
      <c r="G948" s="11" t="s">
        <v>7553</v>
      </c>
      <c r="H948" s="13" t="s">
        <v>7618</v>
      </c>
      <c r="I948" s="10">
        <v>46241</v>
      </c>
      <c r="J948" s="10"/>
      <c r="L948" t="s">
        <v>10115</v>
      </c>
    </row>
    <row r="949" spans="1:12">
      <c r="A949" s="10">
        <v>46241</v>
      </c>
      <c r="B949" s="11" t="s">
        <v>10116</v>
      </c>
      <c r="C949" s="11" t="s">
        <v>1109</v>
      </c>
      <c r="D949" s="11" t="s">
        <v>7053</v>
      </c>
      <c r="E949" s="11" t="s">
        <v>17</v>
      </c>
      <c r="F949" s="12" t="s">
        <v>10117</v>
      </c>
      <c r="G949" s="11" t="s">
        <v>7553</v>
      </c>
      <c r="H949" s="13" t="s">
        <v>7618</v>
      </c>
      <c r="I949" s="10">
        <v>46241</v>
      </c>
      <c r="J949" s="10"/>
      <c r="L949" t="s">
        <v>10118</v>
      </c>
    </row>
    <row r="950" spans="1:12">
      <c r="A950" s="10">
        <v>46241</v>
      </c>
      <c r="B950" s="11" t="s">
        <v>214</v>
      </c>
      <c r="C950" s="11" t="s">
        <v>585</v>
      </c>
      <c r="D950" s="11" t="s">
        <v>7144</v>
      </c>
      <c r="E950" s="11" t="s">
        <v>17</v>
      </c>
      <c r="F950" s="12" t="s">
        <v>10119</v>
      </c>
      <c r="G950" s="11" t="s">
        <v>7553</v>
      </c>
      <c r="H950" s="13" t="s">
        <v>7618</v>
      </c>
      <c r="I950" s="10">
        <v>46241</v>
      </c>
      <c r="J950" s="10" t="s">
        <v>4</v>
      </c>
      <c r="L950" t="s">
        <v>10120</v>
      </c>
    </row>
    <row r="951" spans="1:12" ht="30">
      <c r="A951" s="10">
        <v>46241</v>
      </c>
      <c r="B951" s="11" t="s">
        <v>10121</v>
      </c>
      <c r="C951" s="11" t="s">
        <v>1348</v>
      </c>
      <c r="D951" s="11" t="s">
        <v>7010</v>
      </c>
      <c r="E951" s="11" t="s">
        <v>17</v>
      </c>
      <c r="F951" s="12" t="s">
        <v>10122</v>
      </c>
      <c r="G951" s="11" t="s">
        <v>7553</v>
      </c>
      <c r="H951" s="13" t="s">
        <v>7618</v>
      </c>
      <c r="I951" s="10">
        <v>46241</v>
      </c>
      <c r="J951" s="10" t="s">
        <v>4</v>
      </c>
      <c r="L951" t="s">
        <v>10123</v>
      </c>
    </row>
    <row r="952" spans="1:12">
      <c r="A952" s="10">
        <v>46241</v>
      </c>
      <c r="B952" s="11" t="s">
        <v>10124</v>
      </c>
      <c r="C952" s="11" t="s">
        <v>1874</v>
      </c>
      <c r="D952" s="11" t="s">
        <v>7000</v>
      </c>
      <c r="E952" s="11" t="s">
        <v>17</v>
      </c>
      <c r="F952" s="12" t="s">
        <v>10125</v>
      </c>
      <c r="G952" s="11" t="s">
        <v>7553</v>
      </c>
      <c r="H952" s="13" t="s">
        <v>7618</v>
      </c>
      <c r="I952" s="10">
        <v>46241</v>
      </c>
      <c r="J952" s="10" t="s">
        <v>4</v>
      </c>
      <c r="L952" t="s">
        <v>10126</v>
      </c>
    </row>
    <row r="953" spans="1:12">
      <c r="A953" s="10">
        <v>46241</v>
      </c>
      <c r="B953" s="11" t="s">
        <v>252</v>
      </c>
      <c r="C953" s="11" t="s">
        <v>2270</v>
      </c>
      <c r="D953" s="11" t="s">
        <v>7650</v>
      </c>
      <c r="E953" s="11" t="s">
        <v>8524</v>
      </c>
      <c r="F953" s="12" t="s">
        <v>10127</v>
      </c>
      <c r="G953" s="11" t="s">
        <v>7553</v>
      </c>
      <c r="H953" s="13" t="s">
        <v>7618</v>
      </c>
      <c r="I953" s="10">
        <v>46241</v>
      </c>
      <c r="J953" s="10"/>
      <c r="L953" t="s">
        <v>10128</v>
      </c>
    </row>
    <row r="954" spans="1:12">
      <c r="A954" s="10">
        <v>46241</v>
      </c>
      <c r="B954" s="11" t="s">
        <v>10129</v>
      </c>
      <c r="C954" s="11" t="s">
        <v>1348</v>
      </c>
      <c r="D954" s="11" t="s">
        <v>7010</v>
      </c>
      <c r="E954" s="11" t="s">
        <v>17</v>
      </c>
      <c r="F954" s="12" t="s">
        <v>10130</v>
      </c>
      <c r="G954" s="11" t="s">
        <v>7553</v>
      </c>
      <c r="H954" s="13" t="s">
        <v>10131</v>
      </c>
      <c r="I954" s="10">
        <v>46244</v>
      </c>
      <c r="J954" s="10" t="s">
        <v>4</v>
      </c>
      <c r="L954" t="s">
        <v>10132</v>
      </c>
    </row>
    <row r="955" spans="1:12" ht="30">
      <c r="A955" s="10">
        <v>46241</v>
      </c>
      <c r="B955" s="11" t="s">
        <v>10133</v>
      </c>
      <c r="C955" s="11" t="s">
        <v>1436</v>
      </c>
      <c r="D955" s="11" t="s">
        <v>6920</v>
      </c>
      <c r="E955" s="11" t="s">
        <v>18</v>
      </c>
      <c r="F955" s="12" t="s">
        <v>10134</v>
      </c>
      <c r="G955" s="11" t="s">
        <v>7553</v>
      </c>
      <c r="H955" s="13" t="s">
        <v>10135</v>
      </c>
      <c r="I955" s="10">
        <v>46244</v>
      </c>
      <c r="J955" s="10"/>
      <c r="L955" t="s">
        <v>10136</v>
      </c>
    </row>
    <row r="956" spans="1:12" ht="75">
      <c r="A956" s="10">
        <v>46241</v>
      </c>
      <c r="B956" s="11" t="s">
        <v>330</v>
      </c>
      <c r="C956" s="11" t="s">
        <v>1555</v>
      </c>
      <c r="D956" s="11" t="s">
        <v>6897</v>
      </c>
      <c r="E956" s="11" t="s">
        <v>17</v>
      </c>
      <c r="F956" s="12" t="s">
        <v>10137</v>
      </c>
      <c r="G956" s="11" t="s">
        <v>7553</v>
      </c>
      <c r="H956" s="13" t="s">
        <v>7618</v>
      </c>
      <c r="I956" s="10">
        <v>46244</v>
      </c>
      <c r="J956" s="10" t="s">
        <v>10089</v>
      </c>
      <c r="L956" t="s">
        <v>10138</v>
      </c>
    </row>
    <row r="957" spans="1:12" ht="60">
      <c r="A957" s="10">
        <v>46241</v>
      </c>
      <c r="B957" s="12" t="s">
        <v>10139</v>
      </c>
      <c r="C957" s="11" t="s">
        <v>461</v>
      </c>
      <c r="D957" s="11" t="s">
        <v>6982</v>
      </c>
      <c r="E957" s="11" t="s">
        <v>17</v>
      </c>
      <c r="F957" s="12" t="s">
        <v>10140</v>
      </c>
      <c r="G957" s="11" t="s">
        <v>7553</v>
      </c>
      <c r="H957" s="13" t="s">
        <v>7618</v>
      </c>
      <c r="I957" s="10">
        <v>46244</v>
      </c>
      <c r="J957" s="10"/>
      <c r="L957" t="s">
        <v>10141</v>
      </c>
    </row>
    <row r="958" spans="1:12">
      <c r="A958" s="10">
        <v>46241</v>
      </c>
      <c r="B958" s="11" t="s">
        <v>105</v>
      </c>
      <c r="C958" s="11" t="s">
        <v>682</v>
      </c>
      <c r="D958" s="11" t="s">
        <v>7277</v>
      </c>
      <c r="E958" s="11" t="s">
        <v>18</v>
      </c>
      <c r="F958" s="12" t="s">
        <v>10142</v>
      </c>
      <c r="G958" s="11" t="s">
        <v>7553</v>
      </c>
      <c r="H958" s="13" t="s">
        <v>10143</v>
      </c>
      <c r="I958" s="10">
        <v>46244</v>
      </c>
      <c r="J958" s="10"/>
      <c r="L958" t="s">
        <v>10144</v>
      </c>
    </row>
    <row r="959" spans="1:12" ht="60">
      <c r="A959" s="10">
        <v>46241</v>
      </c>
      <c r="B959" s="11" t="s">
        <v>10145</v>
      </c>
      <c r="C959" s="11" t="s">
        <v>1874</v>
      </c>
      <c r="D959" s="11" t="s">
        <v>7000</v>
      </c>
      <c r="E959" s="11" t="s">
        <v>17</v>
      </c>
      <c r="F959" s="12" t="s">
        <v>10146</v>
      </c>
      <c r="G959" s="11" t="s">
        <v>7553</v>
      </c>
      <c r="H959" s="13" t="s">
        <v>10147</v>
      </c>
      <c r="I959" s="10">
        <v>46244</v>
      </c>
      <c r="J959" s="10" t="s">
        <v>4</v>
      </c>
      <c r="L959" t="s">
        <v>10148</v>
      </c>
    </row>
    <row r="960" spans="1:12">
      <c r="A960" s="10">
        <v>46244</v>
      </c>
      <c r="B960" s="11" t="s">
        <v>10149</v>
      </c>
      <c r="C960" s="11" t="s">
        <v>648</v>
      </c>
      <c r="D960" s="11" t="s">
        <v>10150</v>
      </c>
      <c r="E960" s="11" t="s">
        <v>17</v>
      </c>
      <c r="F960" s="12" t="s">
        <v>10151</v>
      </c>
      <c r="G960" s="11" t="s">
        <v>7553</v>
      </c>
      <c r="H960" s="13" t="s">
        <v>7618</v>
      </c>
      <c r="I960" s="10">
        <v>46244</v>
      </c>
      <c r="J960" s="10" t="s">
        <v>4</v>
      </c>
      <c r="L960" s="179" t="s">
        <v>10152</v>
      </c>
    </row>
    <row r="961" spans="1:12" ht="30">
      <c r="A961" s="10">
        <v>46244</v>
      </c>
      <c r="B961" s="11" t="s">
        <v>73</v>
      </c>
      <c r="C961" s="11" t="s">
        <v>7316</v>
      </c>
      <c r="D961" s="11" t="s">
        <v>7317</v>
      </c>
      <c r="E961" s="11" t="s">
        <v>18</v>
      </c>
      <c r="F961" s="12" t="s">
        <v>10153</v>
      </c>
      <c r="G961" s="11" t="s">
        <v>7553</v>
      </c>
      <c r="H961" s="13" t="s">
        <v>7618</v>
      </c>
      <c r="I961" s="10">
        <v>46244</v>
      </c>
      <c r="J961" s="10"/>
      <c r="L961" t="s">
        <v>10154</v>
      </c>
    </row>
    <row r="962" spans="1:12">
      <c r="A962" s="10">
        <v>46244</v>
      </c>
      <c r="B962" s="11" t="s">
        <v>10155</v>
      </c>
      <c r="C962" s="11" t="s">
        <v>585</v>
      </c>
      <c r="D962" s="11" t="s">
        <v>7144</v>
      </c>
      <c r="E962" s="11" t="s">
        <v>17</v>
      </c>
      <c r="F962" s="12" t="s">
        <v>10156</v>
      </c>
      <c r="G962" s="11" t="s">
        <v>7553</v>
      </c>
      <c r="H962" s="13" t="s">
        <v>7618</v>
      </c>
      <c r="I962" s="10">
        <v>46244</v>
      </c>
      <c r="J962" s="10" t="s">
        <v>10157</v>
      </c>
      <c r="L962" t="s">
        <v>10158</v>
      </c>
    </row>
    <row r="963" spans="1:12">
      <c r="A963" s="10">
        <v>46244</v>
      </c>
      <c r="B963" s="11" t="s">
        <v>248</v>
      </c>
      <c r="C963" s="43" t="s">
        <v>1824</v>
      </c>
      <c r="D963" s="43" t="s">
        <v>8333</v>
      </c>
      <c r="E963" s="11" t="s">
        <v>17</v>
      </c>
      <c r="F963" s="12" t="s">
        <v>10159</v>
      </c>
      <c r="G963" s="11" t="s">
        <v>7553</v>
      </c>
      <c r="H963" s="13" t="s">
        <v>7618</v>
      </c>
      <c r="I963" s="10">
        <v>46244</v>
      </c>
      <c r="J963" s="10" t="s">
        <v>4</v>
      </c>
      <c r="L963" t="s">
        <v>10160</v>
      </c>
    </row>
    <row r="964" spans="1:12">
      <c r="A964" s="10">
        <v>46244</v>
      </c>
      <c r="B964" s="11" t="s">
        <v>10161</v>
      </c>
      <c r="C964" s="11" t="s">
        <v>1252</v>
      </c>
      <c r="D964" s="11" t="s">
        <v>7038</v>
      </c>
      <c r="E964" s="11" t="s">
        <v>17</v>
      </c>
      <c r="F964" s="12" t="s">
        <v>10162</v>
      </c>
      <c r="G964" s="11" t="s">
        <v>7553</v>
      </c>
      <c r="H964" s="13" t="s">
        <v>7618</v>
      </c>
      <c r="I964" s="10">
        <v>46244</v>
      </c>
      <c r="J964" s="10" t="s">
        <v>4</v>
      </c>
      <c r="L964" t="s">
        <v>10163</v>
      </c>
    </row>
    <row r="965" spans="1:12" ht="30">
      <c r="A965" s="10">
        <v>46244</v>
      </c>
      <c r="B965" s="11" t="s">
        <v>10164</v>
      </c>
      <c r="C965" s="46" t="s">
        <v>2369</v>
      </c>
      <c r="D965" s="48" t="s">
        <v>6961</v>
      </c>
      <c r="E965" s="11" t="s">
        <v>18</v>
      </c>
      <c r="F965" s="12" t="s">
        <v>10165</v>
      </c>
      <c r="G965" s="11" t="s">
        <v>7553</v>
      </c>
      <c r="H965" s="13" t="s">
        <v>7618</v>
      </c>
      <c r="I965" s="10">
        <v>46244</v>
      </c>
      <c r="J965" s="10" t="s">
        <v>10096</v>
      </c>
      <c r="L965" t="s">
        <v>10166</v>
      </c>
    </row>
    <row r="966" spans="1:12" ht="30">
      <c r="A966" s="10">
        <v>46244</v>
      </c>
      <c r="B966" s="11" t="s">
        <v>10167</v>
      </c>
      <c r="C966" s="11" t="s">
        <v>496</v>
      </c>
      <c r="D966" s="11" t="s">
        <v>7608</v>
      </c>
      <c r="E966" s="11" t="s">
        <v>17</v>
      </c>
      <c r="F966" s="12" t="s">
        <v>10168</v>
      </c>
      <c r="G966" s="11" t="s">
        <v>7553</v>
      </c>
      <c r="H966" s="13" t="s">
        <v>10169</v>
      </c>
      <c r="I966" s="10">
        <v>46244</v>
      </c>
      <c r="J966" s="10"/>
      <c r="L966" t="s">
        <v>10170</v>
      </c>
    </row>
    <row r="967" spans="1:12" ht="45">
      <c r="A967" s="10">
        <v>46244</v>
      </c>
      <c r="B967" s="11" t="s">
        <v>10171</v>
      </c>
      <c r="C967" s="11" t="s">
        <v>839</v>
      </c>
      <c r="D967" s="11" t="s">
        <v>7152</v>
      </c>
      <c r="E967" s="11" t="s">
        <v>18</v>
      </c>
      <c r="F967" s="12" t="s">
        <v>10172</v>
      </c>
      <c r="G967" s="11" t="s">
        <v>7553</v>
      </c>
      <c r="H967" s="13" t="s">
        <v>10173</v>
      </c>
      <c r="I967" s="10">
        <v>46244</v>
      </c>
      <c r="J967" s="10"/>
      <c r="L967" t="s">
        <v>10174</v>
      </c>
    </row>
    <row r="968" spans="1:12">
      <c r="A968" s="10">
        <v>46244</v>
      </c>
      <c r="B968" s="11" t="s">
        <v>10175</v>
      </c>
      <c r="C968" s="11" t="s">
        <v>1371</v>
      </c>
      <c r="D968" s="11" t="s">
        <v>7164</v>
      </c>
      <c r="E968" s="11" t="s">
        <v>17</v>
      </c>
      <c r="F968" s="12" t="s">
        <v>10176</v>
      </c>
      <c r="G968" s="11" t="s">
        <v>7553</v>
      </c>
      <c r="H968" s="13" t="s">
        <v>10177</v>
      </c>
      <c r="I968" s="10">
        <v>46245</v>
      </c>
      <c r="J968" s="10"/>
      <c r="L968" t="s">
        <v>10178</v>
      </c>
    </row>
    <row r="969" spans="1:12">
      <c r="A969" s="10">
        <v>46244</v>
      </c>
      <c r="B969" s="11" t="s">
        <v>10179</v>
      </c>
      <c r="C969" s="11" t="s">
        <v>741</v>
      </c>
      <c r="D969" s="11" t="s">
        <v>7028</v>
      </c>
      <c r="E969" s="11" t="s">
        <v>13</v>
      </c>
      <c r="F969" s="12" t="s">
        <v>10180</v>
      </c>
      <c r="G969" s="11" t="s">
        <v>7553</v>
      </c>
      <c r="H969" s="13" t="s">
        <v>10177</v>
      </c>
      <c r="I969" s="10">
        <v>46245</v>
      </c>
      <c r="J969" s="10"/>
      <c r="L969" t="s">
        <v>10181</v>
      </c>
    </row>
    <row r="970" spans="1:12" ht="30">
      <c r="A970" s="10">
        <v>46244</v>
      </c>
      <c r="B970" s="12" t="s">
        <v>10182</v>
      </c>
      <c r="C970" s="11" t="s">
        <v>741</v>
      </c>
      <c r="D970" s="11" t="s">
        <v>7028</v>
      </c>
      <c r="E970" s="11" t="s">
        <v>13</v>
      </c>
      <c r="F970" s="12" t="s">
        <v>10183</v>
      </c>
      <c r="G970" s="11" t="s">
        <v>7553</v>
      </c>
      <c r="H970" s="13" t="s">
        <v>10177</v>
      </c>
      <c r="I970" s="10">
        <v>46245</v>
      </c>
      <c r="J970" s="10"/>
      <c r="L970" t="s">
        <v>10184</v>
      </c>
    </row>
    <row r="971" spans="1:12">
      <c r="A971" s="10">
        <v>46245</v>
      </c>
      <c r="B971" s="9" t="s">
        <v>10185</v>
      </c>
      <c r="C971" s="11" t="s">
        <v>1348</v>
      </c>
      <c r="D971" s="11" t="s">
        <v>7010</v>
      </c>
      <c r="E971" s="11" t="s">
        <v>17</v>
      </c>
      <c r="F971" s="12" t="s">
        <v>10186</v>
      </c>
      <c r="G971" s="11" t="s">
        <v>7553</v>
      </c>
      <c r="H971" s="13" t="s">
        <v>10177</v>
      </c>
      <c r="I971" s="10">
        <v>46245</v>
      </c>
      <c r="J971" s="10" t="s">
        <v>4</v>
      </c>
      <c r="L971" t="s">
        <v>10187</v>
      </c>
    </row>
    <row r="972" spans="1:12">
      <c r="A972" s="10">
        <v>46245</v>
      </c>
      <c r="B972" s="158" t="s">
        <v>232</v>
      </c>
      <c r="C972" s="11" t="s">
        <v>983</v>
      </c>
      <c r="D972" s="11" t="s">
        <v>6890</v>
      </c>
      <c r="E972" s="11" t="s">
        <v>17</v>
      </c>
      <c r="F972" s="174" t="s">
        <v>10188</v>
      </c>
      <c r="G972" s="11" t="s">
        <v>7553</v>
      </c>
      <c r="H972" s="13" t="s">
        <v>10177</v>
      </c>
      <c r="I972" s="10">
        <v>46245</v>
      </c>
      <c r="J972" s="10" t="s">
        <v>4916</v>
      </c>
      <c r="L972" t="s">
        <v>10189</v>
      </c>
    </row>
    <row r="973" spans="1:12" ht="30">
      <c r="A973" s="10">
        <v>46245</v>
      </c>
      <c r="B973" s="11" t="s">
        <v>10190</v>
      </c>
      <c r="C973" s="11" t="s">
        <v>1779</v>
      </c>
      <c r="D973" s="11" t="s">
        <v>7383</v>
      </c>
      <c r="E973" s="11" t="s">
        <v>18</v>
      </c>
      <c r="F973" s="12" t="s">
        <v>10191</v>
      </c>
      <c r="G973" s="11" t="s">
        <v>7553</v>
      </c>
      <c r="H973" s="13" t="s">
        <v>10177</v>
      </c>
      <c r="I973" s="10">
        <v>46245</v>
      </c>
      <c r="J973" s="10"/>
      <c r="L973" t="s">
        <v>10192</v>
      </c>
    </row>
    <row r="974" spans="1:12" ht="45">
      <c r="A974" s="10">
        <v>46245</v>
      </c>
      <c r="B974" s="11" t="s">
        <v>10193</v>
      </c>
      <c r="C974" s="11" t="s">
        <v>2270</v>
      </c>
      <c r="D974" s="11" t="s">
        <v>7243</v>
      </c>
      <c r="E974" s="11" t="s">
        <v>8691</v>
      </c>
      <c r="F974" s="12" t="s">
        <v>10194</v>
      </c>
      <c r="G974" s="11" t="s">
        <v>7553</v>
      </c>
      <c r="H974" s="13" t="s">
        <v>10177</v>
      </c>
      <c r="I974" s="10">
        <v>46246</v>
      </c>
      <c r="J974" s="10"/>
      <c r="L974" t="s">
        <v>10195</v>
      </c>
    </row>
    <row r="975" spans="1:12">
      <c r="A975" s="10">
        <v>46245</v>
      </c>
      <c r="B975" s="11" t="s">
        <v>10196</v>
      </c>
      <c r="C975" s="11" t="s">
        <v>1512</v>
      </c>
      <c r="D975" s="11" t="s">
        <v>7170</v>
      </c>
      <c r="E975" s="11" t="s">
        <v>17</v>
      </c>
      <c r="F975" s="12" t="s">
        <v>10197</v>
      </c>
      <c r="G975" s="11" t="s">
        <v>7553</v>
      </c>
      <c r="H975" s="13" t="s">
        <v>10177</v>
      </c>
      <c r="I975" s="10">
        <v>46246</v>
      </c>
      <c r="J975" s="10"/>
      <c r="L975" t="s">
        <v>10198</v>
      </c>
    </row>
    <row r="976" spans="1:12" ht="60">
      <c r="A976" s="10">
        <v>46245</v>
      </c>
      <c r="B976" s="175" t="s">
        <v>10199</v>
      </c>
      <c r="C976" s="11" t="s">
        <v>983</v>
      </c>
      <c r="D976" s="11" t="s">
        <v>6890</v>
      </c>
      <c r="E976" s="11" t="s">
        <v>17</v>
      </c>
      <c r="F976" s="12" t="s">
        <v>10200</v>
      </c>
      <c r="G976" s="11" t="s">
        <v>7553</v>
      </c>
      <c r="H976" s="13" t="s">
        <v>10201</v>
      </c>
      <c r="I976" s="10">
        <v>46246</v>
      </c>
      <c r="J976" s="10" t="s">
        <v>10202</v>
      </c>
      <c r="L976" t="s">
        <v>10203</v>
      </c>
    </row>
    <row r="977" spans="1:12" ht="75">
      <c r="A977" s="10">
        <v>46245</v>
      </c>
      <c r="B977" s="9" t="s">
        <v>10204</v>
      </c>
      <c r="C977" s="9" t="s">
        <v>1555</v>
      </c>
      <c r="D977" s="11" t="s">
        <v>6897</v>
      </c>
      <c r="E977" s="11" t="s">
        <v>17</v>
      </c>
      <c r="F977" s="12" t="s">
        <v>10205</v>
      </c>
      <c r="G977" s="11" t="s">
        <v>7553</v>
      </c>
      <c r="H977" s="13" t="s">
        <v>9706</v>
      </c>
      <c r="I977" s="10">
        <v>46246</v>
      </c>
      <c r="J977" s="10" t="s">
        <v>4</v>
      </c>
      <c r="L977" t="s">
        <v>10206</v>
      </c>
    </row>
    <row r="978" spans="1:12">
      <c r="A978" s="10">
        <v>46245</v>
      </c>
      <c r="B978" s="11" t="s">
        <v>10207</v>
      </c>
      <c r="C978" s="11" t="s">
        <v>10208</v>
      </c>
      <c r="D978" s="11" t="s">
        <v>10209</v>
      </c>
      <c r="E978" s="11" t="s">
        <v>10210</v>
      </c>
      <c r="F978" s="12" t="s">
        <v>10211</v>
      </c>
      <c r="G978" s="11" t="s">
        <v>7553</v>
      </c>
      <c r="H978" s="13" t="s">
        <v>10177</v>
      </c>
      <c r="I978" s="10">
        <v>46246</v>
      </c>
      <c r="J978" s="10"/>
      <c r="L978" t="s">
        <v>10212</v>
      </c>
    </row>
    <row r="979" spans="1:12">
      <c r="A979" s="10">
        <v>46245</v>
      </c>
      <c r="B979" s="11" t="s">
        <v>10213</v>
      </c>
      <c r="C979" s="46" t="s">
        <v>2369</v>
      </c>
      <c r="D979" s="48" t="s">
        <v>6961</v>
      </c>
      <c r="E979" s="11" t="s">
        <v>18</v>
      </c>
      <c r="F979" s="12" t="s">
        <v>10214</v>
      </c>
      <c r="G979" s="11" t="s">
        <v>7553</v>
      </c>
      <c r="H979" s="13" t="s">
        <v>10177</v>
      </c>
      <c r="I979" s="10">
        <v>46246</v>
      </c>
      <c r="J979" s="10" t="s">
        <v>10056</v>
      </c>
      <c r="L979" t="s">
        <v>10215</v>
      </c>
    </row>
    <row r="980" spans="1:12" ht="30">
      <c r="A980" s="10">
        <v>46245</v>
      </c>
      <c r="B980" s="11" t="s">
        <v>10216</v>
      </c>
      <c r="C980" s="46" t="s">
        <v>2369</v>
      </c>
      <c r="D980" s="48" t="s">
        <v>6961</v>
      </c>
      <c r="E980" s="11" t="s">
        <v>18</v>
      </c>
      <c r="F980" s="12" t="s">
        <v>10217</v>
      </c>
      <c r="G980" s="11" t="s">
        <v>7553</v>
      </c>
      <c r="H980" s="13" t="s">
        <v>10177</v>
      </c>
      <c r="I980" s="10">
        <v>46246</v>
      </c>
      <c r="J980" s="10" t="s">
        <v>10056</v>
      </c>
      <c r="L980" t="s">
        <v>10218</v>
      </c>
    </row>
    <row r="981" spans="1:12" ht="30">
      <c r="A981" s="10">
        <v>46245</v>
      </c>
      <c r="B981" s="96" t="s">
        <v>10219</v>
      </c>
      <c r="C981" s="11" t="s">
        <v>560</v>
      </c>
      <c r="D981" s="11" t="s">
        <v>7918</v>
      </c>
      <c r="E981" s="11" t="s">
        <v>13</v>
      </c>
      <c r="F981" s="12" t="s">
        <v>10220</v>
      </c>
      <c r="G981" s="11" t="s">
        <v>7553</v>
      </c>
      <c r="H981" s="13" t="s">
        <v>8352</v>
      </c>
      <c r="I981" s="10">
        <v>46246</v>
      </c>
      <c r="J981" s="10"/>
      <c r="L981" t="s">
        <v>10221</v>
      </c>
    </row>
    <row r="982" spans="1:12" ht="45">
      <c r="A982" s="10">
        <v>46246</v>
      </c>
      <c r="B982" s="11" t="s">
        <v>10222</v>
      </c>
      <c r="C982" s="11" t="s">
        <v>1348</v>
      </c>
      <c r="D982" s="11" t="s">
        <v>7010</v>
      </c>
      <c r="E982" s="11" t="s">
        <v>17</v>
      </c>
      <c r="F982" s="12" t="s">
        <v>10223</v>
      </c>
      <c r="G982" s="11" t="s">
        <v>7553</v>
      </c>
      <c r="H982" s="13" t="s">
        <v>10177</v>
      </c>
      <c r="I982" s="10">
        <v>46246</v>
      </c>
      <c r="J982" s="10" t="s">
        <v>2896</v>
      </c>
      <c r="L982" t="s">
        <v>10224</v>
      </c>
    </row>
    <row r="983" spans="1:12">
      <c r="A983" s="10">
        <v>46246</v>
      </c>
      <c r="B983" s="11" t="s">
        <v>10225</v>
      </c>
      <c r="C983" s="11" t="s">
        <v>585</v>
      </c>
      <c r="D983" s="11" t="s">
        <v>7144</v>
      </c>
      <c r="E983" s="11" t="s">
        <v>17</v>
      </c>
      <c r="F983" s="12" t="s">
        <v>10226</v>
      </c>
      <c r="G983" s="11" t="s">
        <v>7553</v>
      </c>
      <c r="H983" s="13" t="s">
        <v>10177</v>
      </c>
      <c r="I983" s="10">
        <v>46246</v>
      </c>
      <c r="J983" s="10" t="s">
        <v>10227</v>
      </c>
      <c r="L983" t="s">
        <v>10228</v>
      </c>
    </row>
    <row r="984" spans="1:12" ht="43.5">
      <c r="A984" s="10">
        <v>46246</v>
      </c>
      <c r="B984" s="11" t="s">
        <v>10229</v>
      </c>
      <c r="C984" s="11" t="s">
        <v>4584</v>
      </c>
      <c r="D984" s="11" t="s">
        <v>7174</v>
      </c>
      <c r="E984" s="11" t="s">
        <v>17</v>
      </c>
      <c r="F984" s="12" t="s">
        <v>10230</v>
      </c>
      <c r="G984" s="11" t="s">
        <v>7553</v>
      </c>
      <c r="H984" s="13" t="s">
        <v>10177</v>
      </c>
      <c r="I984" s="10">
        <v>46246</v>
      </c>
      <c r="J984" s="57">
        <v>46247.166666666701</v>
      </c>
      <c r="K984" t="s">
        <v>4</v>
      </c>
      <c r="L984" t="s">
        <v>10231</v>
      </c>
    </row>
    <row r="985" spans="1:12">
      <c r="A985" s="10">
        <v>46246</v>
      </c>
      <c r="B985" s="11" t="s">
        <v>10232</v>
      </c>
      <c r="C985" s="11" t="s">
        <v>585</v>
      </c>
      <c r="D985" s="11" t="s">
        <v>7144</v>
      </c>
      <c r="E985" s="11" t="s">
        <v>17</v>
      </c>
      <c r="F985" s="12" t="s">
        <v>10233</v>
      </c>
      <c r="G985" s="11" t="s">
        <v>7553</v>
      </c>
      <c r="H985" s="13" t="s">
        <v>10177</v>
      </c>
      <c r="I985" s="10">
        <v>46246</v>
      </c>
      <c r="J985" s="10" t="s">
        <v>4</v>
      </c>
      <c r="L985" t="s">
        <v>10234</v>
      </c>
    </row>
    <row r="986" spans="1:12" ht="30">
      <c r="A986" s="10">
        <v>46246</v>
      </c>
      <c r="B986" s="11" t="s">
        <v>10235</v>
      </c>
      <c r="C986" s="11" t="s">
        <v>585</v>
      </c>
      <c r="D986" s="11" t="s">
        <v>7144</v>
      </c>
      <c r="E986" s="11" t="s">
        <v>17</v>
      </c>
      <c r="F986" s="12" t="s">
        <v>10236</v>
      </c>
      <c r="G986" s="11" t="s">
        <v>7553</v>
      </c>
      <c r="H986" s="13" t="s">
        <v>10177</v>
      </c>
      <c r="I986" s="10">
        <v>46246</v>
      </c>
      <c r="J986" s="10" t="s">
        <v>8622</v>
      </c>
      <c r="L986" t="s">
        <v>10237</v>
      </c>
    </row>
    <row r="987" spans="1:12" ht="30">
      <c r="A987" s="10">
        <v>46246</v>
      </c>
      <c r="B987" s="11" t="s">
        <v>10238</v>
      </c>
      <c r="C987" s="11" t="s">
        <v>518</v>
      </c>
      <c r="D987" s="11" t="s">
        <v>6916</v>
      </c>
      <c r="E987" s="11" t="s">
        <v>17</v>
      </c>
      <c r="F987" s="12" t="s">
        <v>10239</v>
      </c>
      <c r="G987" s="11" t="s">
        <v>7553</v>
      </c>
      <c r="H987" s="13" t="s">
        <v>10177</v>
      </c>
      <c r="I987" s="10">
        <v>46246</v>
      </c>
      <c r="J987" s="10" t="s">
        <v>10240</v>
      </c>
      <c r="L987" t="s">
        <v>10241</v>
      </c>
    </row>
    <row r="988" spans="1:12" ht="30">
      <c r="A988" s="10">
        <v>46246</v>
      </c>
      <c r="B988" s="11" t="s">
        <v>10242</v>
      </c>
      <c r="C988" s="11" t="s">
        <v>518</v>
      </c>
      <c r="D988" s="11" t="s">
        <v>6916</v>
      </c>
      <c r="E988" s="11" t="s">
        <v>17</v>
      </c>
      <c r="F988" s="12" t="s">
        <v>10243</v>
      </c>
      <c r="G988" s="11" t="s">
        <v>7553</v>
      </c>
      <c r="H988" s="13" t="s">
        <v>10177</v>
      </c>
      <c r="I988" s="10">
        <v>46246</v>
      </c>
      <c r="J988" s="10" t="s">
        <v>10240</v>
      </c>
      <c r="L988" t="s">
        <v>10244</v>
      </c>
    </row>
    <row r="989" spans="1:12" ht="30">
      <c r="A989" s="10">
        <v>46246</v>
      </c>
      <c r="B989" s="11" t="s">
        <v>10245</v>
      </c>
      <c r="C989" s="11" t="s">
        <v>1371</v>
      </c>
      <c r="D989" s="11" t="s">
        <v>7164</v>
      </c>
      <c r="E989" s="11" t="s">
        <v>17</v>
      </c>
      <c r="F989" s="12" t="s">
        <v>10246</v>
      </c>
      <c r="G989" s="11" t="s">
        <v>7553</v>
      </c>
      <c r="H989" s="13" t="s">
        <v>10177</v>
      </c>
      <c r="I989" s="10">
        <v>46246</v>
      </c>
      <c r="J989" s="10"/>
      <c r="L989" s="179" t="s">
        <v>10247</v>
      </c>
    </row>
    <row r="990" spans="1:12" ht="45">
      <c r="A990" s="10">
        <v>46246</v>
      </c>
      <c r="B990" s="11" t="s">
        <v>245</v>
      </c>
      <c r="C990" s="11" t="s">
        <v>1040</v>
      </c>
      <c r="D990" s="11" t="s">
        <v>10248</v>
      </c>
      <c r="E990" s="11" t="s">
        <v>17</v>
      </c>
      <c r="F990" s="12" t="s">
        <v>10249</v>
      </c>
      <c r="G990" s="11" t="s">
        <v>7553</v>
      </c>
      <c r="H990" s="13" t="s">
        <v>10177</v>
      </c>
      <c r="I990" s="10">
        <v>46246</v>
      </c>
      <c r="J990" s="10"/>
      <c r="L990" t="s">
        <v>10250</v>
      </c>
    </row>
    <row r="991" spans="1:12" ht="45">
      <c r="A991" s="10">
        <v>46246</v>
      </c>
      <c r="B991" s="149" t="s">
        <v>10251</v>
      </c>
      <c r="C991" s="11" t="s">
        <v>1109</v>
      </c>
      <c r="D991" s="11" t="s">
        <v>7053</v>
      </c>
      <c r="E991" s="11" t="s">
        <v>17</v>
      </c>
      <c r="F991" s="12" t="s">
        <v>10252</v>
      </c>
      <c r="G991" s="11" t="s">
        <v>7553</v>
      </c>
      <c r="H991" s="13" t="s">
        <v>10177</v>
      </c>
      <c r="I991" s="10">
        <v>46246</v>
      </c>
      <c r="J991" s="10"/>
      <c r="L991" t="s">
        <v>10253</v>
      </c>
    </row>
    <row r="992" spans="1:12" ht="30">
      <c r="A992" s="10">
        <v>46246</v>
      </c>
      <c r="B992" s="11" t="s">
        <v>10254</v>
      </c>
      <c r="C992" s="11" t="s">
        <v>518</v>
      </c>
      <c r="D992" s="11" t="s">
        <v>6916</v>
      </c>
      <c r="E992" s="11" t="s">
        <v>17</v>
      </c>
      <c r="F992" s="12" t="s">
        <v>10255</v>
      </c>
      <c r="G992" s="11" t="s">
        <v>7553</v>
      </c>
      <c r="H992" s="13" t="s">
        <v>10177</v>
      </c>
      <c r="I992" s="10">
        <v>46246</v>
      </c>
      <c r="J992" s="10" t="s">
        <v>10240</v>
      </c>
      <c r="L992" t="s">
        <v>10256</v>
      </c>
    </row>
    <row r="993" spans="1:12" ht="30">
      <c r="A993" s="10">
        <v>46246</v>
      </c>
      <c r="B993" s="11" t="s">
        <v>10257</v>
      </c>
      <c r="C993" s="11" t="s">
        <v>1252</v>
      </c>
      <c r="D993" s="11" t="s">
        <v>7038</v>
      </c>
      <c r="E993" s="11" t="s">
        <v>17</v>
      </c>
      <c r="F993" s="12" t="s">
        <v>10258</v>
      </c>
      <c r="G993" s="11" t="s">
        <v>7553</v>
      </c>
      <c r="H993" s="13" t="s">
        <v>10177</v>
      </c>
      <c r="I993" s="10">
        <v>46246</v>
      </c>
      <c r="J993" s="10" t="s">
        <v>4</v>
      </c>
      <c r="L993" t="s">
        <v>10259</v>
      </c>
    </row>
    <row r="994" spans="1:12" ht="60">
      <c r="A994" s="10">
        <v>46246</v>
      </c>
      <c r="B994" s="11" t="s">
        <v>10260</v>
      </c>
      <c r="C994" s="11" t="s">
        <v>1109</v>
      </c>
      <c r="D994" s="11" t="s">
        <v>7053</v>
      </c>
      <c r="E994" s="11" t="s">
        <v>17</v>
      </c>
      <c r="F994" s="12" t="s">
        <v>10261</v>
      </c>
      <c r="G994" s="11" t="s">
        <v>7553</v>
      </c>
      <c r="H994" s="13" t="s">
        <v>10177</v>
      </c>
      <c r="I994" s="10">
        <v>46246</v>
      </c>
      <c r="J994" s="10"/>
      <c r="L994" t="s">
        <v>10262</v>
      </c>
    </row>
    <row r="995" spans="1:12" ht="30">
      <c r="A995" s="10">
        <v>46246</v>
      </c>
      <c r="B995" s="11" t="s">
        <v>10263</v>
      </c>
      <c r="C995" s="11" t="s">
        <v>1252</v>
      </c>
      <c r="D995" s="11" t="s">
        <v>7038</v>
      </c>
      <c r="E995" s="11" t="s">
        <v>17</v>
      </c>
      <c r="F995" s="12" t="s">
        <v>10264</v>
      </c>
      <c r="G995" s="11" t="s">
        <v>7553</v>
      </c>
      <c r="H995" s="13" t="s">
        <v>10177</v>
      </c>
      <c r="I995" s="10">
        <v>46246</v>
      </c>
      <c r="J995" s="10" t="s">
        <v>4</v>
      </c>
      <c r="L995" t="s">
        <v>10265</v>
      </c>
    </row>
    <row r="996" spans="1:12" ht="30">
      <c r="A996" s="10">
        <v>46246</v>
      </c>
      <c r="B996" s="11" t="s">
        <v>10266</v>
      </c>
      <c r="C996" s="11" t="s">
        <v>1252</v>
      </c>
      <c r="D996" s="11" t="s">
        <v>7038</v>
      </c>
      <c r="E996" s="11" t="s">
        <v>17</v>
      </c>
      <c r="F996" s="12" t="s">
        <v>10267</v>
      </c>
      <c r="G996" s="11" t="s">
        <v>7553</v>
      </c>
      <c r="H996" s="13" t="s">
        <v>10177</v>
      </c>
      <c r="I996" s="10">
        <v>46246</v>
      </c>
      <c r="J996" s="10" t="s">
        <v>4</v>
      </c>
      <c r="L996" t="s">
        <v>10268</v>
      </c>
    </row>
    <row r="997" spans="1:12" ht="30">
      <c r="A997" s="10">
        <v>46246</v>
      </c>
      <c r="B997" s="11" t="s">
        <v>10269</v>
      </c>
      <c r="C997" s="11" t="s">
        <v>1252</v>
      </c>
      <c r="D997" s="11" t="s">
        <v>7038</v>
      </c>
      <c r="E997" s="11" t="s">
        <v>17</v>
      </c>
      <c r="F997" s="12" t="s">
        <v>10270</v>
      </c>
      <c r="G997" s="11" t="s">
        <v>7553</v>
      </c>
      <c r="H997" s="13" t="s">
        <v>10177</v>
      </c>
      <c r="I997" s="10">
        <v>46246</v>
      </c>
      <c r="J997" s="10" t="s">
        <v>4</v>
      </c>
      <c r="L997" t="s">
        <v>10271</v>
      </c>
    </row>
    <row r="998" spans="1:12" ht="45">
      <c r="A998" s="10">
        <v>46246</v>
      </c>
      <c r="B998" s="11" t="s">
        <v>10272</v>
      </c>
      <c r="C998" s="11" t="s">
        <v>648</v>
      </c>
      <c r="D998" s="11" t="s">
        <v>8434</v>
      </c>
      <c r="E998" s="11" t="s">
        <v>17</v>
      </c>
      <c r="F998" s="12" t="s">
        <v>10273</v>
      </c>
      <c r="G998" s="11" t="s">
        <v>7553</v>
      </c>
      <c r="H998" s="13" t="s">
        <v>10177</v>
      </c>
      <c r="I998" s="10">
        <v>46246</v>
      </c>
      <c r="J998" s="10"/>
      <c r="L998" t="s">
        <v>10274</v>
      </c>
    </row>
    <row r="999" spans="1:12" ht="30">
      <c r="A999" s="10">
        <v>46246</v>
      </c>
      <c r="B999" s="11" t="s">
        <v>10275</v>
      </c>
      <c r="C999" s="11" t="s">
        <v>1252</v>
      </c>
      <c r="D999" s="11" t="s">
        <v>7038</v>
      </c>
      <c r="E999" s="11" t="s">
        <v>17</v>
      </c>
      <c r="F999" s="12" t="s">
        <v>10276</v>
      </c>
      <c r="G999" s="11" t="s">
        <v>7553</v>
      </c>
      <c r="H999" s="13" t="s">
        <v>10177</v>
      </c>
      <c r="I999" s="10">
        <v>46246</v>
      </c>
      <c r="J999" s="10" t="s">
        <v>4</v>
      </c>
      <c r="L999" t="s">
        <v>10277</v>
      </c>
    </row>
    <row r="1000" spans="1:12" ht="30">
      <c r="A1000" s="10">
        <v>46246</v>
      </c>
      <c r="B1000" s="11" t="s">
        <v>10278</v>
      </c>
      <c r="C1000" s="11" t="s">
        <v>1512</v>
      </c>
      <c r="D1000" s="11" t="s">
        <v>7170</v>
      </c>
      <c r="E1000" s="11" t="s">
        <v>17</v>
      </c>
      <c r="F1000" s="12" t="s">
        <v>10279</v>
      </c>
      <c r="G1000" s="11" t="s">
        <v>7553</v>
      </c>
      <c r="H1000" s="13" t="s">
        <v>10177</v>
      </c>
      <c r="I1000" s="10">
        <v>46246</v>
      </c>
      <c r="J1000" s="10"/>
      <c r="L1000" t="s">
        <v>10280</v>
      </c>
    </row>
    <row r="1001" spans="1:12" ht="30">
      <c r="A1001" s="10">
        <v>46246</v>
      </c>
      <c r="B1001" s="11" t="s">
        <v>10281</v>
      </c>
      <c r="C1001" s="11" t="s">
        <v>560</v>
      </c>
      <c r="D1001" s="11" t="s">
        <v>10282</v>
      </c>
      <c r="E1001" s="11" t="s">
        <v>8639</v>
      </c>
      <c r="F1001" s="12" t="s">
        <v>10283</v>
      </c>
      <c r="G1001" s="11" t="s">
        <v>7553</v>
      </c>
      <c r="H1001" s="13" t="s">
        <v>10177</v>
      </c>
      <c r="I1001" s="10">
        <v>46246</v>
      </c>
      <c r="J1001" s="10" t="s">
        <v>4</v>
      </c>
      <c r="L1001" t="s">
        <v>10284</v>
      </c>
    </row>
    <row r="1002" spans="1:12" ht="45">
      <c r="A1002" s="10">
        <v>46246</v>
      </c>
      <c r="B1002" s="12" t="s">
        <v>10285</v>
      </c>
      <c r="C1002" s="11" t="s">
        <v>1779</v>
      </c>
      <c r="D1002" s="11" t="s">
        <v>7383</v>
      </c>
      <c r="E1002" s="11" t="s">
        <v>18</v>
      </c>
      <c r="F1002" s="12" t="s">
        <v>10286</v>
      </c>
      <c r="G1002" s="11" t="s">
        <v>7553</v>
      </c>
      <c r="H1002" s="13" t="s">
        <v>10177</v>
      </c>
      <c r="I1002" s="10">
        <v>46246</v>
      </c>
      <c r="J1002" s="10"/>
      <c r="L1002" t="s">
        <v>10287</v>
      </c>
    </row>
    <row r="1003" spans="1:12" ht="30">
      <c r="A1003" s="10">
        <v>46246</v>
      </c>
      <c r="B1003" s="12" t="s">
        <v>10288</v>
      </c>
      <c r="C1003" s="11" t="s">
        <v>1779</v>
      </c>
      <c r="D1003" s="11" t="s">
        <v>7383</v>
      </c>
      <c r="E1003" s="11" t="s">
        <v>18</v>
      </c>
      <c r="F1003" s="12" t="s">
        <v>10289</v>
      </c>
      <c r="G1003" s="11" t="s">
        <v>7553</v>
      </c>
      <c r="H1003" s="13" t="s">
        <v>10177</v>
      </c>
      <c r="I1003" s="10">
        <v>46246</v>
      </c>
      <c r="J1003" s="10"/>
      <c r="L1003" t="s">
        <v>10290</v>
      </c>
    </row>
    <row r="1004" spans="1:12">
      <c r="A1004" s="10">
        <v>46246</v>
      </c>
      <c r="B1004" s="11" t="s">
        <v>10291</v>
      </c>
      <c r="C1004" s="11" t="s">
        <v>1348</v>
      </c>
      <c r="D1004" s="11" t="s">
        <v>7010</v>
      </c>
      <c r="E1004" s="11" t="s">
        <v>17</v>
      </c>
      <c r="F1004" s="12" t="s">
        <v>10292</v>
      </c>
      <c r="G1004" s="11" t="s">
        <v>7553</v>
      </c>
      <c r="H1004" s="13" t="s">
        <v>10293</v>
      </c>
      <c r="I1004" s="10">
        <v>46246</v>
      </c>
      <c r="J1004" s="10" t="s">
        <v>2896</v>
      </c>
      <c r="L1004" t="s">
        <v>10294</v>
      </c>
    </row>
    <row r="1005" spans="1:12">
      <c r="A1005" s="10">
        <v>46246</v>
      </c>
      <c r="B1005" s="11" t="s">
        <v>10295</v>
      </c>
      <c r="C1005" s="11" t="s">
        <v>1824</v>
      </c>
      <c r="D1005" s="11" t="s">
        <v>8333</v>
      </c>
      <c r="E1005" s="11" t="s">
        <v>17</v>
      </c>
      <c r="F1005" s="12" t="s">
        <v>10296</v>
      </c>
      <c r="G1005" s="11" t="s">
        <v>7553</v>
      </c>
      <c r="H1005" s="13" t="s">
        <v>10177</v>
      </c>
      <c r="I1005" s="10">
        <v>46246</v>
      </c>
      <c r="J1005" s="10" t="s">
        <v>4</v>
      </c>
      <c r="L1005" t="s">
        <v>10297</v>
      </c>
    </row>
    <row r="1006" spans="1:12">
      <c r="A1006" s="10">
        <v>46246</v>
      </c>
      <c r="B1006" s="11" t="s">
        <v>10298</v>
      </c>
      <c r="C1006" s="11" t="s">
        <v>1824</v>
      </c>
      <c r="D1006" s="11" t="s">
        <v>8333</v>
      </c>
      <c r="E1006" s="11" t="s">
        <v>17</v>
      </c>
      <c r="F1006" s="12" t="s">
        <v>10299</v>
      </c>
      <c r="G1006" s="11" t="s">
        <v>7553</v>
      </c>
      <c r="H1006" s="13" t="s">
        <v>10300</v>
      </c>
      <c r="I1006" s="10">
        <v>46247</v>
      </c>
      <c r="J1006" s="10" t="s">
        <v>4</v>
      </c>
      <c r="L1006" t="s">
        <v>10301</v>
      </c>
    </row>
    <row r="1007" spans="1:12" ht="45">
      <c r="A1007" s="10">
        <v>46246</v>
      </c>
      <c r="B1007" s="12" t="s">
        <v>10302</v>
      </c>
      <c r="C1007" s="11" t="s">
        <v>682</v>
      </c>
      <c r="D1007" s="11" t="s">
        <v>7277</v>
      </c>
      <c r="E1007" s="11" t="s">
        <v>18</v>
      </c>
      <c r="F1007" s="12" t="s">
        <v>10303</v>
      </c>
      <c r="G1007" s="11" t="s">
        <v>7553</v>
      </c>
      <c r="H1007" s="13" t="s">
        <v>10177</v>
      </c>
      <c r="I1007" s="10">
        <v>46247</v>
      </c>
      <c r="J1007" s="10"/>
      <c r="L1007" t="s">
        <v>10304</v>
      </c>
    </row>
    <row r="1008" spans="1:12" ht="60">
      <c r="A1008" s="10">
        <v>46246</v>
      </c>
      <c r="B1008" s="12" t="s">
        <v>10305</v>
      </c>
      <c r="C1008" s="11" t="s">
        <v>461</v>
      </c>
      <c r="D1008" s="11" t="s">
        <v>6982</v>
      </c>
      <c r="E1008" s="11" t="s">
        <v>17</v>
      </c>
      <c r="F1008" s="12" t="s">
        <v>10306</v>
      </c>
      <c r="G1008" s="11" t="s">
        <v>7553</v>
      </c>
      <c r="H1008" s="13" t="s">
        <v>10177</v>
      </c>
      <c r="I1008" s="10">
        <v>46247</v>
      </c>
      <c r="J1008" s="10"/>
      <c r="L1008" t="s">
        <v>10307</v>
      </c>
    </row>
    <row r="1009" spans="1:12" ht="45">
      <c r="A1009" s="10">
        <v>46247</v>
      </c>
      <c r="B1009" s="11" t="s">
        <v>10308</v>
      </c>
      <c r="C1009" s="11" t="s">
        <v>1348</v>
      </c>
      <c r="D1009" s="11" t="s">
        <v>7010</v>
      </c>
      <c r="E1009" s="11" t="s">
        <v>17</v>
      </c>
      <c r="F1009" s="12" t="s">
        <v>10309</v>
      </c>
      <c r="G1009" s="11" t="s">
        <v>7553</v>
      </c>
      <c r="H1009" s="13" t="s">
        <v>10177</v>
      </c>
      <c r="I1009" s="10">
        <v>46247</v>
      </c>
      <c r="J1009" s="10" t="s">
        <v>4</v>
      </c>
      <c r="L1009" t="s">
        <v>10310</v>
      </c>
    </row>
    <row r="1010" spans="1:12">
      <c r="A1010" s="10">
        <v>46247</v>
      </c>
      <c r="B1010" s="11" t="s">
        <v>10311</v>
      </c>
      <c r="C1010" s="11" t="s">
        <v>585</v>
      </c>
      <c r="D1010" s="11" t="s">
        <v>7144</v>
      </c>
      <c r="E1010" s="11" t="s">
        <v>17</v>
      </c>
      <c r="F1010" s="12" t="s">
        <v>10312</v>
      </c>
      <c r="G1010" s="11" t="s">
        <v>7553</v>
      </c>
      <c r="H1010" s="13" t="s">
        <v>10177</v>
      </c>
      <c r="I1010" s="10">
        <v>46247</v>
      </c>
      <c r="J1010" s="10" t="s">
        <v>4</v>
      </c>
      <c r="L1010" t="s">
        <v>10313</v>
      </c>
    </row>
    <row r="1011" spans="1:12">
      <c r="A1011" s="10">
        <v>46247</v>
      </c>
      <c r="B1011" s="11" t="s">
        <v>10314</v>
      </c>
      <c r="C1011" s="11" t="s">
        <v>1874</v>
      </c>
      <c r="D1011" s="11" t="s">
        <v>7000</v>
      </c>
      <c r="E1011" s="11" t="s">
        <v>17</v>
      </c>
      <c r="F1011" s="12" t="s">
        <v>10315</v>
      </c>
      <c r="G1011" s="11" t="s">
        <v>7553</v>
      </c>
      <c r="H1011" s="13" t="s">
        <v>10177</v>
      </c>
      <c r="I1011" s="10">
        <v>46247</v>
      </c>
      <c r="J1011" s="10" t="s">
        <v>4</v>
      </c>
      <c r="L1011" t="s">
        <v>10316</v>
      </c>
    </row>
    <row r="1012" spans="1:12">
      <c r="A1012" s="10">
        <v>46247</v>
      </c>
      <c r="B1012" s="11" t="s">
        <v>10317</v>
      </c>
      <c r="C1012" s="11" t="s">
        <v>1874</v>
      </c>
      <c r="D1012" s="11" t="s">
        <v>7000</v>
      </c>
      <c r="E1012" s="11" t="s">
        <v>17</v>
      </c>
      <c r="F1012" s="12" t="s">
        <v>10318</v>
      </c>
      <c r="G1012" s="11" t="s">
        <v>7553</v>
      </c>
      <c r="H1012" s="13" t="s">
        <v>10177</v>
      </c>
      <c r="I1012" s="10">
        <v>46247</v>
      </c>
      <c r="J1012" s="10" t="s">
        <v>4</v>
      </c>
      <c r="L1012" t="s">
        <v>10319</v>
      </c>
    </row>
    <row r="1013" spans="1:12">
      <c r="A1013" s="10">
        <v>46247</v>
      </c>
      <c r="B1013" s="11" t="s">
        <v>10320</v>
      </c>
      <c r="C1013" s="11" t="s">
        <v>1109</v>
      </c>
      <c r="D1013" s="11" t="s">
        <v>7053</v>
      </c>
      <c r="E1013" s="11" t="s">
        <v>17</v>
      </c>
      <c r="F1013" s="12" t="s">
        <v>10321</v>
      </c>
      <c r="G1013" s="11" t="s">
        <v>7553</v>
      </c>
      <c r="H1013" s="13" t="s">
        <v>10177</v>
      </c>
      <c r="I1013" s="10">
        <v>46247</v>
      </c>
      <c r="J1013" s="10"/>
      <c r="L1013" t="s">
        <v>10322</v>
      </c>
    </row>
    <row r="1014" spans="1:12">
      <c r="A1014" s="10">
        <v>46247</v>
      </c>
      <c r="B1014" s="11" t="s">
        <v>10323</v>
      </c>
      <c r="C1014" s="11" t="s">
        <v>1874</v>
      </c>
      <c r="D1014" s="11" t="s">
        <v>7000</v>
      </c>
      <c r="E1014" s="11" t="s">
        <v>17</v>
      </c>
      <c r="F1014" s="12" t="s">
        <v>10324</v>
      </c>
      <c r="G1014" s="11" t="s">
        <v>7553</v>
      </c>
      <c r="H1014" s="13" t="s">
        <v>10177</v>
      </c>
      <c r="I1014" s="10">
        <v>46247</v>
      </c>
      <c r="J1014" s="10" t="s">
        <v>7821</v>
      </c>
      <c r="L1014" t="s">
        <v>10325</v>
      </c>
    </row>
    <row r="1015" spans="1:12">
      <c r="A1015" s="10">
        <v>46247</v>
      </c>
      <c r="B1015" s="11" t="s">
        <v>10326</v>
      </c>
      <c r="C1015" s="11" t="s">
        <v>1874</v>
      </c>
      <c r="D1015" s="11" t="s">
        <v>7000</v>
      </c>
      <c r="E1015" s="11" t="s">
        <v>17</v>
      </c>
      <c r="F1015" s="12" t="s">
        <v>10327</v>
      </c>
      <c r="G1015" s="11" t="s">
        <v>7553</v>
      </c>
      <c r="H1015" s="13" t="s">
        <v>10177</v>
      </c>
      <c r="I1015" s="10">
        <v>46247</v>
      </c>
      <c r="J1015" s="10" t="s">
        <v>4</v>
      </c>
      <c r="L1015" t="s">
        <v>10328</v>
      </c>
    </row>
    <row r="1016" spans="1:12" ht="75">
      <c r="B1016" s="11" t="s">
        <v>10298</v>
      </c>
      <c r="C1016" s="11" t="s">
        <v>1824</v>
      </c>
      <c r="D1016" s="11" t="s">
        <v>8333</v>
      </c>
      <c r="E1016" s="11" t="s">
        <v>17</v>
      </c>
      <c r="F1016" s="12" t="s">
        <v>10299</v>
      </c>
      <c r="G1016" s="11" t="s">
        <v>7553</v>
      </c>
      <c r="H1016" s="13" t="s">
        <v>10329</v>
      </c>
      <c r="I1016" s="10">
        <v>46247</v>
      </c>
      <c r="J1016" s="10"/>
      <c r="L1016" t="s">
        <v>10330</v>
      </c>
    </row>
    <row r="1017" spans="1:12">
      <c r="A1017" s="10">
        <v>46247</v>
      </c>
      <c r="B1017" s="11" t="s">
        <v>10331</v>
      </c>
      <c r="C1017" s="11" t="s">
        <v>1436</v>
      </c>
      <c r="D1017" s="11" t="s">
        <v>6920</v>
      </c>
      <c r="E1017" s="11" t="s">
        <v>18</v>
      </c>
      <c r="F1017" s="12" t="s">
        <v>10332</v>
      </c>
      <c r="G1017" s="11" t="s">
        <v>7553</v>
      </c>
      <c r="H1017" s="13" t="s">
        <v>10177</v>
      </c>
      <c r="I1017" s="10">
        <v>46247</v>
      </c>
      <c r="J1017" s="10"/>
      <c r="L1017" t="s">
        <v>10333</v>
      </c>
    </row>
    <row r="1018" spans="1:12" ht="45">
      <c r="A1018" s="10">
        <v>46247</v>
      </c>
      <c r="B1018" s="11" t="s">
        <v>10334</v>
      </c>
      <c r="C1018" s="11" t="s">
        <v>7441</v>
      </c>
      <c r="D1018" s="11" t="s">
        <v>7164</v>
      </c>
      <c r="E1018" s="11" t="s">
        <v>17</v>
      </c>
      <c r="F1018" s="12" t="s">
        <v>10335</v>
      </c>
      <c r="G1018" s="11" t="s">
        <v>7553</v>
      </c>
      <c r="H1018" s="13" t="s">
        <v>10336</v>
      </c>
      <c r="I1018" s="10">
        <v>46247</v>
      </c>
      <c r="J1018" s="10"/>
      <c r="L1018" t="s">
        <v>10337</v>
      </c>
    </row>
    <row r="1019" spans="1:12" ht="30">
      <c r="A1019" s="10">
        <v>46247</v>
      </c>
      <c r="B1019" s="12" t="s">
        <v>10338</v>
      </c>
      <c r="C1019" s="11" t="s">
        <v>662</v>
      </c>
      <c r="D1019" s="11" t="s">
        <v>7109</v>
      </c>
      <c r="E1019" s="11" t="s">
        <v>8639</v>
      </c>
      <c r="F1019" s="12" t="s">
        <v>10339</v>
      </c>
      <c r="G1019" s="11" t="s">
        <v>7553</v>
      </c>
      <c r="H1019" s="13" t="s">
        <v>10340</v>
      </c>
      <c r="I1019" s="10">
        <v>46247</v>
      </c>
      <c r="J1019" s="10" t="s">
        <v>2896</v>
      </c>
      <c r="L1019" s="179" t="s">
        <v>10341</v>
      </c>
    </row>
    <row r="1020" spans="1:12" ht="30">
      <c r="A1020" s="10">
        <v>46247</v>
      </c>
      <c r="B1020" s="12" t="s">
        <v>10342</v>
      </c>
      <c r="C1020" s="11" t="s">
        <v>662</v>
      </c>
      <c r="D1020" s="11" t="s">
        <v>7109</v>
      </c>
      <c r="E1020" s="11" t="s">
        <v>8639</v>
      </c>
      <c r="F1020" s="12" t="s">
        <v>10343</v>
      </c>
      <c r="G1020" s="11" t="s">
        <v>7553</v>
      </c>
      <c r="H1020" s="13" t="s">
        <v>10177</v>
      </c>
      <c r="I1020" s="10">
        <v>46247</v>
      </c>
      <c r="J1020" s="10"/>
      <c r="L1020" t="s">
        <v>10344</v>
      </c>
    </row>
    <row r="1021" spans="1:12">
      <c r="A1021" s="10">
        <v>46247</v>
      </c>
      <c r="B1021" s="11" t="s">
        <v>10345</v>
      </c>
      <c r="C1021" s="11" t="s">
        <v>2168</v>
      </c>
      <c r="D1021" s="11" t="s">
        <v>7102</v>
      </c>
      <c r="E1021" s="11" t="s">
        <v>17</v>
      </c>
      <c r="F1021" s="12" t="s">
        <v>10346</v>
      </c>
      <c r="G1021" s="11" t="s">
        <v>7553</v>
      </c>
      <c r="H1021" s="13" t="s">
        <v>10177</v>
      </c>
      <c r="I1021" s="10">
        <v>46247</v>
      </c>
      <c r="J1021" s="10"/>
      <c r="L1021" t="s">
        <v>10347</v>
      </c>
    </row>
    <row r="1022" spans="1:12" ht="29.25">
      <c r="A1022" s="10">
        <v>45882</v>
      </c>
      <c r="B1022" s="11" t="s">
        <v>10348</v>
      </c>
      <c r="C1022" s="11" t="s">
        <v>4584</v>
      </c>
      <c r="D1022" s="11" t="s">
        <v>7174</v>
      </c>
      <c r="E1022" s="11" t="s">
        <v>17</v>
      </c>
      <c r="F1022" s="12" t="s">
        <v>10349</v>
      </c>
      <c r="G1022" s="11" t="s">
        <v>7553</v>
      </c>
      <c r="H1022" s="13" t="s">
        <v>10177</v>
      </c>
      <c r="I1022" s="10">
        <v>46247</v>
      </c>
      <c r="J1022" s="57">
        <v>46247.166666666701</v>
      </c>
      <c r="K1022" t="s">
        <v>4</v>
      </c>
      <c r="L1022" t="s">
        <v>10350</v>
      </c>
    </row>
    <row r="1023" spans="1:12">
      <c r="A1023" s="10">
        <v>45882</v>
      </c>
      <c r="B1023" s="39" t="s">
        <v>10351</v>
      </c>
      <c r="C1023" s="11" t="s">
        <v>1874</v>
      </c>
      <c r="D1023" s="11" t="s">
        <v>7000</v>
      </c>
      <c r="E1023" s="11" t="s">
        <v>17</v>
      </c>
      <c r="F1023" s="12" t="s">
        <v>10352</v>
      </c>
      <c r="G1023" s="11" t="s">
        <v>7553</v>
      </c>
      <c r="H1023" s="13" t="s">
        <v>10177</v>
      </c>
      <c r="I1023" s="10">
        <v>46247</v>
      </c>
      <c r="J1023" s="10" t="s">
        <v>4</v>
      </c>
      <c r="L1023" t="s">
        <v>10353</v>
      </c>
    </row>
    <row r="1024" spans="1:12" ht="60">
      <c r="A1024" s="10">
        <v>46247</v>
      </c>
      <c r="B1024" s="12" t="s">
        <v>10354</v>
      </c>
      <c r="C1024" s="11" t="s">
        <v>461</v>
      </c>
      <c r="D1024" s="11" t="s">
        <v>6982</v>
      </c>
      <c r="E1024" s="11" t="s">
        <v>17</v>
      </c>
      <c r="F1024" s="12" t="s">
        <v>10355</v>
      </c>
      <c r="G1024" s="11" t="s">
        <v>7553</v>
      </c>
      <c r="H1024" s="13" t="s">
        <v>10177</v>
      </c>
      <c r="I1024" s="10">
        <v>46248</v>
      </c>
      <c r="J1024" s="10"/>
      <c r="L1024" t="s">
        <v>10356</v>
      </c>
    </row>
    <row r="1025" spans="1:12" ht="60">
      <c r="A1025" s="10">
        <v>46247</v>
      </c>
      <c r="B1025" s="12" t="s">
        <v>10357</v>
      </c>
      <c r="C1025" s="11" t="s">
        <v>461</v>
      </c>
      <c r="D1025" s="11" t="s">
        <v>6982</v>
      </c>
      <c r="E1025" s="11" t="s">
        <v>17</v>
      </c>
      <c r="F1025" s="12" t="s">
        <v>10358</v>
      </c>
      <c r="G1025" s="11" t="s">
        <v>7553</v>
      </c>
      <c r="H1025" s="13" t="s">
        <v>10177</v>
      </c>
      <c r="I1025" s="10">
        <v>46248</v>
      </c>
      <c r="J1025" s="10"/>
      <c r="L1025" t="s">
        <v>10359</v>
      </c>
    </row>
    <row r="1026" spans="1:12" ht="30">
      <c r="A1026" s="10">
        <v>46247</v>
      </c>
      <c r="B1026" s="11" t="s">
        <v>10360</v>
      </c>
      <c r="C1026" s="46" t="s">
        <v>2369</v>
      </c>
      <c r="D1026" s="48" t="s">
        <v>6961</v>
      </c>
      <c r="E1026" s="11" t="s">
        <v>18</v>
      </c>
      <c r="F1026" s="12" t="s">
        <v>10361</v>
      </c>
      <c r="G1026" s="11" t="s">
        <v>7553</v>
      </c>
      <c r="H1026" s="13" t="s">
        <v>10362</v>
      </c>
      <c r="I1026" s="10">
        <v>46248</v>
      </c>
      <c r="J1026" s="10" t="s">
        <v>10363</v>
      </c>
      <c r="L1026" t="s">
        <v>10364</v>
      </c>
    </row>
    <row r="1027" spans="1:12" ht="60">
      <c r="A1027" s="10">
        <v>46247</v>
      </c>
      <c r="B1027" s="12" t="s">
        <v>10365</v>
      </c>
      <c r="C1027" s="46" t="s">
        <v>682</v>
      </c>
      <c r="D1027" s="48" t="s">
        <v>7277</v>
      </c>
      <c r="E1027" s="11" t="s">
        <v>18</v>
      </c>
      <c r="F1027" s="12" t="s">
        <v>10366</v>
      </c>
      <c r="G1027" s="11" t="s">
        <v>7553</v>
      </c>
      <c r="H1027" s="13" t="s">
        <v>10367</v>
      </c>
      <c r="I1027" s="10">
        <v>46248</v>
      </c>
      <c r="J1027" s="10"/>
      <c r="L1027" t="s">
        <v>10368</v>
      </c>
    </row>
    <row r="1028" spans="1:12">
      <c r="A1028" s="10">
        <v>46248</v>
      </c>
      <c r="B1028" s="11" t="s">
        <v>10369</v>
      </c>
      <c r="C1028" s="11" t="s">
        <v>1348</v>
      </c>
      <c r="D1028" s="11" t="s">
        <v>7010</v>
      </c>
      <c r="E1028" s="11" t="s">
        <v>17</v>
      </c>
      <c r="F1028" s="12" t="s">
        <v>10370</v>
      </c>
      <c r="G1028" s="11" t="s">
        <v>7553</v>
      </c>
      <c r="H1028" s="13" t="s">
        <v>10043</v>
      </c>
      <c r="I1028" s="10">
        <v>46248</v>
      </c>
      <c r="J1028" s="10" t="s">
        <v>2896</v>
      </c>
      <c r="L1028" t="s">
        <v>10371</v>
      </c>
    </row>
    <row r="1029" spans="1:12" ht="45">
      <c r="A1029" s="10">
        <v>46248</v>
      </c>
      <c r="B1029" s="11" t="s">
        <v>10372</v>
      </c>
      <c r="C1029" s="11" t="s">
        <v>6470</v>
      </c>
      <c r="D1029" s="11" t="s">
        <v>10373</v>
      </c>
      <c r="E1029" s="11" t="s">
        <v>13</v>
      </c>
      <c r="F1029" s="12" t="s">
        <v>10374</v>
      </c>
      <c r="G1029" s="11" t="s">
        <v>7553</v>
      </c>
      <c r="H1029" s="13" t="s">
        <v>10177</v>
      </c>
      <c r="I1029" s="10">
        <v>46248</v>
      </c>
      <c r="J1029" s="10">
        <v>46280.166666666701</v>
      </c>
      <c r="K1029" t="s">
        <v>4</v>
      </c>
      <c r="L1029" t="s">
        <v>10375</v>
      </c>
    </row>
    <row r="1030" spans="1:12" ht="45">
      <c r="A1030" s="10">
        <v>46248</v>
      </c>
      <c r="B1030" s="11" t="s">
        <v>10376</v>
      </c>
      <c r="C1030" s="11" t="s">
        <v>1348</v>
      </c>
      <c r="D1030" s="11" t="s">
        <v>7010</v>
      </c>
      <c r="E1030" s="11" t="s">
        <v>17</v>
      </c>
      <c r="F1030" s="12" t="s">
        <v>10377</v>
      </c>
      <c r="G1030" s="11" t="s">
        <v>7553</v>
      </c>
      <c r="H1030" s="13" t="s">
        <v>10177</v>
      </c>
      <c r="I1030" s="10">
        <v>46248</v>
      </c>
      <c r="J1030" s="57" t="s">
        <v>10378</v>
      </c>
      <c r="L1030" t="s">
        <v>10379</v>
      </c>
    </row>
    <row r="1031" spans="1:12" ht="30">
      <c r="A1031" s="10">
        <v>46248</v>
      </c>
      <c r="B1031" s="11" t="s">
        <v>10380</v>
      </c>
      <c r="C1031" s="11" t="s">
        <v>1371</v>
      </c>
      <c r="D1031" s="11" t="s">
        <v>7164</v>
      </c>
      <c r="E1031" s="11" t="s">
        <v>17</v>
      </c>
      <c r="F1031" s="12" t="s">
        <v>10381</v>
      </c>
      <c r="G1031" s="11" t="s">
        <v>7553</v>
      </c>
      <c r="H1031" s="13" t="s">
        <v>10177</v>
      </c>
      <c r="I1031" s="10">
        <v>46248</v>
      </c>
      <c r="J1031" s="10"/>
      <c r="L1031" t="s">
        <v>10382</v>
      </c>
    </row>
    <row r="1032" spans="1:12" ht="45">
      <c r="A1032" s="10">
        <v>46248</v>
      </c>
      <c r="B1032" s="11" t="s">
        <v>10383</v>
      </c>
      <c r="C1032" s="11" t="s">
        <v>2270</v>
      </c>
      <c r="D1032" s="11" t="s">
        <v>7650</v>
      </c>
      <c r="E1032" s="11" t="s">
        <v>8691</v>
      </c>
      <c r="F1032" s="12" t="s">
        <v>10384</v>
      </c>
      <c r="G1032" s="11" t="s">
        <v>7553</v>
      </c>
      <c r="H1032" s="13" t="s">
        <v>10385</v>
      </c>
      <c r="I1032" s="10">
        <v>46251</v>
      </c>
      <c r="J1032" s="10"/>
      <c r="L1032" t="s">
        <v>10386</v>
      </c>
    </row>
    <row r="1033" spans="1:12" ht="45">
      <c r="A1033" s="10">
        <v>46248</v>
      </c>
      <c r="B1033" s="11" t="s">
        <v>10387</v>
      </c>
      <c r="C1033" s="11" t="s">
        <v>2270</v>
      </c>
      <c r="D1033" s="11" t="s">
        <v>7650</v>
      </c>
      <c r="E1033" s="11" t="s">
        <v>8691</v>
      </c>
      <c r="F1033" s="12" t="s">
        <v>10388</v>
      </c>
      <c r="G1033" s="11" t="s">
        <v>7553</v>
      </c>
      <c r="H1033" s="13" t="s">
        <v>10385</v>
      </c>
      <c r="I1033" s="10">
        <v>46251</v>
      </c>
      <c r="J1033" s="10"/>
      <c r="L1033" t="s">
        <v>10389</v>
      </c>
    </row>
    <row r="1034" spans="1:12" ht="75">
      <c r="A1034" s="10">
        <v>46248</v>
      </c>
      <c r="B1034" s="11" t="s">
        <v>10390</v>
      </c>
      <c r="C1034" s="11" t="s">
        <v>1824</v>
      </c>
      <c r="D1034" s="11" t="s">
        <v>8333</v>
      </c>
      <c r="E1034" s="11" t="s">
        <v>17</v>
      </c>
      <c r="F1034" s="12" t="s">
        <v>10391</v>
      </c>
      <c r="G1034" s="11" t="s">
        <v>7553</v>
      </c>
      <c r="H1034" s="13" t="s">
        <v>10392</v>
      </c>
      <c r="I1034" s="10">
        <v>46251</v>
      </c>
      <c r="J1034" s="10"/>
      <c r="L1034" t="s">
        <v>10393</v>
      </c>
    </row>
    <row r="1035" spans="1:12" ht="30">
      <c r="A1035" s="10">
        <v>46248</v>
      </c>
      <c r="B1035" s="11" t="s">
        <v>10394</v>
      </c>
      <c r="C1035" s="11" t="s">
        <v>1824</v>
      </c>
      <c r="D1035" s="11" t="s">
        <v>8333</v>
      </c>
      <c r="E1035" s="11" t="s">
        <v>17</v>
      </c>
      <c r="F1035" s="12" t="s">
        <v>10395</v>
      </c>
      <c r="G1035" s="11" t="s">
        <v>7553</v>
      </c>
      <c r="H1035" s="13" t="s">
        <v>10396</v>
      </c>
      <c r="I1035" s="10">
        <v>46251</v>
      </c>
      <c r="J1035" s="10"/>
      <c r="L1035" t="s">
        <v>10397</v>
      </c>
    </row>
    <row r="1036" spans="1:12" ht="90">
      <c r="A1036" s="10">
        <v>46248</v>
      </c>
      <c r="B1036" s="11" t="s">
        <v>10398</v>
      </c>
      <c r="C1036" s="11" t="s">
        <v>1874</v>
      </c>
      <c r="D1036" s="11" t="s">
        <v>7000</v>
      </c>
      <c r="E1036" s="11" t="s">
        <v>17</v>
      </c>
      <c r="F1036" s="12" t="s">
        <v>10399</v>
      </c>
      <c r="G1036" s="11" t="s">
        <v>7553</v>
      </c>
      <c r="H1036" s="13" t="s">
        <v>10400</v>
      </c>
      <c r="I1036" s="10">
        <v>46251</v>
      </c>
      <c r="J1036" s="10"/>
      <c r="L1036" t="s">
        <v>10401</v>
      </c>
    </row>
    <row r="1037" spans="1:12" ht="60">
      <c r="A1037" s="10">
        <v>46248</v>
      </c>
      <c r="B1037" s="11" t="s">
        <v>2380</v>
      </c>
      <c r="C1037" s="11" t="s">
        <v>1874</v>
      </c>
      <c r="D1037" s="11" t="s">
        <v>7000</v>
      </c>
      <c r="E1037" s="11" t="s">
        <v>17</v>
      </c>
      <c r="F1037" s="12" t="s">
        <v>10402</v>
      </c>
      <c r="G1037" s="11" t="s">
        <v>7553</v>
      </c>
      <c r="H1037" s="13" t="s">
        <v>10403</v>
      </c>
      <c r="I1037" s="10">
        <v>46251</v>
      </c>
      <c r="J1037" s="10"/>
      <c r="L1037" t="s">
        <v>10404</v>
      </c>
    </row>
    <row r="1038" spans="1:12" ht="30">
      <c r="A1038" s="10">
        <v>46251</v>
      </c>
      <c r="B1038" s="11" t="s">
        <v>10405</v>
      </c>
      <c r="C1038" s="11" t="s">
        <v>1371</v>
      </c>
      <c r="D1038" s="11" t="s">
        <v>7164</v>
      </c>
      <c r="E1038" s="11" t="s">
        <v>17</v>
      </c>
      <c r="F1038" s="12" t="s">
        <v>10406</v>
      </c>
      <c r="G1038" s="11" t="s">
        <v>7553</v>
      </c>
      <c r="H1038" s="13" t="s">
        <v>10177</v>
      </c>
      <c r="I1038" s="10">
        <v>46251</v>
      </c>
      <c r="J1038" s="10"/>
      <c r="L1038" t="s">
        <v>10407</v>
      </c>
    </row>
    <row r="1039" spans="1:12">
      <c r="A1039" s="10">
        <v>46251</v>
      </c>
      <c r="B1039" s="11" t="s">
        <v>10408</v>
      </c>
      <c r="C1039" s="43" t="s">
        <v>1824</v>
      </c>
      <c r="D1039" s="43" t="s">
        <v>8333</v>
      </c>
      <c r="E1039" s="11" t="s">
        <v>17</v>
      </c>
      <c r="F1039" s="12" t="s">
        <v>10409</v>
      </c>
      <c r="G1039" s="11" t="s">
        <v>7553</v>
      </c>
      <c r="H1039" s="13" t="s">
        <v>10177</v>
      </c>
      <c r="I1039" s="10">
        <v>46251</v>
      </c>
      <c r="J1039" s="10"/>
      <c r="L1039" t="s">
        <v>10410</v>
      </c>
    </row>
    <row r="1040" spans="1:12">
      <c r="A1040" s="10">
        <v>46251</v>
      </c>
      <c r="B1040" s="11" t="s">
        <v>10411</v>
      </c>
      <c r="C1040" s="11" t="s">
        <v>1824</v>
      </c>
      <c r="D1040" s="11" t="s">
        <v>8333</v>
      </c>
      <c r="E1040" s="11" t="s">
        <v>17</v>
      </c>
      <c r="F1040" s="12" t="s">
        <v>10412</v>
      </c>
      <c r="G1040" s="11" t="s">
        <v>7553</v>
      </c>
      <c r="H1040" s="13" t="s">
        <v>10177</v>
      </c>
      <c r="I1040" s="10">
        <v>46251</v>
      </c>
      <c r="J1040" s="10"/>
      <c r="L1040" t="s">
        <v>10413</v>
      </c>
    </row>
    <row r="1041" spans="1:12" ht="30">
      <c r="A1041" s="10">
        <v>46251</v>
      </c>
      <c r="B1041" s="11" t="s">
        <v>10414</v>
      </c>
      <c r="C1041" s="11" t="s">
        <v>1109</v>
      </c>
      <c r="D1041" s="11" t="s">
        <v>7053</v>
      </c>
      <c r="E1041" s="11" t="s">
        <v>17</v>
      </c>
      <c r="F1041" s="12" t="s">
        <v>10415</v>
      </c>
      <c r="G1041" s="11" t="s">
        <v>7553</v>
      </c>
      <c r="H1041" s="13" t="s">
        <v>10177</v>
      </c>
      <c r="I1041" s="10">
        <v>46251</v>
      </c>
      <c r="J1041" s="10"/>
      <c r="L1041" t="s">
        <v>10416</v>
      </c>
    </row>
    <row r="1042" spans="1:12" ht="90">
      <c r="A1042" s="10">
        <v>46251</v>
      </c>
      <c r="B1042" s="11" t="s">
        <v>10417</v>
      </c>
      <c r="C1042" s="11" t="s">
        <v>1348</v>
      </c>
      <c r="D1042" s="11" t="s">
        <v>7010</v>
      </c>
      <c r="E1042" s="11" t="s">
        <v>17</v>
      </c>
      <c r="F1042" s="12" t="s">
        <v>10418</v>
      </c>
      <c r="G1042" s="11" t="s">
        <v>7553</v>
      </c>
      <c r="H1042" s="13" t="s">
        <v>10177</v>
      </c>
      <c r="I1042" s="10">
        <v>46251</v>
      </c>
      <c r="J1042" s="10"/>
      <c r="L1042" t="s">
        <v>10419</v>
      </c>
    </row>
    <row r="1043" spans="1:12" ht="60">
      <c r="A1043" s="10">
        <v>46251</v>
      </c>
      <c r="B1043" s="70" t="s">
        <v>10420</v>
      </c>
      <c r="C1043" s="11" t="s">
        <v>662</v>
      </c>
      <c r="D1043" s="11" t="s">
        <v>7332</v>
      </c>
      <c r="E1043" s="11" t="s">
        <v>8639</v>
      </c>
      <c r="F1043" s="12" t="s">
        <v>10421</v>
      </c>
      <c r="G1043" s="11" t="s">
        <v>7553</v>
      </c>
      <c r="H1043" s="13" t="s">
        <v>10422</v>
      </c>
      <c r="I1043" s="10">
        <v>46251</v>
      </c>
      <c r="J1043" s="10"/>
      <c r="L1043" t="s">
        <v>10423</v>
      </c>
    </row>
    <row r="1044" spans="1:12">
      <c r="A1044" s="10">
        <v>46251</v>
      </c>
      <c r="B1044" s="70" t="s">
        <v>10424</v>
      </c>
      <c r="C1044" s="11" t="s">
        <v>662</v>
      </c>
      <c r="D1044" s="11" t="s">
        <v>7332</v>
      </c>
      <c r="E1044" s="11" t="s">
        <v>8639</v>
      </c>
      <c r="F1044" s="12" t="s">
        <v>10425</v>
      </c>
      <c r="G1044" s="11" t="s">
        <v>7553</v>
      </c>
      <c r="H1044" s="13" t="s">
        <v>10177</v>
      </c>
      <c r="I1044" s="10">
        <v>46251</v>
      </c>
      <c r="J1044" s="10"/>
      <c r="L1044" t="s">
        <v>10426</v>
      </c>
    </row>
    <row r="1045" spans="1:12" ht="150">
      <c r="B1045" s="176" t="s">
        <v>10427</v>
      </c>
      <c r="C1045" s="177" t="s">
        <v>983</v>
      </c>
      <c r="D1045" s="11" t="s">
        <v>7058</v>
      </c>
      <c r="E1045" s="11" t="s">
        <v>10428</v>
      </c>
      <c r="F1045" s="12" t="s">
        <v>10429</v>
      </c>
      <c r="G1045" s="11" t="s">
        <v>7553</v>
      </c>
      <c r="H1045" s="13" t="s">
        <v>10177</v>
      </c>
      <c r="I1045" s="10">
        <v>46251</v>
      </c>
      <c r="J1045" s="10"/>
      <c r="L1045" t="s">
        <v>10430</v>
      </c>
    </row>
    <row r="1046" spans="1:12" ht="30">
      <c r="A1046" s="10">
        <v>46251</v>
      </c>
      <c r="B1046" s="9" t="s">
        <v>10431</v>
      </c>
      <c r="C1046" s="11" t="s">
        <v>1874</v>
      </c>
      <c r="D1046" s="11" t="s">
        <v>7000</v>
      </c>
      <c r="E1046" s="11" t="s">
        <v>17</v>
      </c>
      <c r="F1046" s="12" t="s">
        <v>10432</v>
      </c>
      <c r="J1046" s="10"/>
      <c r="L1046" t="s">
        <v>10433</v>
      </c>
    </row>
    <row r="1047" spans="1:12">
      <c r="A1047" s="59">
        <v>46251</v>
      </c>
      <c r="B1047" s="162" t="s">
        <v>10434</v>
      </c>
      <c r="C1047" s="48" t="s">
        <v>662</v>
      </c>
      <c r="D1047" s="11" t="s">
        <v>7332</v>
      </c>
      <c r="E1047" s="11" t="s">
        <v>8639</v>
      </c>
      <c r="F1047" s="12" t="s">
        <v>6978</v>
      </c>
      <c r="J1047" s="10"/>
      <c r="L1047" t="s">
        <v>10435</v>
      </c>
    </row>
    <row r="1048" spans="1:12">
      <c r="A1048" s="10">
        <v>46251</v>
      </c>
      <c r="B1048" s="9" t="s">
        <v>10436</v>
      </c>
      <c r="C1048" s="46" t="s">
        <v>2369</v>
      </c>
      <c r="D1048" s="48" t="s">
        <v>6961</v>
      </c>
      <c r="E1048" s="11" t="s">
        <v>18</v>
      </c>
      <c r="F1048" s="12" t="s">
        <v>10437</v>
      </c>
      <c r="J1048" s="10"/>
      <c r="L1048" t="s">
        <v>10438</v>
      </c>
    </row>
    <row r="1049" spans="1:12">
      <c r="A1049" s="10">
        <v>46251</v>
      </c>
      <c r="B1049" s="11" t="s">
        <v>10439</v>
      </c>
      <c r="C1049" s="11" t="s">
        <v>1348</v>
      </c>
      <c r="D1049" s="11" t="s">
        <v>7010</v>
      </c>
      <c r="E1049" s="11" t="s">
        <v>17</v>
      </c>
      <c r="F1049" s="12" t="s">
        <v>10440</v>
      </c>
      <c r="J1049" s="10"/>
      <c r="L1049" t="s">
        <v>10441</v>
      </c>
    </row>
    <row r="1050" spans="1:12">
      <c r="A1050" s="10">
        <v>46251</v>
      </c>
      <c r="B1050" s="43" t="s">
        <v>155</v>
      </c>
      <c r="C1050" s="11" t="s">
        <v>682</v>
      </c>
      <c r="D1050" s="11" t="s">
        <v>7277</v>
      </c>
      <c r="E1050" s="11" t="s">
        <v>18</v>
      </c>
      <c r="F1050" s="12" t="s">
        <v>10442</v>
      </c>
      <c r="J1050" s="10"/>
      <c r="L1050" t="s">
        <v>10443</v>
      </c>
    </row>
    <row r="1051" spans="1:12">
      <c r="A1051" s="10">
        <v>46251</v>
      </c>
      <c r="B1051" s="43" t="s">
        <v>158</v>
      </c>
      <c r="C1051" s="11" t="s">
        <v>682</v>
      </c>
      <c r="D1051" s="11" t="s">
        <v>7277</v>
      </c>
      <c r="E1051" s="11" t="s">
        <v>18</v>
      </c>
      <c r="F1051" s="12" t="s">
        <v>10444</v>
      </c>
      <c r="J1051" s="10"/>
      <c r="L1051" t="s">
        <v>10445</v>
      </c>
    </row>
    <row r="1052" spans="1:12" ht="45">
      <c r="A1052" s="10">
        <v>46251</v>
      </c>
      <c r="B1052" s="43" t="s">
        <v>64</v>
      </c>
      <c r="C1052" s="11" t="s">
        <v>682</v>
      </c>
      <c r="D1052" s="11" t="s">
        <v>7277</v>
      </c>
      <c r="E1052" s="11" t="s">
        <v>18</v>
      </c>
      <c r="F1052" s="12" t="s">
        <v>10446</v>
      </c>
      <c r="J1052" s="10"/>
      <c r="L1052" t="s">
        <v>10447</v>
      </c>
    </row>
    <row r="1053" spans="1:12" ht="43.5">
      <c r="A1053" s="10">
        <v>46251</v>
      </c>
      <c r="B1053" s="43" t="s">
        <v>10448</v>
      </c>
      <c r="C1053" s="11" t="s">
        <v>682</v>
      </c>
      <c r="D1053" s="11" t="s">
        <v>7277</v>
      </c>
      <c r="E1053" s="11" t="s">
        <v>18</v>
      </c>
      <c r="F1053" s="12" t="s">
        <v>10449</v>
      </c>
      <c r="J1053" s="10"/>
      <c r="L1053" t="s">
        <v>10450</v>
      </c>
    </row>
  </sheetData>
  <conditionalFormatting sqref="B357">
    <cfRule type="duplicateValues" dxfId="24" priority="6"/>
    <cfRule type="duplicateValues" dxfId="23" priority="7"/>
    <cfRule type="duplicateValues" dxfId="22" priority="8"/>
    <cfRule type="duplicateValues" dxfId="21" priority="9"/>
  </conditionalFormatting>
  <conditionalFormatting sqref="B358">
    <cfRule type="duplicateValues" dxfId="20" priority="2"/>
    <cfRule type="duplicateValues" dxfId="19" priority="3"/>
    <cfRule type="duplicateValues" dxfId="18" priority="4"/>
    <cfRule type="duplicateValues" dxfId="17" priority="5"/>
  </conditionalFormatting>
  <conditionalFormatting sqref="C515">
    <cfRule type="duplicateValues" dxfId="16" priority="1"/>
  </conditionalFormatting>
  <conditionalFormatting sqref="B1024:B1042 B973:B975 C955 B912:B933 B883:B886 B790:B791 B747:B748 B731:B745 B652:B669 B605:B614 B596 B532:B544 B475:B476 B401:B412 B352:B356 B1:B348 B359:B370 B372:B399 B415:B435 B438:B441 B443:B450 B452:B455 B459:B465 B467:B473 B478 B480:B483 B486:B492 B495:B496 B501:B530 B546:B550 B555:B559 B561:B562 B564:B593 B598 B601:B602 B616:B626 B628:B632 B635:B650 B674:B691 B693:B699 B702:B703 B705:B709 B711:B727 B750:B759 B765:B768 B770:B776 B778:B788 B795:B803 B805:B824 B826:B850 B852:B854 B856:B857 B860:B868 B870:B874 B876:B881 B888:B909 B936:B954 B956:B970 B978:B980 B982:B990 B992:B1022 B1049:B1048576">
    <cfRule type="duplicateValues" dxfId="15" priority="10"/>
  </conditionalFormatting>
  <dataValidations count="1">
    <dataValidation allowBlank="1" showInputMessage="1" showErrorMessage="1" sqref="B765" xr:uid="{3BAC86BB-AB7D-4A4A-B9D2-07DB26716527}"/>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Caubalejo, John Eric</dc:creator>
  <cp:keywords/>
  <dc:description/>
  <cp:lastModifiedBy/>
  <cp:revision/>
  <dcterms:created xsi:type="dcterms:W3CDTF">2026-05-08T07:36:00Z</dcterms:created>
  <dcterms:modified xsi:type="dcterms:W3CDTF">2026-09-21T21:09:42Z</dcterms:modified>
  <cp:category/>
  <cp:contentStatus/>
</cp:coreProperties>
</file>